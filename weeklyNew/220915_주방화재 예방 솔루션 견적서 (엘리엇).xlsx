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/>
  <mc:AlternateContent xmlns:mc="http://schemas.openxmlformats.org/markup-compatibility/2006">
    <mc:Choice Requires="x15">
      <x15ac:absPath xmlns:x15ac="http://schemas.microsoft.com/office/spreadsheetml/2010/11/ac" url="D:\2023\Go\Grib\참고\"/>
    </mc:Choice>
  </mc:AlternateContent>
  <xr:revisionPtr revIDLastSave="0" documentId="8_{C1124C14-B781-4754-B5B1-8F3BF46AB99F}" xr6:coauthVersionLast="36" xr6:coauthVersionMax="36" xr10:uidLastSave="{00000000-0000-0000-0000-000000000000}"/>
  <bookViews>
    <workbookView xWindow="29175" yWindow="345" windowWidth="25935" windowHeight="14010" tabRatio="825" xr2:uid="{00000000-000D-0000-FFFF-FFFF00000000}"/>
  </bookViews>
  <sheets>
    <sheet name="원격IO디바이스 및 게이트웨이 개발 견적" sheetId="20" r:id="rId1"/>
  </sheets>
  <definedNames>
    <definedName name="_xlnm.Print_Area" localSheetId="0">'원격IO디바이스 및 게이트웨이 개발 견적'!$A$1:$G$49</definedName>
  </definedNames>
  <calcPr calcId="191029"/>
  <fileRecoveryPr repairLoad="1"/>
</workbook>
</file>

<file path=xl/calcChain.xml><?xml version="1.0" encoding="utf-8"?>
<calcChain xmlns="http://schemas.openxmlformats.org/spreadsheetml/2006/main">
  <c r="D36" i="20" l="1"/>
  <c r="M34" i="20"/>
  <c r="L34" i="20"/>
  <c r="K34" i="20"/>
  <c r="J34" i="20"/>
  <c r="M33" i="20"/>
  <c r="M32" i="20"/>
  <c r="L32" i="20"/>
  <c r="K32" i="20"/>
  <c r="J32" i="20"/>
  <c r="L31" i="20"/>
  <c r="K31" i="20"/>
  <c r="J31" i="20"/>
  <c r="M30" i="20"/>
  <c r="L30" i="20"/>
  <c r="K30" i="20"/>
  <c r="J30" i="20"/>
  <c r="M29" i="20"/>
  <c r="M28" i="20"/>
  <c r="M27" i="20"/>
  <c r="M26" i="20"/>
  <c r="D15" i="20"/>
  <c r="B15" i="20"/>
</calcChain>
</file>

<file path=xl/sharedStrings.xml><?xml version="1.0" encoding="utf-8"?>
<sst xmlns="http://schemas.openxmlformats.org/spreadsheetml/2006/main" count="87" uniqueCount="87">
  <si>
    <t>TERMS AND CONDITIONS</t>
    <phoneticPr fontId="10" type="noConversion"/>
  </si>
  <si>
    <t xml:space="preserve"> </t>
  </si>
  <si>
    <t>하기와 같이 견적합니다.</t>
    <phoneticPr fontId="10" type="noConversion"/>
  </si>
  <si>
    <t xml:space="preserve">팩   스 :  </t>
    <phoneticPr fontId="10" type="noConversion"/>
  </si>
  <si>
    <r>
      <t xml:space="preserve">담   당 :   </t>
    </r>
    <r>
      <rPr>
        <sz val="11"/>
        <rFont val="바탕"/>
        <family val="1"/>
        <charset val="129"/>
      </rPr>
      <t/>
    </r>
    <phoneticPr fontId="10" type="noConversion"/>
  </si>
  <si>
    <t>견   적   서</t>
    <phoneticPr fontId="10" type="noConversion"/>
  </si>
  <si>
    <t xml:space="preserve">전   화 :  </t>
    <phoneticPr fontId="10" type="noConversion"/>
  </si>
  <si>
    <t>금   액 :</t>
    <phoneticPr fontId="1" type="noConversion"/>
  </si>
  <si>
    <t xml:space="preserve"> * 견적유효기간: 발행일로부터 30일</t>
    <phoneticPr fontId="1" type="noConversion"/>
  </si>
  <si>
    <t>㈜에스엔아이코퍼레이션</t>
    <phoneticPr fontId="10" type="noConversion"/>
  </si>
  <si>
    <t>경기도 성남시 분당구 황새울로 315, 501-3호</t>
  </si>
  <si>
    <t>TEL : 031-704-0822      FAX : 031-704-0834</t>
  </si>
  <si>
    <t xml:space="preserve"> * 세부 사양은 협의에 의해 변동될 수 있습니다.</t>
    <phoneticPr fontId="10" type="noConversion"/>
  </si>
  <si>
    <t>정연기 센터장님</t>
    <phoneticPr fontId="10" type="noConversion"/>
  </si>
  <si>
    <t>010-2234-1502</t>
    <phoneticPr fontId="1" type="noConversion"/>
  </si>
  <si>
    <t>일자: 2022.09.16</t>
    <phoneticPr fontId="10" type="noConversion"/>
  </si>
  <si>
    <t>(서현동, DB손해보험분당사옥) (우)13590</t>
    <phoneticPr fontId="1" type="noConversion"/>
  </si>
  <si>
    <t xml:space="preserve">  • ELICIT 네트워크 지원(940MHz 대역)</t>
    <phoneticPr fontId="1" type="noConversion"/>
  </si>
  <si>
    <t xml:space="preserve">  • 크기: 180x180x40mm</t>
    <phoneticPr fontId="1" type="noConversion"/>
  </si>
  <si>
    <t xml:space="preserve">  • Digital Input 4 Port, Digital Output 4 Port</t>
    <phoneticPr fontId="1" type="noConversion"/>
  </si>
  <si>
    <t xml:space="preserve">  •  Wi-Fi(IEEE802.11 b/g/n), Ethernet(10/100, RJ45)</t>
    <phoneticPr fontId="1" type="noConversion"/>
  </si>
  <si>
    <t xml:space="preserve">  • 총개발기간: 2개월(8주)</t>
    <phoneticPr fontId="1" type="noConversion"/>
  </si>
  <si>
    <t xml:space="preserve">  • 엣스퍼트 IoT플랫폼(SGP) 연동 인터페이스 개발</t>
    <phoneticPr fontId="1" type="noConversion"/>
  </si>
  <si>
    <t>산업용 사물인터넷 게이트웨이</t>
    <phoneticPr fontId="1" type="noConversion"/>
  </si>
  <si>
    <t>품명</t>
    <phoneticPr fontId="1" type="noConversion"/>
  </si>
  <si>
    <t>품목</t>
    <phoneticPr fontId="1" type="noConversion"/>
  </si>
  <si>
    <t>플랫폼 연동 개발</t>
  </si>
  <si>
    <t>SGP연동 개발</t>
    <phoneticPr fontId="1" type="noConversion"/>
  </si>
  <si>
    <t>비고</t>
    <phoneticPr fontId="1" type="noConversion"/>
  </si>
  <si>
    <t>EDGE-4I4O-AL</t>
    <phoneticPr fontId="1" type="noConversion"/>
  </si>
  <si>
    <t>위와 같이 견적을 제출합니다.</t>
    <phoneticPr fontId="1" type="noConversion"/>
  </si>
  <si>
    <t>엘리엇시스템㈜
대표이사</t>
    <phoneticPr fontId="1" type="noConversion"/>
  </si>
  <si>
    <t>이 규 용    (인)</t>
    <phoneticPr fontId="1" type="noConversion"/>
  </si>
  <si>
    <t>엘리엇시스템 주식회사</t>
    <phoneticPr fontId="1" type="noConversion"/>
  </si>
  <si>
    <t>단가(원, VAT별도)</t>
    <phoneticPr fontId="1" type="noConversion"/>
  </si>
  <si>
    <t xml:space="preserve">  • ADC x 1, DAC x 1(12Bit), RS-485 x 1</t>
    <phoneticPr fontId="1" type="noConversion"/>
  </si>
  <si>
    <t xml:space="preserve">  • 전원: 220VAC(24VDC, 5VDC출력 내장), 백업 배터리 내장</t>
    <phoneticPr fontId="1" type="noConversion"/>
  </si>
  <si>
    <t xml:space="preserve">  • 비 접촉식 적외선 온도 센서</t>
    <phoneticPr fontId="1" type="noConversion"/>
  </si>
  <si>
    <t xml:space="preserve">  • 가스밸브 차단기</t>
  </si>
  <si>
    <t>주방화재예방 솔루션</t>
    <phoneticPr fontId="10" type="noConversion"/>
  </si>
  <si>
    <t>2. 산업용 사물인터넷 게이트웨이 사양</t>
    <phoneticPr fontId="1" type="noConversion"/>
  </si>
  <si>
    <t>3. 엣스퍼트 플랫폼 연동 개발 개요</t>
    <phoneticPr fontId="1" type="noConversion"/>
  </si>
  <si>
    <t>4. 견적 내역</t>
    <phoneticPr fontId="1" type="noConversion"/>
  </si>
  <si>
    <t>주방 화재 예방 시스템</t>
    <phoneticPr fontId="1" type="noConversion"/>
  </si>
  <si>
    <t>센서 차단기 세트</t>
    <phoneticPr fontId="1" type="noConversion"/>
  </si>
  <si>
    <t>1SET 장비 설치, 세팅, 서비스 개통 포함</t>
    <phoneticPr fontId="1" type="noConversion"/>
  </si>
  <si>
    <t>1SET(센서, 차단기, 컨트롤러)</t>
    <phoneticPr fontId="1" type="noConversion"/>
  </si>
  <si>
    <t>주방 화재 예방 시스템 시공</t>
    <phoneticPr fontId="1" type="noConversion"/>
  </si>
  <si>
    <t>장비 설치 시공</t>
    <phoneticPr fontId="1" type="noConversion"/>
  </si>
  <si>
    <t>1. 주방 화재 예방 시스템 구성</t>
    <phoneticPr fontId="1" type="noConversion"/>
  </si>
  <si>
    <t xml:space="preserve">  •  플랫폼 연동용 게이트웨이</t>
    <phoneticPr fontId="1" type="noConversion"/>
  </si>
  <si>
    <t xml:space="preserve">  •  로컬 컨트롤러</t>
    <phoneticPr fontId="1" type="noConversion"/>
  </si>
  <si>
    <t xml:space="preserve"> * 결제 조건: 협의 후 결정(납품 검수 완료 후 익월 현금)</t>
    <phoneticPr fontId="10" type="noConversion"/>
  </si>
  <si>
    <t>합계</t>
    <phoneticPr fontId="1" type="noConversion"/>
  </si>
  <si>
    <t>NO : QT-220916-1002</t>
    <phoneticPr fontId="10" type="noConversion"/>
  </si>
  <si>
    <t>기구물 재질: AL</t>
    <phoneticPr fontId="1" type="noConversion"/>
  </si>
  <si>
    <t xml:space="preserve"> * 신규 게이트웨이는 새로운 HW칩셋과 새로운 OS 기반으로 제작되어 SGP연동 프로토콜을 이에 맞도록 새로 포팅해야 합니다.</t>
    <phoneticPr fontId="10" type="noConversion"/>
  </si>
  <si>
    <t xml:space="preserve"> * 서울, 경기도 설치 기준. 그 외 지역은 협의 후 결정. 현장 상황에 따라 전기공사 항목의 추가 비용이 발생할 수 있습니다.</t>
    <phoneticPr fontId="10" type="noConversion"/>
  </si>
  <si>
    <t xml:space="preserve">최초 1회에 한함 </t>
    <phoneticPr fontId="1" type="noConversion"/>
  </si>
  <si>
    <t>(단위: 원, VAT별도)</t>
  </si>
  <si>
    <t>그립(1회납)</t>
  </si>
  <si>
    <t>A2U(1회납)</t>
  </si>
  <si>
    <t>SNI(월납)</t>
  </si>
  <si>
    <t>계(3년약정)</t>
  </si>
  <si>
    <t>주방 화재 예방 시스템</t>
  </si>
  <si>
    <t>주방 화재 예방 시스템 시공(전기)</t>
  </si>
  <si>
    <t>안전관리자 1명</t>
  </si>
  <si>
    <t>안전교육    1식</t>
  </si>
  <si>
    <t>게이트웨이 외</t>
  </si>
  <si>
    <t>IoT 시공(정보통신)</t>
  </si>
  <si>
    <t>LTE 통신비</t>
  </si>
  <si>
    <t>클라우드 운용</t>
  </si>
  <si>
    <t>IOC 운용</t>
  </si>
  <si>
    <t>정기점검/유지보수</t>
  </si>
  <si>
    <t>소계</t>
  </si>
  <si>
    <t>차별화서비스 Fee(7%)</t>
  </si>
  <si>
    <t>년매출</t>
  </si>
  <si>
    <t>3년약정 월서비스료</t>
  </si>
  <si>
    <t>3년약정 누적서비스료</t>
  </si>
  <si>
    <t>※ 서울권역 외 출장 경비 별도</t>
  </si>
  <si>
    <t>비고</t>
    <phoneticPr fontId="1" type="noConversion"/>
  </si>
  <si>
    <t>1회</t>
    <phoneticPr fontId="1" type="noConversion"/>
  </si>
  <si>
    <t>36회</t>
    <phoneticPr fontId="1" type="noConversion"/>
  </si>
  <si>
    <t>Basic</t>
    <phoneticPr fontId="1" type="noConversion"/>
  </si>
  <si>
    <t>서비스 제공주체</t>
    <phoneticPr fontId="1" type="noConversion"/>
  </si>
  <si>
    <t>Standard</t>
    <phoneticPr fontId="1" type="noConversion"/>
  </si>
  <si>
    <t>서비스 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</si>
</sst>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₩&quot;#,##0;\-&quot;₩&quot;#,##0"/>
    <numFmt numFmtId="6" formatCode="&quot;₩&quot;#,##0;[Red]\-&quot;₩&quot;#,##0"/>
    <numFmt numFmtId="41" formatCode="_-* #,##0_-;\-* #,##0_-;_-* &quot;-&quot;_-;_-@_-"/>
    <numFmt numFmtId="176" formatCode="#,##0_);[Red]\(#,##0\)"/>
    <numFmt numFmtId="177" formatCode="_ * #,##0_ ;_ * \-#,##0_ ;_ * &quot;-&quot;_ ;_ @_ "/>
    <numFmt numFmtId="178" formatCode="_(&quot;$&quot;* #,##0_);_(&quot;$&quot;* \(#,##0\);_(&quot;$&quot;* &quot;-&quot;_);_(@_)"/>
    <numFmt numFmtId="179" formatCode="_-&quot;₩&quot;* #,##0.00_-;&quot;₩&quot;&quot;₩&quot;\-&quot;₩&quot;* #,##0.00_-;_-&quot;₩&quot;* &quot;-&quot;??_-;_-@_-"/>
    <numFmt numFmtId="180" formatCode="_-* #,##0.00_-;&quot;₩&quot;&quot;₩&quot;\-* #,##0.00_-;_-* &quot;-&quot;??_-;_-@_-"/>
    <numFmt numFmtId="181" formatCode="&quot;₩&quot;#,##0;&quot;₩&quot;&quot;₩&quot;&quot;₩&quot;&quot;₩&quot;\-#,##0"/>
    <numFmt numFmtId="182" formatCode="&quot;₩&quot;#,##0;[Red]&quot;₩&quot;&quot;₩&quot;&quot;₩&quot;&quot;₩&quot;\-#,##0"/>
    <numFmt numFmtId="183" formatCode="&quot;₩&quot;#,##0.00;&quot;₩&quot;&quot;₩&quot;&quot;₩&quot;&quot;₩&quot;\-#,##0.00"/>
    <numFmt numFmtId="184" formatCode="#,##0;[Red]&quot;-&quot;#,##0"/>
    <numFmt numFmtId="185" formatCode="#,##0.00;[Red]&quot;-&quot;#,##0.00"/>
    <numFmt numFmtId="186" formatCode="_-* #,##0_-;&quot;₩&quot;&quot;₩&quot;&quot;₩&quot;&quot;₩&quot;&quot;₩&quot;&quot;₩&quot;&quot;₩&quot;&quot;₩&quot;&quot;₩&quot;&quot;₩&quot;&quot;₩&quot;&quot;₩&quot;\-* #,##0_-;_-* &quot;-&quot;_-;_-@_-"/>
    <numFmt numFmtId="187" formatCode="_-&quot;₩&quot;* #,##0.00_-;&quot;₩&quot;&quot;₩&quot;&quot;₩&quot;&quot;₩&quot;&quot;₩&quot;&quot;₩&quot;&quot;₩&quot;&quot;₩&quot;&quot;₩&quot;&quot;₩&quot;&quot;₩&quot;&quot;₩&quot;&quot;₩&quot;&quot;₩&quot;\-&quot;₩&quot;* #,##0.00_-;_-&quot;₩&quot;* &quot;-&quot;??_-;_-@_-"/>
    <numFmt numFmtId="188" formatCode="&quot;₩&quot;#,##0;&quot;₩&quot;&quot;₩&quot;&quot;₩&quot;&quot;₩&quot;&quot;₩&quot;&quot;₩&quot;&quot;₩&quot;&quot;₩&quot;&quot;₩&quot;&quot;₩&quot;&quot;₩&quot;&quot;₩&quot;&quot;₩&quot;&quot;₩&quot;&quot;₩&quot;\-&quot;₩&quot;#,##0"/>
    <numFmt numFmtId="189" formatCode="_-&quot;₩&quot;* #,##0.00_-;&quot;₩&quot;&quot;₩&quot;&quot;₩&quot;&quot;₩&quot;&quot;₩&quot;&quot;₩&quot;&quot;₩&quot;&quot;₩&quot;&quot;₩&quot;&quot;₩&quot;&quot;₩&quot;&quot;₩&quot;&quot;₩&quot;&quot;₩&quot;&quot;₩&quot;&quot;₩&quot;\-&quot;₩&quot;* #,##0.00_-;_-&quot;₩&quot;* &quot;-&quot;??_-;_-@_-"/>
    <numFmt numFmtId="190" formatCode="&quot;(&quot;&quot;₩&quot;#,##0&quot;-,VAT별도)&quot;"/>
    <numFmt numFmtId="191" formatCode="_-* #,##0.000_-;\-* #,##0.000_-;_-* &quot;-&quot;_-;_-@_-"/>
  </numFmts>
  <fonts count="3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바탕"/>
      <family val="1"/>
      <charset val="129"/>
    </font>
    <font>
      <b/>
      <sz val="10"/>
      <color indexed="64"/>
      <name val="Arial"/>
      <family val="2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indexed="64"/>
      <name val="Arial"/>
      <family val="2"/>
    </font>
    <font>
      <sz val="10"/>
      <name val="Arial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u/>
      <sz val="11"/>
      <color indexed="12"/>
      <name val="돋움"/>
      <family val="3"/>
      <charset val="129"/>
    </font>
    <font>
      <sz val="8"/>
      <name val="Arial"/>
      <family val="2"/>
    </font>
    <font>
      <sz val="12"/>
      <name val="돋움체"/>
      <family val="3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Helv"/>
      <family val="2"/>
    </font>
    <font>
      <i/>
      <sz val="1"/>
      <color indexed="8"/>
      <name val="Courier"/>
      <family val="3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u/>
      <sz val="11"/>
      <color theme="10"/>
      <name val="맑은 고딕"/>
      <family val="2"/>
      <scheme val="minor"/>
    </font>
    <font>
      <u/>
      <sz val="11"/>
      <color indexed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dashed">
        <color theme="1" tint="0.499984740745262"/>
      </right>
      <top style="medium">
        <color auto="1"/>
      </top>
      <bottom style="thin">
        <color auto="1"/>
      </bottom>
      <diagonal/>
    </border>
    <border>
      <left/>
      <right style="dashed">
        <color theme="1" tint="0.499984740745262"/>
      </right>
      <top style="thin">
        <color auto="1"/>
      </top>
      <bottom style="thin">
        <color auto="1"/>
      </bottom>
      <diagonal/>
    </border>
    <border>
      <left/>
      <right style="dashed">
        <color theme="1" tint="0.499984740745262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1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0" fontId="14" fillId="0" borderId="0">
      <alignment vertical="center"/>
    </xf>
    <xf numFmtId="0" fontId="15" fillId="0" borderId="0"/>
    <xf numFmtId="0" fontId="16" fillId="0" borderId="0"/>
    <xf numFmtId="0" fontId="17" fillId="0" borderId="0"/>
    <xf numFmtId="9" fontId="13" fillId="0" borderId="0" applyFont="0" applyFill="0" applyBorder="0" applyAlignment="0" applyProtection="0"/>
    <xf numFmtId="0" fontId="17" fillId="0" borderId="0"/>
    <xf numFmtId="177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5" fillId="0" borderId="0">
      <protection locked="0"/>
    </xf>
    <xf numFmtId="3" fontId="23" fillId="0" borderId="1"/>
    <xf numFmtId="3" fontId="23" fillId="0" borderId="1"/>
    <xf numFmtId="0" fontId="25" fillId="0" borderId="0">
      <protection locked="0"/>
    </xf>
    <xf numFmtId="0" fontId="18" fillId="0" borderId="0" applyFont="0" applyFill="0" applyBorder="0" applyAlignment="0" applyProtection="0"/>
    <xf numFmtId="0" fontId="25" fillId="0" borderId="0">
      <protection locked="0"/>
    </xf>
    <xf numFmtId="0" fontId="28" fillId="0" borderId="0"/>
    <xf numFmtId="0" fontId="25" fillId="0" borderId="0">
      <protection locked="0"/>
    </xf>
    <xf numFmtId="0" fontId="18" fillId="0" borderId="0" applyFont="0" applyFill="0" applyBorder="0" applyAlignment="0" applyProtection="0"/>
    <xf numFmtId="0" fontId="29" fillId="0" borderId="0">
      <protection locked="0"/>
    </xf>
    <xf numFmtId="188" fontId="15" fillId="0" borderId="0"/>
    <xf numFmtId="0" fontId="25" fillId="0" borderId="0">
      <protection locked="0"/>
    </xf>
    <xf numFmtId="0" fontId="29" fillId="0" borderId="0">
      <protection locked="0"/>
    </xf>
    <xf numFmtId="177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3" fontId="23" fillId="0" borderId="1"/>
    <xf numFmtId="187" fontId="15" fillId="0" borderId="0"/>
    <xf numFmtId="186" fontId="15" fillId="0" borderId="0"/>
    <xf numFmtId="38" fontId="22" fillId="2" borderId="0" applyNumberFormat="0" applyBorder="0" applyAlignment="0" applyProtection="0"/>
    <xf numFmtId="0" fontId="30" fillId="0" borderId="0">
      <alignment horizontal="left"/>
    </xf>
    <xf numFmtId="0" fontId="31" fillId="0" borderId="2" applyNumberFormat="0" applyAlignment="0" applyProtection="0">
      <alignment horizontal="left" vertical="center"/>
    </xf>
    <xf numFmtId="0" fontId="31" fillId="0" borderId="4">
      <alignment horizontal="left" vertical="center"/>
    </xf>
    <xf numFmtId="10" fontId="22" fillId="3" borderId="1" applyNumberFormat="0" applyBorder="0" applyAlignment="0" applyProtection="0"/>
    <xf numFmtId="0" fontId="32" fillId="0" borderId="5"/>
    <xf numFmtId="37" fontId="33" fillId="0" borderId="0"/>
    <xf numFmtId="189" fontId="20" fillId="0" borderId="0"/>
    <xf numFmtId="0" fontId="18" fillId="0" borderId="0"/>
    <xf numFmtId="10" fontId="18" fillId="0" borderId="0" applyFont="0" applyFill="0" applyBorder="0" applyAlignment="0" applyProtection="0"/>
    <xf numFmtId="0" fontId="32" fillId="0" borderId="0"/>
    <xf numFmtId="181" fontId="20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0" fontId="19" fillId="0" borderId="0"/>
    <xf numFmtId="184" fontId="26" fillId="0" borderId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" fontId="25" fillId="0" borderId="0">
      <protection locked="0"/>
    </xf>
    <xf numFmtId="182" fontId="20" fillId="0" borderId="0">
      <protection locked="0"/>
    </xf>
    <xf numFmtId="177" fontId="27" fillId="0" borderId="0" applyFont="0" applyFill="0" applyBorder="0" applyAlignment="0" applyProtection="0"/>
    <xf numFmtId="185" fontId="20" fillId="0" borderId="0" applyFont="0" applyFill="0" applyBorder="0" applyAlignment="0" applyProtection="0"/>
    <xf numFmtId="3" fontId="20" fillId="0" borderId="3"/>
    <xf numFmtId="180" fontId="20" fillId="0" borderId="0">
      <protection locked="0"/>
    </xf>
    <xf numFmtId="0" fontId="15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5" fillId="0" borderId="6">
      <protection locked="0"/>
    </xf>
    <xf numFmtId="179" fontId="20" fillId="0" borderId="0">
      <protection locked="0"/>
    </xf>
    <xf numFmtId="183" fontId="20" fillId="0" borderId="0">
      <protection locked="0"/>
    </xf>
    <xf numFmtId="0" fontId="16" fillId="0" borderId="0"/>
    <xf numFmtId="0" fontId="34" fillId="0" borderId="0" applyNumberFormat="0" applyFill="0" applyBorder="0" applyAlignment="0" applyProtection="0"/>
    <xf numFmtId="41" fontId="2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5" fillId="0" borderId="0" xfId="0" applyFont="1" applyBorder="1" applyAlignment="1">
      <alignment vertical="center"/>
    </xf>
    <xf numFmtId="5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38" fontId="6" fillId="0" borderId="0" xfId="0" applyNumberFormat="1" applyFont="1" applyBorder="1" applyAlignment="1">
      <alignment vertical="center"/>
    </xf>
    <xf numFmtId="6" fontId="6" fillId="0" borderId="0" xfId="0" applyNumberFormat="1" applyFont="1" applyBorder="1" applyAlignment="1">
      <alignment vertical="center"/>
    </xf>
    <xf numFmtId="3" fontId="6" fillId="0" borderId="0" xfId="0" applyNumberFormat="1" applyFont="1" applyBorder="1" applyAlignment="1">
      <alignment horizontal="right" vertical="center"/>
    </xf>
    <xf numFmtId="0" fontId="6" fillId="0" borderId="0" xfId="0" quotePrefix="1" applyFont="1" applyBorder="1" applyAlignment="1">
      <alignment vertical="center"/>
    </xf>
    <xf numFmtId="176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6" fillId="0" borderId="0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1" fillId="0" borderId="0" xfId="0" applyFont="1" applyBorder="1">
      <alignment vertical="center"/>
    </xf>
    <xf numFmtId="41" fontId="6" fillId="0" borderId="0" xfId="1" applyFont="1" applyBorder="1" applyAlignment="1">
      <alignment horizontal="right" vertical="center"/>
    </xf>
    <xf numFmtId="190" fontId="6" fillId="0" borderId="0" xfId="0" applyNumberFormat="1" applyFont="1" applyBorder="1" applyAlignment="1">
      <alignment vertical="center"/>
    </xf>
    <xf numFmtId="41" fontId="6" fillId="0" borderId="0" xfId="0" applyNumberFormat="1" applyFont="1" applyAlignment="1">
      <alignment vertical="center"/>
    </xf>
    <xf numFmtId="41" fontId="6" fillId="0" borderId="1" xfId="1" applyFont="1" applyBorder="1" applyAlignment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quotePrefix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35" fillId="0" borderId="0" xfId="2" applyFont="1" applyAlignment="1" applyProtection="1">
      <alignment vertical="center"/>
    </xf>
    <xf numFmtId="0" fontId="35" fillId="0" borderId="0" xfId="2" applyFont="1" applyBorder="1" applyAlignment="1" applyProtection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41" fontId="6" fillId="5" borderId="15" xfId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1" fillId="0" borderId="0" xfId="0" applyFont="1">
      <alignment vertical="center"/>
    </xf>
    <xf numFmtId="191" fontId="6" fillId="0" borderId="0" xfId="1" applyNumberFormat="1" applyFont="1" applyBorder="1" applyAlignment="1">
      <alignment vertical="center"/>
    </xf>
    <xf numFmtId="41" fontId="6" fillId="0" borderId="0" xfId="0" applyNumberFormat="1" applyFont="1" applyBorder="1" applyAlignment="1">
      <alignment vertical="center"/>
    </xf>
    <xf numFmtId="0" fontId="6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41" fontId="6" fillId="0" borderId="1" xfId="7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41" fontId="11" fillId="0" borderId="1" xfId="70" applyFont="1" applyBorder="1">
      <alignment vertical="center"/>
    </xf>
    <xf numFmtId="41" fontId="6" fillId="0" borderId="1" xfId="70" applyFont="1" applyFill="1" applyBorder="1" applyAlignment="1">
      <alignment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41" fontId="11" fillId="4" borderId="1" xfId="70" applyFont="1" applyFill="1" applyBorder="1">
      <alignment vertical="center"/>
    </xf>
    <xf numFmtId="41" fontId="6" fillId="4" borderId="1" xfId="70" applyFont="1" applyFill="1" applyBorder="1" applyAlignment="1">
      <alignment vertical="center"/>
    </xf>
    <xf numFmtId="41" fontId="6" fillId="4" borderId="1" xfId="1" applyFont="1" applyFill="1" applyBorder="1" applyAlignment="1">
      <alignment vertical="center"/>
    </xf>
    <xf numFmtId="0" fontId="6" fillId="0" borderId="21" xfId="0" applyFont="1" applyFill="1" applyBorder="1" applyAlignment="1">
      <alignment vertical="center"/>
    </xf>
    <xf numFmtId="41" fontId="11" fillId="0" borderId="0" xfId="70" applyFont="1">
      <alignment vertical="center"/>
    </xf>
    <xf numFmtId="0" fontId="11" fillId="0" borderId="25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26" xfId="0" applyFont="1" applyBorder="1">
      <alignment vertical="center"/>
    </xf>
    <xf numFmtId="0" fontId="6" fillId="0" borderId="27" xfId="0" applyFont="1" applyBorder="1" applyAlignment="1">
      <alignment vertical="center"/>
    </xf>
    <xf numFmtId="0" fontId="11" fillId="0" borderId="27" xfId="0" applyFont="1" applyBorder="1">
      <alignment vertical="center"/>
    </xf>
    <xf numFmtId="0" fontId="11" fillId="0" borderId="28" xfId="0" applyFont="1" applyBorder="1">
      <alignment vertical="center"/>
    </xf>
    <xf numFmtId="0" fontId="6" fillId="0" borderId="27" xfId="0" applyFont="1" applyBorder="1" applyAlignment="1">
      <alignment horizontal="center" vertical="center"/>
    </xf>
    <xf numFmtId="41" fontId="11" fillId="0" borderId="0" xfId="0" applyNumberFormat="1" applyFont="1">
      <alignment vertical="center"/>
    </xf>
    <xf numFmtId="0" fontId="38" fillId="0" borderId="0" xfId="0" applyFont="1" applyAlignment="1">
      <alignment horizontal="center" vertical="center"/>
    </xf>
    <xf numFmtId="190" fontId="6" fillId="0" borderId="0" xfId="0" applyNumberFormat="1" applyFont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0" borderId="11" xfId="0" quotePrefix="1" applyFont="1" applyBorder="1" applyAlignment="1">
      <alignment horizontal="left" vertical="center"/>
    </xf>
    <xf numFmtId="0" fontId="6" fillId="0" borderId="18" xfId="0" quotePrefix="1" applyFont="1" applyBorder="1" applyAlignment="1">
      <alignment horizontal="left" vertical="center"/>
    </xf>
    <xf numFmtId="0" fontId="6" fillId="0" borderId="10" xfId="0" quotePrefix="1" applyFont="1" applyBorder="1" applyAlignment="1">
      <alignment horizontal="left" vertical="center"/>
    </xf>
    <xf numFmtId="0" fontId="6" fillId="0" borderId="20" xfId="0" quotePrefix="1" applyFont="1" applyBorder="1" applyAlignment="1">
      <alignment horizontal="left" vertical="center"/>
    </xf>
    <xf numFmtId="6" fontId="6" fillId="4" borderId="13" xfId="0" applyNumberFormat="1" applyFont="1" applyFill="1" applyBorder="1" applyAlignment="1">
      <alignment horizontal="center" vertical="center"/>
    </xf>
    <xf numFmtId="6" fontId="6" fillId="4" borderId="11" xfId="0" applyNumberFormat="1" applyFont="1" applyFill="1" applyBorder="1" applyAlignment="1">
      <alignment horizontal="center" vertical="center"/>
    </xf>
    <xf numFmtId="0" fontId="6" fillId="0" borderId="17" xfId="0" quotePrefix="1" applyFont="1" applyBorder="1" applyAlignment="1">
      <alignment horizontal="left" vertical="center"/>
    </xf>
    <xf numFmtId="0" fontId="6" fillId="0" borderId="4" xfId="0" quotePrefix="1" applyFont="1" applyBorder="1" applyAlignment="1">
      <alignment horizontal="left" vertical="center"/>
    </xf>
    <xf numFmtId="0" fontId="6" fillId="0" borderId="19" xfId="0" quotePrefix="1" applyFont="1" applyBorder="1" applyAlignment="1">
      <alignment horizontal="left" vertical="center"/>
    </xf>
    <xf numFmtId="0" fontId="6" fillId="0" borderId="5" xfId="0" quotePrefix="1" applyFont="1" applyBorder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6" fillId="0" borderId="9" xfId="1" applyNumberFormat="1" applyFont="1" applyBorder="1" applyAlignment="1">
      <alignment horizontal="left" vertical="center"/>
    </xf>
    <xf numFmtId="3" fontId="6" fillId="0" borderId="4" xfId="1" applyNumberFormat="1" applyFont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0" borderId="2" xfId="0" quotePrefix="1" applyFont="1" applyBorder="1" applyAlignment="1">
      <alignment horizontal="left" vertical="center"/>
    </xf>
    <xf numFmtId="3" fontId="6" fillId="5" borderId="16" xfId="1" applyNumberFormat="1" applyFont="1" applyFill="1" applyBorder="1" applyAlignment="1">
      <alignment horizontal="left" vertical="center"/>
    </xf>
    <xf numFmtId="3" fontId="6" fillId="5" borderId="10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90" fontId="6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</cellXfs>
  <cellStyles count="71">
    <cellStyle name="#,##0" xfId="32" xr:uid="{00000000-0005-0000-0000-000000000000}"/>
    <cellStyle name="0.0" xfId="18" xr:uid="{00000000-0005-0000-0000-000001000000}"/>
    <cellStyle name="0.00" xfId="19" xr:uid="{00000000-0005-0000-0000-000002000000}"/>
    <cellStyle name="category" xfId="23" xr:uid="{00000000-0005-0000-0000-000003000000}"/>
    <cellStyle name="Comma [0]_ SG&amp;A Bridge " xfId="30" xr:uid="{00000000-0005-0000-0000-000004000000}"/>
    <cellStyle name="comma zerodec" xfId="34" xr:uid="{00000000-0005-0000-0000-000005000000}"/>
    <cellStyle name="Comma_ SG&amp;A Bridge " xfId="25" xr:uid="{00000000-0005-0000-0000-000006000000}"/>
    <cellStyle name="Currency [0]_ SG&amp;A Bridge " xfId="31" xr:uid="{00000000-0005-0000-0000-000007000000}"/>
    <cellStyle name="Currency_ SG&amp;A Bridge " xfId="21" xr:uid="{00000000-0005-0000-0000-000008000000}"/>
    <cellStyle name="Currency1" xfId="33" xr:uid="{00000000-0005-0000-0000-000009000000}"/>
    <cellStyle name="Dollar (zero dec)" xfId="27" xr:uid="{00000000-0005-0000-0000-00000A000000}"/>
    <cellStyle name="F2" xfId="28" xr:uid="{00000000-0005-0000-0000-00000B000000}"/>
    <cellStyle name="F3" xfId="22" xr:uid="{00000000-0005-0000-0000-00000C000000}"/>
    <cellStyle name="F4" xfId="29" xr:uid="{00000000-0005-0000-0000-00000D000000}"/>
    <cellStyle name="F5" xfId="20" xr:uid="{00000000-0005-0000-0000-00000E000000}"/>
    <cellStyle name="F6" xfId="24" xr:uid="{00000000-0005-0000-0000-00000F000000}"/>
    <cellStyle name="F7" xfId="17" xr:uid="{00000000-0005-0000-0000-000010000000}"/>
    <cellStyle name="F8" xfId="26" xr:uid="{00000000-0005-0000-0000-000011000000}"/>
    <cellStyle name="Grey" xfId="35" xr:uid="{00000000-0005-0000-0000-000012000000}"/>
    <cellStyle name="HEADER" xfId="36" xr:uid="{00000000-0005-0000-0000-000013000000}"/>
    <cellStyle name="Header1" xfId="37" xr:uid="{00000000-0005-0000-0000-000014000000}"/>
    <cellStyle name="Header2" xfId="38" xr:uid="{00000000-0005-0000-0000-000015000000}"/>
    <cellStyle name="Input [yellow]" xfId="39" xr:uid="{00000000-0005-0000-0000-000016000000}"/>
    <cellStyle name="Model" xfId="40" xr:uid="{00000000-0005-0000-0000-000017000000}"/>
    <cellStyle name="no dec" xfId="41" xr:uid="{00000000-0005-0000-0000-000018000000}"/>
    <cellStyle name="Normal - Style1" xfId="42" xr:uid="{00000000-0005-0000-0000-000019000000}"/>
    <cellStyle name="Normal_ SG&amp;A Bridge " xfId="43" xr:uid="{00000000-0005-0000-0000-00001A000000}"/>
    <cellStyle name="Percent [2]" xfId="44" xr:uid="{00000000-0005-0000-0000-00001B000000}"/>
    <cellStyle name="subhead" xfId="45" xr:uid="{00000000-0005-0000-0000-00001C000000}"/>
    <cellStyle name="고정소숫점" xfId="46" xr:uid="{00000000-0005-0000-0000-00001D000000}"/>
    <cellStyle name="고정출력1" xfId="47" xr:uid="{00000000-0005-0000-0000-00001E000000}"/>
    <cellStyle name="고정출력2" xfId="48" xr:uid="{00000000-0005-0000-0000-00001F000000}"/>
    <cellStyle name="날짜" xfId="49" xr:uid="{00000000-0005-0000-0000-000020000000}"/>
    <cellStyle name="달러" xfId="50" xr:uid="{00000000-0005-0000-0000-000021000000}"/>
    <cellStyle name="백분율 2" xfId="52" xr:uid="{00000000-0005-0000-0000-000022000000}"/>
    <cellStyle name="백분율 2 64" xfId="8" xr:uid="{00000000-0005-0000-0000-000023000000}"/>
    <cellStyle name="백분율 3" xfId="51" xr:uid="{00000000-0005-0000-0000-000024000000}"/>
    <cellStyle name="뷭?_BOOKSHIP" xfId="53" xr:uid="{00000000-0005-0000-0000-000025000000}"/>
    <cellStyle name="숫자(R)" xfId="54" xr:uid="{00000000-0005-0000-0000-000026000000}"/>
    <cellStyle name="쉼표 [0]" xfId="1" builtinId="6"/>
    <cellStyle name="쉼표 [0] 11 2" xfId="16" xr:uid="{00000000-0005-0000-0000-000028000000}"/>
    <cellStyle name="쉼표 [0] 12" xfId="14" xr:uid="{00000000-0005-0000-0000-000029000000}"/>
    <cellStyle name="쉼표 [0] 17" xfId="3" xr:uid="{00000000-0005-0000-0000-00002A000000}"/>
    <cellStyle name="쉼표 [0] 2" xfId="11" xr:uid="{00000000-0005-0000-0000-00002B000000}"/>
    <cellStyle name="쉼표 [0] 2 2" xfId="56" xr:uid="{00000000-0005-0000-0000-00002C000000}"/>
    <cellStyle name="쉼표 [0] 2 78" xfId="10" xr:uid="{00000000-0005-0000-0000-00002D000000}"/>
    <cellStyle name="쉼표 [0] 3" xfId="55" xr:uid="{00000000-0005-0000-0000-00002E000000}"/>
    <cellStyle name="쉼표 [0] 4" xfId="70" xr:uid="{00000000-0005-0000-0000-000073000000}"/>
    <cellStyle name="자리수" xfId="57" xr:uid="{00000000-0005-0000-0000-000030000000}"/>
    <cellStyle name="자리수0" xfId="58" xr:uid="{00000000-0005-0000-0000-000031000000}"/>
    <cellStyle name="콤마 [0]_(월초P)" xfId="59" xr:uid="{00000000-0005-0000-0000-000032000000}"/>
    <cellStyle name="콤마_(type)총괄" xfId="60" xr:uid="{00000000-0005-0000-0000-000033000000}"/>
    <cellStyle name="콤마숫자" xfId="61" xr:uid="{00000000-0005-0000-0000-000034000000}"/>
    <cellStyle name="퍼센트" xfId="62" xr:uid="{00000000-0005-0000-0000-000035000000}"/>
    <cellStyle name="표준" xfId="0" builtinId="0"/>
    <cellStyle name="표준 10 10 2" xfId="7" xr:uid="{00000000-0005-0000-0000-000037000000}"/>
    <cellStyle name="표준 15 26" xfId="15" xr:uid="{00000000-0005-0000-0000-000038000000}"/>
    <cellStyle name="표준 16" xfId="13" xr:uid="{00000000-0005-0000-0000-000039000000}"/>
    <cellStyle name="표준 2" xfId="4" xr:uid="{00000000-0005-0000-0000-00003A000000}"/>
    <cellStyle name="표준 2 10 5" xfId="9" xr:uid="{00000000-0005-0000-0000-00003B000000}"/>
    <cellStyle name="표준 2 2" xfId="63" xr:uid="{00000000-0005-0000-0000-00003C000000}"/>
    <cellStyle name="표준 3" xfId="6" xr:uid="{00000000-0005-0000-0000-00003D000000}"/>
    <cellStyle name="표준 3 2" xfId="5" xr:uid="{00000000-0005-0000-0000-00003E000000}"/>
    <cellStyle name="표준 4" xfId="68" xr:uid="{00000000-0005-0000-0000-00003F000000}"/>
    <cellStyle name="표준 61" xfId="12" xr:uid="{00000000-0005-0000-0000-000040000000}"/>
    <cellStyle name="하이퍼링크" xfId="2" builtinId="8"/>
    <cellStyle name="하이퍼링크 2" xfId="64" xr:uid="{00000000-0005-0000-0000-000043000000}"/>
    <cellStyle name="하이퍼링크 2 2" xfId="69" xr:uid="{00000000-0005-0000-0000-000044000000}"/>
    <cellStyle name="합산" xfId="65" xr:uid="{00000000-0005-0000-0000-000045000000}"/>
    <cellStyle name="화폐기호" xfId="66" xr:uid="{00000000-0005-0000-0000-000046000000}"/>
    <cellStyle name="화폐기호0" xfId="67" xr:uid="{00000000-0005-0000-0000-00004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</xdr:row>
      <xdr:rowOff>85725</xdr:rowOff>
    </xdr:from>
    <xdr:to>
      <xdr:col>7</xdr:col>
      <xdr:colOff>0</xdr:colOff>
      <xdr:row>4</xdr:row>
      <xdr:rowOff>85725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 bwMode="auto">
        <a:xfrm>
          <a:off x="57150" y="923925"/>
          <a:ext cx="66484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123825</xdr:colOff>
      <xdr:row>0</xdr:row>
      <xdr:rowOff>104775</xdr:rowOff>
    </xdr:from>
    <xdr:to>
      <xdr:col>2</xdr:col>
      <xdr:colOff>247650</xdr:colOff>
      <xdr:row>3</xdr:row>
      <xdr:rowOff>140538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7CF1842-9393-4A71-AD65-5871554B5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04775"/>
          <a:ext cx="2295525" cy="664413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37</xdr:row>
      <xdr:rowOff>66675</xdr:rowOff>
    </xdr:from>
    <xdr:to>
      <xdr:col>6</xdr:col>
      <xdr:colOff>595438</xdr:colOff>
      <xdr:row>40</xdr:row>
      <xdr:rowOff>128713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E9BC0A-FE60-4AA1-A635-7614676DC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7038975"/>
          <a:ext cx="690688" cy="69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6"/>
  <sheetViews>
    <sheetView tabSelected="1" topLeftCell="A7" zoomScaleNormal="100" zoomScaleSheetLayoutView="100" workbookViewId="0">
      <selection activeCell="K13" sqref="K13"/>
    </sheetView>
  </sheetViews>
  <sheetFormatPr defaultRowHeight="16.5"/>
  <cols>
    <col min="1" max="1" width="10.5" style="41" customWidth="1"/>
    <col min="2" max="2" width="18" style="41" customWidth="1"/>
    <col min="3" max="3" width="17.75" style="41" customWidth="1"/>
    <col min="4" max="4" width="18.25" style="41" customWidth="1"/>
    <col min="5" max="5" width="14.125" style="41" customWidth="1"/>
    <col min="6" max="6" width="7" style="41" customWidth="1"/>
    <col min="7" max="7" width="13.375" style="41" customWidth="1"/>
    <col min="8" max="8" width="7.625" style="41" customWidth="1"/>
    <col min="9" max="9" width="31.75" style="41" bestFit="1" customWidth="1"/>
    <col min="10" max="10" width="11.375" style="41" bestFit="1" customWidth="1"/>
    <col min="11" max="11" width="11.25" style="41" bestFit="1" customWidth="1"/>
    <col min="12" max="12" width="10.875" style="41" bestFit="1" customWidth="1"/>
    <col min="13" max="13" width="11.375" style="41" bestFit="1" customWidth="1"/>
    <col min="14" max="14" width="12.25" style="41" customWidth="1"/>
    <col min="15" max="16384" width="9" style="41"/>
  </cols>
  <sheetData>
    <row r="1" spans="1:25">
      <c r="A1" s="38"/>
      <c r="B1" s="38"/>
      <c r="C1" s="38"/>
      <c r="D1" s="38"/>
      <c r="E1" s="14" t="s">
        <v>33</v>
      </c>
      <c r="F1" s="38"/>
      <c r="G1" s="38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18"/>
      <c r="Y1" s="18"/>
    </row>
    <row r="2" spans="1:25">
      <c r="A2" s="38"/>
      <c r="B2" s="38"/>
      <c r="C2" s="38"/>
      <c r="D2" s="38"/>
      <c r="E2" s="27" t="s">
        <v>10</v>
      </c>
      <c r="F2" s="38"/>
      <c r="G2" s="38"/>
      <c r="H2" s="40"/>
      <c r="I2" s="40"/>
      <c r="O2" s="40"/>
      <c r="P2" s="40"/>
      <c r="Q2" s="40"/>
      <c r="R2" s="40"/>
      <c r="S2" s="40"/>
      <c r="T2" s="40"/>
      <c r="U2" s="40"/>
      <c r="V2" s="40"/>
      <c r="W2" s="40"/>
      <c r="X2" s="18"/>
      <c r="Y2" s="18"/>
    </row>
    <row r="3" spans="1:25">
      <c r="A3" s="38"/>
      <c r="B3" s="38"/>
      <c r="C3" s="38"/>
      <c r="D3" s="38"/>
      <c r="E3" s="27" t="s">
        <v>16</v>
      </c>
      <c r="F3" s="38"/>
      <c r="G3" s="38"/>
      <c r="H3" s="40"/>
      <c r="I3" s="40"/>
      <c r="O3" s="40"/>
      <c r="P3" s="40"/>
      <c r="Q3" s="40"/>
      <c r="R3" s="40"/>
      <c r="S3" s="40"/>
      <c r="T3" s="40"/>
      <c r="U3" s="40"/>
      <c r="V3" s="40"/>
      <c r="W3" s="40"/>
      <c r="X3" s="18"/>
      <c r="Y3" s="18"/>
    </row>
    <row r="4" spans="1:25">
      <c r="A4" s="38"/>
      <c r="B4" s="30"/>
      <c r="C4" s="38"/>
      <c r="D4" s="38"/>
      <c r="E4" s="27" t="s">
        <v>11</v>
      </c>
      <c r="F4" s="38"/>
      <c r="G4" s="38"/>
      <c r="H4" s="40"/>
      <c r="I4" s="40"/>
      <c r="O4" s="31"/>
      <c r="P4" s="40"/>
      <c r="Q4" s="40"/>
      <c r="R4" s="40"/>
      <c r="S4" s="40"/>
      <c r="T4" s="40"/>
      <c r="U4" s="40"/>
      <c r="V4" s="40"/>
      <c r="W4" s="40"/>
      <c r="X4" s="18"/>
      <c r="Y4" s="18"/>
    </row>
    <row r="5" spans="1:25">
      <c r="A5" s="38"/>
      <c r="B5" s="38"/>
      <c r="C5" s="38"/>
      <c r="D5" s="38"/>
      <c r="E5" s="38"/>
      <c r="F5" s="38"/>
      <c r="G5" s="38"/>
      <c r="H5" s="40"/>
      <c r="I5" s="40"/>
      <c r="O5" s="40"/>
      <c r="P5" s="40"/>
      <c r="Q5" s="40"/>
      <c r="R5" s="40"/>
      <c r="S5" s="40"/>
      <c r="T5" s="40"/>
      <c r="U5" s="40"/>
      <c r="V5" s="40"/>
      <c r="W5" s="40"/>
      <c r="X5" s="18"/>
      <c r="Y5" s="18"/>
    </row>
    <row r="6" spans="1:25" ht="6.75" customHeight="1">
      <c r="A6" s="38"/>
      <c r="B6" s="38"/>
      <c r="C6" s="38"/>
      <c r="D6" s="38"/>
      <c r="E6" s="38"/>
      <c r="F6" s="38"/>
      <c r="G6" s="38"/>
      <c r="H6" s="40"/>
      <c r="I6" s="40"/>
      <c r="O6" s="40"/>
      <c r="P6" s="40"/>
      <c r="Q6" s="40"/>
      <c r="R6" s="40"/>
      <c r="S6" s="40"/>
      <c r="T6" s="40"/>
      <c r="U6" s="40"/>
      <c r="V6" s="40"/>
      <c r="W6" s="40"/>
      <c r="X6" s="18"/>
      <c r="Y6" s="18"/>
    </row>
    <row r="7" spans="1:25" ht="33.75">
      <c r="A7" s="101" t="s">
        <v>5</v>
      </c>
      <c r="B7" s="102"/>
      <c r="C7" s="102"/>
      <c r="D7" s="102"/>
      <c r="E7" s="102"/>
      <c r="F7" s="102"/>
      <c r="G7" s="102"/>
      <c r="H7" s="11"/>
      <c r="I7" s="40"/>
      <c r="O7" s="40"/>
      <c r="P7" s="40"/>
      <c r="Q7" s="40"/>
      <c r="R7" s="40"/>
      <c r="S7" s="40"/>
      <c r="T7" s="40"/>
      <c r="U7" s="40"/>
      <c r="V7" s="40"/>
      <c r="W7" s="40"/>
      <c r="X7" s="18"/>
      <c r="Y7" s="18"/>
    </row>
    <row r="8" spans="1:25" ht="9.75" customHeight="1">
      <c r="A8" s="38"/>
      <c r="B8" s="38"/>
      <c r="C8" s="38"/>
      <c r="D8" s="38"/>
      <c r="E8" s="38"/>
      <c r="F8" s="38"/>
      <c r="G8" s="38"/>
      <c r="H8" s="40"/>
      <c r="I8" s="40"/>
      <c r="O8" s="40"/>
      <c r="P8" s="40"/>
      <c r="Q8" s="40"/>
      <c r="R8" s="40"/>
      <c r="S8" s="40"/>
      <c r="T8" s="40"/>
      <c r="U8" s="40"/>
      <c r="V8" s="40"/>
      <c r="W8" s="40"/>
      <c r="X8" s="18"/>
      <c r="Y8" s="18"/>
    </row>
    <row r="9" spans="1:25" ht="20.25">
      <c r="A9" s="103" t="s">
        <v>9</v>
      </c>
      <c r="B9" s="103"/>
      <c r="C9" s="103"/>
      <c r="D9" s="38"/>
      <c r="E9" s="38"/>
      <c r="F9" s="38" t="s">
        <v>15</v>
      </c>
      <c r="G9" s="38"/>
      <c r="H9" s="10"/>
      <c r="I9" s="40"/>
      <c r="O9" s="10"/>
      <c r="P9" s="10"/>
      <c r="Q9" s="40"/>
      <c r="R9" s="40"/>
      <c r="S9" s="40"/>
      <c r="T9" s="40"/>
      <c r="U9" s="40"/>
      <c r="V9" s="40"/>
      <c r="W9" s="40"/>
      <c r="X9" s="18"/>
      <c r="Y9" s="18"/>
    </row>
    <row r="10" spans="1:25">
      <c r="A10" s="38" t="s">
        <v>4</v>
      </c>
      <c r="B10" s="104" t="s">
        <v>13</v>
      </c>
      <c r="C10" s="104"/>
      <c r="D10" s="38"/>
      <c r="E10" s="38"/>
      <c r="F10" s="38" t="s">
        <v>54</v>
      </c>
      <c r="G10" s="38"/>
      <c r="H10" s="40"/>
      <c r="I10" s="40"/>
      <c r="O10" s="40"/>
      <c r="P10" s="40"/>
      <c r="Q10" s="40"/>
      <c r="R10" s="40"/>
      <c r="S10" s="40"/>
      <c r="T10" s="40"/>
      <c r="U10" s="40"/>
      <c r="V10" s="40"/>
      <c r="W10" s="40"/>
      <c r="X10" s="18"/>
      <c r="Y10" s="18"/>
    </row>
    <row r="11" spans="1:25">
      <c r="A11" s="38" t="s">
        <v>6</v>
      </c>
      <c r="B11" s="104" t="s">
        <v>14</v>
      </c>
      <c r="C11" s="104"/>
      <c r="D11" s="38"/>
      <c r="E11" s="38"/>
      <c r="F11" s="38"/>
      <c r="G11" s="38"/>
      <c r="H11" s="40"/>
      <c r="I11" s="40"/>
      <c r="O11" s="40"/>
      <c r="P11" s="40"/>
      <c r="Q11" s="40"/>
      <c r="R11" s="40"/>
      <c r="S11" s="40"/>
      <c r="T11" s="40"/>
      <c r="U11" s="40"/>
      <c r="V11" s="40"/>
      <c r="W11" s="40"/>
      <c r="X11" s="18"/>
      <c r="Y11" s="18"/>
    </row>
    <row r="12" spans="1:25">
      <c r="A12" s="38" t="s">
        <v>3</v>
      </c>
      <c r="B12" s="38"/>
      <c r="C12" s="38"/>
      <c r="D12" s="38"/>
      <c r="E12" s="38"/>
      <c r="F12" s="38"/>
      <c r="G12" s="38"/>
      <c r="H12" s="40"/>
      <c r="I12" s="40"/>
      <c r="O12" s="40"/>
      <c r="P12" s="40"/>
      <c r="Q12" s="40"/>
      <c r="R12" s="40"/>
      <c r="S12" s="40"/>
      <c r="T12" s="40"/>
      <c r="U12" s="40"/>
      <c r="V12" s="40"/>
      <c r="W12" s="40"/>
      <c r="X12" s="18"/>
      <c r="Y12" s="18"/>
    </row>
    <row r="13" spans="1:25" ht="38.25" customHeight="1">
      <c r="A13" s="105" t="s">
        <v>39</v>
      </c>
      <c r="B13" s="105"/>
      <c r="C13" s="105"/>
      <c r="D13" s="105"/>
      <c r="E13" s="105"/>
      <c r="F13" s="105"/>
      <c r="G13" s="105"/>
      <c r="H13" s="3"/>
      <c r="I13" s="3"/>
      <c r="O13" s="3"/>
      <c r="P13" s="3"/>
      <c r="Q13" s="3"/>
      <c r="R13" s="3"/>
      <c r="S13" s="3"/>
      <c r="T13" s="3"/>
      <c r="U13" s="3"/>
      <c r="V13" s="3"/>
      <c r="W13" s="3"/>
      <c r="X13" s="18"/>
      <c r="Y13" s="18"/>
    </row>
    <row r="14" spans="1:25">
      <c r="A14" s="38" t="s">
        <v>2</v>
      </c>
      <c r="B14" s="38"/>
      <c r="C14" s="38"/>
      <c r="D14" s="38"/>
      <c r="E14" s="38"/>
      <c r="F14" s="38"/>
      <c r="G14" s="38"/>
      <c r="H14" s="40"/>
      <c r="I14" s="40"/>
      <c r="O14" s="40"/>
      <c r="P14" s="40"/>
      <c r="Q14" s="40"/>
      <c r="R14" s="40"/>
      <c r="S14" s="40"/>
      <c r="T14" s="40"/>
      <c r="U14" s="40"/>
      <c r="V14" s="40"/>
      <c r="W14" s="40"/>
      <c r="X14" s="18"/>
      <c r="Y14" s="18"/>
    </row>
    <row r="15" spans="1:25">
      <c r="A15" s="44" t="s">
        <v>7</v>
      </c>
      <c r="B15" s="70" t="str">
        <f>"一金"&amp;NUMBERSTRING(D36,1)&amp;"원整"</f>
        <v>一金칠백팔십육만원整</v>
      </c>
      <c r="C15" s="70"/>
      <c r="D15" s="71">
        <f>D36</f>
        <v>7860000</v>
      </c>
      <c r="E15" s="71"/>
      <c r="F15" s="38"/>
      <c r="G15" s="38"/>
      <c r="H15" s="40"/>
      <c r="I15" s="40"/>
      <c r="O15" s="40"/>
      <c r="P15" s="40"/>
      <c r="Q15" s="40"/>
      <c r="R15" s="40"/>
      <c r="S15" s="40"/>
      <c r="T15" s="40"/>
      <c r="U15" s="40"/>
      <c r="V15" s="40"/>
      <c r="W15" s="40"/>
      <c r="X15" s="18"/>
      <c r="Y15" s="18"/>
    </row>
    <row r="16" spans="1:25">
      <c r="A16" s="40"/>
      <c r="B16" s="95"/>
      <c r="C16" s="95"/>
      <c r="D16" s="96"/>
      <c r="E16" s="96"/>
      <c r="F16" s="96"/>
      <c r="G16" s="20"/>
      <c r="H16" s="40"/>
      <c r="I16" s="40"/>
      <c r="N16" s="26" t="s">
        <v>59</v>
      </c>
      <c r="O16" s="40"/>
      <c r="P16" s="40"/>
      <c r="Q16" s="40"/>
      <c r="R16" s="40"/>
      <c r="S16" s="40"/>
      <c r="T16" s="40"/>
      <c r="U16" s="40"/>
      <c r="V16" s="40"/>
      <c r="W16" s="40"/>
      <c r="X16" s="18"/>
      <c r="Y16" s="18"/>
    </row>
    <row r="17" spans="1:25" ht="9" customHeight="1">
      <c r="A17" s="38"/>
      <c r="B17" s="38"/>
      <c r="C17" s="38"/>
      <c r="D17" s="38"/>
      <c r="E17" s="38"/>
      <c r="F17" s="38"/>
      <c r="G17" s="38"/>
      <c r="H17" s="40"/>
      <c r="I17" s="47"/>
      <c r="J17" s="62"/>
      <c r="K17" s="63"/>
      <c r="L17" s="63"/>
      <c r="M17" s="63"/>
      <c r="N17" s="64"/>
      <c r="O17" s="40"/>
      <c r="P17" s="40"/>
      <c r="Q17" s="40"/>
      <c r="R17" s="40"/>
      <c r="S17" s="40"/>
      <c r="T17" s="40"/>
      <c r="U17" s="40"/>
      <c r="V17" s="40"/>
      <c r="W17" s="40"/>
      <c r="X17" s="18"/>
      <c r="Y17" s="18"/>
    </row>
    <row r="18" spans="1:25" ht="16.5" customHeight="1" thickBot="1">
      <c r="A18" s="38" t="s">
        <v>49</v>
      </c>
      <c r="B18" s="38"/>
      <c r="C18" s="38"/>
      <c r="D18" s="38"/>
      <c r="E18" s="38"/>
      <c r="F18" s="38"/>
      <c r="G18" s="38"/>
      <c r="H18" s="40"/>
      <c r="I18" s="56" t="s">
        <v>86</v>
      </c>
      <c r="J18" s="24" t="s">
        <v>83</v>
      </c>
      <c r="K18" s="65"/>
      <c r="L18" s="66"/>
      <c r="M18" s="68" t="s">
        <v>85</v>
      </c>
      <c r="N18" s="67"/>
      <c r="O18" s="40"/>
      <c r="P18" s="40"/>
      <c r="Q18" s="40"/>
      <c r="R18" s="40"/>
      <c r="S18" s="40"/>
      <c r="T18" s="40"/>
      <c r="U18" s="40"/>
      <c r="V18" s="40"/>
      <c r="W18" s="40"/>
      <c r="X18" s="18"/>
      <c r="Y18" s="18"/>
    </row>
    <row r="19" spans="1:25" ht="16.5" customHeight="1">
      <c r="A19" s="74" t="s">
        <v>37</v>
      </c>
      <c r="B19" s="74"/>
      <c r="C19" s="75"/>
      <c r="D19" s="74" t="s">
        <v>51</v>
      </c>
      <c r="E19" s="74"/>
      <c r="F19" s="74"/>
      <c r="G19" s="74"/>
      <c r="H19" s="40"/>
      <c r="I19" s="45" t="s">
        <v>84</v>
      </c>
      <c r="J19" s="45" t="s">
        <v>60</v>
      </c>
      <c r="K19" s="45" t="s">
        <v>61</v>
      </c>
      <c r="L19" s="45" t="s">
        <v>62</v>
      </c>
      <c r="M19" s="45" t="s">
        <v>63</v>
      </c>
      <c r="N19" s="45" t="s">
        <v>80</v>
      </c>
      <c r="O19" s="40"/>
      <c r="P19" s="40"/>
      <c r="Q19" s="40"/>
      <c r="R19" s="40"/>
      <c r="S19" s="40"/>
      <c r="T19" s="40"/>
      <c r="U19" s="40"/>
      <c r="V19" s="40"/>
      <c r="W19" s="40"/>
      <c r="X19" s="18"/>
      <c r="Y19" s="18"/>
    </row>
    <row r="20" spans="1:25" ht="16.5" customHeight="1" thickBot="1">
      <c r="A20" s="76" t="s">
        <v>38</v>
      </c>
      <c r="B20" s="76"/>
      <c r="C20" s="77"/>
      <c r="D20" s="76" t="s">
        <v>50</v>
      </c>
      <c r="E20" s="76"/>
      <c r="F20" s="76"/>
      <c r="G20" s="76"/>
      <c r="H20" s="40"/>
      <c r="I20" s="24" t="s">
        <v>64</v>
      </c>
      <c r="J20" s="46">
        <v>1500000</v>
      </c>
      <c r="K20" s="46"/>
      <c r="L20" s="46"/>
      <c r="M20" s="46">
        <v>1500000</v>
      </c>
      <c r="N20" s="47" t="s">
        <v>81</v>
      </c>
      <c r="O20" s="40"/>
      <c r="P20" s="40"/>
      <c r="Q20" s="40"/>
      <c r="R20" s="40"/>
      <c r="S20" s="40"/>
      <c r="T20" s="40"/>
      <c r="U20" s="40"/>
      <c r="V20" s="40"/>
      <c r="W20" s="40"/>
      <c r="X20" s="18"/>
      <c r="Y20" s="18"/>
    </row>
    <row r="21" spans="1:25" ht="16.5" customHeight="1">
      <c r="A21" s="38"/>
      <c r="B21" s="38"/>
      <c r="C21" s="38"/>
      <c r="D21" s="38"/>
      <c r="E21" s="38"/>
      <c r="F21" s="38"/>
      <c r="G21" s="38"/>
      <c r="H21" s="40"/>
      <c r="I21" s="24" t="s">
        <v>65</v>
      </c>
      <c r="J21" s="46">
        <v>500000</v>
      </c>
      <c r="K21" s="46"/>
      <c r="L21" s="46"/>
      <c r="M21" s="46">
        <v>500000</v>
      </c>
      <c r="N21" s="48"/>
      <c r="O21" s="40"/>
      <c r="P21" s="40"/>
      <c r="Q21" s="40"/>
      <c r="R21" s="40"/>
      <c r="S21" s="40"/>
      <c r="T21" s="40"/>
      <c r="U21" s="40"/>
      <c r="V21" s="40"/>
      <c r="W21" s="40"/>
      <c r="X21" s="18"/>
      <c r="Y21" s="18"/>
    </row>
    <row r="22" spans="1:25" ht="16.5" customHeight="1" thickBot="1">
      <c r="A22" s="38" t="s">
        <v>40</v>
      </c>
      <c r="B22" s="38"/>
      <c r="C22" s="38"/>
      <c r="D22" s="38"/>
      <c r="E22" s="38"/>
      <c r="F22" s="38"/>
      <c r="G22" s="38"/>
      <c r="H22" s="40"/>
      <c r="I22" s="49" t="s">
        <v>66</v>
      </c>
      <c r="J22" s="46">
        <v>150000</v>
      </c>
      <c r="K22" s="46"/>
      <c r="L22" s="46"/>
      <c r="M22" s="46">
        <v>150000</v>
      </c>
      <c r="N22" s="50"/>
      <c r="O22" s="40"/>
      <c r="P22" s="40"/>
      <c r="Q22" s="40"/>
      <c r="R22" s="40"/>
      <c r="S22" s="40"/>
      <c r="T22" s="40"/>
      <c r="U22" s="40"/>
      <c r="V22" s="40"/>
      <c r="W22" s="40"/>
      <c r="X22" s="18"/>
      <c r="Y22" s="18"/>
    </row>
    <row r="23" spans="1:25" ht="16.5" customHeight="1">
      <c r="A23" s="74" t="s">
        <v>17</v>
      </c>
      <c r="B23" s="74"/>
      <c r="C23" s="75"/>
      <c r="D23" s="74" t="s">
        <v>20</v>
      </c>
      <c r="E23" s="74"/>
      <c r="F23" s="74"/>
      <c r="G23" s="74"/>
      <c r="H23" s="40"/>
      <c r="I23" s="51" t="s">
        <v>67</v>
      </c>
      <c r="J23" s="46">
        <v>150000</v>
      </c>
      <c r="K23" s="46"/>
      <c r="L23" s="46"/>
      <c r="M23" s="46">
        <v>150000</v>
      </c>
      <c r="N23" s="52"/>
      <c r="O23" s="40"/>
      <c r="P23" s="40"/>
      <c r="Q23" s="40"/>
      <c r="R23" s="40"/>
      <c r="S23" s="40"/>
      <c r="T23" s="40"/>
      <c r="U23" s="40"/>
      <c r="V23" s="40"/>
      <c r="W23" s="40"/>
      <c r="X23" s="18"/>
      <c r="Y23" s="18"/>
    </row>
    <row r="24" spans="1:25" ht="16.5" customHeight="1">
      <c r="A24" s="81" t="s">
        <v>19</v>
      </c>
      <c r="B24" s="81"/>
      <c r="C24" s="82"/>
      <c r="D24" s="81" t="s">
        <v>36</v>
      </c>
      <c r="E24" s="81"/>
      <c r="F24" s="81"/>
      <c r="G24" s="81"/>
      <c r="H24" s="40"/>
      <c r="I24" s="24" t="s">
        <v>68</v>
      </c>
      <c r="J24" s="46"/>
      <c r="K24" s="46">
        <v>600000</v>
      </c>
      <c r="L24" s="46"/>
      <c r="M24" s="46">
        <v>600000</v>
      </c>
      <c r="N24" s="48"/>
      <c r="O24" s="40"/>
      <c r="P24" s="40"/>
      <c r="Q24" s="40"/>
      <c r="R24" s="40"/>
      <c r="S24" s="40"/>
      <c r="T24" s="40"/>
      <c r="U24" s="40"/>
      <c r="V24" s="40"/>
      <c r="W24" s="40"/>
      <c r="X24" s="18"/>
      <c r="Y24" s="18"/>
    </row>
    <row r="25" spans="1:25" ht="16.5" customHeight="1" thickBot="1">
      <c r="A25" s="76" t="s">
        <v>35</v>
      </c>
      <c r="B25" s="76"/>
      <c r="C25" s="77"/>
      <c r="D25" s="76" t="s">
        <v>18</v>
      </c>
      <c r="E25" s="76"/>
      <c r="F25" s="76"/>
      <c r="G25" s="76"/>
      <c r="H25" s="40"/>
      <c r="I25" s="51" t="s">
        <v>69</v>
      </c>
      <c r="J25" s="53"/>
      <c r="K25" s="54">
        <v>500000</v>
      </c>
      <c r="L25" s="53"/>
      <c r="M25" s="46">
        <v>500000</v>
      </c>
      <c r="N25" s="55"/>
      <c r="O25" s="40"/>
      <c r="P25" s="40"/>
      <c r="Q25" s="40"/>
      <c r="R25" s="40"/>
      <c r="S25" s="40"/>
      <c r="T25" s="40"/>
      <c r="U25" s="40"/>
      <c r="V25" s="40"/>
      <c r="W25" s="40"/>
      <c r="X25" s="18"/>
      <c r="Y25" s="18"/>
    </row>
    <row r="26" spans="1:25" ht="16.5" customHeight="1">
      <c r="A26" s="80"/>
      <c r="B26" s="80"/>
      <c r="C26" s="80"/>
      <c r="D26" s="38"/>
      <c r="E26" s="38"/>
      <c r="F26" s="38"/>
      <c r="G26" s="38"/>
      <c r="H26" s="40"/>
      <c r="I26" s="24" t="s">
        <v>70</v>
      </c>
      <c r="J26" s="53"/>
      <c r="K26" s="53"/>
      <c r="L26" s="53">
        <v>15000</v>
      </c>
      <c r="M26" s="46">
        <f>L26*36</f>
        <v>540000</v>
      </c>
      <c r="N26" s="47" t="s">
        <v>82</v>
      </c>
      <c r="O26" s="40"/>
      <c r="P26" s="40"/>
      <c r="Q26" s="40"/>
      <c r="R26" s="40"/>
      <c r="S26" s="40"/>
      <c r="T26" s="40"/>
      <c r="U26" s="40"/>
      <c r="V26" s="40"/>
      <c r="W26" s="40"/>
      <c r="X26" s="18"/>
      <c r="Y26" s="18"/>
    </row>
    <row r="27" spans="1:25" ht="16.5" customHeight="1" thickBot="1">
      <c r="A27" s="83" t="s">
        <v>41</v>
      </c>
      <c r="B27" s="83"/>
      <c r="C27" s="83"/>
      <c r="D27" s="38"/>
      <c r="E27" s="38"/>
      <c r="F27" s="38"/>
      <c r="G27" s="38"/>
      <c r="H27" s="40"/>
      <c r="I27" s="24" t="s">
        <v>71</v>
      </c>
      <c r="J27" s="53"/>
      <c r="K27" s="53"/>
      <c r="L27" s="53">
        <v>18000</v>
      </c>
      <c r="M27" s="46">
        <f>L27*36</f>
        <v>648000</v>
      </c>
      <c r="N27" s="48"/>
      <c r="O27" s="40"/>
      <c r="P27" s="40"/>
      <c r="Q27" s="40"/>
      <c r="R27" s="40"/>
      <c r="S27" s="40"/>
      <c r="T27" s="40"/>
      <c r="U27" s="40"/>
      <c r="V27" s="40"/>
      <c r="W27" s="40"/>
      <c r="X27" s="18"/>
      <c r="Y27" s="18"/>
    </row>
    <row r="28" spans="1:25" ht="17.25" thickBot="1">
      <c r="A28" s="91" t="s">
        <v>21</v>
      </c>
      <c r="B28" s="91"/>
      <c r="C28" s="91"/>
      <c r="D28" s="91" t="s">
        <v>22</v>
      </c>
      <c r="E28" s="91"/>
      <c r="F28" s="91"/>
      <c r="G28" s="91"/>
      <c r="H28" s="40"/>
      <c r="I28" s="24" t="s">
        <v>72</v>
      </c>
      <c r="J28" s="53"/>
      <c r="K28" s="53"/>
      <c r="L28" s="53">
        <v>20000</v>
      </c>
      <c r="M28" s="46">
        <f>L28*36</f>
        <v>720000</v>
      </c>
      <c r="N28" s="48"/>
      <c r="O28" s="40"/>
      <c r="P28" s="40"/>
      <c r="Q28" s="40"/>
      <c r="R28" s="40"/>
      <c r="S28" s="40"/>
      <c r="T28" s="40"/>
      <c r="U28" s="40"/>
      <c r="V28" s="40"/>
      <c r="W28" s="26"/>
      <c r="X28" s="18"/>
      <c r="Y28" s="18"/>
    </row>
    <row r="29" spans="1:25">
      <c r="A29" s="28"/>
      <c r="B29" s="28"/>
      <c r="C29" s="28"/>
      <c r="D29" s="28"/>
      <c r="E29" s="28"/>
      <c r="F29" s="28"/>
      <c r="G29" s="40"/>
      <c r="H29" s="40"/>
      <c r="I29" s="24" t="s">
        <v>73</v>
      </c>
      <c r="J29" s="53"/>
      <c r="K29" s="53"/>
      <c r="L29" s="53">
        <v>30000</v>
      </c>
      <c r="M29" s="46">
        <f>L29*36</f>
        <v>1080000</v>
      </c>
      <c r="N29" s="56"/>
      <c r="O29" s="40"/>
      <c r="P29" s="40"/>
      <c r="Q29" s="40"/>
      <c r="R29" s="40"/>
      <c r="S29" s="40"/>
      <c r="T29" s="40"/>
      <c r="U29" s="40"/>
      <c r="V29" s="40"/>
      <c r="W29" s="26"/>
      <c r="X29" s="18"/>
      <c r="Y29" s="18"/>
    </row>
    <row r="30" spans="1:25" ht="17.25" thickBot="1">
      <c r="A30" s="100" t="s">
        <v>42</v>
      </c>
      <c r="B30" s="100"/>
      <c r="C30" s="36"/>
      <c r="D30" s="36"/>
      <c r="E30" s="36"/>
      <c r="F30" s="19"/>
      <c r="G30" s="40"/>
      <c r="H30" s="17"/>
      <c r="I30" s="45" t="s">
        <v>74</v>
      </c>
      <c r="J30" s="57">
        <f>SUM(J20:J29)</f>
        <v>2300000</v>
      </c>
      <c r="K30" s="57">
        <f>SUM(K20:K29)</f>
        <v>1100000</v>
      </c>
      <c r="L30" s="57">
        <f>SUM(L20:L29)</f>
        <v>83000</v>
      </c>
      <c r="M30" s="57">
        <f>SUM(M20:M29)</f>
        <v>6388000</v>
      </c>
      <c r="N30" s="45"/>
      <c r="O30" s="40"/>
      <c r="P30" s="40"/>
      <c r="Q30" s="40"/>
      <c r="R30" s="17"/>
      <c r="S30" s="17"/>
      <c r="T30" s="40"/>
      <c r="U30" s="40"/>
      <c r="V30" s="40"/>
      <c r="W30" s="40"/>
      <c r="X30" s="18"/>
      <c r="Y30" s="18"/>
    </row>
    <row r="31" spans="1:25">
      <c r="A31" s="98" t="s">
        <v>25</v>
      </c>
      <c r="B31" s="99"/>
      <c r="C31" s="37" t="s">
        <v>24</v>
      </c>
      <c r="D31" s="23" t="s">
        <v>34</v>
      </c>
      <c r="E31" s="78" t="s">
        <v>28</v>
      </c>
      <c r="F31" s="79"/>
      <c r="G31" s="79"/>
      <c r="H31" s="17"/>
      <c r="I31" s="24" t="s">
        <v>75</v>
      </c>
      <c r="J31" s="46">
        <f>J30*0.07</f>
        <v>161000.00000000003</v>
      </c>
      <c r="K31" s="46">
        <f>K30*0.07</f>
        <v>77000.000000000015</v>
      </c>
      <c r="L31" s="46">
        <f>L30*0.07</f>
        <v>5810.0000000000009</v>
      </c>
      <c r="M31" s="46">
        <v>452000</v>
      </c>
      <c r="N31" s="24"/>
      <c r="O31" s="40"/>
      <c r="P31" s="40"/>
      <c r="Q31" s="40"/>
      <c r="R31" s="6"/>
      <c r="S31" s="17"/>
      <c r="T31" s="5"/>
      <c r="U31" s="8"/>
      <c r="V31" s="5"/>
      <c r="W31" s="4"/>
      <c r="X31" s="18"/>
      <c r="Y31" s="18"/>
    </row>
    <row r="32" spans="1:25">
      <c r="A32" s="89" t="s">
        <v>43</v>
      </c>
      <c r="B32" s="90"/>
      <c r="C32" s="24" t="s">
        <v>44</v>
      </c>
      <c r="D32" s="22">
        <v>1500000</v>
      </c>
      <c r="E32" s="87" t="s">
        <v>46</v>
      </c>
      <c r="F32" s="88"/>
      <c r="G32" s="88"/>
      <c r="H32" s="17"/>
      <c r="I32" s="45" t="s">
        <v>76</v>
      </c>
      <c r="J32" s="58">
        <f>J30+J31</f>
        <v>2461000</v>
      </c>
      <c r="K32" s="58">
        <f>K30+K31</f>
        <v>1177000</v>
      </c>
      <c r="L32" s="58">
        <f>(L30+L31)*12</f>
        <v>1065720</v>
      </c>
      <c r="M32" s="58">
        <f>(M30+M31)/3</f>
        <v>2280000</v>
      </c>
      <c r="N32" s="45"/>
      <c r="O32" s="40"/>
      <c r="P32" s="40"/>
      <c r="Q32" s="40"/>
      <c r="R32" s="6"/>
      <c r="S32" s="17"/>
      <c r="T32" s="5"/>
      <c r="U32" s="8"/>
      <c r="V32" s="5"/>
      <c r="W32" s="4"/>
      <c r="X32" s="18"/>
      <c r="Y32" s="18"/>
    </row>
    <row r="33" spans="1:25">
      <c r="A33" s="89" t="s">
        <v>23</v>
      </c>
      <c r="B33" s="90"/>
      <c r="C33" s="24" t="s">
        <v>29</v>
      </c>
      <c r="D33" s="22">
        <v>410000</v>
      </c>
      <c r="E33" s="87" t="s">
        <v>55</v>
      </c>
      <c r="F33" s="88"/>
      <c r="G33" s="88"/>
      <c r="H33" s="17"/>
      <c r="I33" s="51" t="s">
        <v>77</v>
      </c>
      <c r="J33" s="53"/>
      <c r="K33" s="53"/>
      <c r="L33" s="53"/>
      <c r="M33" s="59">
        <f>ROUND(M32/12,-3)</f>
        <v>190000</v>
      </c>
      <c r="N33" s="51"/>
      <c r="O33" s="40"/>
      <c r="P33" s="40"/>
      <c r="Q33" s="40"/>
      <c r="R33" s="6"/>
      <c r="S33" s="17"/>
      <c r="T33" s="5"/>
      <c r="U33" s="8"/>
      <c r="V33" s="5"/>
      <c r="W33" s="4"/>
      <c r="X33" s="18"/>
      <c r="Y33" s="18"/>
    </row>
    <row r="34" spans="1:25">
      <c r="A34" s="89" t="s">
        <v>47</v>
      </c>
      <c r="B34" s="90"/>
      <c r="C34" s="24" t="s">
        <v>48</v>
      </c>
      <c r="D34" s="22">
        <v>950000</v>
      </c>
      <c r="E34" s="87" t="s">
        <v>45</v>
      </c>
      <c r="F34" s="88"/>
      <c r="G34" s="88"/>
      <c r="H34" s="17"/>
      <c r="I34" s="51" t="s">
        <v>78</v>
      </c>
      <c r="J34" s="53">
        <f>J32</f>
        <v>2461000</v>
      </c>
      <c r="K34" s="53">
        <f>K32</f>
        <v>1177000</v>
      </c>
      <c r="L34" s="53">
        <f>L32*3</f>
        <v>3197160</v>
      </c>
      <c r="M34" s="57">
        <f>M33*36</f>
        <v>6840000</v>
      </c>
      <c r="N34" s="51"/>
      <c r="O34" s="40"/>
      <c r="P34" s="40"/>
      <c r="Q34" s="40"/>
      <c r="R34" s="6"/>
      <c r="S34" s="17"/>
      <c r="T34" s="5"/>
      <c r="U34" s="8"/>
      <c r="V34" s="5"/>
      <c r="W34" s="4"/>
      <c r="X34" s="18"/>
      <c r="Y34" s="18"/>
    </row>
    <row r="35" spans="1:25">
      <c r="A35" s="89" t="s">
        <v>26</v>
      </c>
      <c r="B35" s="90"/>
      <c r="C35" s="24" t="s">
        <v>27</v>
      </c>
      <c r="D35" s="22">
        <v>5000000</v>
      </c>
      <c r="E35" s="87" t="s">
        <v>58</v>
      </c>
      <c r="F35" s="88"/>
      <c r="G35" s="88"/>
      <c r="H35" s="17"/>
      <c r="I35" s="60" t="s">
        <v>79</v>
      </c>
      <c r="J35" s="61"/>
      <c r="K35" s="61"/>
      <c r="L35" s="61"/>
      <c r="M35" s="61"/>
      <c r="N35" s="17"/>
      <c r="O35" s="40"/>
      <c r="P35" s="40"/>
      <c r="Q35" s="40"/>
      <c r="R35" s="6"/>
      <c r="S35" s="17"/>
      <c r="T35" s="5"/>
      <c r="U35" s="8"/>
      <c r="V35" s="5"/>
      <c r="W35" s="4"/>
      <c r="X35" s="18"/>
      <c r="Y35" s="18"/>
    </row>
    <row r="36" spans="1:25" ht="17.25" thickBot="1">
      <c r="A36" s="72" t="s">
        <v>53</v>
      </c>
      <c r="B36" s="72"/>
      <c r="C36" s="73"/>
      <c r="D36" s="34">
        <f>SUM(D32:D35)</f>
        <v>7860000</v>
      </c>
      <c r="E36" s="92"/>
      <c r="F36" s="93"/>
      <c r="G36" s="93"/>
      <c r="H36" s="17"/>
      <c r="M36" s="69"/>
      <c r="O36" s="40"/>
      <c r="P36" s="40"/>
      <c r="Q36" s="40"/>
      <c r="R36" s="6"/>
      <c r="S36" s="17"/>
      <c r="T36" s="5"/>
      <c r="U36" s="8"/>
      <c r="V36" s="5"/>
      <c r="W36" s="4"/>
      <c r="X36" s="18"/>
      <c r="Y36" s="18"/>
    </row>
    <row r="37" spans="1:25">
      <c r="A37" s="38" t="s">
        <v>1</v>
      </c>
      <c r="B37" s="38"/>
      <c r="C37" s="38"/>
      <c r="D37" s="38"/>
      <c r="E37" s="38"/>
      <c r="F37" s="21"/>
      <c r="G37" s="21"/>
      <c r="H37" s="40"/>
      <c r="O37" s="40"/>
      <c r="P37" s="40"/>
      <c r="Q37" s="40"/>
      <c r="R37" s="40"/>
      <c r="S37" s="40"/>
      <c r="T37" s="40"/>
      <c r="U37" s="40"/>
      <c r="V37" s="2"/>
      <c r="W37" s="2"/>
      <c r="X37" s="18"/>
      <c r="Y37" s="18"/>
    </row>
    <row r="38" spans="1:25">
      <c r="A38" s="38"/>
      <c r="B38" s="38"/>
      <c r="C38" s="38"/>
      <c r="D38" s="38"/>
      <c r="E38" s="38"/>
      <c r="F38" s="21"/>
      <c r="G38" s="21"/>
      <c r="H38" s="40"/>
      <c r="I38" s="40"/>
      <c r="J38" s="40"/>
      <c r="K38" s="40"/>
      <c r="L38" s="2"/>
      <c r="M38" s="42"/>
      <c r="N38" s="40"/>
      <c r="O38" s="40"/>
      <c r="P38" s="40"/>
      <c r="Q38" s="40"/>
      <c r="R38" s="40"/>
      <c r="S38" s="40"/>
      <c r="T38" s="40"/>
      <c r="U38" s="40"/>
      <c r="V38" s="2"/>
      <c r="W38" s="2"/>
      <c r="X38" s="18"/>
      <c r="Y38" s="18"/>
    </row>
    <row r="39" spans="1:25">
      <c r="A39" s="85" t="s">
        <v>30</v>
      </c>
      <c r="B39" s="85"/>
      <c r="C39" s="84" t="s">
        <v>31</v>
      </c>
      <c r="D39" s="85"/>
      <c r="E39" s="86" t="s">
        <v>32</v>
      </c>
      <c r="F39" s="86"/>
      <c r="G39" s="86"/>
      <c r="H39" s="40"/>
      <c r="I39" s="40"/>
      <c r="J39" s="40"/>
      <c r="K39" s="40"/>
      <c r="L39" s="2"/>
      <c r="M39" s="43"/>
      <c r="N39" s="40"/>
      <c r="O39" s="40"/>
      <c r="P39" s="40"/>
      <c r="Q39" s="40"/>
      <c r="R39" s="40"/>
      <c r="S39" s="40"/>
      <c r="T39" s="40"/>
      <c r="U39" s="40"/>
      <c r="V39" s="2"/>
      <c r="W39" s="2"/>
      <c r="X39" s="18"/>
      <c r="Y39" s="18"/>
    </row>
    <row r="40" spans="1:25">
      <c r="A40" s="85"/>
      <c r="B40" s="85"/>
      <c r="C40" s="85"/>
      <c r="D40" s="85"/>
      <c r="E40" s="86"/>
      <c r="F40" s="86"/>
      <c r="G40" s="86"/>
      <c r="H40" s="40"/>
      <c r="I40" s="40"/>
      <c r="J40" s="40"/>
      <c r="K40" s="40"/>
      <c r="L40" s="2"/>
      <c r="M40" s="2"/>
      <c r="N40" s="40"/>
      <c r="O40" s="40"/>
      <c r="P40" s="40"/>
      <c r="Q40" s="40"/>
      <c r="R40" s="40"/>
      <c r="S40" s="40"/>
      <c r="T40" s="40"/>
      <c r="U40" s="40"/>
      <c r="V40" s="2"/>
      <c r="W40" s="2"/>
      <c r="X40" s="18"/>
      <c r="Y40" s="18"/>
    </row>
    <row r="41" spans="1:25">
      <c r="A41" s="38"/>
      <c r="B41" s="38"/>
      <c r="C41" s="38"/>
      <c r="D41" s="38"/>
      <c r="E41" s="38"/>
      <c r="F41" s="21"/>
      <c r="G41" s="21"/>
      <c r="H41" s="40"/>
      <c r="I41" s="40"/>
      <c r="J41" s="40"/>
      <c r="K41" s="40"/>
      <c r="L41" s="2"/>
      <c r="M41" s="2"/>
      <c r="N41" s="40"/>
      <c r="O41" s="40"/>
      <c r="P41" s="40"/>
      <c r="Q41" s="40"/>
      <c r="R41" s="40"/>
      <c r="S41" s="40"/>
      <c r="T41" s="40"/>
      <c r="U41" s="40"/>
      <c r="V41" s="2"/>
      <c r="W41" s="2"/>
      <c r="X41" s="18"/>
      <c r="Y41" s="18"/>
    </row>
    <row r="42" spans="1:25">
      <c r="A42" s="38"/>
      <c r="B42" s="38"/>
      <c r="C42" s="38"/>
      <c r="D42" s="38"/>
      <c r="E42" s="38"/>
      <c r="F42" s="21"/>
      <c r="G42" s="21"/>
      <c r="H42" s="40"/>
      <c r="I42" s="40"/>
      <c r="J42" s="40"/>
      <c r="K42" s="40"/>
      <c r="L42" s="2"/>
      <c r="M42" s="2"/>
      <c r="N42" s="40"/>
      <c r="O42" s="40"/>
      <c r="P42" s="40"/>
      <c r="Q42" s="40"/>
      <c r="R42" s="40"/>
      <c r="S42" s="40"/>
      <c r="T42" s="40"/>
      <c r="U42" s="40"/>
      <c r="V42" s="2"/>
      <c r="W42" s="2"/>
      <c r="X42" s="18"/>
      <c r="Y42" s="18"/>
    </row>
    <row r="43" spans="1:25" ht="17.25">
      <c r="A43" s="97" t="s">
        <v>0</v>
      </c>
      <c r="B43" s="97"/>
      <c r="C43" s="97"/>
      <c r="D43" s="97"/>
      <c r="E43" s="97"/>
      <c r="F43" s="97"/>
      <c r="G43" s="9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8"/>
      <c r="Y43" s="18"/>
    </row>
    <row r="44" spans="1:25">
      <c r="A44" s="94"/>
      <c r="B44" s="94"/>
      <c r="C44" s="94"/>
      <c r="D44" s="94"/>
      <c r="E44" s="94"/>
      <c r="F44" s="94"/>
      <c r="G44" s="94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18"/>
      <c r="Y44" s="18"/>
    </row>
    <row r="45" spans="1:25">
      <c r="A45" s="27" t="s">
        <v>12</v>
      </c>
      <c r="B45" s="27"/>
      <c r="C45" s="27"/>
      <c r="D45" s="27"/>
      <c r="E45" s="27"/>
      <c r="F45" s="27"/>
      <c r="G45" s="27"/>
      <c r="H45" s="27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18"/>
      <c r="Y45" s="18"/>
    </row>
    <row r="46" spans="1:25">
      <c r="A46" s="39" t="s">
        <v>56</v>
      </c>
      <c r="B46" s="39"/>
      <c r="C46" s="39"/>
      <c r="D46" s="39"/>
      <c r="E46" s="39"/>
      <c r="F46" s="39"/>
      <c r="G46" s="39"/>
      <c r="H46" s="27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18"/>
      <c r="Y46" s="18"/>
    </row>
    <row r="47" spans="1:25">
      <c r="A47" s="27" t="s">
        <v>57</v>
      </c>
      <c r="B47" s="27"/>
      <c r="C47" s="27"/>
      <c r="D47" s="27"/>
      <c r="E47" s="27"/>
      <c r="F47" s="27"/>
      <c r="G47" s="27"/>
      <c r="H47" s="27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18"/>
      <c r="Y47" s="18"/>
    </row>
    <row r="48" spans="1:25">
      <c r="A48" s="27" t="s">
        <v>52</v>
      </c>
      <c r="B48" s="27"/>
      <c r="C48" s="27"/>
      <c r="D48" s="27"/>
      <c r="E48" s="27"/>
      <c r="F48" s="27"/>
      <c r="G48" s="27"/>
      <c r="H48" s="27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18"/>
      <c r="Y48" s="18"/>
    </row>
    <row r="49" spans="1:25">
      <c r="A49" s="27" t="s">
        <v>8</v>
      </c>
      <c r="B49" s="27"/>
      <c r="C49" s="27"/>
      <c r="D49" s="27"/>
      <c r="E49" s="27"/>
      <c r="F49" s="27"/>
      <c r="G49" s="27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18"/>
      <c r="Y49" s="18"/>
    </row>
    <row r="50" spans="1:25">
      <c r="A50" s="38"/>
      <c r="B50" s="38"/>
      <c r="C50" s="38"/>
      <c r="D50" s="38"/>
      <c r="E50" s="38"/>
      <c r="F50" s="38"/>
      <c r="G50" s="3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>
      <c r="A51" s="38"/>
      <c r="B51" s="38"/>
      <c r="C51" s="38"/>
      <c r="D51" s="38"/>
      <c r="E51" s="38"/>
      <c r="F51" s="21"/>
      <c r="G51" s="3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>
      <c r="A52" s="38"/>
      <c r="B52" s="38"/>
      <c r="C52" s="38"/>
      <c r="D52" s="38"/>
      <c r="E52" s="38"/>
      <c r="F52" s="38"/>
      <c r="G52" s="3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>
      <c r="A53" s="38"/>
      <c r="B53" s="30"/>
      <c r="C53" s="38"/>
      <c r="D53" s="38"/>
      <c r="E53" s="38"/>
      <c r="F53" s="38"/>
      <c r="G53" s="3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>
      <c r="A54" s="38"/>
      <c r="B54" s="38"/>
      <c r="C54" s="38"/>
      <c r="D54" s="38"/>
      <c r="E54" s="38"/>
      <c r="F54" s="38"/>
      <c r="G54" s="38"/>
    </row>
    <row r="55" spans="1:25">
      <c r="A55" s="38"/>
      <c r="B55" s="38"/>
      <c r="C55" s="38"/>
      <c r="D55" s="38"/>
      <c r="E55" s="38"/>
      <c r="F55" s="38"/>
      <c r="G55" s="38"/>
    </row>
    <row r="56" spans="1:25" ht="18.75" customHeight="1">
      <c r="A56" s="16"/>
      <c r="B56" s="38"/>
      <c r="C56" s="38"/>
      <c r="D56" s="38"/>
      <c r="E56" s="38"/>
      <c r="F56" s="38"/>
      <c r="G56" s="38"/>
    </row>
    <row r="57" spans="1:25">
      <c r="A57" s="38"/>
      <c r="B57" s="38"/>
      <c r="C57" s="38"/>
      <c r="D57" s="38"/>
      <c r="E57" s="38"/>
      <c r="F57" s="38"/>
      <c r="G57" s="38"/>
    </row>
    <row r="58" spans="1:25" ht="20.25">
      <c r="A58" s="15"/>
      <c r="B58" s="15"/>
      <c r="C58" s="15"/>
      <c r="D58" s="38"/>
      <c r="E58" s="38"/>
      <c r="F58" s="38"/>
      <c r="G58" s="38"/>
    </row>
    <row r="59" spans="1:25">
      <c r="A59" s="38"/>
      <c r="B59" s="38"/>
      <c r="C59" s="38"/>
      <c r="D59" s="38"/>
      <c r="E59" s="38"/>
      <c r="F59" s="38"/>
      <c r="G59" s="38"/>
    </row>
    <row r="60" spans="1:25">
      <c r="A60" s="38"/>
      <c r="B60" s="38"/>
      <c r="C60" s="38"/>
      <c r="D60" s="38"/>
      <c r="E60" s="38"/>
      <c r="F60" s="38"/>
      <c r="G60" s="38"/>
    </row>
    <row r="61" spans="1:25">
      <c r="A61" s="38"/>
      <c r="B61" s="38"/>
      <c r="C61" s="38"/>
      <c r="D61" s="38"/>
      <c r="E61" s="38"/>
      <c r="F61" s="38"/>
      <c r="G61" s="38"/>
    </row>
    <row r="62" spans="1:25">
      <c r="A62" s="14"/>
      <c r="B62" s="14"/>
      <c r="C62" s="14"/>
      <c r="D62" s="14"/>
      <c r="E62" s="14"/>
      <c r="F62" s="14"/>
      <c r="G62" s="14"/>
    </row>
    <row r="63" spans="1:25">
      <c r="A63" s="38"/>
      <c r="B63" s="38"/>
      <c r="C63" s="38"/>
      <c r="D63" s="38"/>
      <c r="E63" s="38"/>
      <c r="F63" s="38"/>
      <c r="G63" s="38"/>
    </row>
    <row r="64" spans="1:25">
      <c r="A64" s="40"/>
      <c r="B64" s="40"/>
      <c r="C64" s="40"/>
      <c r="D64" s="40"/>
      <c r="E64" s="40"/>
      <c r="F64" s="40"/>
      <c r="G64" s="40"/>
    </row>
    <row r="65" spans="1:7">
      <c r="A65" s="9"/>
      <c r="B65" s="3"/>
      <c r="C65" s="3"/>
      <c r="D65" s="3"/>
      <c r="E65" s="9"/>
      <c r="F65" s="9"/>
      <c r="G65" s="3"/>
    </row>
    <row r="66" spans="1:7">
      <c r="A66" s="17"/>
      <c r="B66" s="40"/>
      <c r="C66" s="40"/>
      <c r="D66" s="40"/>
      <c r="E66" s="6"/>
      <c r="F66" s="17"/>
      <c r="G66" s="5"/>
    </row>
    <row r="67" spans="1:7">
      <c r="A67" s="17"/>
      <c r="B67" s="7"/>
      <c r="C67" s="7"/>
      <c r="D67" s="40"/>
      <c r="E67" s="6"/>
      <c r="F67" s="17"/>
      <c r="G67" s="5"/>
    </row>
    <row r="68" spans="1:7">
      <c r="A68" s="17"/>
      <c r="B68" s="7"/>
      <c r="C68" s="7"/>
      <c r="D68" s="40"/>
      <c r="E68" s="6"/>
      <c r="F68" s="17"/>
      <c r="G68" s="5"/>
    </row>
    <row r="69" spans="1:7">
      <c r="A69" s="17"/>
      <c r="B69" s="7"/>
      <c r="C69" s="7"/>
      <c r="D69" s="40"/>
      <c r="E69" s="6"/>
      <c r="F69" s="17"/>
      <c r="G69" s="5"/>
    </row>
    <row r="70" spans="1:7">
      <c r="A70" s="17"/>
      <c r="B70" s="7"/>
      <c r="C70" s="7"/>
      <c r="D70" s="40"/>
      <c r="E70" s="6"/>
      <c r="F70" s="17"/>
      <c r="G70" s="5"/>
    </row>
    <row r="71" spans="1:7">
      <c r="A71" s="17"/>
      <c r="B71" s="7"/>
      <c r="C71" s="7"/>
      <c r="D71" s="40"/>
      <c r="E71" s="6"/>
      <c r="F71" s="17"/>
      <c r="G71" s="5"/>
    </row>
    <row r="72" spans="1:7">
      <c r="A72" s="17"/>
      <c r="B72" s="7"/>
      <c r="C72" s="7"/>
      <c r="D72" s="40"/>
      <c r="E72" s="6"/>
      <c r="F72" s="17"/>
      <c r="G72" s="5"/>
    </row>
    <row r="73" spans="1:7">
      <c r="A73" s="17"/>
      <c r="B73" s="29"/>
      <c r="C73" s="29"/>
      <c r="D73" s="40"/>
      <c r="E73" s="6"/>
      <c r="F73" s="17"/>
      <c r="G73" s="5"/>
    </row>
    <row r="74" spans="1:7">
      <c r="A74" s="17"/>
      <c r="B74" s="7"/>
      <c r="C74" s="7"/>
      <c r="D74" s="40"/>
      <c r="E74" s="6"/>
      <c r="F74" s="17"/>
      <c r="G74" s="5"/>
    </row>
    <row r="75" spans="1:7">
      <c r="A75" s="17"/>
      <c r="B75" s="7"/>
      <c r="C75" s="7"/>
      <c r="D75" s="40"/>
      <c r="E75" s="6"/>
      <c r="F75" s="17"/>
      <c r="G75" s="5"/>
    </row>
    <row r="76" spans="1:7">
      <c r="A76" s="17"/>
      <c r="B76" s="7"/>
      <c r="C76" s="7"/>
      <c r="D76" s="40"/>
      <c r="E76" s="6"/>
      <c r="F76" s="17"/>
      <c r="G76" s="5"/>
    </row>
    <row r="77" spans="1:7">
      <c r="A77" s="17"/>
      <c r="B77" s="7"/>
      <c r="C77" s="7"/>
      <c r="D77" s="40"/>
      <c r="E77" s="6"/>
      <c r="F77" s="17"/>
      <c r="G77" s="5"/>
    </row>
    <row r="78" spans="1:7">
      <c r="A78" s="17"/>
      <c r="B78" s="7"/>
      <c r="C78" s="7"/>
      <c r="D78" s="40"/>
      <c r="E78" s="6"/>
      <c r="F78" s="17"/>
      <c r="G78" s="5"/>
    </row>
    <row r="79" spans="1:7">
      <c r="A79" s="17"/>
      <c r="B79" s="7"/>
      <c r="C79" s="7"/>
      <c r="D79" s="40"/>
      <c r="E79" s="6"/>
      <c r="F79" s="17"/>
      <c r="G79" s="5"/>
    </row>
    <row r="80" spans="1:7">
      <c r="A80" s="17"/>
      <c r="B80" s="7"/>
      <c r="C80" s="7"/>
      <c r="D80" s="40"/>
      <c r="E80" s="6"/>
      <c r="F80" s="17"/>
      <c r="G80" s="5"/>
    </row>
    <row r="81" spans="1:7">
      <c r="A81" s="17"/>
      <c r="B81" s="7"/>
      <c r="C81" s="7"/>
      <c r="D81" s="40"/>
      <c r="E81" s="6"/>
      <c r="F81" s="17"/>
      <c r="G81" s="5"/>
    </row>
    <row r="82" spans="1:7">
      <c r="A82" s="17"/>
      <c r="B82" s="7"/>
      <c r="C82" s="7"/>
      <c r="D82" s="40"/>
      <c r="E82" s="6"/>
      <c r="F82" s="17"/>
      <c r="G82" s="5"/>
    </row>
    <row r="83" spans="1:7">
      <c r="A83" s="17"/>
      <c r="B83" s="7"/>
      <c r="C83" s="7"/>
      <c r="D83" s="40"/>
      <c r="E83" s="6"/>
      <c r="F83" s="17"/>
      <c r="G83" s="5"/>
    </row>
    <row r="84" spans="1:7">
      <c r="A84" s="17"/>
      <c r="B84" s="7"/>
      <c r="C84" s="7"/>
      <c r="D84" s="40"/>
      <c r="E84" s="6"/>
      <c r="F84" s="17"/>
      <c r="G84" s="5"/>
    </row>
    <row r="85" spans="1:7">
      <c r="A85" s="40"/>
      <c r="B85" s="40"/>
      <c r="C85" s="40"/>
      <c r="D85" s="40"/>
      <c r="E85" s="40"/>
      <c r="F85" s="40"/>
      <c r="G85" s="40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8"/>
      <c r="B87" s="38"/>
      <c r="C87" s="38"/>
      <c r="D87" s="38"/>
      <c r="E87" s="38"/>
      <c r="F87" s="38"/>
      <c r="G87" s="38"/>
    </row>
    <row r="88" spans="1:7" ht="17.25">
      <c r="A88" s="13"/>
      <c r="B88" s="13"/>
      <c r="C88" s="13"/>
      <c r="D88" s="13"/>
      <c r="E88" s="13"/>
      <c r="F88" s="13"/>
      <c r="G88" s="13"/>
    </row>
    <row r="89" spans="1:7">
      <c r="A89" s="27"/>
      <c r="B89" s="27"/>
      <c r="C89" s="27"/>
      <c r="D89" s="27"/>
      <c r="E89" s="27"/>
      <c r="F89" s="27"/>
      <c r="G89" s="27"/>
    </row>
    <row r="90" spans="1:7">
      <c r="A90" s="27"/>
      <c r="B90" s="27"/>
      <c r="C90" s="27"/>
      <c r="D90" s="27"/>
      <c r="E90" s="27"/>
      <c r="F90" s="27"/>
      <c r="G90" s="27"/>
    </row>
    <row r="91" spans="1:7">
      <c r="A91" s="27"/>
      <c r="B91" s="27"/>
      <c r="C91" s="27"/>
      <c r="D91" s="27"/>
      <c r="E91" s="27"/>
      <c r="F91" s="27"/>
      <c r="G91" s="27"/>
    </row>
    <row r="92" spans="1:7">
      <c r="A92" s="35"/>
      <c r="B92" s="35"/>
      <c r="C92" s="35"/>
      <c r="D92" s="35"/>
      <c r="E92" s="35"/>
      <c r="F92" s="35"/>
      <c r="G92" s="35"/>
    </row>
    <row r="93" spans="1:7">
      <c r="A93" s="38"/>
      <c r="B93" s="38"/>
      <c r="C93" s="38"/>
      <c r="D93" s="38"/>
      <c r="E93" s="38"/>
      <c r="F93" s="38"/>
      <c r="G93" s="38"/>
    </row>
    <row r="94" spans="1:7">
      <c r="A94" s="40"/>
      <c r="B94" s="40"/>
      <c r="C94" s="40"/>
      <c r="D94" s="40"/>
      <c r="E94" s="40"/>
      <c r="F94" s="40"/>
      <c r="G94" s="40"/>
    </row>
    <row r="95" spans="1:7">
      <c r="A95" s="40"/>
      <c r="B95" s="40"/>
      <c r="C95" s="40"/>
      <c r="D95" s="40"/>
      <c r="E95" s="40"/>
      <c r="F95" s="40"/>
      <c r="G95" s="40"/>
    </row>
    <row r="96" spans="1:7">
      <c r="A96" s="40"/>
      <c r="B96" s="31"/>
      <c r="C96" s="40"/>
      <c r="D96" s="40"/>
      <c r="E96" s="40"/>
      <c r="F96" s="40"/>
      <c r="G96" s="40"/>
    </row>
    <row r="97" spans="1:7">
      <c r="A97" s="40"/>
      <c r="B97" s="40"/>
      <c r="C97" s="40"/>
      <c r="D97" s="40"/>
      <c r="E97" s="40"/>
      <c r="F97" s="40"/>
      <c r="G97" s="40"/>
    </row>
    <row r="98" spans="1:7">
      <c r="A98" s="40"/>
      <c r="B98" s="40"/>
      <c r="C98" s="40"/>
      <c r="D98" s="40"/>
      <c r="E98" s="40"/>
      <c r="F98" s="40"/>
      <c r="G98" s="40"/>
    </row>
    <row r="99" spans="1:7" ht="33.75">
      <c r="A99" s="11"/>
      <c r="B99" s="40"/>
      <c r="C99" s="40"/>
      <c r="D99" s="40"/>
      <c r="E99" s="40"/>
      <c r="F99" s="40"/>
      <c r="G99" s="40"/>
    </row>
    <row r="100" spans="1:7">
      <c r="A100" s="40"/>
      <c r="B100" s="40"/>
      <c r="C100" s="40"/>
      <c r="D100" s="40"/>
      <c r="E100" s="40"/>
      <c r="F100" s="40"/>
      <c r="G100" s="40"/>
    </row>
    <row r="101" spans="1:7" ht="20.25">
      <c r="A101" s="10"/>
      <c r="B101" s="10"/>
      <c r="C101" s="10"/>
      <c r="D101" s="40"/>
      <c r="E101" s="40"/>
      <c r="F101" s="40"/>
      <c r="G101" s="40"/>
    </row>
    <row r="102" spans="1:7">
      <c r="A102" s="40"/>
      <c r="B102" s="40"/>
      <c r="C102" s="40"/>
      <c r="D102" s="40"/>
      <c r="E102" s="40"/>
      <c r="F102" s="40"/>
      <c r="G102" s="40"/>
    </row>
    <row r="103" spans="1:7">
      <c r="A103" s="40"/>
      <c r="B103" s="40"/>
      <c r="C103" s="40"/>
      <c r="D103" s="40"/>
      <c r="E103" s="40"/>
      <c r="F103" s="40"/>
      <c r="G103" s="40"/>
    </row>
    <row r="104" spans="1:7">
      <c r="A104" s="40"/>
      <c r="B104" s="40"/>
      <c r="C104" s="40"/>
      <c r="D104" s="40"/>
      <c r="E104" s="40"/>
      <c r="F104" s="40"/>
      <c r="G104" s="40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40"/>
      <c r="B106" s="40"/>
      <c r="C106" s="40"/>
      <c r="D106" s="40"/>
      <c r="E106" s="40"/>
      <c r="F106" s="40"/>
      <c r="G106" s="40"/>
    </row>
    <row r="107" spans="1:7">
      <c r="A107" s="40"/>
      <c r="B107" s="40"/>
      <c r="C107" s="40"/>
      <c r="D107" s="40"/>
      <c r="E107" s="40"/>
      <c r="F107" s="40"/>
      <c r="G107" s="40"/>
    </row>
    <row r="108" spans="1:7">
      <c r="A108" s="9"/>
      <c r="B108" s="3"/>
      <c r="C108" s="3"/>
      <c r="D108" s="3"/>
      <c r="E108" s="9"/>
      <c r="F108" s="9"/>
      <c r="G108" s="3"/>
    </row>
    <row r="109" spans="1:7">
      <c r="A109" s="17"/>
      <c r="B109" s="40"/>
      <c r="C109" s="40"/>
      <c r="D109" s="40"/>
      <c r="E109" s="6"/>
      <c r="F109" s="17"/>
      <c r="G109" s="5"/>
    </row>
    <row r="110" spans="1:7">
      <c r="A110" s="17"/>
      <c r="B110" s="32"/>
      <c r="C110" s="32"/>
      <c r="D110" s="40"/>
      <c r="E110" s="6"/>
      <c r="F110" s="17"/>
      <c r="G110" s="5"/>
    </row>
    <row r="111" spans="1:7">
      <c r="A111" s="17"/>
      <c r="B111" s="32"/>
      <c r="C111" s="32"/>
      <c r="D111" s="40"/>
      <c r="E111" s="6"/>
      <c r="F111" s="17"/>
      <c r="G111" s="5"/>
    </row>
    <row r="112" spans="1:7">
      <c r="A112" s="17"/>
      <c r="B112" s="32"/>
      <c r="C112" s="32"/>
      <c r="D112" s="40"/>
      <c r="E112" s="6"/>
      <c r="F112" s="17"/>
      <c r="G112" s="5"/>
    </row>
    <row r="113" spans="1:7">
      <c r="A113" s="17"/>
      <c r="B113" s="32"/>
      <c r="C113" s="32"/>
      <c r="D113" s="40"/>
      <c r="E113" s="6"/>
      <c r="F113" s="17"/>
      <c r="G113" s="5"/>
    </row>
    <row r="114" spans="1:7">
      <c r="A114" s="17"/>
      <c r="B114" s="32"/>
      <c r="C114" s="32"/>
      <c r="D114" s="40"/>
      <c r="E114" s="6"/>
      <c r="F114" s="17"/>
      <c r="G114" s="5"/>
    </row>
    <row r="115" spans="1:7">
      <c r="A115" s="17"/>
      <c r="B115" s="32"/>
      <c r="C115" s="32"/>
      <c r="D115" s="40"/>
      <c r="E115" s="6"/>
      <c r="F115" s="17"/>
      <c r="G115" s="5"/>
    </row>
    <row r="116" spans="1:7">
      <c r="A116" s="17"/>
      <c r="B116" s="32"/>
      <c r="C116" s="32"/>
      <c r="D116" s="40"/>
      <c r="E116" s="6"/>
      <c r="F116" s="17"/>
      <c r="G116" s="5"/>
    </row>
    <row r="117" spans="1:7">
      <c r="A117" s="17"/>
      <c r="B117" s="32"/>
      <c r="C117" s="32"/>
      <c r="D117" s="40"/>
      <c r="E117" s="6"/>
      <c r="F117" s="17"/>
      <c r="G117" s="5"/>
    </row>
    <row r="118" spans="1:7">
      <c r="A118" s="17"/>
      <c r="B118" s="7"/>
      <c r="C118" s="40"/>
      <c r="D118" s="40"/>
      <c r="E118" s="6"/>
      <c r="F118" s="17"/>
      <c r="G118" s="5"/>
    </row>
    <row r="119" spans="1:7">
      <c r="A119" s="17"/>
      <c r="B119" s="7"/>
      <c r="C119" s="40"/>
      <c r="D119" s="40"/>
      <c r="E119" s="6"/>
      <c r="F119" s="17"/>
      <c r="G119" s="5"/>
    </row>
    <row r="120" spans="1:7">
      <c r="A120" s="17"/>
      <c r="B120" s="7"/>
      <c r="C120" s="40"/>
      <c r="D120" s="40"/>
      <c r="E120" s="6"/>
      <c r="F120" s="17"/>
      <c r="G120" s="5"/>
    </row>
    <row r="121" spans="1:7">
      <c r="A121" s="17"/>
      <c r="B121" s="7"/>
      <c r="C121" s="40"/>
      <c r="D121" s="40"/>
      <c r="E121" s="6"/>
      <c r="F121" s="17"/>
      <c r="G121" s="5"/>
    </row>
    <row r="122" spans="1:7">
      <c r="A122" s="17"/>
      <c r="B122" s="29"/>
      <c r="C122" s="36"/>
      <c r="D122" s="40"/>
      <c r="E122" s="6"/>
      <c r="F122" s="17"/>
      <c r="G122" s="5"/>
    </row>
    <row r="123" spans="1:7">
      <c r="A123" s="17"/>
      <c r="B123" s="29"/>
      <c r="C123" s="36"/>
      <c r="D123" s="40"/>
      <c r="E123" s="6"/>
      <c r="F123" s="17"/>
      <c r="G123" s="5"/>
    </row>
    <row r="124" spans="1:7">
      <c r="A124" s="17"/>
      <c r="B124" s="29"/>
      <c r="C124" s="36"/>
      <c r="D124" s="40"/>
      <c r="E124" s="6"/>
      <c r="F124" s="17"/>
      <c r="G124" s="5"/>
    </row>
    <row r="125" spans="1:7">
      <c r="A125" s="17"/>
      <c r="B125" s="29"/>
      <c r="C125" s="36"/>
      <c r="D125" s="40"/>
      <c r="E125" s="6"/>
      <c r="F125" s="17"/>
      <c r="G125" s="5"/>
    </row>
    <row r="126" spans="1:7">
      <c r="A126" s="17"/>
      <c r="B126" s="29"/>
      <c r="C126" s="36"/>
      <c r="D126" s="40"/>
      <c r="E126" s="6"/>
      <c r="F126" s="17"/>
      <c r="G126" s="5"/>
    </row>
    <row r="127" spans="1:7">
      <c r="A127" s="17"/>
      <c r="B127" s="29"/>
      <c r="C127" s="36"/>
      <c r="D127" s="40"/>
      <c r="E127" s="6"/>
      <c r="F127" s="17"/>
      <c r="G127" s="5"/>
    </row>
    <row r="128" spans="1:7">
      <c r="A128" s="17"/>
      <c r="B128" s="29"/>
      <c r="C128" s="36"/>
      <c r="D128" s="40"/>
      <c r="E128" s="6"/>
      <c r="F128" s="17"/>
      <c r="G128" s="40"/>
    </row>
    <row r="129" spans="1:7">
      <c r="A129" s="3"/>
      <c r="B129" s="3"/>
      <c r="C129" s="3"/>
      <c r="D129" s="3"/>
      <c r="E129" s="3"/>
      <c r="F129" s="3"/>
      <c r="G129" s="3"/>
    </row>
    <row r="130" spans="1:7">
      <c r="A130" s="40"/>
      <c r="B130" s="40"/>
      <c r="C130" s="40"/>
      <c r="D130" s="40"/>
      <c r="E130" s="40"/>
      <c r="F130" s="40"/>
      <c r="G130" s="40"/>
    </row>
    <row r="131" spans="1:7" ht="17.25">
      <c r="A131" s="1"/>
      <c r="B131" s="1"/>
      <c r="C131" s="1"/>
      <c r="D131" s="1"/>
      <c r="E131" s="1"/>
      <c r="F131" s="1"/>
      <c r="G131" s="1"/>
    </row>
    <row r="132" spans="1:7">
      <c r="A132" s="25"/>
      <c r="B132" s="25"/>
      <c r="C132" s="25"/>
      <c r="D132" s="25"/>
      <c r="E132" s="25"/>
      <c r="F132" s="25"/>
      <c r="G132" s="25"/>
    </row>
    <row r="133" spans="1:7">
      <c r="A133" s="25"/>
      <c r="B133" s="25"/>
      <c r="C133" s="25"/>
      <c r="D133" s="25"/>
      <c r="E133" s="25"/>
      <c r="F133" s="25"/>
      <c r="G133" s="25"/>
    </row>
    <row r="134" spans="1:7">
      <c r="A134" s="25"/>
      <c r="B134" s="25"/>
      <c r="C134" s="25"/>
      <c r="D134" s="25"/>
      <c r="E134" s="25"/>
      <c r="F134" s="25"/>
      <c r="G134" s="25"/>
    </row>
    <row r="135" spans="1:7">
      <c r="A135" s="25"/>
      <c r="B135" s="25"/>
      <c r="C135" s="25"/>
      <c r="D135" s="25"/>
      <c r="E135" s="25"/>
      <c r="F135" s="25"/>
      <c r="G135" s="25"/>
    </row>
    <row r="136" spans="1:7">
      <c r="A136" s="40"/>
      <c r="B136" s="40"/>
      <c r="C136" s="40"/>
      <c r="D136" s="40"/>
      <c r="E136" s="40"/>
      <c r="F136" s="40"/>
      <c r="G136" s="40"/>
    </row>
    <row r="137" spans="1:7">
      <c r="A137" s="40"/>
      <c r="B137" s="40"/>
      <c r="C137" s="40"/>
      <c r="D137" s="40"/>
      <c r="E137" s="40"/>
      <c r="F137" s="40"/>
      <c r="G137" s="40"/>
    </row>
    <row r="138" spans="1:7">
      <c r="A138" s="40"/>
      <c r="B138" s="40"/>
      <c r="C138" s="40"/>
      <c r="D138" s="40"/>
      <c r="E138" s="40"/>
      <c r="F138" s="40"/>
      <c r="G138" s="40"/>
    </row>
    <row r="139" spans="1:7">
      <c r="A139" s="40"/>
      <c r="B139" s="31"/>
      <c r="C139" s="40"/>
      <c r="D139" s="40"/>
      <c r="E139" s="40"/>
      <c r="F139" s="40"/>
      <c r="G139" s="40"/>
    </row>
    <row r="140" spans="1:7">
      <c r="A140" s="40"/>
      <c r="B140" s="40"/>
      <c r="C140" s="40"/>
      <c r="D140" s="40"/>
      <c r="E140" s="40"/>
      <c r="F140" s="40"/>
      <c r="G140" s="40"/>
    </row>
    <row r="141" spans="1:7">
      <c r="A141" s="40"/>
      <c r="B141" s="40"/>
      <c r="C141" s="40"/>
      <c r="D141" s="40"/>
      <c r="E141" s="40"/>
      <c r="F141" s="40"/>
      <c r="G141" s="40"/>
    </row>
    <row r="142" spans="1:7" ht="33.75">
      <c r="A142" s="11"/>
      <c r="B142" s="40"/>
      <c r="C142" s="40"/>
      <c r="D142" s="40"/>
      <c r="E142" s="40"/>
      <c r="F142" s="40"/>
      <c r="G142" s="40"/>
    </row>
    <row r="143" spans="1:7">
      <c r="A143" s="40"/>
      <c r="B143" s="40"/>
      <c r="C143" s="40"/>
      <c r="D143" s="40"/>
      <c r="E143" s="40"/>
      <c r="F143" s="40"/>
      <c r="G143" s="40"/>
    </row>
    <row r="144" spans="1:7" ht="20.25">
      <c r="A144" s="10"/>
      <c r="B144" s="10"/>
      <c r="C144" s="10"/>
      <c r="D144" s="40"/>
      <c r="E144" s="40"/>
      <c r="F144" s="40"/>
      <c r="G144" s="40"/>
    </row>
    <row r="145" spans="1:7">
      <c r="A145" s="40"/>
      <c r="B145" s="40"/>
      <c r="C145" s="40"/>
      <c r="D145" s="40"/>
      <c r="E145" s="40"/>
      <c r="F145" s="40"/>
      <c r="G145" s="40"/>
    </row>
    <row r="146" spans="1:7">
      <c r="A146" s="40"/>
      <c r="B146" s="40"/>
      <c r="C146" s="40"/>
      <c r="D146" s="40"/>
      <c r="E146" s="40"/>
      <c r="F146" s="40"/>
      <c r="G146" s="40"/>
    </row>
    <row r="147" spans="1:7">
      <c r="A147" s="40"/>
      <c r="B147" s="40"/>
      <c r="C147" s="40"/>
      <c r="D147" s="40"/>
      <c r="E147" s="40"/>
      <c r="F147" s="40"/>
      <c r="G147" s="40"/>
    </row>
    <row r="148" spans="1:7">
      <c r="A148" s="3"/>
      <c r="B148" s="3"/>
      <c r="C148" s="3"/>
      <c r="D148" s="3"/>
      <c r="E148" s="3"/>
      <c r="F148" s="3"/>
      <c r="G148" s="3"/>
    </row>
    <row r="149" spans="1:7">
      <c r="A149" s="40"/>
      <c r="B149" s="40"/>
      <c r="C149" s="40"/>
      <c r="D149" s="40"/>
      <c r="E149" s="40"/>
      <c r="F149" s="40"/>
      <c r="G149" s="40"/>
    </row>
    <row r="150" spans="1:7">
      <c r="A150" s="40"/>
      <c r="B150" s="40"/>
      <c r="C150" s="40"/>
      <c r="D150" s="40"/>
      <c r="E150" s="40"/>
      <c r="F150" s="40"/>
      <c r="G150" s="40"/>
    </row>
    <row r="151" spans="1:7">
      <c r="A151" s="9"/>
      <c r="B151" s="3"/>
      <c r="C151" s="3"/>
      <c r="D151" s="3"/>
      <c r="E151" s="9"/>
      <c r="F151" s="9"/>
      <c r="G151" s="3"/>
    </row>
    <row r="152" spans="1:7">
      <c r="A152" s="17"/>
      <c r="B152" s="40"/>
      <c r="C152" s="40"/>
      <c r="D152" s="40"/>
      <c r="E152" s="6"/>
      <c r="F152" s="17"/>
      <c r="G152" s="5"/>
    </row>
    <row r="153" spans="1:7">
      <c r="A153" s="17"/>
      <c r="B153" s="32"/>
      <c r="C153" s="32"/>
      <c r="D153" s="40"/>
      <c r="E153" s="6"/>
      <c r="F153" s="17"/>
      <c r="G153" s="5"/>
    </row>
    <row r="154" spans="1:7">
      <c r="A154" s="17"/>
      <c r="B154" s="32"/>
      <c r="C154" s="32"/>
      <c r="D154" s="40"/>
      <c r="E154" s="6"/>
      <c r="F154" s="17"/>
      <c r="G154" s="5"/>
    </row>
    <row r="155" spans="1:7">
      <c r="A155" s="17"/>
      <c r="B155" s="32"/>
      <c r="C155" s="32"/>
      <c r="D155" s="40"/>
      <c r="E155" s="6"/>
      <c r="F155" s="17"/>
      <c r="G155" s="5"/>
    </row>
    <row r="156" spans="1:7">
      <c r="A156" s="17"/>
      <c r="B156" s="32"/>
      <c r="C156" s="32"/>
      <c r="D156" s="40"/>
      <c r="E156" s="6"/>
      <c r="F156" s="17"/>
      <c r="G156" s="5"/>
    </row>
    <row r="157" spans="1:7">
      <c r="A157" s="17"/>
      <c r="B157" s="32"/>
      <c r="C157" s="32"/>
      <c r="D157" s="40"/>
      <c r="E157" s="6"/>
      <c r="F157" s="17"/>
      <c r="G157" s="5"/>
    </row>
    <row r="158" spans="1:7">
      <c r="A158" s="17"/>
      <c r="B158" s="7"/>
      <c r="C158" s="40"/>
      <c r="D158" s="40"/>
      <c r="E158" s="6"/>
      <c r="F158" s="17"/>
      <c r="G158" s="5"/>
    </row>
    <row r="159" spans="1:7">
      <c r="A159" s="17"/>
      <c r="B159" s="32"/>
      <c r="C159" s="32"/>
      <c r="D159" s="40"/>
      <c r="E159" s="6"/>
      <c r="F159" s="17"/>
      <c r="G159" s="5"/>
    </row>
    <row r="160" spans="1:7">
      <c r="A160" s="17"/>
      <c r="B160" s="32"/>
      <c r="C160" s="32"/>
      <c r="D160" s="40"/>
      <c r="E160" s="6"/>
      <c r="F160" s="17"/>
      <c r="G160" s="5"/>
    </row>
    <row r="161" spans="1:7">
      <c r="A161" s="17"/>
      <c r="B161" s="7"/>
      <c r="C161" s="40"/>
      <c r="D161" s="40"/>
      <c r="E161" s="6"/>
      <c r="F161" s="17"/>
      <c r="G161" s="5"/>
    </row>
    <row r="162" spans="1:7">
      <c r="A162" s="17"/>
      <c r="B162" s="7"/>
      <c r="C162" s="40"/>
      <c r="D162" s="40"/>
      <c r="E162" s="6"/>
      <c r="F162" s="17"/>
      <c r="G162" s="5"/>
    </row>
    <row r="163" spans="1:7">
      <c r="A163" s="17"/>
      <c r="B163" s="7"/>
      <c r="C163" s="40"/>
      <c r="D163" s="40"/>
      <c r="E163" s="6"/>
      <c r="F163" s="17"/>
      <c r="G163" s="5"/>
    </row>
    <row r="164" spans="1:7">
      <c r="A164" s="17"/>
      <c r="B164" s="7"/>
      <c r="C164" s="40"/>
      <c r="D164" s="40"/>
      <c r="E164" s="6"/>
      <c r="F164" s="17"/>
      <c r="G164" s="5"/>
    </row>
    <row r="165" spans="1:7">
      <c r="A165" s="17"/>
      <c r="B165" s="29"/>
      <c r="C165" s="36"/>
      <c r="D165" s="40"/>
      <c r="E165" s="6"/>
      <c r="F165" s="17"/>
      <c r="G165" s="5"/>
    </row>
    <row r="166" spans="1:7">
      <c r="A166" s="17"/>
      <c r="B166" s="29"/>
      <c r="C166" s="36"/>
      <c r="D166" s="40"/>
      <c r="E166" s="6"/>
      <c r="F166" s="17"/>
      <c r="G166" s="5"/>
    </row>
    <row r="167" spans="1:7">
      <c r="A167" s="17"/>
      <c r="B167" s="29"/>
      <c r="C167" s="36"/>
      <c r="D167" s="40"/>
      <c r="E167" s="6"/>
      <c r="F167" s="17"/>
      <c r="G167" s="5"/>
    </row>
    <row r="168" spans="1:7">
      <c r="A168" s="17"/>
      <c r="B168" s="29"/>
      <c r="C168" s="36"/>
      <c r="D168" s="40"/>
      <c r="E168" s="6"/>
      <c r="F168" s="17"/>
      <c r="G168" s="5"/>
    </row>
    <row r="169" spans="1:7">
      <c r="A169" s="17"/>
      <c r="B169" s="29"/>
      <c r="C169" s="36"/>
      <c r="D169" s="40"/>
      <c r="E169" s="6"/>
      <c r="F169" s="17"/>
      <c r="G169" s="5"/>
    </row>
    <row r="170" spans="1:7">
      <c r="A170" s="17"/>
      <c r="B170" s="29"/>
      <c r="C170" s="36"/>
      <c r="D170" s="40"/>
      <c r="E170" s="6"/>
      <c r="F170" s="17"/>
      <c r="G170" s="5"/>
    </row>
    <row r="171" spans="1:7">
      <c r="A171" s="17"/>
      <c r="B171" s="29"/>
      <c r="C171" s="36"/>
      <c r="D171" s="40"/>
      <c r="E171" s="6"/>
      <c r="F171" s="17"/>
      <c r="G171" s="40"/>
    </row>
    <row r="172" spans="1:7">
      <c r="A172" s="3"/>
      <c r="B172" s="3"/>
      <c r="C172" s="3"/>
      <c r="D172" s="3"/>
      <c r="E172" s="3"/>
      <c r="F172" s="3"/>
      <c r="G172" s="3"/>
    </row>
    <row r="173" spans="1:7">
      <c r="A173" s="40"/>
      <c r="B173" s="40"/>
      <c r="C173" s="40"/>
      <c r="D173" s="40"/>
      <c r="E173" s="40"/>
      <c r="F173" s="40"/>
      <c r="G173" s="40"/>
    </row>
    <row r="174" spans="1:7" ht="17.25">
      <c r="A174" s="1"/>
      <c r="B174" s="1"/>
      <c r="C174" s="1"/>
      <c r="D174" s="1"/>
      <c r="E174" s="1"/>
      <c r="F174" s="1"/>
      <c r="G174" s="1"/>
    </row>
    <row r="175" spans="1:7">
      <c r="A175" s="25"/>
      <c r="B175" s="25"/>
      <c r="C175" s="25"/>
      <c r="D175" s="25"/>
      <c r="E175" s="25"/>
      <c r="F175" s="25"/>
      <c r="G175" s="25"/>
    </row>
    <row r="176" spans="1:7">
      <c r="A176" s="25"/>
      <c r="B176" s="25"/>
      <c r="C176" s="25"/>
      <c r="D176" s="25"/>
      <c r="E176" s="25"/>
      <c r="F176" s="25"/>
      <c r="G176" s="25"/>
    </row>
    <row r="177" spans="1:7">
      <c r="A177" s="25"/>
      <c r="B177" s="25"/>
      <c r="C177" s="25"/>
      <c r="D177" s="25"/>
      <c r="E177" s="25"/>
      <c r="F177" s="25"/>
      <c r="G177" s="25"/>
    </row>
    <row r="178" spans="1:7">
      <c r="A178" s="25"/>
      <c r="B178" s="25"/>
      <c r="C178" s="25"/>
      <c r="D178" s="25"/>
      <c r="E178" s="25"/>
      <c r="F178" s="25"/>
      <c r="G178" s="25"/>
    </row>
    <row r="179" spans="1:7">
      <c r="A179" s="40"/>
      <c r="B179" s="40"/>
      <c r="C179" s="40"/>
      <c r="D179" s="40"/>
      <c r="E179" s="40"/>
      <c r="F179" s="40"/>
      <c r="G179" s="40"/>
    </row>
    <row r="180" spans="1:7">
      <c r="A180" s="40"/>
      <c r="B180" s="40"/>
      <c r="C180" s="40"/>
      <c r="D180" s="40"/>
      <c r="E180" s="40"/>
      <c r="F180" s="40"/>
      <c r="G180" s="40"/>
    </row>
    <row r="181" spans="1:7">
      <c r="A181" s="40"/>
      <c r="B181" s="40"/>
      <c r="C181" s="40"/>
      <c r="D181" s="40"/>
      <c r="E181" s="40"/>
      <c r="F181" s="40"/>
      <c r="G181" s="40"/>
    </row>
    <row r="182" spans="1:7">
      <c r="A182" s="40"/>
      <c r="B182" s="31"/>
      <c r="C182" s="40"/>
      <c r="D182" s="40"/>
      <c r="E182" s="40"/>
      <c r="F182" s="40"/>
      <c r="G182" s="40"/>
    </row>
    <row r="183" spans="1:7">
      <c r="A183" s="40"/>
      <c r="B183" s="40"/>
      <c r="C183" s="40"/>
      <c r="D183" s="40"/>
      <c r="E183" s="40"/>
      <c r="F183" s="40"/>
      <c r="G183" s="40"/>
    </row>
    <row r="184" spans="1:7">
      <c r="A184" s="40"/>
      <c r="B184" s="40"/>
      <c r="C184" s="40"/>
      <c r="D184" s="40"/>
      <c r="E184" s="40"/>
      <c r="F184" s="40"/>
      <c r="G184" s="40"/>
    </row>
    <row r="185" spans="1:7" ht="33.75">
      <c r="A185" s="11"/>
      <c r="B185" s="40"/>
      <c r="C185" s="40"/>
      <c r="D185" s="40"/>
      <c r="E185" s="40"/>
      <c r="F185" s="40"/>
      <c r="G185" s="40"/>
    </row>
    <row r="186" spans="1:7">
      <c r="A186" s="40"/>
      <c r="B186" s="40"/>
      <c r="C186" s="40"/>
      <c r="D186" s="40"/>
      <c r="E186" s="40"/>
      <c r="F186" s="40"/>
      <c r="G186" s="40"/>
    </row>
    <row r="187" spans="1:7" ht="20.25">
      <c r="A187" s="10"/>
      <c r="B187" s="10"/>
      <c r="C187" s="10"/>
      <c r="D187" s="40"/>
      <c r="E187" s="40"/>
      <c r="F187" s="40"/>
      <c r="G187" s="40"/>
    </row>
    <row r="188" spans="1:7">
      <c r="A188" s="40"/>
      <c r="B188" s="40"/>
      <c r="C188" s="40"/>
      <c r="D188" s="40"/>
      <c r="E188" s="40"/>
      <c r="F188" s="40"/>
      <c r="G188" s="40"/>
    </row>
    <row r="189" spans="1:7">
      <c r="A189" s="40"/>
      <c r="B189" s="40"/>
      <c r="C189" s="40"/>
      <c r="D189" s="40"/>
      <c r="E189" s="40"/>
      <c r="F189" s="40"/>
      <c r="G189" s="40"/>
    </row>
    <row r="190" spans="1:7">
      <c r="A190" s="40"/>
      <c r="B190" s="40"/>
      <c r="C190" s="40"/>
      <c r="D190" s="40"/>
      <c r="E190" s="40"/>
      <c r="F190" s="40"/>
      <c r="G190" s="40"/>
    </row>
    <row r="191" spans="1:7">
      <c r="A191" s="3"/>
      <c r="B191" s="3"/>
      <c r="C191" s="3"/>
      <c r="D191" s="3"/>
      <c r="E191" s="3"/>
      <c r="F191" s="3"/>
      <c r="G191" s="3"/>
    </row>
    <row r="192" spans="1:7">
      <c r="A192" s="40"/>
      <c r="B192" s="40"/>
      <c r="C192" s="40"/>
      <c r="D192" s="40"/>
      <c r="E192" s="40"/>
      <c r="F192" s="40"/>
      <c r="G192" s="40"/>
    </row>
    <row r="193" spans="1:7">
      <c r="A193" s="40"/>
      <c r="B193" s="40"/>
      <c r="C193" s="40"/>
      <c r="D193" s="40"/>
      <c r="E193" s="40"/>
      <c r="F193" s="40"/>
      <c r="G193" s="40"/>
    </row>
    <row r="194" spans="1:7">
      <c r="A194" s="9"/>
      <c r="B194" s="3"/>
      <c r="C194" s="3"/>
      <c r="D194" s="3"/>
      <c r="E194" s="9"/>
      <c r="F194" s="9"/>
      <c r="G194" s="3"/>
    </row>
    <row r="195" spans="1:7">
      <c r="A195" s="17"/>
      <c r="B195" s="40"/>
      <c r="C195" s="40"/>
      <c r="D195" s="40"/>
      <c r="E195" s="6"/>
      <c r="F195" s="17"/>
      <c r="G195" s="5"/>
    </row>
    <row r="196" spans="1:7">
      <c r="A196" s="17"/>
      <c r="B196" s="32"/>
      <c r="C196" s="32"/>
      <c r="D196" s="40"/>
      <c r="E196" s="6"/>
      <c r="F196" s="17"/>
      <c r="G196" s="5"/>
    </row>
    <row r="197" spans="1:7">
      <c r="A197" s="17"/>
      <c r="B197" s="32"/>
      <c r="C197" s="32"/>
      <c r="D197" s="40"/>
      <c r="E197" s="6"/>
      <c r="F197" s="17"/>
      <c r="G197" s="5"/>
    </row>
    <row r="198" spans="1:7">
      <c r="A198" s="17"/>
      <c r="B198" s="32"/>
      <c r="C198" s="32"/>
      <c r="D198" s="40"/>
      <c r="E198" s="6"/>
      <c r="F198" s="17"/>
      <c r="G198" s="5"/>
    </row>
    <row r="199" spans="1:7">
      <c r="A199" s="17"/>
      <c r="B199" s="32"/>
      <c r="C199" s="32"/>
      <c r="D199" s="40"/>
      <c r="E199" s="6"/>
      <c r="F199" s="17"/>
      <c r="G199" s="5"/>
    </row>
    <row r="200" spans="1:7">
      <c r="A200" s="17"/>
      <c r="B200" s="32"/>
      <c r="C200" s="32"/>
      <c r="D200" s="40"/>
      <c r="E200" s="6"/>
      <c r="F200" s="17"/>
      <c r="G200" s="5"/>
    </row>
    <row r="201" spans="1:7">
      <c r="A201" s="17"/>
      <c r="B201" s="32"/>
      <c r="C201" s="32"/>
      <c r="D201" s="40"/>
      <c r="E201" s="6"/>
      <c r="F201" s="17"/>
      <c r="G201" s="5"/>
    </row>
    <row r="202" spans="1:7">
      <c r="A202" s="17"/>
      <c r="B202" s="7"/>
      <c r="C202" s="40"/>
      <c r="D202" s="40"/>
      <c r="E202" s="6"/>
      <c r="F202" s="17"/>
      <c r="G202" s="5"/>
    </row>
    <row r="203" spans="1:7">
      <c r="A203" s="17"/>
      <c r="B203" s="32"/>
      <c r="C203" s="32"/>
      <c r="D203" s="40"/>
      <c r="E203" s="6"/>
      <c r="F203" s="17"/>
      <c r="G203" s="5"/>
    </row>
    <row r="204" spans="1:7">
      <c r="A204" s="17"/>
      <c r="B204" s="7"/>
      <c r="C204" s="40"/>
      <c r="D204" s="40"/>
      <c r="E204" s="6"/>
      <c r="F204" s="17"/>
      <c r="G204" s="5"/>
    </row>
    <row r="205" spans="1:7">
      <c r="A205" s="17"/>
      <c r="B205" s="7"/>
      <c r="C205" s="40"/>
      <c r="D205" s="40"/>
      <c r="E205" s="6"/>
      <c r="F205" s="17"/>
      <c r="G205" s="5"/>
    </row>
    <row r="206" spans="1:7">
      <c r="A206" s="17"/>
      <c r="B206" s="7"/>
      <c r="C206" s="40"/>
      <c r="D206" s="40"/>
      <c r="E206" s="6"/>
      <c r="F206" s="17"/>
      <c r="G206" s="5"/>
    </row>
    <row r="207" spans="1:7">
      <c r="A207" s="17"/>
      <c r="B207" s="7"/>
      <c r="C207" s="40"/>
      <c r="D207" s="40"/>
      <c r="E207" s="6"/>
      <c r="F207" s="17"/>
      <c r="G207" s="5"/>
    </row>
    <row r="208" spans="1:7">
      <c r="A208" s="17"/>
      <c r="B208" s="29"/>
      <c r="C208" s="36"/>
      <c r="D208" s="40"/>
      <c r="E208" s="6"/>
      <c r="F208" s="17"/>
      <c r="G208" s="5"/>
    </row>
    <row r="209" spans="1:7">
      <c r="A209" s="17"/>
      <c r="B209" s="29"/>
      <c r="C209" s="36"/>
      <c r="D209" s="40"/>
      <c r="E209" s="6"/>
      <c r="F209" s="17"/>
      <c r="G209" s="5"/>
    </row>
    <row r="210" spans="1:7">
      <c r="A210" s="17"/>
      <c r="B210" s="29"/>
      <c r="C210" s="36"/>
      <c r="D210" s="40"/>
      <c r="E210" s="6"/>
      <c r="F210" s="17"/>
      <c r="G210" s="5"/>
    </row>
    <row r="211" spans="1:7">
      <c r="A211" s="17"/>
      <c r="B211" s="29"/>
      <c r="C211" s="36"/>
      <c r="D211" s="40"/>
      <c r="E211" s="6"/>
      <c r="F211" s="17"/>
      <c r="G211" s="5"/>
    </row>
    <row r="212" spans="1:7">
      <c r="A212" s="17"/>
      <c r="B212" s="29"/>
      <c r="C212" s="36"/>
      <c r="D212" s="40"/>
      <c r="E212" s="6"/>
      <c r="F212" s="17"/>
      <c r="G212" s="5"/>
    </row>
    <row r="213" spans="1:7">
      <c r="A213" s="17"/>
      <c r="B213" s="29"/>
      <c r="C213" s="36"/>
      <c r="D213" s="40"/>
      <c r="E213" s="6"/>
      <c r="F213" s="17"/>
      <c r="G213" s="5"/>
    </row>
    <row r="214" spans="1:7">
      <c r="A214" s="17"/>
      <c r="B214" s="29"/>
      <c r="C214" s="36"/>
      <c r="D214" s="40"/>
      <c r="E214" s="6"/>
      <c r="F214" s="17"/>
      <c r="G214" s="40"/>
    </row>
    <row r="215" spans="1:7">
      <c r="A215" s="3"/>
      <c r="B215" s="3"/>
      <c r="C215" s="3"/>
      <c r="D215" s="3"/>
      <c r="E215" s="3"/>
      <c r="F215" s="3"/>
      <c r="G215" s="3"/>
    </row>
    <row r="216" spans="1:7">
      <c r="A216" s="40"/>
      <c r="B216" s="40"/>
      <c r="C216" s="40"/>
      <c r="D216" s="40"/>
      <c r="E216" s="40"/>
      <c r="F216" s="40"/>
      <c r="G216" s="40"/>
    </row>
    <row r="217" spans="1:7" ht="17.25">
      <c r="A217" s="1"/>
      <c r="B217" s="1"/>
      <c r="C217" s="1"/>
      <c r="D217" s="1"/>
      <c r="E217" s="1"/>
      <c r="F217" s="1"/>
      <c r="G217" s="1"/>
    </row>
    <row r="218" spans="1:7">
      <c r="A218" s="25"/>
      <c r="B218" s="25"/>
      <c r="C218" s="25"/>
      <c r="D218" s="25"/>
      <c r="E218" s="25"/>
      <c r="F218" s="25"/>
      <c r="G218" s="25"/>
    </row>
    <row r="219" spans="1:7">
      <c r="A219" s="25"/>
      <c r="B219" s="25"/>
      <c r="C219" s="25"/>
      <c r="D219" s="25"/>
      <c r="E219" s="25"/>
      <c r="F219" s="25"/>
      <c r="G219" s="25"/>
    </row>
    <row r="220" spans="1:7">
      <c r="A220" s="25"/>
      <c r="B220" s="25"/>
      <c r="C220" s="25"/>
      <c r="D220" s="25"/>
      <c r="E220" s="25"/>
      <c r="F220" s="25"/>
      <c r="G220" s="25"/>
    </row>
    <row r="221" spans="1:7">
      <c r="A221" s="25"/>
      <c r="B221" s="25"/>
      <c r="C221" s="25"/>
      <c r="D221" s="25"/>
      <c r="E221" s="25"/>
      <c r="F221" s="25"/>
      <c r="G221" s="25"/>
    </row>
    <row r="222" spans="1:7">
      <c r="A222" s="40"/>
      <c r="B222" s="40"/>
      <c r="C222" s="40"/>
      <c r="D222" s="40"/>
      <c r="E222" s="40"/>
      <c r="F222" s="40"/>
      <c r="G222" s="40"/>
    </row>
    <row r="223" spans="1:7">
      <c r="A223" s="40"/>
      <c r="B223" s="40"/>
      <c r="C223" s="40"/>
      <c r="D223" s="40"/>
      <c r="E223" s="40"/>
      <c r="F223" s="40"/>
      <c r="G223" s="40"/>
    </row>
    <row r="224" spans="1:7">
      <c r="A224" s="40"/>
      <c r="B224" s="40"/>
      <c r="C224" s="40"/>
      <c r="D224" s="40"/>
      <c r="E224" s="40"/>
      <c r="F224" s="40"/>
      <c r="G224" s="40"/>
    </row>
    <row r="225" spans="1:7">
      <c r="A225" s="40"/>
      <c r="B225" s="31"/>
      <c r="C225" s="40"/>
      <c r="D225" s="40"/>
      <c r="E225" s="40"/>
      <c r="F225" s="40"/>
      <c r="G225" s="40"/>
    </row>
    <row r="226" spans="1:7">
      <c r="A226" s="40"/>
      <c r="B226" s="40"/>
      <c r="C226" s="40"/>
      <c r="D226" s="40"/>
      <c r="E226" s="40"/>
      <c r="F226" s="40"/>
      <c r="G226" s="40"/>
    </row>
    <row r="227" spans="1:7">
      <c r="A227" s="40"/>
      <c r="B227" s="40"/>
      <c r="C227" s="40"/>
      <c r="D227" s="40"/>
      <c r="E227" s="40"/>
      <c r="F227" s="40"/>
      <c r="G227" s="40"/>
    </row>
    <row r="228" spans="1:7" ht="33.75">
      <c r="A228" s="11"/>
      <c r="B228" s="40"/>
      <c r="C228" s="40"/>
      <c r="D228" s="40"/>
      <c r="E228" s="40"/>
      <c r="F228" s="40"/>
      <c r="G228" s="40"/>
    </row>
    <row r="229" spans="1:7">
      <c r="A229" s="40"/>
      <c r="B229" s="40"/>
      <c r="C229" s="40"/>
      <c r="D229" s="40"/>
      <c r="E229" s="40"/>
      <c r="F229" s="40"/>
      <c r="G229" s="40"/>
    </row>
    <row r="230" spans="1:7" ht="20.25">
      <c r="A230" s="10"/>
      <c r="B230" s="10"/>
      <c r="C230" s="10"/>
      <c r="D230" s="40"/>
      <c r="E230" s="40"/>
      <c r="F230" s="40"/>
      <c r="G230" s="40"/>
    </row>
    <row r="231" spans="1:7">
      <c r="A231" s="40"/>
      <c r="B231" s="40"/>
      <c r="C231" s="40"/>
      <c r="D231" s="40"/>
      <c r="E231" s="40"/>
      <c r="F231" s="40"/>
      <c r="G231" s="40"/>
    </row>
    <row r="232" spans="1:7">
      <c r="A232" s="40"/>
      <c r="B232" s="40"/>
      <c r="C232" s="40"/>
      <c r="D232" s="40"/>
      <c r="E232" s="40"/>
      <c r="F232" s="40"/>
      <c r="G232" s="40"/>
    </row>
    <row r="233" spans="1:7">
      <c r="A233" s="40"/>
      <c r="B233" s="40"/>
      <c r="C233" s="40"/>
      <c r="D233" s="40"/>
      <c r="E233" s="40"/>
      <c r="F233" s="40"/>
      <c r="G233" s="40"/>
    </row>
    <row r="234" spans="1:7">
      <c r="A234" s="3"/>
      <c r="B234" s="3"/>
      <c r="C234" s="3"/>
      <c r="D234" s="3"/>
      <c r="E234" s="3"/>
      <c r="F234" s="3"/>
      <c r="G234" s="3"/>
    </row>
    <row r="235" spans="1:7">
      <c r="A235" s="40"/>
      <c r="B235" s="40"/>
      <c r="C235" s="40"/>
      <c r="D235" s="40"/>
      <c r="E235" s="40"/>
      <c r="F235" s="40"/>
      <c r="G235" s="40"/>
    </row>
    <row r="236" spans="1:7">
      <c r="A236" s="40"/>
      <c r="B236" s="40"/>
      <c r="C236" s="40"/>
      <c r="D236" s="40"/>
      <c r="E236" s="40"/>
      <c r="F236" s="40"/>
      <c r="G236" s="40"/>
    </row>
    <row r="237" spans="1:7">
      <c r="A237" s="9"/>
      <c r="B237" s="3"/>
      <c r="C237" s="3"/>
      <c r="D237" s="3"/>
      <c r="E237" s="9"/>
      <c r="F237" s="9"/>
      <c r="G237" s="3"/>
    </row>
    <row r="238" spans="1:7">
      <c r="A238" s="17"/>
      <c r="B238" s="40"/>
      <c r="C238" s="40"/>
      <c r="D238" s="40"/>
      <c r="E238" s="6"/>
      <c r="F238" s="17"/>
      <c r="G238" s="5"/>
    </row>
    <row r="239" spans="1:7">
      <c r="A239" s="17"/>
      <c r="B239" s="32"/>
      <c r="C239" s="32"/>
      <c r="D239" s="40"/>
      <c r="E239" s="6"/>
      <c r="F239" s="17"/>
      <c r="G239" s="5"/>
    </row>
    <row r="240" spans="1:7">
      <c r="A240" s="17"/>
      <c r="B240" s="32"/>
      <c r="C240" s="32"/>
      <c r="D240" s="40"/>
      <c r="E240" s="6"/>
      <c r="F240" s="17"/>
      <c r="G240" s="5"/>
    </row>
    <row r="241" spans="1:7">
      <c r="A241" s="17"/>
      <c r="B241" s="32"/>
      <c r="C241" s="32"/>
      <c r="D241" s="40"/>
      <c r="E241" s="6"/>
      <c r="F241" s="17"/>
      <c r="G241" s="5"/>
    </row>
    <row r="242" spans="1:7">
      <c r="A242" s="17"/>
      <c r="B242" s="32"/>
      <c r="C242" s="32"/>
      <c r="D242" s="40"/>
      <c r="E242" s="6"/>
      <c r="F242" s="17"/>
      <c r="G242" s="5"/>
    </row>
    <row r="243" spans="1:7">
      <c r="A243" s="17"/>
      <c r="B243" s="32"/>
      <c r="C243" s="32"/>
      <c r="D243" s="40"/>
      <c r="E243" s="6"/>
      <c r="F243" s="17"/>
      <c r="G243" s="5"/>
    </row>
    <row r="244" spans="1:7">
      <c r="A244" s="17"/>
      <c r="B244" s="33"/>
      <c r="C244" s="33"/>
      <c r="D244" s="40"/>
      <c r="E244" s="6"/>
      <c r="F244" s="17"/>
      <c r="G244" s="5"/>
    </row>
    <row r="245" spans="1:7">
      <c r="A245" s="17"/>
      <c r="B245" s="32"/>
      <c r="C245" s="32"/>
      <c r="D245" s="40"/>
      <c r="E245" s="6"/>
      <c r="F245" s="17"/>
      <c r="G245" s="5"/>
    </row>
    <row r="246" spans="1:7">
      <c r="A246" s="17"/>
      <c r="B246" s="32"/>
      <c r="C246" s="32"/>
      <c r="D246" s="40"/>
      <c r="E246" s="6"/>
      <c r="F246" s="17"/>
      <c r="G246" s="5"/>
    </row>
    <row r="247" spans="1:7">
      <c r="A247" s="17"/>
      <c r="B247" s="7"/>
      <c r="C247" s="40"/>
      <c r="D247" s="40"/>
      <c r="E247" s="6"/>
      <c r="F247" s="17"/>
      <c r="G247" s="5"/>
    </row>
    <row r="248" spans="1:7">
      <c r="A248" s="17"/>
      <c r="B248" s="7"/>
      <c r="C248" s="40"/>
      <c r="D248" s="40"/>
      <c r="E248" s="6"/>
      <c r="F248" s="17"/>
      <c r="G248" s="5"/>
    </row>
    <row r="249" spans="1:7">
      <c r="A249" s="17"/>
      <c r="B249" s="7"/>
      <c r="C249" s="40"/>
      <c r="D249" s="40"/>
      <c r="E249" s="6"/>
      <c r="F249" s="17"/>
      <c r="G249" s="5"/>
    </row>
    <row r="250" spans="1:7">
      <c r="A250" s="17"/>
      <c r="B250" s="7"/>
      <c r="C250" s="40"/>
      <c r="D250" s="40"/>
      <c r="E250" s="6"/>
      <c r="F250" s="17"/>
      <c r="G250" s="5"/>
    </row>
    <row r="251" spans="1:7">
      <c r="A251" s="17"/>
      <c r="B251" s="29"/>
      <c r="C251" s="36"/>
      <c r="D251" s="40"/>
      <c r="E251" s="6"/>
      <c r="F251" s="17"/>
      <c r="G251" s="5"/>
    </row>
    <row r="252" spans="1:7">
      <c r="A252" s="17"/>
      <c r="B252" s="29"/>
      <c r="C252" s="36"/>
      <c r="D252" s="40"/>
      <c r="E252" s="6"/>
      <c r="F252" s="17"/>
      <c r="G252" s="5"/>
    </row>
    <row r="253" spans="1:7">
      <c r="A253" s="17"/>
      <c r="B253" s="29"/>
      <c r="C253" s="36"/>
      <c r="D253" s="40"/>
      <c r="E253" s="6"/>
      <c r="F253" s="17"/>
      <c r="G253" s="5"/>
    </row>
    <row r="254" spans="1:7">
      <c r="A254" s="17"/>
      <c r="B254" s="29"/>
      <c r="C254" s="36"/>
      <c r="D254" s="40"/>
      <c r="E254" s="6"/>
      <c r="F254" s="17"/>
      <c r="G254" s="5"/>
    </row>
    <row r="255" spans="1:7">
      <c r="A255" s="17"/>
      <c r="B255" s="29"/>
      <c r="C255" s="36"/>
      <c r="D255" s="40"/>
      <c r="E255" s="6"/>
      <c r="F255" s="17"/>
      <c r="G255" s="5"/>
    </row>
    <row r="256" spans="1:7">
      <c r="A256" s="17"/>
      <c r="B256" s="29"/>
      <c r="C256" s="36"/>
      <c r="D256" s="40"/>
      <c r="E256" s="6"/>
      <c r="F256" s="17"/>
      <c r="G256" s="5"/>
    </row>
    <row r="257" spans="1:7">
      <c r="A257" s="17"/>
      <c r="B257" s="29"/>
      <c r="C257" s="36"/>
      <c r="D257" s="40"/>
      <c r="E257" s="6"/>
      <c r="F257" s="17"/>
      <c r="G257" s="40"/>
    </row>
    <row r="258" spans="1:7">
      <c r="A258" s="3"/>
      <c r="B258" s="3"/>
      <c r="C258" s="3"/>
      <c r="D258" s="3"/>
      <c r="E258" s="3"/>
      <c r="F258" s="3"/>
      <c r="G258" s="3"/>
    </row>
    <row r="259" spans="1:7">
      <c r="A259" s="40"/>
      <c r="B259" s="40"/>
      <c r="C259" s="40"/>
      <c r="D259" s="40"/>
      <c r="E259" s="40"/>
      <c r="F259" s="40"/>
      <c r="G259" s="40"/>
    </row>
    <row r="260" spans="1:7" ht="17.25">
      <c r="A260" s="1"/>
      <c r="B260" s="1"/>
      <c r="C260" s="1"/>
      <c r="D260" s="1"/>
      <c r="E260" s="1"/>
      <c r="F260" s="1"/>
      <c r="G260" s="1"/>
    </row>
    <row r="261" spans="1:7">
      <c r="A261" s="25"/>
      <c r="B261" s="25"/>
      <c r="C261" s="25"/>
      <c r="D261" s="25"/>
      <c r="E261" s="25"/>
      <c r="F261" s="25"/>
      <c r="G261" s="25"/>
    </row>
    <row r="262" spans="1:7">
      <c r="A262" s="25"/>
      <c r="B262" s="25"/>
      <c r="C262" s="25"/>
      <c r="D262" s="25"/>
      <c r="E262" s="25"/>
      <c r="F262" s="25"/>
      <c r="G262" s="25"/>
    </row>
    <row r="263" spans="1:7">
      <c r="A263" s="25"/>
      <c r="B263" s="25"/>
      <c r="C263" s="25"/>
      <c r="D263" s="25"/>
      <c r="E263" s="25"/>
      <c r="F263" s="25"/>
      <c r="G263" s="25"/>
    </row>
    <row r="264" spans="1:7">
      <c r="A264" s="25"/>
      <c r="B264" s="25"/>
      <c r="C264" s="25"/>
      <c r="D264" s="25"/>
      <c r="E264" s="25"/>
      <c r="F264" s="25"/>
      <c r="G264" s="25"/>
    </row>
    <row r="265" spans="1:7">
      <c r="A265" s="40"/>
      <c r="B265" s="40"/>
      <c r="C265" s="40"/>
      <c r="D265" s="40"/>
      <c r="E265" s="40"/>
      <c r="F265" s="40"/>
      <c r="G265" s="40"/>
    </row>
    <row r="266" spans="1:7">
      <c r="A266" s="40"/>
      <c r="B266" s="40"/>
      <c r="C266" s="40"/>
      <c r="D266" s="40"/>
      <c r="E266" s="40"/>
      <c r="F266" s="40"/>
      <c r="G266" s="40"/>
    </row>
    <row r="267" spans="1:7">
      <c r="A267" s="40"/>
      <c r="B267" s="40"/>
      <c r="C267" s="40"/>
      <c r="D267" s="40"/>
      <c r="E267" s="40"/>
      <c r="F267" s="40"/>
      <c r="G267" s="40"/>
    </row>
    <row r="268" spans="1:7">
      <c r="A268" s="40"/>
      <c r="B268" s="31"/>
      <c r="C268" s="40"/>
      <c r="D268" s="40"/>
      <c r="E268" s="40"/>
      <c r="F268" s="40"/>
      <c r="G268" s="40"/>
    </row>
    <row r="269" spans="1:7">
      <c r="A269" s="40"/>
      <c r="B269" s="40"/>
      <c r="C269" s="40"/>
      <c r="D269" s="40"/>
      <c r="E269" s="40"/>
      <c r="F269" s="40"/>
      <c r="G269" s="40"/>
    </row>
    <row r="270" spans="1:7">
      <c r="A270" s="40"/>
      <c r="B270" s="40"/>
      <c r="C270" s="40"/>
      <c r="D270" s="40"/>
      <c r="E270" s="40"/>
      <c r="F270" s="40"/>
      <c r="G270" s="40"/>
    </row>
    <row r="271" spans="1:7" ht="33.75">
      <c r="A271" s="11"/>
      <c r="B271" s="40"/>
      <c r="C271" s="40"/>
      <c r="D271" s="40"/>
      <c r="E271" s="40"/>
      <c r="F271" s="40"/>
      <c r="G271" s="40"/>
    </row>
    <row r="272" spans="1:7">
      <c r="A272" s="40"/>
      <c r="B272" s="40"/>
      <c r="C272" s="40"/>
      <c r="D272" s="40"/>
      <c r="E272" s="40"/>
      <c r="F272" s="40"/>
      <c r="G272" s="40"/>
    </row>
    <row r="273" spans="1:7" ht="20.25">
      <c r="A273" s="10"/>
      <c r="B273" s="10"/>
      <c r="C273" s="10"/>
      <c r="D273" s="40"/>
      <c r="E273" s="40"/>
      <c r="F273" s="40"/>
      <c r="G273" s="40"/>
    </row>
    <row r="274" spans="1:7">
      <c r="A274" s="40"/>
      <c r="B274" s="40"/>
      <c r="C274" s="40"/>
      <c r="D274" s="40"/>
      <c r="E274" s="40"/>
      <c r="F274" s="40"/>
      <c r="G274" s="40"/>
    </row>
    <row r="275" spans="1:7">
      <c r="A275" s="40"/>
      <c r="B275" s="40"/>
      <c r="C275" s="40"/>
      <c r="D275" s="40"/>
      <c r="E275" s="40"/>
      <c r="F275" s="40"/>
      <c r="G275" s="40"/>
    </row>
    <row r="276" spans="1:7">
      <c r="A276" s="40"/>
      <c r="B276" s="40"/>
      <c r="C276" s="40"/>
      <c r="D276" s="40"/>
      <c r="E276" s="40"/>
      <c r="F276" s="40"/>
      <c r="G276" s="40"/>
    </row>
    <row r="277" spans="1:7">
      <c r="A277" s="3"/>
      <c r="B277" s="3"/>
      <c r="C277" s="3"/>
      <c r="D277" s="3"/>
      <c r="E277" s="3"/>
      <c r="F277" s="3"/>
      <c r="G277" s="3"/>
    </row>
    <row r="278" spans="1:7">
      <c r="A278" s="40"/>
      <c r="B278" s="40"/>
      <c r="C278" s="40"/>
      <c r="D278" s="40"/>
      <c r="E278" s="40"/>
      <c r="F278" s="40"/>
      <c r="G278" s="40"/>
    </row>
    <row r="279" spans="1:7">
      <c r="A279" s="40"/>
      <c r="B279" s="40"/>
      <c r="C279" s="40"/>
      <c r="D279" s="40"/>
      <c r="E279" s="40"/>
      <c r="F279" s="40"/>
      <c r="G279" s="40"/>
    </row>
    <row r="280" spans="1:7">
      <c r="A280" s="9"/>
      <c r="B280" s="3"/>
      <c r="C280" s="3"/>
      <c r="D280" s="3"/>
      <c r="E280" s="9"/>
      <c r="F280" s="9"/>
      <c r="G280" s="3"/>
    </row>
    <row r="281" spans="1:7">
      <c r="A281" s="17"/>
      <c r="B281" s="40"/>
      <c r="C281" s="40"/>
      <c r="D281" s="40"/>
      <c r="E281" s="6"/>
      <c r="F281" s="17"/>
      <c r="G281" s="5"/>
    </row>
    <row r="282" spans="1:7">
      <c r="A282" s="17"/>
      <c r="B282" s="32"/>
      <c r="C282" s="32"/>
      <c r="D282" s="40"/>
      <c r="E282" s="6"/>
      <c r="F282" s="17"/>
      <c r="G282" s="5"/>
    </row>
    <row r="283" spans="1:7">
      <c r="A283" s="17"/>
      <c r="B283" s="32"/>
      <c r="C283" s="32"/>
      <c r="D283" s="40"/>
      <c r="E283" s="6"/>
      <c r="F283" s="17"/>
      <c r="G283" s="5"/>
    </row>
    <row r="284" spans="1:7">
      <c r="A284" s="17"/>
      <c r="B284" s="32"/>
      <c r="C284" s="32"/>
      <c r="D284" s="40"/>
      <c r="E284" s="6"/>
      <c r="F284" s="17"/>
      <c r="G284" s="5"/>
    </row>
    <row r="285" spans="1:7">
      <c r="A285" s="17"/>
      <c r="B285" s="32"/>
      <c r="C285" s="32"/>
      <c r="D285" s="40"/>
      <c r="E285" s="6"/>
      <c r="F285" s="17"/>
      <c r="G285" s="5"/>
    </row>
    <row r="286" spans="1:7">
      <c r="A286" s="17"/>
      <c r="B286" s="32"/>
      <c r="C286" s="32"/>
      <c r="D286" s="40"/>
      <c r="E286" s="6"/>
      <c r="F286" s="17"/>
      <c r="G286" s="5"/>
    </row>
    <row r="287" spans="1:7">
      <c r="A287" s="17"/>
      <c r="B287" s="33"/>
      <c r="C287" s="33"/>
      <c r="D287" s="40"/>
      <c r="E287" s="6"/>
      <c r="F287" s="17"/>
      <c r="G287" s="5"/>
    </row>
    <row r="288" spans="1:7">
      <c r="A288" s="17"/>
      <c r="B288" s="32"/>
      <c r="C288" s="32"/>
      <c r="D288" s="40"/>
      <c r="E288" s="6"/>
      <c r="F288" s="17"/>
      <c r="G288" s="5"/>
    </row>
    <row r="289" spans="1:7">
      <c r="A289" s="17"/>
      <c r="B289" s="32"/>
      <c r="C289" s="32"/>
      <c r="D289" s="40"/>
      <c r="E289" s="6"/>
      <c r="F289" s="17"/>
      <c r="G289" s="5"/>
    </row>
    <row r="290" spans="1:7">
      <c r="A290" s="17"/>
      <c r="B290" s="7"/>
      <c r="C290" s="40"/>
      <c r="D290" s="40"/>
      <c r="E290" s="6"/>
      <c r="F290" s="17"/>
      <c r="G290" s="5"/>
    </row>
    <row r="291" spans="1:7">
      <c r="A291" s="17"/>
      <c r="B291" s="7"/>
      <c r="C291" s="40"/>
      <c r="D291" s="40"/>
      <c r="E291" s="6"/>
      <c r="F291" s="17"/>
      <c r="G291" s="5"/>
    </row>
    <row r="292" spans="1:7">
      <c r="A292" s="17"/>
      <c r="B292" s="7"/>
      <c r="C292" s="40"/>
      <c r="D292" s="40"/>
      <c r="E292" s="6"/>
      <c r="F292" s="17"/>
      <c r="G292" s="5"/>
    </row>
    <row r="293" spans="1:7">
      <c r="A293" s="17"/>
      <c r="B293" s="7"/>
      <c r="C293" s="40"/>
      <c r="D293" s="40"/>
      <c r="E293" s="6"/>
      <c r="F293" s="17"/>
      <c r="G293" s="5"/>
    </row>
    <row r="294" spans="1:7">
      <c r="A294" s="17"/>
      <c r="B294" s="29"/>
      <c r="C294" s="36"/>
      <c r="D294" s="40"/>
      <c r="E294" s="6"/>
      <c r="F294" s="17"/>
      <c r="G294" s="5"/>
    </row>
    <row r="295" spans="1:7">
      <c r="A295" s="17"/>
      <c r="B295" s="29"/>
      <c r="C295" s="36"/>
      <c r="D295" s="40"/>
      <c r="E295" s="6"/>
      <c r="F295" s="17"/>
      <c r="G295" s="5"/>
    </row>
    <row r="296" spans="1:7">
      <c r="A296" s="17"/>
      <c r="B296" s="29"/>
      <c r="C296" s="36"/>
      <c r="D296" s="40"/>
      <c r="E296" s="6"/>
      <c r="F296" s="17"/>
      <c r="G296" s="5"/>
    </row>
    <row r="297" spans="1:7">
      <c r="A297" s="17"/>
      <c r="B297" s="29"/>
      <c r="C297" s="36"/>
      <c r="D297" s="40"/>
      <c r="E297" s="6"/>
      <c r="F297" s="17"/>
      <c r="G297" s="5"/>
    </row>
    <row r="298" spans="1:7">
      <c r="A298" s="17"/>
      <c r="B298" s="29"/>
      <c r="C298" s="36"/>
      <c r="D298" s="40"/>
      <c r="E298" s="6"/>
      <c r="F298" s="17"/>
      <c r="G298" s="5"/>
    </row>
    <row r="299" spans="1:7">
      <c r="A299" s="17"/>
      <c r="B299" s="29"/>
      <c r="C299" s="36"/>
      <c r="D299" s="40"/>
      <c r="E299" s="6"/>
      <c r="F299" s="17"/>
      <c r="G299" s="5"/>
    </row>
    <row r="300" spans="1:7">
      <c r="A300" s="17"/>
      <c r="B300" s="29"/>
      <c r="C300" s="36"/>
      <c r="D300" s="40"/>
      <c r="E300" s="6"/>
      <c r="F300" s="17"/>
      <c r="G300" s="40"/>
    </row>
    <row r="301" spans="1:7">
      <c r="A301" s="3"/>
      <c r="B301" s="3"/>
      <c r="C301" s="3"/>
      <c r="D301" s="3"/>
      <c r="E301" s="3"/>
      <c r="F301" s="3"/>
      <c r="G301" s="3"/>
    </row>
    <row r="302" spans="1:7">
      <c r="A302" s="40"/>
      <c r="B302" s="40"/>
      <c r="C302" s="40"/>
      <c r="D302" s="40"/>
      <c r="E302" s="40"/>
      <c r="F302" s="40"/>
      <c r="G302" s="40"/>
    </row>
    <row r="303" spans="1:7" ht="17.25">
      <c r="A303" s="1"/>
      <c r="B303" s="1"/>
      <c r="C303" s="1"/>
      <c r="D303" s="1"/>
      <c r="E303" s="1"/>
      <c r="F303" s="1"/>
      <c r="G303" s="1"/>
    </row>
    <row r="304" spans="1:7">
      <c r="A304" s="25"/>
      <c r="B304" s="25"/>
      <c r="C304" s="25"/>
      <c r="D304" s="25"/>
      <c r="E304" s="25"/>
      <c r="F304" s="25"/>
      <c r="G304" s="25"/>
    </row>
    <row r="305" spans="1:7">
      <c r="A305" s="25"/>
      <c r="B305" s="25"/>
      <c r="C305" s="25"/>
      <c r="D305" s="25"/>
      <c r="E305" s="25"/>
      <c r="F305" s="25"/>
      <c r="G305" s="25"/>
    </row>
    <row r="306" spans="1:7">
      <c r="A306" s="25"/>
      <c r="B306" s="25"/>
      <c r="C306" s="25"/>
      <c r="D306" s="25"/>
      <c r="E306" s="25"/>
      <c r="F306" s="25"/>
      <c r="G306" s="25"/>
    </row>
    <row r="307" spans="1:7">
      <c r="A307" s="25"/>
      <c r="B307" s="25"/>
      <c r="C307" s="25"/>
      <c r="D307" s="25"/>
      <c r="E307" s="25"/>
      <c r="F307" s="25"/>
      <c r="G307" s="25"/>
    </row>
    <row r="308" spans="1:7">
      <c r="A308" s="40"/>
      <c r="B308" s="40"/>
      <c r="C308" s="40"/>
      <c r="D308" s="40"/>
      <c r="E308" s="40"/>
      <c r="F308" s="40"/>
      <c r="G308" s="40"/>
    </row>
    <row r="309" spans="1:7">
      <c r="A309" s="40"/>
      <c r="B309" s="40"/>
      <c r="C309" s="40"/>
      <c r="D309" s="40"/>
      <c r="E309" s="40"/>
      <c r="F309" s="40"/>
      <c r="G309" s="40"/>
    </row>
    <row r="310" spans="1:7">
      <c r="A310" s="40"/>
      <c r="B310" s="40"/>
      <c r="C310" s="40"/>
      <c r="D310" s="40"/>
      <c r="E310" s="40"/>
      <c r="F310" s="40"/>
      <c r="G310" s="40"/>
    </row>
    <row r="311" spans="1:7">
      <c r="A311" s="40"/>
      <c r="B311" s="31"/>
      <c r="C311" s="40"/>
      <c r="D311" s="40"/>
      <c r="E311" s="40"/>
      <c r="F311" s="40"/>
      <c r="G311" s="40"/>
    </row>
    <row r="312" spans="1:7">
      <c r="A312" s="40"/>
      <c r="B312" s="40"/>
      <c r="C312" s="40"/>
      <c r="D312" s="40"/>
      <c r="E312" s="40"/>
      <c r="F312" s="40"/>
      <c r="G312" s="40"/>
    </row>
    <row r="313" spans="1:7">
      <c r="A313" s="40"/>
      <c r="B313" s="40"/>
      <c r="C313" s="40"/>
      <c r="D313" s="40"/>
      <c r="E313" s="40"/>
      <c r="F313" s="40"/>
      <c r="G313" s="40"/>
    </row>
    <row r="314" spans="1:7" ht="33.75">
      <c r="A314" s="11"/>
      <c r="B314" s="40"/>
      <c r="C314" s="40"/>
      <c r="D314" s="40"/>
      <c r="E314" s="40"/>
      <c r="F314" s="40"/>
      <c r="G314" s="40"/>
    </row>
    <row r="315" spans="1:7">
      <c r="A315" s="40"/>
      <c r="B315" s="40"/>
      <c r="C315" s="40"/>
      <c r="D315" s="40"/>
      <c r="E315" s="40"/>
      <c r="F315" s="40"/>
      <c r="G315" s="40"/>
    </row>
    <row r="316" spans="1:7" ht="20.25">
      <c r="A316" s="10"/>
      <c r="B316" s="10"/>
      <c r="C316" s="10"/>
      <c r="D316" s="40"/>
      <c r="E316" s="40"/>
      <c r="F316" s="40"/>
      <c r="G316" s="40"/>
    </row>
    <row r="317" spans="1:7">
      <c r="A317" s="40"/>
      <c r="B317" s="40"/>
      <c r="C317" s="40"/>
      <c r="D317" s="40"/>
      <c r="E317" s="40"/>
      <c r="F317" s="40"/>
      <c r="G317" s="40"/>
    </row>
    <row r="318" spans="1:7">
      <c r="A318" s="40"/>
      <c r="B318" s="40"/>
      <c r="C318" s="40"/>
      <c r="D318" s="40"/>
      <c r="E318" s="40"/>
      <c r="F318" s="40"/>
      <c r="G318" s="40"/>
    </row>
    <row r="319" spans="1:7">
      <c r="A319" s="40"/>
      <c r="B319" s="40"/>
      <c r="C319" s="40"/>
      <c r="D319" s="40"/>
      <c r="E319" s="40"/>
      <c r="F319" s="40"/>
      <c r="G319" s="40"/>
    </row>
    <row r="320" spans="1:7">
      <c r="A320" s="3"/>
      <c r="B320" s="3"/>
      <c r="C320" s="3"/>
      <c r="D320" s="3"/>
      <c r="E320" s="3"/>
      <c r="F320" s="3"/>
      <c r="G320" s="3"/>
    </row>
    <row r="321" spans="1:7">
      <c r="A321" s="40"/>
      <c r="B321" s="40"/>
      <c r="C321" s="40"/>
      <c r="D321" s="40"/>
      <c r="E321" s="40"/>
      <c r="F321" s="40"/>
      <c r="G321" s="40"/>
    </row>
    <row r="322" spans="1:7">
      <c r="A322" s="40"/>
      <c r="B322" s="40"/>
      <c r="C322" s="40"/>
      <c r="D322" s="40"/>
      <c r="E322" s="40"/>
      <c r="F322" s="40"/>
      <c r="G322" s="40"/>
    </row>
    <row r="323" spans="1:7">
      <c r="A323" s="9"/>
      <c r="B323" s="3"/>
      <c r="C323" s="3"/>
      <c r="D323" s="3"/>
      <c r="E323" s="9"/>
      <c r="F323" s="9"/>
      <c r="G323" s="3"/>
    </row>
    <row r="324" spans="1:7">
      <c r="A324" s="17"/>
      <c r="B324" s="40"/>
      <c r="C324" s="40"/>
      <c r="D324" s="40"/>
      <c r="E324" s="6"/>
      <c r="F324" s="17"/>
      <c r="G324" s="5"/>
    </row>
    <row r="325" spans="1:7">
      <c r="A325" s="17"/>
      <c r="B325" s="32"/>
      <c r="C325" s="32"/>
      <c r="D325" s="40"/>
      <c r="E325" s="6"/>
      <c r="F325" s="17"/>
      <c r="G325" s="5"/>
    </row>
    <row r="326" spans="1:7">
      <c r="A326" s="17"/>
      <c r="B326" s="32"/>
      <c r="C326" s="32"/>
      <c r="D326" s="40"/>
      <c r="E326" s="6"/>
      <c r="F326" s="17"/>
      <c r="G326" s="5"/>
    </row>
    <row r="327" spans="1:7">
      <c r="A327" s="17"/>
      <c r="B327" s="32"/>
      <c r="C327" s="32"/>
      <c r="D327" s="40"/>
      <c r="E327" s="6"/>
      <c r="F327" s="17"/>
      <c r="G327" s="5"/>
    </row>
    <row r="328" spans="1:7">
      <c r="A328" s="17"/>
      <c r="B328" s="32"/>
      <c r="C328" s="32"/>
      <c r="D328" s="40"/>
      <c r="E328" s="6"/>
      <c r="F328" s="17"/>
      <c r="G328" s="5"/>
    </row>
    <row r="329" spans="1:7">
      <c r="A329" s="17"/>
      <c r="B329" s="32"/>
      <c r="C329" s="32"/>
      <c r="D329" s="40"/>
      <c r="E329" s="6"/>
      <c r="F329" s="17"/>
      <c r="G329" s="5"/>
    </row>
    <row r="330" spans="1:7">
      <c r="A330" s="17"/>
      <c r="B330" s="32"/>
      <c r="C330" s="32"/>
      <c r="D330" s="40"/>
      <c r="E330" s="6"/>
      <c r="F330" s="17"/>
      <c r="G330" s="5"/>
    </row>
    <row r="331" spans="1:7">
      <c r="A331" s="17"/>
      <c r="B331" s="32"/>
      <c r="C331" s="32"/>
      <c r="D331" s="40"/>
      <c r="E331" s="6"/>
      <c r="F331" s="17"/>
      <c r="G331" s="5"/>
    </row>
    <row r="332" spans="1:7">
      <c r="A332" s="17"/>
      <c r="B332" s="32"/>
      <c r="C332" s="32"/>
      <c r="D332" s="40"/>
      <c r="E332" s="6"/>
      <c r="F332" s="17"/>
      <c r="G332" s="5"/>
    </row>
    <row r="333" spans="1:7">
      <c r="A333" s="17"/>
      <c r="B333" s="7"/>
      <c r="C333" s="40"/>
      <c r="D333" s="40"/>
      <c r="E333" s="6"/>
      <c r="F333" s="17"/>
      <c r="G333" s="5"/>
    </row>
    <row r="334" spans="1:7">
      <c r="A334" s="17"/>
      <c r="B334" s="7"/>
      <c r="C334" s="40"/>
      <c r="D334" s="40"/>
      <c r="E334" s="6"/>
      <c r="F334" s="17"/>
      <c r="G334" s="5"/>
    </row>
    <row r="335" spans="1:7">
      <c r="A335" s="17"/>
      <c r="B335" s="7"/>
      <c r="C335" s="40"/>
      <c r="D335" s="40"/>
      <c r="E335" s="6"/>
      <c r="F335" s="17"/>
      <c r="G335" s="5"/>
    </row>
    <row r="336" spans="1:7">
      <c r="A336" s="17"/>
      <c r="B336" s="7"/>
      <c r="C336" s="40"/>
      <c r="D336" s="40"/>
      <c r="E336" s="6"/>
      <c r="F336" s="17"/>
      <c r="G336" s="5"/>
    </row>
    <row r="337" spans="1:7">
      <c r="A337" s="17"/>
      <c r="B337" s="29"/>
      <c r="C337" s="36"/>
      <c r="D337" s="40"/>
      <c r="E337" s="6"/>
      <c r="F337" s="17"/>
      <c r="G337" s="5"/>
    </row>
    <row r="338" spans="1:7">
      <c r="A338" s="17"/>
      <c r="B338" s="29"/>
      <c r="C338" s="36"/>
      <c r="D338" s="40"/>
      <c r="E338" s="6"/>
      <c r="F338" s="17"/>
      <c r="G338" s="5"/>
    </row>
    <row r="339" spans="1:7">
      <c r="A339" s="17"/>
      <c r="B339" s="29"/>
      <c r="C339" s="36"/>
      <c r="D339" s="40"/>
      <c r="E339" s="6"/>
      <c r="F339" s="17"/>
      <c r="G339" s="5"/>
    </row>
    <row r="340" spans="1:7">
      <c r="A340" s="17"/>
      <c r="B340" s="29"/>
      <c r="C340" s="36"/>
      <c r="D340" s="40"/>
      <c r="E340" s="6"/>
      <c r="F340" s="17"/>
      <c r="G340" s="5"/>
    </row>
    <row r="341" spans="1:7">
      <c r="A341" s="17"/>
      <c r="B341" s="29"/>
      <c r="C341" s="36"/>
      <c r="D341" s="40"/>
      <c r="E341" s="6"/>
      <c r="F341" s="17"/>
      <c r="G341" s="5"/>
    </row>
    <row r="342" spans="1:7">
      <c r="A342" s="17"/>
      <c r="B342" s="29"/>
      <c r="C342" s="36"/>
      <c r="D342" s="40"/>
      <c r="E342" s="6"/>
      <c r="F342" s="17"/>
      <c r="G342" s="5"/>
    </row>
    <row r="343" spans="1:7">
      <c r="A343" s="17"/>
      <c r="B343" s="29"/>
      <c r="C343" s="36"/>
      <c r="D343" s="40"/>
      <c r="E343" s="6"/>
      <c r="F343" s="17"/>
      <c r="G343" s="40"/>
    </row>
    <row r="344" spans="1:7">
      <c r="A344" s="3"/>
      <c r="B344" s="3"/>
      <c r="C344" s="3"/>
      <c r="D344" s="3"/>
      <c r="E344" s="3"/>
      <c r="F344" s="3"/>
      <c r="G344" s="3"/>
    </row>
    <row r="345" spans="1:7">
      <c r="A345" s="40"/>
      <c r="B345" s="40"/>
      <c r="C345" s="40"/>
      <c r="D345" s="40"/>
      <c r="E345" s="40"/>
      <c r="F345" s="40"/>
      <c r="G345" s="40"/>
    </row>
    <row r="346" spans="1:7" ht="17.25">
      <c r="A346" s="1"/>
      <c r="B346" s="1"/>
      <c r="C346" s="1"/>
      <c r="D346" s="1"/>
      <c r="E346" s="1"/>
      <c r="F346" s="1"/>
      <c r="G346" s="1"/>
    </row>
    <row r="347" spans="1:7">
      <c r="A347" s="25"/>
      <c r="B347" s="25"/>
      <c r="C347" s="25"/>
      <c r="D347" s="25"/>
      <c r="E347" s="25"/>
      <c r="F347" s="25"/>
      <c r="G347" s="25"/>
    </row>
    <row r="348" spans="1:7">
      <c r="A348" s="25"/>
      <c r="B348" s="25"/>
      <c r="C348" s="25"/>
      <c r="D348" s="25"/>
      <c r="E348" s="25"/>
      <c r="F348" s="25"/>
      <c r="G348" s="25"/>
    </row>
    <row r="349" spans="1:7">
      <c r="A349" s="25"/>
      <c r="B349" s="25"/>
      <c r="C349" s="25"/>
      <c r="D349" s="25"/>
      <c r="E349" s="25"/>
      <c r="F349" s="25"/>
      <c r="G349" s="25"/>
    </row>
    <row r="350" spans="1:7">
      <c r="A350" s="25"/>
      <c r="B350" s="25"/>
      <c r="C350" s="25"/>
      <c r="D350" s="25"/>
      <c r="E350" s="25"/>
      <c r="F350" s="25"/>
      <c r="G350" s="25"/>
    </row>
    <row r="351" spans="1:7">
      <c r="A351" s="40"/>
      <c r="B351" s="40"/>
      <c r="C351" s="40"/>
      <c r="D351" s="40"/>
      <c r="E351" s="40"/>
      <c r="F351" s="40"/>
      <c r="G351" s="40"/>
    </row>
    <row r="352" spans="1:7">
      <c r="A352" s="40"/>
      <c r="B352" s="40"/>
      <c r="C352" s="40"/>
      <c r="D352" s="40"/>
      <c r="E352" s="40"/>
      <c r="F352" s="40"/>
      <c r="G352" s="40"/>
    </row>
    <row r="353" spans="1:7">
      <c r="A353" s="40"/>
      <c r="B353" s="40"/>
      <c r="C353" s="40"/>
      <c r="D353" s="40"/>
      <c r="E353" s="40"/>
      <c r="F353" s="40"/>
      <c r="G353" s="40"/>
    </row>
    <row r="354" spans="1:7">
      <c r="A354" s="40"/>
      <c r="B354" s="31"/>
      <c r="C354" s="40"/>
      <c r="D354" s="40"/>
      <c r="E354" s="40"/>
      <c r="F354" s="40"/>
      <c r="G354" s="40"/>
    </row>
    <row r="355" spans="1:7">
      <c r="A355" s="40"/>
      <c r="B355" s="40"/>
      <c r="C355" s="40"/>
      <c r="D355" s="40"/>
      <c r="E355" s="40"/>
      <c r="F355" s="40"/>
      <c r="G355" s="40"/>
    </row>
    <row r="356" spans="1:7">
      <c r="A356" s="40"/>
      <c r="B356" s="40"/>
      <c r="C356" s="40"/>
      <c r="D356" s="40"/>
      <c r="E356" s="40"/>
      <c r="F356" s="40"/>
      <c r="G356" s="40"/>
    </row>
    <row r="357" spans="1:7" ht="33.75">
      <c r="A357" s="11"/>
      <c r="B357" s="40"/>
      <c r="C357" s="40"/>
      <c r="D357" s="40"/>
      <c r="E357" s="40"/>
      <c r="F357" s="40"/>
      <c r="G357" s="40"/>
    </row>
    <row r="358" spans="1:7">
      <c r="A358" s="40"/>
      <c r="B358" s="40"/>
      <c r="C358" s="40"/>
      <c r="D358" s="40"/>
      <c r="E358" s="40"/>
      <c r="F358" s="40"/>
      <c r="G358" s="40"/>
    </row>
    <row r="359" spans="1:7" ht="20.25">
      <c r="A359" s="10"/>
      <c r="B359" s="10"/>
      <c r="C359" s="10"/>
      <c r="D359" s="40"/>
      <c r="E359" s="40"/>
      <c r="F359" s="40"/>
      <c r="G359" s="40"/>
    </row>
    <row r="360" spans="1:7">
      <c r="A360" s="40"/>
      <c r="B360" s="40"/>
      <c r="C360" s="40"/>
      <c r="D360" s="40"/>
      <c r="E360" s="40"/>
      <c r="F360" s="40"/>
      <c r="G360" s="40"/>
    </row>
    <row r="361" spans="1:7">
      <c r="A361" s="40"/>
      <c r="B361" s="40"/>
      <c r="C361" s="40"/>
      <c r="D361" s="40"/>
      <c r="E361" s="40"/>
      <c r="F361" s="40"/>
      <c r="G361" s="40"/>
    </row>
    <row r="362" spans="1:7">
      <c r="A362" s="40"/>
      <c r="B362" s="40"/>
      <c r="C362" s="40"/>
      <c r="D362" s="40"/>
      <c r="E362" s="40"/>
      <c r="F362" s="40"/>
      <c r="G362" s="40"/>
    </row>
    <row r="363" spans="1:7">
      <c r="A363" s="3"/>
      <c r="B363" s="3"/>
      <c r="C363" s="3"/>
      <c r="D363" s="3"/>
      <c r="E363" s="3"/>
      <c r="F363" s="3"/>
      <c r="G363" s="3"/>
    </row>
    <row r="364" spans="1:7">
      <c r="A364" s="40"/>
      <c r="B364" s="40"/>
      <c r="C364" s="40"/>
      <c r="D364" s="40"/>
      <c r="E364" s="40"/>
      <c r="F364" s="40"/>
      <c r="G364" s="40"/>
    </row>
    <row r="365" spans="1:7">
      <c r="A365" s="40"/>
      <c r="B365" s="40"/>
      <c r="C365" s="40"/>
      <c r="D365" s="40"/>
      <c r="E365" s="40"/>
      <c r="F365" s="40"/>
      <c r="G365" s="40"/>
    </row>
    <row r="366" spans="1:7">
      <c r="A366" s="9"/>
      <c r="B366" s="3"/>
      <c r="C366" s="3"/>
      <c r="D366" s="3"/>
      <c r="E366" s="9"/>
      <c r="F366" s="9"/>
      <c r="G366" s="3"/>
    </row>
    <row r="367" spans="1:7">
      <c r="A367" s="17"/>
      <c r="B367" s="40"/>
      <c r="C367" s="40"/>
      <c r="D367" s="40"/>
      <c r="E367" s="6"/>
      <c r="F367" s="17"/>
      <c r="G367" s="5"/>
    </row>
    <row r="368" spans="1:7">
      <c r="A368" s="17"/>
      <c r="B368" s="32"/>
      <c r="C368" s="32"/>
      <c r="D368" s="40"/>
      <c r="E368" s="6"/>
      <c r="F368" s="17"/>
      <c r="G368" s="5"/>
    </row>
    <row r="369" spans="1:7">
      <c r="A369" s="17"/>
      <c r="B369" s="32"/>
      <c r="C369" s="32"/>
      <c r="D369" s="40"/>
      <c r="E369" s="6"/>
      <c r="F369" s="17"/>
      <c r="G369" s="5"/>
    </row>
    <row r="370" spans="1:7">
      <c r="A370" s="17"/>
      <c r="B370" s="32"/>
      <c r="C370" s="32"/>
      <c r="D370" s="40"/>
      <c r="E370" s="6"/>
      <c r="F370" s="17"/>
      <c r="G370" s="5"/>
    </row>
    <row r="371" spans="1:7">
      <c r="A371" s="17"/>
      <c r="B371" s="32"/>
      <c r="C371" s="32"/>
      <c r="D371" s="40"/>
      <c r="E371" s="6"/>
      <c r="F371" s="17"/>
      <c r="G371" s="5"/>
    </row>
    <row r="372" spans="1:7">
      <c r="A372" s="17"/>
      <c r="B372" s="32"/>
      <c r="C372" s="32"/>
      <c r="D372" s="40"/>
      <c r="E372" s="6"/>
      <c r="F372" s="12"/>
      <c r="G372" s="5"/>
    </row>
    <row r="373" spans="1:7">
      <c r="A373" s="17"/>
      <c r="B373" s="32"/>
      <c r="C373" s="32"/>
      <c r="D373" s="40"/>
      <c r="E373" s="6"/>
      <c r="F373" s="12"/>
      <c r="G373" s="5"/>
    </row>
    <row r="374" spans="1:7">
      <c r="A374" s="17"/>
      <c r="B374" s="32"/>
      <c r="C374" s="32"/>
      <c r="D374" s="40"/>
      <c r="E374" s="6"/>
      <c r="F374" s="17"/>
      <c r="G374" s="5"/>
    </row>
    <row r="375" spans="1:7">
      <c r="A375" s="17"/>
      <c r="B375" s="32"/>
      <c r="C375" s="32"/>
      <c r="D375" s="40"/>
      <c r="E375" s="6"/>
      <c r="F375" s="17"/>
      <c r="G375" s="5"/>
    </row>
    <row r="376" spans="1:7">
      <c r="A376" s="17"/>
      <c r="B376" s="7"/>
      <c r="C376" s="40"/>
      <c r="D376" s="40"/>
      <c r="E376" s="6"/>
      <c r="F376" s="17"/>
      <c r="G376" s="5"/>
    </row>
    <row r="377" spans="1:7">
      <c r="A377" s="17"/>
      <c r="B377" s="7"/>
      <c r="C377" s="40"/>
      <c r="D377" s="40"/>
      <c r="E377" s="6"/>
      <c r="F377" s="17"/>
      <c r="G377" s="5"/>
    </row>
    <row r="378" spans="1:7">
      <c r="A378" s="17"/>
      <c r="B378" s="7"/>
      <c r="C378" s="40"/>
      <c r="D378" s="40"/>
      <c r="E378" s="6"/>
      <c r="F378" s="17"/>
      <c r="G378" s="5"/>
    </row>
    <row r="379" spans="1:7">
      <c r="A379" s="17"/>
      <c r="B379" s="7"/>
      <c r="C379" s="40"/>
      <c r="D379" s="40"/>
      <c r="E379" s="6"/>
      <c r="F379" s="17"/>
      <c r="G379" s="5"/>
    </row>
    <row r="380" spans="1:7">
      <c r="A380" s="17"/>
      <c r="B380" s="29"/>
      <c r="C380" s="36"/>
      <c r="D380" s="40"/>
      <c r="E380" s="6"/>
      <c r="F380" s="17"/>
      <c r="G380" s="5"/>
    </row>
    <row r="381" spans="1:7">
      <c r="A381" s="17"/>
      <c r="B381" s="29"/>
      <c r="C381" s="36"/>
      <c r="D381" s="40"/>
      <c r="E381" s="6"/>
      <c r="F381" s="17"/>
      <c r="G381" s="5"/>
    </row>
    <row r="382" spans="1:7">
      <c r="A382" s="17"/>
      <c r="B382" s="29"/>
      <c r="C382" s="36"/>
      <c r="D382" s="40"/>
      <c r="E382" s="6"/>
      <c r="F382" s="17"/>
      <c r="G382" s="5"/>
    </row>
    <row r="383" spans="1:7">
      <c r="A383" s="17"/>
      <c r="B383" s="29"/>
      <c r="C383" s="36"/>
      <c r="D383" s="40"/>
      <c r="E383" s="6"/>
      <c r="F383" s="17"/>
      <c r="G383" s="5"/>
    </row>
    <row r="384" spans="1:7">
      <c r="A384" s="17"/>
      <c r="B384" s="29"/>
      <c r="C384" s="36"/>
      <c r="D384" s="40"/>
      <c r="E384" s="6"/>
      <c r="F384" s="17"/>
      <c r="G384" s="5"/>
    </row>
    <row r="385" spans="1:7">
      <c r="A385" s="17"/>
      <c r="B385" s="29"/>
      <c r="C385" s="36"/>
      <c r="D385" s="40"/>
      <c r="E385" s="6"/>
      <c r="F385" s="17"/>
      <c r="G385" s="40"/>
    </row>
    <row r="386" spans="1:7">
      <c r="A386" s="40"/>
      <c r="B386" s="40"/>
      <c r="C386" s="40"/>
      <c r="D386" s="40"/>
      <c r="E386" s="40"/>
      <c r="F386" s="40"/>
      <c r="G386" s="40"/>
    </row>
    <row r="387" spans="1:7">
      <c r="A387" s="3"/>
      <c r="B387" s="3"/>
      <c r="C387" s="3"/>
      <c r="D387" s="3"/>
      <c r="E387" s="3"/>
      <c r="F387" s="3"/>
      <c r="G387" s="3"/>
    </row>
    <row r="388" spans="1:7">
      <c r="A388" s="40"/>
      <c r="B388" s="40"/>
      <c r="C388" s="40"/>
      <c r="D388" s="40"/>
      <c r="E388" s="40"/>
      <c r="F388" s="40"/>
      <c r="G388" s="40"/>
    </row>
    <row r="389" spans="1:7" ht="17.25">
      <c r="A389" s="1"/>
      <c r="B389" s="1"/>
      <c r="C389" s="1"/>
      <c r="D389" s="1"/>
      <c r="E389" s="1"/>
      <c r="F389" s="1"/>
      <c r="G389" s="1"/>
    </row>
    <row r="390" spans="1:7">
      <c r="A390" s="25"/>
      <c r="B390" s="25"/>
      <c r="C390" s="25"/>
      <c r="D390" s="25"/>
      <c r="E390" s="25"/>
      <c r="F390" s="25"/>
      <c r="G390" s="25"/>
    </row>
    <row r="391" spans="1:7">
      <c r="A391" s="25"/>
      <c r="B391" s="25"/>
      <c r="C391" s="25"/>
      <c r="D391" s="25"/>
      <c r="E391" s="25"/>
      <c r="F391" s="25"/>
      <c r="G391" s="25"/>
    </row>
    <row r="392" spans="1:7">
      <c r="A392" s="25"/>
      <c r="B392" s="25"/>
      <c r="C392" s="25"/>
      <c r="D392" s="25"/>
      <c r="E392" s="25"/>
      <c r="F392" s="25"/>
      <c r="G392" s="25"/>
    </row>
    <row r="393" spans="1:7">
      <c r="A393" s="25"/>
      <c r="B393" s="25"/>
      <c r="C393" s="25"/>
      <c r="D393" s="25"/>
      <c r="E393" s="25"/>
      <c r="F393" s="25"/>
      <c r="G393" s="25"/>
    </row>
    <row r="394" spans="1:7">
      <c r="A394" s="40"/>
      <c r="B394" s="40"/>
      <c r="C394" s="40"/>
      <c r="D394" s="40"/>
      <c r="E394" s="40"/>
      <c r="F394" s="40"/>
      <c r="G394" s="40"/>
    </row>
    <row r="395" spans="1:7">
      <c r="A395" s="40"/>
      <c r="B395" s="40"/>
      <c r="C395" s="40"/>
      <c r="D395" s="40"/>
      <c r="E395" s="40"/>
      <c r="F395" s="40"/>
      <c r="G395" s="40"/>
    </row>
    <row r="396" spans="1:7">
      <c r="A396" s="40"/>
      <c r="B396" s="40"/>
      <c r="C396" s="40"/>
      <c r="D396" s="40"/>
      <c r="E396" s="40"/>
      <c r="F396" s="40"/>
      <c r="G396" s="40"/>
    </row>
    <row r="397" spans="1:7">
      <c r="A397" s="40"/>
      <c r="B397" s="31"/>
      <c r="C397" s="40"/>
      <c r="D397" s="40"/>
      <c r="E397" s="40"/>
      <c r="F397" s="40"/>
      <c r="G397" s="40"/>
    </row>
    <row r="398" spans="1:7">
      <c r="A398" s="38"/>
      <c r="B398" s="38"/>
      <c r="C398" s="38"/>
      <c r="D398" s="38"/>
      <c r="E398" s="38"/>
      <c r="F398" s="38"/>
      <c r="G398" s="38"/>
    </row>
    <row r="399" spans="1:7">
      <c r="A399" s="40"/>
      <c r="B399" s="40"/>
      <c r="C399" s="40"/>
      <c r="D399" s="40"/>
      <c r="E399" s="40"/>
      <c r="F399" s="40"/>
      <c r="G399" s="40"/>
    </row>
    <row r="400" spans="1:7" ht="33.75">
      <c r="A400" s="11"/>
      <c r="B400" s="40"/>
      <c r="C400" s="40"/>
      <c r="D400" s="40"/>
      <c r="E400" s="40"/>
      <c r="F400" s="40"/>
      <c r="G400" s="40"/>
    </row>
    <row r="401" spans="1:7">
      <c r="A401" s="40"/>
      <c r="B401" s="40"/>
      <c r="C401" s="40"/>
      <c r="D401" s="40"/>
      <c r="E401" s="40"/>
      <c r="F401" s="40"/>
      <c r="G401" s="40"/>
    </row>
    <row r="402" spans="1:7" ht="20.25">
      <c r="A402" s="10"/>
      <c r="B402" s="10"/>
      <c r="C402" s="10"/>
      <c r="D402" s="40"/>
      <c r="E402" s="40"/>
      <c r="F402" s="40"/>
      <c r="G402" s="40"/>
    </row>
    <row r="403" spans="1:7">
      <c r="A403" s="40"/>
      <c r="B403" s="40"/>
      <c r="C403" s="40"/>
      <c r="D403" s="40"/>
      <c r="E403" s="40"/>
      <c r="F403" s="40"/>
      <c r="G403" s="40"/>
    </row>
    <row r="404" spans="1:7">
      <c r="A404" s="40"/>
      <c r="B404" s="40"/>
      <c r="C404" s="40"/>
      <c r="D404" s="40"/>
      <c r="E404" s="40"/>
      <c r="F404" s="40"/>
      <c r="G404" s="40"/>
    </row>
    <row r="405" spans="1:7">
      <c r="A405" s="40"/>
      <c r="B405" s="40"/>
      <c r="C405" s="40"/>
      <c r="D405" s="40"/>
      <c r="E405" s="40"/>
      <c r="F405" s="40"/>
      <c r="G405" s="40"/>
    </row>
    <row r="406" spans="1:7">
      <c r="A406" s="3"/>
      <c r="B406" s="3"/>
      <c r="C406" s="3"/>
      <c r="D406" s="3"/>
      <c r="E406" s="3"/>
      <c r="F406" s="3"/>
      <c r="G406" s="3"/>
    </row>
    <row r="407" spans="1:7">
      <c r="A407" s="40"/>
      <c r="B407" s="40"/>
      <c r="C407" s="40"/>
      <c r="D407" s="40"/>
      <c r="E407" s="40"/>
      <c r="F407" s="40"/>
      <c r="G407" s="40"/>
    </row>
    <row r="408" spans="1:7">
      <c r="A408" s="40"/>
      <c r="B408" s="40"/>
      <c r="C408" s="40"/>
      <c r="D408" s="40"/>
      <c r="E408" s="40"/>
      <c r="F408" s="40"/>
      <c r="G408" s="40"/>
    </row>
    <row r="409" spans="1:7">
      <c r="A409" s="9"/>
      <c r="B409" s="3"/>
      <c r="C409" s="3"/>
      <c r="D409" s="3"/>
      <c r="E409" s="9"/>
      <c r="F409" s="9"/>
      <c r="G409" s="3"/>
    </row>
    <row r="410" spans="1:7">
      <c r="A410" s="17"/>
      <c r="B410" s="40"/>
      <c r="C410" s="40"/>
      <c r="D410" s="40"/>
      <c r="E410" s="6"/>
      <c r="F410" s="17"/>
      <c r="G410" s="5"/>
    </row>
    <row r="411" spans="1:7">
      <c r="A411" s="17"/>
      <c r="B411" s="32"/>
      <c r="C411" s="32"/>
      <c r="D411" s="40"/>
      <c r="E411" s="6"/>
      <c r="F411" s="17"/>
      <c r="G411" s="5"/>
    </row>
    <row r="412" spans="1:7">
      <c r="A412" s="17"/>
      <c r="B412" s="32"/>
      <c r="C412" s="32"/>
      <c r="D412" s="40"/>
      <c r="E412" s="6"/>
      <c r="F412" s="17"/>
      <c r="G412" s="5"/>
    </row>
    <row r="413" spans="1:7">
      <c r="A413" s="17"/>
      <c r="B413" s="32"/>
      <c r="C413" s="32"/>
      <c r="D413" s="40"/>
      <c r="E413" s="6"/>
      <c r="F413" s="17"/>
      <c r="G413" s="5"/>
    </row>
    <row r="414" spans="1:7">
      <c r="A414" s="17"/>
      <c r="B414" s="32"/>
      <c r="C414" s="32"/>
      <c r="D414" s="40"/>
      <c r="E414" s="6"/>
      <c r="F414" s="17"/>
      <c r="G414" s="5"/>
    </row>
    <row r="415" spans="1:7">
      <c r="A415" s="17"/>
      <c r="B415" s="32"/>
      <c r="C415" s="32"/>
      <c r="D415" s="40"/>
      <c r="E415" s="6"/>
      <c r="F415" s="17"/>
      <c r="G415" s="5"/>
    </row>
    <row r="416" spans="1:7">
      <c r="A416" s="17"/>
      <c r="B416" s="32"/>
      <c r="C416" s="32"/>
      <c r="D416" s="40"/>
      <c r="E416" s="6"/>
      <c r="F416" s="17"/>
      <c r="G416" s="5"/>
    </row>
    <row r="417" spans="1:7">
      <c r="A417" s="17"/>
      <c r="B417" s="32"/>
      <c r="C417" s="32"/>
      <c r="D417" s="40"/>
      <c r="E417" s="6"/>
      <c r="F417" s="17"/>
      <c r="G417" s="5"/>
    </row>
    <row r="418" spans="1:7">
      <c r="A418" s="17"/>
      <c r="B418" s="32"/>
      <c r="C418" s="32"/>
      <c r="D418" s="40"/>
      <c r="E418" s="6"/>
      <c r="F418" s="17"/>
      <c r="G418" s="5"/>
    </row>
    <row r="419" spans="1:7">
      <c r="A419" s="17"/>
      <c r="B419" s="7"/>
      <c r="C419" s="40"/>
      <c r="D419" s="40"/>
      <c r="E419" s="6"/>
      <c r="F419" s="17"/>
      <c r="G419" s="5"/>
    </row>
    <row r="420" spans="1:7">
      <c r="A420" s="17"/>
      <c r="B420" s="7"/>
      <c r="C420" s="40"/>
      <c r="D420" s="40"/>
      <c r="E420" s="6"/>
      <c r="F420" s="17"/>
      <c r="G420" s="5"/>
    </row>
    <row r="421" spans="1:7">
      <c r="A421" s="17"/>
      <c r="B421" s="7"/>
      <c r="C421" s="40"/>
      <c r="D421" s="40"/>
      <c r="E421" s="6"/>
      <c r="F421" s="17"/>
      <c r="G421" s="5"/>
    </row>
    <row r="422" spans="1:7">
      <c r="A422" s="17"/>
      <c r="B422" s="7"/>
      <c r="C422" s="40"/>
      <c r="D422" s="40"/>
      <c r="E422" s="6"/>
      <c r="F422" s="17"/>
      <c r="G422" s="5"/>
    </row>
    <row r="423" spans="1:7">
      <c r="A423" s="17"/>
      <c r="B423" s="29"/>
      <c r="C423" s="36"/>
      <c r="D423" s="40"/>
      <c r="E423" s="6"/>
      <c r="F423" s="17"/>
      <c r="G423" s="5"/>
    </row>
    <row r="424" spans="1:7">
      <c r="A424" s="17"/>
      <c r="B424" s="29"/>
      <c r="C424" s="36"/>
      <c r="D424" s="40"/>
      <c r="E424" s="6"/>
      <c r="F424" s="17"/>
      <c r="G424" s="5"/>
    </row>
    <row r="425" spans="1:7">
      <c r="A425" s="17"/>
      <c r="B425" s="29"/>
      <c r="C425" s="36"/>
      <c r="D425" s="40"/>
      <c r="E425" s="6"/>
      <c r="F425" s="17"/>
      <c r="G425" s="5"/>
    </row>
    <row r="426" spans="1:7">
      <c r="A426" s="17"/>
      <c r="B426" s="29"/>
      <c r="C426" s="36"/>
      <c r="D426" s="40"/>
      <c r="E426" s="6"/>
      <c r="F426" s="17"/>
      <c r="G426" s="5"/>
    </row>
    <row r="427" spans="1:7">
      <c r="A427" s="17"/>
      <c r="B427" s="29"/>
      <c r="C427" s="36"/>
      <c r="D427" s="40"/>
      <c r="E427" s="6"/>
      <c r="F427" s="17"/>
      <c r="G427" s="5"/>
    </row>
    <row r="428" spans="1:7">
      <c r="A428" s="17"/>
      <c r="B428" s="29"/>
      <c r="C428" s="36"/>
      <c r="D428" s="40"/>
      <c r="E428" s="6"/>
      <c r="F428" s="17"/>
      <c r="G428" s="5"/>
    </row>
    <row r="429" spans="1:7">
      <c r="A429" s="17"/>
      <c r="B429" s="29"/>
      <c r="C429" s="36"/>
      <c r="D429" s="40"/>
      <c r="E429" s="6"/>
      <c r="F429" s="17"/>
      <c r="G429" s="40"/>
    </row>
    <row r="430" spans="1:7">
      <c r="A430" s="3"/>
      <c r="B430" s="3"/>
      <c r="C430" s="3"/>
      <c r="D430" s="3"/>
      <c r="E430" s="3"/>
      <c r="F430" s="3"/>
      <c r="G430" s="3"/>
    </row>
    <row r="431" spans="1:7">
      <c r="A431" s="40"/>
      <c r="B431" s="40"/>
      <c r="C431" s="40"/>
      <c r="D431" s="40"/>
      <c r="E431" s="40"/>
      <c r="F431" s="40"/>
      <c r="G431" s="40"/>
    </row>
    <row r="432" spans="1:7" ht="17.25">
      <c r="A432" s="1"/>
      <c r="B432" s="1"/>
      <c r="C432" s="1"/>
      <c r="D432" s="1"/>
      <c r="E432" s="1"/>
      <c r="F432" s="1"/>
      <c r="G432" s="1"/>
    </row>
    <row r="433" spans="1:7">
      <c r="A433" s="25"/>
      <c r="B433" s="25"/>
      <c r="C433" s="25"/>
      <c r="D433" s="25"/>
      <c r="E433" s="25"/>
      <c r="F433" s="25"/>
      <c r="G433" s="25"/>
    </row>
    <row r="434" spans="1:7">
      <c r="A434" s="25"/>
      <c r="B434" s="25"/>
      <c r="C434" s="25"/>
      <c r="D434" s="25"/>
      <c r="E434" s="25"/>
      <c r="F434" s="25"/>
      <c r="G434" s="25"/>
    </row>
    <row r="435" spans="1:7">
      <c r="A435" s="94"/>
      <c r="B435" s="94"/>
      <c r="C435" s="94"/>
      <c r="D435" s="94"/>
      <c r="E435" s="94"/>
      <c r="F435" s="94"/>
      <c r="G435" s="94"/>
    </row>
    <row r="436" spans="1:7">
      <c r="A436" s="94"/>
      <c r="B436" s="94"/>
      <c r="C436" s="94"/>
      <c r="D436" s="94"/>
      <c r="E436" s="94"/>
      <c r="F436" s="94"/>
      <c r="G436" s="94"/>
    </row>
  </sheetData>
  <mergeCells count="43">
    <mergeCell ref="A7:G7"/>
    <mergeCell ref="A9:C9"/>
    <mergeCell ref="B10:C10"/>
    <mergeCell ref="B11:C11"/>
    <mergeCell ref="A13:G13"/>
    <mergeCell ref="A28:C28"/>
    <mergeCell ref="E35:G35"/>
    <mergeCell ref="E36:G36"/>
    <mergeCell ref="A436:G436"/>
    <mergeCell ref="B16:C16"/>
    <mergeCell ref="D16:F16"/>
    <mergeCell ref="A44:G44"/>
    <mergeCell ref="A435:G435"/>
    <mergeCell ref="A43:G43"/>
    <mergeCell ref="A31:B31"/>
    <mergeCell ref="A35:B35"/>
    <mergeCell ref="A34:B34"/>
    <mergeCell ref="A32:B32"/>
    <mergeCell ref="A30:B30"/>
    <mergeCell ref="D28:G28"/>
    <mergeCell ref="A39:B40"/>
    <mergeCell ref="C39:D40"/>
    <mergeCell ref="E39:G40"/>
    <mergeCell ref="E32:G32"/>
    <mergeCell ref="E34:G34"/>
    <mergeCell ref="A33:B33"/>
    <mergeCell ref="E33:G33"/>
    <mergeCell ref="B15:C15"/>
    <mergeCell ref="D15:E15"/>
    <mergeCell ref="A36:C36"/>
    <mergeCell ref="A19:C19"/>
    <mergeCell ref="D19:G19"/>
    <mergeCell ref="A20:C20"/>
    <mergeCell ref="D20:G20"/>
    <mergeCell ref="D23:G23"/>
    <mergeCell ref="D25:G25"/>
    <mergeCell ref="A23:C23"/>
    <mergeCell ref="E31:G31"/>
    <mergeCell ref="A26:C26"/>
    <mergeCell ref="A24:C24"/>
    <mergeCell ref="D24:G24"/>
    <mergeCell ref="A25:C25"/>
    <mergeCell ref="A27:C27"/>
  </mergeCells>
  <phoneticPr fontId="1" type="noConversion"/>
  <printOptions horizontalCentered="1" verticalCentered="1"/>
  <pageMargins left="0.23622047244094491" right="0.23622047244094491" top="0.19685039370078741" bottom="0.74803149606299213" header="0.11811023622047245" footer="0.31496062992125984"/>
  <pageSetup paperSize="9" scale="91" orientation="portrait" r:id="rId1"/>
  <colBreaks count="1" manualBreakCount="1">
    <brk id="7" max="4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원격IO디바이스 및 게이트웨이 개발 견적</vt:lpstr>
      <vt:lpstr>'원격IO디바이스 및 게이트웨이 개발 견적'!Print_Area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엘리엇시스템 견적서</dc:title>
  <dc:subject>개발견적</dc:subject>
  <dc:creator>clark</dc:creator>
  <cp:keywords>엘리엇시스템</cp:keywords>
  <cp:lastModifiedBy>Ucjh</cp:lastModifiedBy>
  <cp:lastPrinted>2022-09-16T06:28:26Z</cp:lastPrinted>
  <dcterms:created xsi:type="dcterms:W3CDTF">2018-03-27T05:47:07Z</dcterms:created>
  <dcterms:modified xsi:type="dcterms:W3CDTF">2023-01-02T02:01:56Z</dcterms:modified>
  <cp:category>견적서</cp:category>
</cp:coreProperties>
</file>