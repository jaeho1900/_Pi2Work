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23년사업계획\"/>
    </mc:Choice>
  </mc:AlternateContent>
  <xr:revisionPtr revIDLastSave="0" documentId="13_ncr:1_{A2FB6A1A-0F93-4D97-9914-EC752EEE25F7}" xr6:coauthVersionLast="36" xr6:coauthVersionMax="36" xr10:uidLastSave="{00000000-0000-0000-0000-000000000000}"/>
  <bookViews>
    <workbookView xWindow="0" yWindow="0" windowWidth="27870" windowHeight="12765" xr2:uid="{77860CCE-61EA-43CD-89ED-D387B7F86FF7}"/>
  </bookViews>
  <sheets>
    <sheet name="PD팀" sheetId="1" r:id="rId1"/>
    <sheet name="사외교육" sheetId="2" r:id="rId2"/>
    <sheet name="국내출장" sheetId="3" r:id="rId3"/>
  </sheets>
  <externalReferences>
    <externalReference r:id="rId4"/>
    <externalReference r:id="rId5"/>
    <externalReference r:id="rId6"/>
    <externalReference r:id="rId7"/>
  </externalReferences>
  <definedNames>
    <definedName name="__IRR2">[1]공정!$AH$25:$AH$37</definedName>
    <definedName name="_xlnm._FilterDatabase" localSheetId="0" hidden="1">PD팀!$B$10:$AF$621</definedName>
    <definedName name="_xlnm._FilterDatabase" localSheetId="2" hidden="1">국내출장!$B$1:$H$71</definedName>
    <definedName name="_IRR2">[1]공정!$AH$25:$AH$37</definedName>
    <definedName name="_PL7">{#N/A,#N/A,TRUE,"대 차 대 조 표"}</definedName>
    <definedName name="DJQAN">{#N/A,#N/A,TRUE,"대 차 대 조 표"}</definedName>
    <definedName name="DK">{#N/A,#N/A,FALSE,"이력서&amp;자기소개서"}</definedName>
    <definedName name="EV__EVCOM_OPTIONS__">8</definedName>
    <definedName name="EV__EXPOPTIONS__">0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134217783</definedName>
    <definedName name="EV__WBVERSION__">0</definedName>
    <definedName name="FM계약일할">{#N/A,#N/A,TRUE,"대 차 대 조 표"}</definedName>
    <definedName name="hgc">{#N/A,#N/A,TRUE,"대 차 대 조 표"}</definedName>
    <definedName name="jkljk">{#N/A,#N/A,FALSE,"이력서&amp;자기소개서"}</definedName>
    <definedName name="rewr">{#N/A,#N/A,FALSE,"이력서&amp;자기소개서"}</definedName>
    <definedName name="wrn.대차._.대조표.">{#N/A,#N/A,TRUE,"대 차 대 조 표"}</definedName>
    <definedName name="wrn.이력서._.자기소개서.">{#N/A,#N/A,FALSE,"이력서&amp;자기소개서"}</definedName>
    <definedName name="zzz">{#N/A,#N/A,FALSE,"이력서&amp;자기소개서"}</definedName>
    <definedName name="내역서">{#N/A,#N/A,TRUE,"대 차 대 조 표"}</definedName>
    <definedName name="대구">{#N/A,#N/A,TRUE,"대 차 대 조 표"}</definedName>
    <definedName name="대한">{#N/A,#N/A,FALSE,"이력서&amp;자기소개서"}</definedName>
    <definedName name="대흥">{#N/A,#N/A,TRUE,"대 차 대 조 표"}</definedName>
    <definedName name="독산">{#N/A,#N/A,FALSE,"이력서&amp;자기소개서"}</definedName>
    <definedName name="돼지">{#N/A,#N/A,TRUE,"대 차 대 조 표"}</definedName>
    <definedName name="ㄹㄹㄷㄹ">{#N/A,#N/A,TRUE,"대 차 대 조 표"}</definedName>
    <definedName name="ㄹㅇㄶ옿">'[2]N賃率-職'!$I$5:$I$30</definedName>
    <definedName name="미화">{#N/A,#N/A,FALSE,"이력서&amp;자기소개서"}</definedName>
    <definedName name="미화2">{#N/A,#N/A,FALSE,"이력서&amp;자기소개서"}</definedName>
    <definedName name="배관공수율">'[3]N賃率-職'!$I$5:$I$30</definedName>
    <definedName name="비교">{#N/A,#N/A,FALSE,"이력서&amp;자기소개서"}</definedName>
    <definedName name="서울">{#N/A,#N/A,FALSE,"이력서&amp;자기소개서"}</definedName>
    <definedName name="서울대">{#N/A,#N/A,FALSE,"이력서&amp;자기소개서"}</definedName>
    <definedName name="서초">{#N/A,#N/A,TRUE,"대 차 대 조 표"}</definedName>
    <definedName name="서초2">{#N/A,#N/A,TRUE,"대 차 대 조 표"}</definedName>
    <definedName name="서초해동">{#N/A,#N/A,TRUE,"대 차 대 조 표"}</definedName>
    <definedName name="세부내역서1">{#N/A,#N/A,TRUE,"대 차 대 조 표"}</definedName>
    <definedName name="솔">{#N/A,#N/A,TRUE,"대 차 대 조 표"}</definedName>
    <definedName name="실제급여">{#N/A,#N/A,TRUE,"대 차 대 조 표"}</definedName>
    <definedName name="씨엔에이치">{#N/A,#N/A,TRUE,"대 차 대 조 표"}</definedName>
    <definedName name="ㅇ">{#N/A,#N/A,FALSE,"이력서&amp;자기소개서"}</definedName>
    <definedName name="ㅇㄹㄹ">'[4]N賃率-職'!$I$5:$I$30</definedName>
    <definedName name="ㅇㅇㅇㅇㅇ">{#N/A,#N/A,TRUE,"대 차 대 조 표"}</definedName>
    <definedName name="암사">{#N/A,#N/A,TRUE,"대 차 대 조 표"}</definedName>
    <definedName name="앙">{#N/A,#N/A,FALSE,"이력서&amp;자기소개서"}</definedName>
    <definedName name="업무계획표">{#N/A,#N/A,TRUE,"대 차 대 조 표"}</definedName>
    <definedName name="업무계획표01">{#N/A,#N/A,TRUE,"대 차 대 조 표"}</definedName>
    <definedName name="역삼4월">{#N/A,#N/A,TRUE,"대 차 대 조 표"}</definedName>
    <definedName name="역삼5월">{#N/A,#N/A,TRUE,"대 차 대 조 표"}</definedName>
    <definedName name="역삼5월청구">{#N/A,#N/A,TRUE,"대 차 대 조 표"}</definedName>
    <definedName name="역삼계">{#N/A,#N/A,TRUE,"대 차 대 조 표"}</definedName>
    <definedName name="정리">{#N/A,#N/A,TRUE,"대 차 대 조 표"}</definedName>
    <definedName name="제지">{#N/A,#N/A,FALSE,"이력서&amp;자기소개서"}</definedName>
    <definedName name="지원">{#N/A,#N/A,FALSE,"이력서&amp;자기소개서"}</definedName>
    <definedName name="지원동">{#N/A,#N/A,TRUE,"대 차 대 조 표"}</definedName>
    <definedName name="체육관">{#N/A,#N/A,TRUE,"대 차 대 조 표"}</definedName>
    <definedName name="ㅋㅋㅋㅋ">{#N/A,#N/A,TRUE,"대 차 대 조 표"}</definedName>
    <definedName name="코크랩총괄예산">{#N/A,#N/A,FALSE,"이력서&amp;자기소개서"}</definedName>
    <definedName name="페럼">{#N/A,#N/A,FALSE,"이력서&amp;자기소개서"}</definedName>
    <definedName name="포스코">{#N/A,#N/A,TRUE,"대 차 대 조 표"}</definedName>
    <definedName name="ㅎ">{#N/A,#N/A,FALSE,"이력서&amp;자기소개서"}</definedName>
    <definedName name="ㅎㄴ">'[2]N賃率-職'!$I$5:$I$30</definedName>
    <definedName name="ㅏㅏ">{#N/A,#N/A,FALSE,"이력서&amp;자기소개서"}</definedName>
    <definedName name="ㅛㅕㅑ">'[4]N賃率-職'!$I$5:$I$30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51" i="1" l="1"/>
  <c r="AD451" i="1"/>
  <c r="AC451" i="1"/>
  <c r="AB451" i="1"/>
  <c r="AA451" i="1"/>
  <c r="Z451" i="1"/>
  <c r="Y451" i="1"/>
  <c r="X451" i="1"/>
  <c r="W451" i="1"/>
  <c r="V451" i="1"/>
  <c r="U451" i="1"/>
  <c r="T451" i="1"/>
  <c r="Q451" i="1"/>
  <c r="R451" i="1"/>
  <c r="P451" i="1"/>
  <c r="AF448" i="1" l="1"/>
  <c r="Q471" i="1"/>
  <c r="Q468" i="1"/>
  <c r="P428" i="1"/>
  <c r="R436" i="1"/>
  <c r="AC417" i="1"/>
  <c r="V417" i="1"/>
  <c r="R315" i="1"/>
  <c r="R500" i="1"/>
  <c r="Q500" i="1"/>
  <c r="P500" i="1"/>
  <c r="R497" i="1"/>
  <c r="Q497" i="1"/>
  <c r="P497" i="1"/>
  <c r="R495" i="1"/>
  <c r="Q495" i="1"/>
  <c r="P495" i="1"/>
  <c r="R488" i="1"/>
  <c r="Q488" i="1"/>
  <c r="P488" i="1"/>
  <c r="R486" i="1"/>
  <c r="Q486" i="1"/>
  <c r="P486" i="1"/>
  <c r="R483" i="1"/>
  <c r="Q483" i="1"/>
  <c r="P483" i="1"/>
  <c r="R481" i="1"/>
  <c r="Q481" i="1"/>
  <c r="P481" i="1"/>
  <c r="R478" i="1"/>
  <c r="Q478" i="1"/>
  <c r="P478" i="1"/>
  <c r="R475" i="1"/>
  <c r="Q475" i="1"/>
  <c r="P475" i="1"/>
  <c r="R472" i="1"/>
  <c r="Q472" i="1"/>
  <c r="P472" i="1"/>
  <c r="R468" i="1"/>
  <c r="P468" i="1"/>
  <c r="R457" i="1"/>
  <c r="Q457" i="1"/>
  <c r="P457" i="1"/>
  <c r="R453" i="1"/>
  <c r="Q453" i="1"/>
  <c r="P453" i="1"/>
  <c r="R447" i="1"/>
  <c r="Q447" i="1"/>
  <c r="P447" i="1"/>
  <c r="R442" i="1"/>
  <c r="Q442" i="1"/>
  <c r="P442" i="1"/>
  <c r="R440" i="1"/>
  <c r="Q440" i="1"/>
  <c r="P440" i="1"/>
  <c r="R438" i="1"/>
  <c r="Q438" i="1"/>
  <c r="P438" i="1"/>
  <c r="R434" i="1"/>
  <c r="Q437" i="1"/>
  <c r="Q434" i="1"/>
  <c r="P434" i="1"/>
  <c r="R428" i="1"/>
  <c r="Q428" i="1"/>
  <c r="R423" i="1"/>
  <c r="Q423" i="1"/>
  <c r="P423" i="1"/>
  <c r="R422" i="1"/>
  <c r="Q422" i="1"/>
  <c r="Q410" i="1" s="1"/>
  <c r="P422" i="1"/>
  <c r="R416" i="1"/>
  <c r="Q416" i="1"/>
  <c r="P416" i="1"/>
  <c r="R415" i="1"/>
  <c r="Q415" i="1"/>
  <c r="P415" i="1"/>
  <c r="R414" i="1"/>
  <c r="R410" i="1" s="1"/>
  <c r="Q414" i="1"/>
  <c r="P414" i="1"/>
  <c r="R411" i="1"/>
  <c r="Q411" i="1"/>
  <c r="P411" i="1"/>
  <c r="P410" i="1"/>
  <c r="R406" i="1"/>
  <c r="Q406" i="1"/>
  <c r="P406" i="1"/>
  <c r="R404" i="1"/>
  <c r="Q404" i="1"/>
  <c r="P404" i="1"/>
  <c r="R398" i="1"/>
  <c r="Q398" i="1"/>
  <c r="P398" i="1"/>
  <c r="R393" i="1"/>
  <c r="Q393" i="1"/>
  <c r="P393" i="1"/>
  <c r="R386" i="1"/>
  <c r="Q386" i="1"/>
  <c r="P386" i="1"/>
  <c r="R379" i="1"/>
  <c r="Q379" i="1"/>
  <c r="P379" i="1"/>
  <c r="R372" i="1"/>
  <c r="Q372" i="1"/>
  <c r="P372" i="1"/>
  <c r="R359" i="1"/>
  <c r="Q359" i="1"/>
  <c r="P359" i="1"/>
  <c r="R355" i="1"/>
  <c r="Q355" i="1"/>
  <c r="P355" i="1"/>
  <c r="R344" i="1"/>
  <c r="Q344" i="1"/>
  <c r="P344" i="1"/>
  <c r="R341" i="1"/>
  <c r="Q341" i="1"/>
  <c r="P341" i="1"/>
  <c r="R324" i="1"/>
  <c r="Q324" i="1"/>
  <c r="P324" i="1"/>
  <c r="R323" i="1"/>
  <c r="Q323" i="1"/>
  <c r="P323" i="1"/>
  <c r="R317" i="1"/>
  <c r="Q317" i="1"/>
  <c r="P317" i="1"/>
  <c r="Q310" i="1"/>
  <c r="P310" i="1"/>
  <c r="R306" i="1"/>
  <c r="Q306" i="1"/>
  <c r="P306" i="1"/>
  <c r="R300" i="1"/>
  <c r="Q300" i="1"/>
  <c r="P300" i="1"/>
  <c r="R295" i="1"/>
  <c r="Q295" i="1"/>
  <c r="P295" i="1"/>
  <c r="R310" i="1" l="1"/>
  <c r="P294" i="1"/>
  <c r="P340" i="1"/>
  <c r="P293" i="1" s="1"/>
  <c r="Q340" i="1"/>
  <c r="Q294" i="1"/>
  <c r="R340" i="1"/>
  <c r="R294" i="1"/>
  <c r="S620" i="1"/>
  <c r="S619" i="1"/>
  <c r="R618" i="1"/>
  <c r="Q618" i="1"/>
  <c r="P618" i="1"/>
  <c r="S616" i="1"/>
  <c r="S615" i="1"/>
  <c r="S614" i="1"/>
  <c r="S613" i="1"/>
  <c r="R612" i="1"/>
  <c r="Q612" i="1"/>
  <c r="P612" i="1"/>
  <c r="S611" i="1"/>
  <c r="S610" i="1"/>
  <c r="S609" i="1"/>
  <c r="S608" i="1"/>
  <c r="S607" i="1"/>
  <c r="S606" i="1"/>
  <c r="R605" i="1"/>
  <c r="Q605" i="1"/>
  <c r="P605" i="1"/>
  <c r="S604" i="1"/>
  <c r="S603" i="1"/>
  <c r="R602" i="1"/>
  <c r="Q602" i="1"/>
  <c r="P602" i="1"/>
  <c r="S601" i="1"/>
  <c r="S600" i="1"/>
  <c r="S599" i="1"/>
  <c r="S598" i="1"/>
  <c r="S597" i="1"/>
  <c r="R596" i="1"/>
  <c r="Q596" i="1"/>
  <c r="P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R581" i="1"/>
  <c r="Q581" i="1"/>
  <c r="P581" i="1"/>
  <c r="S580" i="1"/>
  <c r="R579" i="1"/>
  <c r="Q579" i="1"/>
  <c r="P579" i="1"/>
  <c r="S578" i="1"/>
  <c r="R577" i="1"/>
  <c r="Q577" i="1"/>
  <c r="P577" i="1"/>
  <c r="S576" i="1"/>
  <c r="S575" i="1"/>
  <c r="S574" i="1"/>
  <c r="R573" i="1"/>
  <c r="Q573" i="1"/>
  <c r="P573" i="1"/>
  <c r="S572" i="1"/>
  <c r="S571" i="1"/>
  <c r="S570" i="1"/>
  <c r="R569" i="1"/>
  <c r="Q569" i="1"/>
  <c r="P569" i="1"/>
  <c r="S568" i="1"/>
  <c r="R567" i="1"/>
  <c r="Q567" i="1"/>
  <c r="P567" i="1"/>
  <c r="S566" i="1"/>
  <c r="S565" i="1"/>
  <c r="S564" i="1"/>
  <c r="S563" i="1"/>
  <c r="S562" i="1"/>
  <c r="S561" i="1"/>
  <c r="R560" i="1"/>
  <c r="Q560" i="1"/>
  <c r="P560" i="1"/>
  <c r="S559" i="1"/>
  <c r="R558" i="1"/>
  <c r="Q558" i="1"/>
  <c r="P558" i="1"/>
  <c r="S556" i="1"/>
  <c r="S555" i="1"/>
  <c r="R554" i="1"/>
  <c r="Q554" i="1"/>
  <c r="P554" i="1"/>
  <c r="S553" i="1"/>
  <c r="R552" i="1"/>
  <c r="Q552" i="1"/>
  <c r="P552" i="1"/>
  <c r="S551" i="1"/>
  <c r="S550" i="1"/>
  <c r="S549" i="1"/>
  <c r="S548" i="1"/>
  <c r="S547" i="1"/>
  <c r="R546" i="1"/>
  <c r="Q546" i="1"/>
  <c r="P546" i="1"/>
  <c r="S545" i="1"/>
  <c r="S544" i="1"/>
  <c r="S543" i="1"/>
  <c r="S542" i="1"/>
  <c r="S541" i="1"/>
  <c r="R540" i="1"/>
  <c r="Q540" i="1"/>
  <c r="P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R526" i="1"/>
  <c r="Q526" i="1"/>
  <c r="P526" i="1"/>
  <c r="S525" i="1"/>
  <c r="R524" i="1"/>
  <c r="Q524" i="1"/>
  <c r="P524" i="1"/>
  <c r="S523" i="1"/>
  <c r="S522" i="1"/>
  <c r="S521" i="1"/>
  <c r="R520" i="1"/>
  <c r="Q520" i="1"/>
  <c r="P520" i="1"/>
  <c r="S519" i="1"/>
  <c r="S518" i="1"/>
  <c r="S517" i="1"/>
  <c r="R516" i="1"/>
  <c r="Q516" i="1"/>
  <c r="P516" i="1"/>
  <c r="S515" i="1"/>
  <c r="R514" i="1"/>
  <c r="Q514" i="1"/>
  <c r="P514" i="1"/>
  <c r="S513" i="1"/>
  <c r="S512" i="1"/>
  <c r="S511" i="1"/>
  <c r="S510" i="1"/>
  <c r="R509" i="1"/>
  <c r="Q509" i="1"/>
  <c r="P509" i="1"/>
  <c r="S508" i="1"/>
  <c r="R507" i="1"/>
  <c r="Q507" i="1"/>
  <c r="P507" i="1"/>
  <c r="S503" i="1"/>
  <c r="S502" i="1"/>
  <c r="S501" i="1"/>
  <c r="S498" i="1"/>
  <c r="S496" i="1"/>
  <c r="S494" i="1"/>
  <c r="S493" i="1"/>
  <c r="S492" i="1"/>
  <c r="S491" i="1"/>
  <c r="S490" i="1"/>
  <c r="S489" i="1"/>
  <c r="S487" i="1"/>
  <c r="S485" i="1"/>
  <c r="S484" i="1"/>
  <c r="S482" i="1"/>
  <c r="S480" i="1"/>
  <c r="S479" i="1"/>
  <c r="S477" i="1"/>
  <c r="S476" i="1"/>
  <c r="S474" i="1"/>
  <c r="S473" i="1"/>
  <c r="S471" i="1"/>
  <c r="S470" i="1"/>
  <c r="S469" i="1"/>
  <c r="S467" i="1"/>
  <c r="S466" i="1"/>
  <c r="S465" i="1"/>
  <c r="S464" i="1"/>
  <c r="S463" i="1"/>
  <c r="S462" i="1"/>
  <c r="S461" i="1"/>
  <c r="S460" i="1"/>
  <c r="S459" i="1"/>
  <c r="S458" i="1"/>
  <c r="S456" i="1"/>
  <c r="S455" i="1"/>
  <c r="S454" i="1"/>
  <c r="S452" i="1"/>
  <c r="S451" i="1"/>
  <c r="S450" i="1"/>
  <c r="S449" i="1"/>
  <c r="S448" i="1"/>
  <c r="S446" i="1"/>
  <c r="S445" i="1"/>
  <c r="S444" i="1"/>
  <c r="S443" i="1"/>
  <c r="S441" i="1"/>
  <c r="S440" i="1"/>
  <c r="S439" i="1"/>
  <c r="S437" i="1"/>
  <c r="S436" i="1"/>
  <c r="S435" i="1"/>
  <c r="S433" i="1"/>
  <c r="S432" i="1"/>
  <c r="S431" i="1"/>
  <c r="S430" i="1"/>
  <c r="S429" i="1"/>
  <c r="S427" i="1"/>
  <c r="S426" i="1"/>
  <c r="S425" i="1"/>
  <c r="S424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09" i="1"/>
  <c r="S408" i="1"/>
  <c r="S407" i="1"/>
  <c r="S405" i="1"/>
  <c r="S403" i="1"/>
  <c r="S402" i="1"/>
  <c r="S401" i="1"/>
  <c r="S400" i="1"/>
  <c r="S399" i="1"/>
  <c r="S397" i="1"/>
  <c r="S396" i="1"/>
  <c r="S395" i="1"/>
  <c r="S394" i="1"/>
  <c r="S392" i="1"/>
  <c r="S391" i="1"/>
  <c r="S390" i="1"/>
  <c r="S389" i="1"/>
  <c r="S388" i="1"/>
  <c r="S387" i="1"/>
  <c r="S385" i="1"/>
  <c r="S384" i="1"/>
  <c r="S383" i="1"/>
  <c r="S382" i="1"/>
  <c r="S381" i="1"/>
  <c r="S380" i="1"/>
  <c r="S378" i="1"/>
  <c r="S377" i="1"/>
  <c r="S376" i="1"/>
  <c r="S375" i="1"/>
  <c r="S374" i="1"/>
  <c r="S373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8" i="1"/>
  <c r="S357" i="1"/>
  <c r="S356" i="1"/>
  <c r="S354" i="1"/>
  <c r="S353" i="1"/>
  <c r="S352" i="1"/>
  <c r="S351" i="1"/>
  <c r="S350" i="1"/>
  <c r="S349" i="1"/>
  <c r="S348" i="1"/>
  <c r="S347" i="1"/>
  <c r="S346" i="1"/>
  <c r="S345" i="1"/>
  <c r="S343" i="1"/>
  <c r="S342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09" i="1"/>
  <c r="S308" i="1"/>
  <c r="S307" i="1"/>
  <c r="S305" i="1"/>
  <c r="S304" i="1"/>
  <c r="S303" i="1"/>
  <c r="S302" i="1"/>
  <c r="S301" i="1"/>
  <c r="S299" i="1"/>
  <c r="S298" i="1"/>
  <c r="S297" i="1"/>
  <c r="S296" i="1"/>
  <c r="S291" i="1"/>
  <c r="S290" i="1"/>
  <c r="S289" i="1"/>
  <c r="R288" i="1"/>
  <c r="Q288" i="1"/>
  <c r="P288" i="1"/>
  <c r="S286" i="1"/>
  <c r="R285" i="1"/>
  <c r="Q285" i="1"/>
  <c r="P285" i="1"/>
  <c r="S284" i="1"/>
  <c r="R283" i="1"/>
  <c r="Q283" i="1"/>
  <c r="P283" i="1"/>
  <c r="S282" i="1"/>
  <c r="R281" i="1"/>
  <c r="Q281" i="1"/>
  <c r="P281" i="1"/>
  <c r="S280" i="1"/>
  <c r="R279" i="1"/>
  <c r="Q279" i="1"/>
  <c r="P279" i="1"/>
  <c r="S278" i="1"/>
  <c r="R277" i="1"/>
  <c r="Q277" i="1"/>
  <c r="P277" i="1"/>
  <c r="S276" i="1"/>
  <c r="S275" i="1"/>
  <c r="S274" i="1"/>
  <c r="S273" i="1"/>
  <c r="R272" i="1"/>
  <c r="Q272" i="1"/>
  <c r="P272" i="1"/>
  <c r="S271" i="1"/>
  <c r="R270" i="1"/>
  <c r="Q270" i="1"/>
  <c r="P270" i="1"/>
  <c r="S269" i="1"/>
  <c r="R268" i="1"/>
  <c r="Q268" i="1"/>
  <c r="P268" i="1"/>
  <c r="S267" i="1"/>
  <c r="S266" i="1"/>
  <c r="S265" i="1"/>
  <c r="S264" i="1"/>
  <c r="S263" i="1"/>
  <c r="S262" i="1"/>
  <c r="R261" i="1"/>
  <c r="Q261" i="1"/>
  <c r="P261" i="1"/>
  <c r="S260" i="1"/>
  <c r="S259" i="1"/>
  <c r="S258" i="1"/>
  <c r="S257" i="1"/>
  <c r="R256" i="1"/>
  <c r="Q256" i="1"/>
  <c r="P256" i="1"/>
  <c r="S255" i="1"/>
  <c r="S254" i="1"/>
  <c r="S253" i="1"/>
  <c r="S252" i="1"/>
  <c r="S251" i="1"/>
  <c r="S250" i="1"/>
  <c r="R249" i="1"/>
  <c r="Q249" i="1"/>
  <c r="P249" i="1"/>
  <c r="S248" i="1"/>
  <c r="S247" i="1"/>
  <c r="S246" i="1"/>
  <c r="S245" i="1"/>
  <c r="S244" i="1"/>
  <c r="S243" i="1"/>
  <c r="S242" i="1"/>
  <c r="S241" i="1"/>
  <c r="S240" i="1"/>
  <c r="R239" i="1"/>
  <c r="Q239" i="1"/>
  <c r="P239" i="1"/>
  <c r="S238" i="1"/>
  <c r="S237" i="1"/>
  <c r="S236" i="1"/>
  <c r="S235" i="1"/>
  <c r="S234" i="1"/>
  <c r="R233" i="1"/>
  <c r="Q233" i="1"/>
  <c r="P233" i="1"/>
  <c r="S232" i="1"/>
  <c r="R231" i="1"/>
  <c r="Q231" i="1"/>
  <c r="P231" i="1"/>
  <c r="S230" i="1"/>
  <c r="S229" i="1"/>
  <c r="S228" i="1"/>
  <c r="R227" i="1"/>
  <c r="Q227" i="1"/>
  <c r="P227" i="1"/>
  <c r="S226" i="1"/>
  <c r="S225" i="1"/>
  <c r="S224" i="1"/>
  <c r="S223" i="1"/>
  <c r="R222" i="1"/>
  <c r="Q222" i="1"/>
  <c r="P222" i="1"/>
  <c r="S221" i="1"/>
  <c r="S220" i="1"/>
  <c r="S219" i="1"/>
  <c r="S218" i="1"/>
  <c r="S217" i="1"/>
  <c r="S216" i="1"/>
  <c r="R215" i="1"/>
  <c r="Q215" i="1"/>
  <c r="P215" i="1"/>
  <c r="S214" i="1"/>
  <c r="S213" i="1"/>
  <c r="S212" i="1"/>
  <c r="S211" i="1"/>
  <c r="R210" i="1"/>
  <c r="Q210" i="1"/>
  <c r="P210" i="1"/>
  <c r="S209" i="1"/>
  <c r="S208" i="1"/>
  <c r="S207" i="1"/>
  <c r="R206" i="1"/>
  <c r="Q206" i="1"/>
  <c r="P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R183" i="1"/>
  <c r="Q183" i="1"/>
  <c r="P183" i="1"/>
  <c r="S182" i="1"/>
  <c r="S181" i="1"/>
  <c r="S180" i="1"/>
  <c r="R179" i="1"/>
  <c r="Q179" i="1"/>
  <c r="P179" i="1"/>
  <c r="S178" i="1"/>
  <c r="S177" i="1"/>
  <c r="R176" i="1"/>
  <c r="Q176" i="1"/>
  <c r="P176" i="1"/>
  <c r="S175" i="1"/>
  <c r="S174" i="1"/>
  <c r="S173" i="1"/>
  <c r="S172" i="1"/>
  <c r="R171" i="1"/>
  <c r="Q171" i="1"/>
  <c r="P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R158" i="1"/>
  <c r="Q158" i="1"/>
  <c r="P158" i="1"/>
  <c r="S157" i="1"/>
  <c r="S156" i="1"/>
  <c r="S155" i="1"/>
  <c r="S154" i="1"/>
  <c r="S153" i="1"/>
  <c r="S152" i="1"/>
  <c r="R151" i="1"/>
  <c r="Q151" i="1"/>
  <c r="P151" i="1"/>
  <c r="S150" i="1"/>
  <c r="S149" i="1"/>
  <c r="S148" i="1"/>
  <c r="S147" i="1"/>
  <c r="S146" i="1"/>
  <c r="S145" i="1"/>
  <c r="S144" i="1"/>
  <c r="S143" i="1"/>
  <c r="S142" i="1"/>
  <c r="S141" i="1"/>
  <c r="R140" i="1"/>
  <c r="Q140" i="1"/>
  <c r="P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R127" i="1"/>
  <c r="Q127" i="1"/>
  <c r="P127" i="1"/>
  <c r="S126" i="1"/>
  <c r="S125" i="1"/>
  <c r="S124" i="1"/>
  <c r="S123" i="1"/>
  <c r="S122" i="1"/>
  <c r="S121" i="1"/>
  <c r="S120" i="1"/>
  <c r="S119" i="1"/>
  <c r="S118" i="1"/>
  <c r="S117" i="1"/>
  <c r="S116" i="1"/>
  <c r="R115" i="1"/>
  <c r="Q115" i="1"/>
  <c r="P115" i="1"/>
  <c r="S114" i="1"/>
  <c r="S113" i="1"/>
  <c r="S112" i="1"/>
  <c r="S111" i="1"/>
  <c r="R110" i="1"/>
  <c r="Q110" i="1"/>
  <c r="P110" i="1"/>
  <c r="S109" i="1"/>
  <c r="S108" i="1"/>
  <c r="S107" i="1"/>
  <c r="S106" i="1"/>
  <c r="S105" i="1"/>
  <c r="S104" i="1"/>
  <c r="S103" i="1"/>
  <c r="S102" i="1"/>
  <c r="S101" i="1"/>
  <c r="S100" i="1"/>
  <c r="R99" i="1"/>
  <c r="Q99" i="1"/>
  <c r="P99" i="1"/>
  <c r="S98" i="1"/>
  <c r="R97" i="1"/>
  <c r="Q97" i="1"/>
  <c r="P97" i="1"/>
  <c r="S96" i="1"/>
  <c r="S95" i="1"/>
  <c r="S94" i="1"/>
  <c r="S93" i="1"/>
  <c r="S92" i="1"/>
  <c r="R91" i="1"/>
  <c r="Q91" i="1"/>
  <c r="P91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R60" i="1"/>
  <c r="Q60" i="1"/>
  <c r="P60" i="1"/>
  <c r="S59" i="1"/>
  <c r="S58" i="1"/>
  <c r="S57" i="1"/>
  <c r="R56" i="1"/>
  <c r="Q56" i="1"/>
  <c r="P56" i="1"/>
  <c r="S55" i="1"/>
  <c r="S54" i="1"/>
  <c r="S53" i="1"/>
  <c r="S52" i="1"/>
  <c r="S51" i="1"/>
  <c r="R50" i="1"/>
  <c r="Q50" i="1"/>
  <c r="P50" i="1"/>
  <c r="S49" i="1"/>
  <c r="S48" i="1"/>
  <c r="S47" i="1"/>
  <c r="S46" i="1"/>
  <c r="R45" i="1"/>
  <c r="Q45" i="1"/>
  <c r="P45" i="1"/>
  <c r="S43" i="1"/>
  <c r="R42" i="1"/>
  <c r="Q42" i="1"/>
  <c r="P42" i="1"/>
  <c r="S41" i="1"/>
  <c r="S40" i="1"/>
  <c r="R39" i="1"/>
  <c r="Q39" i="1"/>
  <c r="P39" i="1"/>
  <c r="S38" i="1"/>
  <c r="S37" i="1"/>
  <c r="R36" i="1"/>
  <c r="Q36" i="1"/>
  <c r="P36" i="1"/>
  <c r="S35" i="1"/>
  <c r="S34" i="1"/>
  <c r="R33" i="1"/>
  <c r="Q33" i="1"/>
  <c r="P33" i="1"/>
  <c r="S31" i="1"/>
  <c r="R30" i="1"/>
  <c r="Q30" i="1"/>
  <c r="P30" i="1"/>
  <c r="S29" i="1"/>
  <c r="S28" i="1"/>
  <c r="S27" i="1"/>
  <c r="R26" i="1"/>
  <c r="Q26" i="1"/>
  <c r="P26" i="1"/>
  <c r="S25" i="1"/>
  <c r="S24" i="1"/>
  <c r="S23" i="1"/>
  <c r="R22" i="1"/>
  <c r="Q22" i="1"/>
  <c r="P22" i="1"/>
  <c r="S21" i="1"/>
  <c r="S20" i="1"/>
  <c r="S19" i="1"/>
  <c r="S18" i="1"/>
  <c r="S17" i="1"/>
  <c r="S16" i="1"/>
  <c r="R15" i="1"/>
  <c r="Q15" i="1"/>
  <c r="P15" i="1"/>
  <c r="S14" i="1"/>
  <c r="S13" i="1"/>
  <c r="R12" i="1"/>
  <c r="Q12" i="1"/>
  <c r="P12" i="1"/>
  <c r="Q293" i="1" l="1"/>
  <c r="R293" i="1"/>
  <c r="P11" i="1"/>
  <c r="S507" i="1"/>
  <c r="Q506" i="1"/>
  <c r="S552" i="1"/>
  <c r="Q44" i="1"/>
  <c r="S596" i="1"/>
  <c r="R44" i="1"/>
  <c r="S573" i="1"/>
  <c r="S127" i="1"/>
  <c r="S140" i="1"/>
  <c r="S179" i="1"/>
  <c r="S256" i="1"/>
  <c r="S404" i="1"/>
  <c r="S478" i="1"/>
  <c r="R506" i="1"/>
  <c r="S115" i="1"/>
  <c r="S288" i="1"/>
  <c r="S386" i="1"/>
  <c r="S171" i="1"/>
  <c r="S249" i="1"/>
  <c r="S281" i="1"/>
  <c r="S540" i="1"/>
  <c r="S558" i="1"/>
  <c r="S602" i="1"/>
  <c r="S612" i="1"/>
  <c r="S618" i="1"/>
  <c r="S239" i="1"/>
  <c r="S279" i="1"/>
  <c r="S379" i="1"/>
  <c r="S526" i="1"/>
  <c r="S567" i="1"/>
  <c r="S15" i="1"/>
  <c r="S50" i="1"/>
  <c r="S60" i="1"/>
  <c r="S99" i="1"/>
  <c r="S158" i="1"/>
  <c r="S222" i="1"/>
  <c r="S231" i="1"/>
  <c r="S270" i="1"/>
  <c r="S277" i="1"/>
  <c r="P557" i="1"/>
  <c r="S560" i="1"/>
  <c r="S605" i="1"/>
  <c r="S110" i="1"/>
  <c r="S434" i="1"/>
  <c r="S569" i="1"/>
  <c r="S12" i="1"/>
  <c r="Q11" i="1"/>
  <c r="S42" i="1"/>
  <c r="P44" i="1"/>
  <c r="S56" i="1"/>
  <c r="R90" i="1"/>
  <c r="S176" i="1"/>
  <c r="S227" i="1"/>
  <c r="S233" i="1"/>
  <c r="S272" i="1"/>
  <c r="S514" i="1"/>
  <c r="S524" i="1"/>
  <c r="S554" i="1"/>
  <c r="Q557" i="1"/>
  <c r="S30" i="1"/>
  <c r="S45" i="1"/>
  <c r="S91" i="1"/>
  <c r="S520" i="1"/>
  <c r="R557" i="1"/>
  <c r="S579" i="1"/>
  <c r="S36" i="1"/>
  <c r="P90" i="1"/>
  <c r="S151" i="1"/>
  <c r="S210" i="1"/>
  <c r="S268" i="1"/>
  <c r="S516" i="1"/>
  <c r="S546" i="1"/>
  <c r="S581" i="1"/>
  <c r="S26" i="1"/>
  <c r="S97" i="1"/>
  <c r="S215" i="1"/>
  <c r="S22" i="1"/>
  <c r="R11" i="1"/>
  <c r="S39" i="1"/>
  <c r="Q90" i="1"/>
  <c r="S183" i="1"/>
  <c r="S206" i="1"/>
  <c r="S261" i="1"/>
  <c r="S283" i="1"/>
  <c r="S285" i="1"/>
  <c r="P506" i="1"/>
  <c r="S577" i="1"/>
  <c r="S495" i="1"/>
  <c r="S497" i="1"/>
  <c r="S488" i="1"/>
  <c r="S500" i="1"/>
  <c r="S475" i="1"/>
  <c r="S472" i="1"/>
  <c r="S486" i="1"/>
  <c r="S468" i="1"/>
  <c r="S481" i="1"/>
  <c r="S457" i="1"/>
  <c r="S483" i="1"/>
  <c r="S438" i="1"/>
  <c r="S453" i="1"/>
  <c r="S428" i="1"/>
  <c r="S442" i="1"/>
  <c r="S447" i="1"/>
  <c r="S423" i="1"/>
  <c r="S410" i="1"/>
  <c r="S406" i="1"/>
  <c r="S398" i="1"/>
  <c r="S393" i="1"/>
  <c r="S359" i="1"/>
  <c r="S372" i="1"/>
  <c r="S344" i="1"/>
  <c r="S341" i="1"/>
  <c r="S355" i="1"/>
  <c r="S310" i="1"/>
  <c r="S300" i="1"/>
  <c r="S306" i="1"/>
  <c r="S295" i="1"/>
  <c r="S33" i="1"/>
  <c r="S509" i="1"/>
  <c r="U414" i="1"/>
  <c r="V414" i="1"/>
  <c r="W414" i="1"/>
  <c r="X414" i="1"/>
  <c r="Y414" i="1"/>
  <c r="Z414" i="1"/>
  <c r="AA414" i="1"/>
  <c r="AB414" i="1"/>
  <c r="AC414" i="1"/>
  <c r="AD414" i="1"/>
  <c r="AE414" i="1"/>
  <c r="U415" i="1"/>
  <c r="V415" i="1"/>
  <c r="W415" i="1"/>
  <c r="X415" i="1"/>
  <c r="Y415" i="1"/>
  <c r="Z415" i="1"/>
  <c r="AA415" i="1"/>
  <c r="AB415" i="1"/>
  <c r="AC415" i="1"/>
  <c r="AD415" i="1"/>
  <c r="AE415" i="1"/>
  <c r="U416" i="1"/>
  <c r="V416" i="1"/>
  <c r="W416" i="1"/>
  <c r="X416" i="1"/>
  <c r="Y416" i="1"/>
  <c r="Z416" i="1"/>
  <c r="AA416" i="1"/>
  <c r="AB416" i="1"/>
  <c r="AC416" i="1"/>
  <c r="AD416" i="1"/>
  <c r="AE416" i="1"/>
  <c r="U422" i="1"/>
  <c r="V422" i="1"/>
  <c r="W422" i="1"/>
  <c r="X422" i="1"/>
  <c r="Y422" i="1"/>
  <c r="Z422" i="1"/>
  <c r="AA422" i="1"/>
  <c r="AB422" i="1"/>
  <c r="AC422" i="1"/>
  <c r="AD422" i="1"/>
  <c r="AE422" i="1"/>
  <c r="T422" i="1"/>
  <c r="T416" i="1"/>
  <c r="T415" i="1"/>
  <c r="T414" i="1"/>
  <c r="F80" i="3"/>
  <c r="G80" i="3"/>
  <c r="H80" i="3"/>
  <c r="U411" i="1"/>
  <c r="V411" i="1"/>
  <c r="W411" i="1"/>
  <c r="X411" i="1"/>
  <c r="Y411" i="1"/>
  <c r="Z411" i="1"/>
  <c r="AA411" i="1"/>
  <c r="AB411" i="1"/>
  <c r="AC411" i="1"/>
  <c r="AD411" i="1"/>
  <c r="AE411" i="1"/>
  <c r="T411" i="1"/>
  <c r="H78" i="3"/>
  <c r="G78" i="3"/>
  <c r="H77" i="3"/>
  <c r="G77" i="3"/>
  <c r="E77" i="3"/>
  <c r="G76" i="3"/>
  <c r="H76" i="3"/>
  <c r="E76" i="3"/>
  <c r="F78" i="3"/>
  <c r="P505" i="1" l="1"/>
  <c r="R32" i="1"/>
  <c r="R287" i="1" s="1"/>
  <c r="R292" i="1" s="1"/>
  <c r="R499" i="1" s="1"/>
  <c r="Q505" i="1"/>
  <c r="Q32" i="1"/>
  <c r="Q287" i="1" s="1"/>
  <c r="Q292" i="1" s="1"/>
  <c r="Q499" i="1" s="1"/>
  <c r="R505" i="1"/>
  <c r="S506" i="1"/>
  <c r="S44" i="1"/>
  <c r="S557" i="1"/>
  <c r="P32" i="1"/>
  <c r="P287" i="1" s="1"/>
  <c r="P292" i="1" s="1"/>
  <c r="S340" i="1"/>
  <c r="S11" i="1"/>
  <c r="S294" i="1"/>
  <c r="S90" i="1"/>
  <c r="AC383" i="1"/>
  <c r="V383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P499" i="1" l="1"/>
  <c r="P504" i="1" s="1"/>
  <c r="P617" i="1" s="1"/>
  <c r="P621" i="1" s="1"/>
  <c r="R504" i="1"/>
  <c r="R617" i="1" s="1"/>
  <c r="R621" i="1" s="1"/>
  <c r="Q504" i="1"/>
  <c r="Q617" i="1" s="1"/>
  <c r="Q621" i="1" s="1"/>
  <c r="S32" i="1"/>
  <c r="S293" i="1"/>
  <c r="S505" i="1"/>
  <c r="F79" i="3"/>
  <c r="H79" i="3"/>
  <c r="G79" i="3"/>
  <c r="E79" i="3"/>
  <c r="H75" i="3"/>
  <c r="F74" i="3"/>
  <c r="F75" i="3" s="1"/>
  <c r="G73" i="3"/>
  <c r="G75" i="3" s="1"/>
  <c r="E73" i="3"/>
  <c r="E75" i="3" s="1"/>
  <c r="H73" i="3"/>
  <c r="S287" i="1" l="1"/>
  <c r="AF469" i="1"/>
  <c r="U471" i="1"/>
  <c r="Y390" i="1"/>
  <c r="S292" i="1" l="1"/>
  <c r="D11" i="2"/>
  <c r="F66" i="3"/>
  <c r="F65" i="3"/>
  <c r="F64" i="3"/>
  <c r="F63" i="3"/>
  <c r="F62" i="3"/>
  <c r="F61" i="3"/>
  <c r="F60" i="3"/>
  <c r="F50" i="3"/>
  <c r="F36" i="3"/>
  <c r="F20" i="3"/>
  <c r="F19" i="3"/>
  <c r="F10" i="3"/>
  <c r="F8" i="3"/>
  <c r="F7" i="3"/>
  <c r="F5" i="3"/>
  <c r="H72" i="3"/>
  <c r="G72" i="3"/>
  <c r="E72" i="3"/>
  <c r="E80" i="3" s="1"/>
  <c r="S499" i="1" l="1"/>
  <c r="F72" i="3"/>
  <c r="H82" i="3" s="1"/>
  <c r="S504" i="1" l="1"/>
  <c r="AE315" i="1"/>
  <c r="S621" i="1" l="1"/>
  <c r="S617" i="1"/>
  <c r="Z437" i="1"/>
  <c r="T437" i="1"/>
  <c r="AE436" i="1" l="1"/>
  <c r="U323" i="1"/>
  <c r="V323" i="1"/>
  <c r="W323" i="1"/>
  <c r="X323" i="1"/>
  <c r="Y323" i="1"/>
  <c r="Z323" i="1"/>
  <c r="AA323" i="1"/>
  <c r="AB323" i="1"/>
  <c r="AC323" i="1"/>
  <c r="AD323" i="1"/>
  <c r="AE323" i="1"/>
  <c r="T323" i="1"/>
  <c r="U324" i="1" l="1"/>
  <c r="V324" i="1"/>
  <c r="W324" i="1"/>
  <c r="X324" i="1"/>
  <c r="Y324" i="1"/>
  <c r="Z324" i="1"/>
  <c r="AA324" i="1"/>
  <c r="AB324" i="1"/>
  <c r="AC324" i="1"/>
  <c r="AD324" i="1"/>
  <c r="AE324" i="1"/>
  <c r="T324" i="1"/>
  <c r="U317" i="1" l="1"/>
  <c r="V317" i="1"/>
  <c r="W317" i="1"/>
  <c r="X317" i="1"/>
  <c r="Y317" i="1"/>
  <c r="Z317" i="1"/>
  <c r="AA317" i="1"/>
  <c r="AB317" i="1"/>
  <c r="AC317" i="1"/>
  <c r="AD317" i="1"/>
  <c r="AE317" i="1"/>
  <c r="T317" i="1"/>
  <c r="T468" i="1" l="1"/>
  <c r="U468" i="1"/>
  <c r="V468" i="1"/>
  <c r="W468" i="1"/>
  <c r="X468" i="1"/>
  <c r="Y468" i="1"/>
  <c r="Z468" i="1"/>
  <c r="AA468" i="1"/>
  <c r="AB468" i="1"/>
  <c r="T472" i="1"/>
  <c r="U472" i="1"/>
  <c r="V472" i="1"/>
  <c r="W472" i="1"/>
  <c r="X472" i="1"/>
  <c r="Y472" i="1"/>
  <c r="Z472" i="1"/>
  <c r="AA472" i="1"/>
  <c r="AB472" i="1"/>
  <c r="T475" i="1"/>
  <c r="U475" i="1"/>
  <c r="V475" i="1"/>
  <c r="W475" i="1"/>
  <c r="X475" i="1"/>
  <c r="Y475" i="1"/>
  <c r="Z475" i="1"/>
  <c r="AA475" i="1"/>
  <c r="AB475" i="1"/>
  <c r="T478" i="1"/>
  <c r="U478" i="1"/>
  <c r="V478" i="1"/>
  <c r="W478" i="1"/>
  <c r="X478" i="1"/>
  <c r="Y478" i="1"/>
  <c r="Z478" i="1"/>
  <c r="AA478" i="1"/>
  <c r="AB478" i="1"/>
  <c r="T481" i="1"/>
  <c r="U481" i="1"/>
  <c r="V481" i="1"/>
  <c r="W481" i="1"/>
  <c r="X481" i="1"/>
  <c r="Y481" i="1"/>
  <c r="Z481" i="1"/>
  <c r="AA481" i="1"/>
  <c r="AB481" i="1"/>
  <c r="T483" i="1"/>
  <c r="U483" i="1"/>
  <c r="V483" i="1"/>
  <c r="W483" i="1"/>
  <c r="X483" i="1"/>
  <c r="Y483" i="1"/>
  <c r="Z483" i="1"/>
  <c r="AA483" i="1"/>
  <c r="AB483" i="1"/>
  <c r="T486" i="1"/>
  <c r="U486" i="1"/>
  <c r="V486" i="1"/>
  <c r="W486" i="1"/>
  <c r="X486" i="1"/>
  <c r="Y486" i="1"/>
  <c r="Z486" i="1"/>
  <c r="AA486" i="1"/>
  <c r="AB486" i="1"/>
  <c r="T488" i="1"/>
  <c r="U488" i="1"/>
  <c r="V488" i="1"/>
  <c r="W488" i="1"/>
  <c r="X488" i="1"/>
  <c r="Y488" i="1"/>
  <c r="Z488" i="1"/>
  <c r="AA488" i="1"/>
  <c r="AB488" i="1"/>
  <c r="T453" i="1"/>
  <c r="U453" i="1"/>
  <c r="V453" i="1"/>
  <c r="W453" i="1"/>
  <c r="X453" i="1"/>
  <c r="Y453" i="1"/>
  <c r="Z453" i="1"/>
  <c r="AA453" i="1"/>
  <c r="AB453" i="1"/>
  <c r="T447" i="1"/>
  <c r="U447" i="1"/>
  <c r="V447" i="1"/>
  <c r="W447" i="1"/>
  <c r="X447" i="1"/>
  <c r="Y447" i="1"/>
  <c r="Z447" i="1"/>
  <c r="AA447" i="1"/>
  <c r="AB447" i="1"/>
  <c r="T442" i="1"/>
  <c r="U442" i="1"/>
  <c r="V442" i="1"/>
  <c r="W442" i="1"/>
  <c r="X442" i="1"/>
  <c r="Y442" i="1"/>
  <c r="Z442" i="1"/>
  <c r="AA442" i="1"/>
  <c r="AB442" i="1"/>
  <c r="T438" i="1"/>
  <c r="U438" i="1"/>
  <c r="V438" i="1"/>
  <c r="W438" i="1"/>
  <c r="X438" i="1"/>
  <c r="Y438" i="1"/>
  <c r="Z438" i="1"/>
  <c r="AA438" i="1"/>
  <c r="AB438" i="1"/>
  <c r="T406" i="1"/>
  <c r="U406" i="1"/>
  <c r="V406" i="1"/>
  <c r="W406" i="1"/>
  <c r="X406" i="1"/>
  <c r="Y406" i="1"/>
  <c r="Z406" i="1"/>
  <c r="AA406" i="1"/>
  <c r="AB406" i="1"/>
  <c r="T404" i="1"/>
  <c r="U404" i="1"/>
  <c r="V404" i="1"/>
  <c r="W404" i="1"/>
  <c r="X404" i="1"/>
  <c r="Y404" i="1"/>
  <c r="Z404" i="1"/>
  <c r="AA404" i="1"/>
  <c r="AB404" i="1"/>
  <c r="T398" i="1"/>
  <c r="U398" i="1"/>
  <c r="V398" i="1"/>
  <c r="W398" i="1"/>
  <c r="X398" i="1"/>
  <c r="Y398" i="1"/>
  <c r="Z398" i="1"/>
  <c r="AA398" i="1"/>
  <c r="AB398" i="1"/>
  <c r="T393" i="1"/>
  <c r="U393" i="1"/>
  <c r="V393" i="1"/>
  <c r="W393" i="1"/>
  <c r="X393" i="1"/>
  <c r="Y393" i="1"/>
  <c r="Z393" i="1"/>
  <c r="AA393" i="1"/>
  <c r="AB393" i="1"/>
  <c r="T386" i="1"/>
  <c r="U386" i="1"/>
  <c r="V386" i="1"/>
  <c r="W386" i="1"/>
  <c r="X386" i="1"/>
  <c r="Y386" i="1"/>
  <c r="Z386" i="1"/>
  <c r="AA386" i="1"/>
  <c r="AB386" i="1"/>
  <c r="AB497" i="1"/>
  <c r="AA497" i="1"/>
  <c r="Z497" i="1"/>
  <c r="Y497" i="1"/>
  <c r="X497" i="1"/>
  <c r="W497" i="1"/>
  <c r="V497" i="1"/>
  <c r="U497" i="1"/>
  <c r="T497" i="1"/>
  <c r="AB495" i="1"/>
  <c r="AA495" i="1"/>
  <c r="Z495" i="1"/>
  <c r="Y495" i="1"/>
  <c r="X495" i="1"/>
  <c r="W495" i="1"/>
  <c r="V495" i="1"/>
  <c r="U495" i="1"/>
  <c r="T495" i="1"/>
  <c r="W457" i="1"/>
  <c r="AB457" i="1"/>
  <c r="T457" i="1"/>
  <c r="AB434" i="1"/>
  <c r="T434" i="1"/>
  <c r="V434" i="1"/>
  <c r="AA428" i="1"/>
  <c r="V423" i="1"/>
  <c r="W423" i="1"/>
  <c r="W410" i="1"/>
  <c r="AA410" i="1"/>
  <c r="AB379" i="1"/>
  <c r="T379" i="1"/>
  <c r="V372" i="1"/>
  <c r="Z372" i="1"/>
  <c r="W359" i="1"/>
  <c r="V359" i="1"/>
  <c r="X355" i="1"/>
  <c r="Y355" i="1"/>
  <c r="V355" i="1"/>
  <c r="Y344" i="1"/>
  <c r="AA344" i="1"/>
  <c r="AA341" i="1"/>
  <c r="Z341" i="1"/>
  <c r="V341" i="1"/>
  <c r="U341" i="1"/>
  <c r="AA310" i="1"/>
  <c r="Z310" i="1"/>
  <c r="AB306" i="1"/>
  <c r="T306" i="1"/>
  <c r="Z306" i="1"/>
  <c r="U306" i="1"/>
  <c r="Z300" i="1"/>
  <c r="AA300" i="1" l="1"/>
  <c r="Z355" i="1"/>
  <c r="U379" i="1"/>
  <c r="W434" i="1"/>
  <c r="V306" i="1"/>
  <c r="U428" i="1"/>
  <c r="Y306" i="1"/>
  <c r="Y341" i="1"/>
  <c r="U355" i="1"/>
  <c r="AA423" i="1"/>
  <c r="Z434" i="1"/>
  <c r="X457" i="1"/>
  <c r="X344" i="1"/>
  <c r="T359" i="1"/>
  <c r="X372" i="1"/>
  <c r="Z379" i="1"/>
  <c r="Y410" i="1"/>
  <c r="U423" i="1"/>
  <c r="Y428" i="1"/>
  <c r="Z457" i="1"/>
  <c r="V310" i="1"/>
  <c r="Z359" i="1"/>
  <c r="X379" i="1"/>
  <c r="W428" i="1"/>
  <c r="W300" i="1"/>
  <c r="X300" i="1"/>
  <c r="AA306" i="1"/>
  <c r="X310" i="1"/>
  <c r="W355" i="1"/>
  <c r="AB359" i="1"/>
  <c r="Y300" i="1"/>
  <c r="Y310" i="1"/>
  <c r="T341" i="1"/>
  <c r="AB341" i="1"/>
  <c r="Z344" i="1"/>
  <c r="U359" i="1"/>
  <c r="Y372" i="1"/>
  <c r="AA379" i="1"/>
  <c r="Z410" i="1"/>
  <c r="Z428" i="1"/>
  <c r="U434" i="1"/>
  <c r="AA457" i="1"/>
  <c r="AB344" i="1"/>
  <c r="X423" i="1"/>
  <c r="T428" i="1"/>
  <c r="AB428" i="1"/>
  <c r="U457" i="1"/>
  <c r="T344" i="1"/>
  <c r="AA372" i="1"/>
  <c r="AB410" i="1"/>
  <c r="T300" i="1"/>
  <c r="AB300" i="1"/>
  <c r="W306" i="1"/>
  <c r="T310" i="1"/>
  <c r="AB310" i="1"/>
  <c r="W341" i="1"/>
  <c r="U344" i="1"/>
  <c r="AA355" i="1"/>
  <c r="X359" i="1"/>
  <c r="T372" i="1"/>
  <c r="AB372" i="1"/>
  <c r="V379" i="1"/>
  <c r="U410" i="1"/>
  <c r="Y423" i="1"/>
  <c r="X434" i="1"/>
  <c r="V457" i="1"/>
  <c r="U300" i="1"/>
  <c r="X306" i="1"/>
  <c r="U310" i="1"/>
  <c r="X341" i="1"/>
  <c r="V344" i="1"/>
  <c r="T355" i="1"/>
  <c r="AB355" i="1"/>
  <c r="Y359" i="1"/>
  <c r="U372" i="1"/>
  <c r="W379" i="1"/>
  <c r="V410" i="1"/>
  <c r="Z423" i="1"/>
  <c r="V428" i="1"/>
  <c r="Y434" i="1"/>
  <c r="V300" i="1"/>
  <c r="W344" i="1"/>
  <c r="W310" i="1"/>
  <c r="AA359" i="1"/>
  <c r="W372" i="1"/>
  <c r="Y379" i="1"/>
  <c r="X410" i="1"/>
  <c r="T423" i="1"/>
  <c r="AB423" i="1"/>
  <c r="X428" i="1"/>
  <c r="AA434" i="1"/>
  <c r="Y457" i="1"/>
  <c r="AF284" i="1"/>
  <c r="AG284" i="1" s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AF283" i="1" l="1"/>
  <c r="AG283" i="1" s="1"/>
  <c r="AF620" i="1"/>
  <c r="AF619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AF616" i="1"/>
  <c r="AF615" i="1"/>
  <c r="AF614" i="1"/>
  <c r="AF613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AF611" i="1"/>
  <c r="AF610" i="1"/>
  <c r="AF609" i="1"/>
  <c r="AF608" i="1"/>
  <c r="AF607" i="1"/>
  <c r="AF606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AF604" i="1"/>
  <c r="AF603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AF601" i="1"/>
  <c r="AF600" i="1"/>
  <c r="AF599" i="1"/>
  <c r="AF598" i="1"/>
  <c r="AF597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AF580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AF578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AF576" i="1"/>
  <c r="AF575" i="1"/>
  <c r="AF574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AF572" i="1"/>
  <c r="AF571" i="1"/>
  <c r="AF570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AF568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AF566" i="1"/>
  <c r="AF565" i="1"/>
  <c r="AF564" i="1"/>
  <c r="AF563" i="1"/>
  <c r="AF562" i="1"/>
  <c r="AF561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AF559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AF556" i="1"/>
  <c r="AF555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AF553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AF551" i="1"/>
  <c r="AF550" i="1"/>
  <c r="AF549" i="1"/>
  <c r="AF548" i="1"/>
  <c r="AF547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AF545" i="1"/>
  <c r="AF544" i="1"/>
  <c r="AF543" i="1"/>
  <c r="AF542" i="1"/>
  <c r="AF541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AF525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AF523" i="1"/>
  <c r="AF522" i="1"/>
  <c r="AF521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AF519" i="1"/>
  <c r="AF518" i="1"/>
  <c r="AF517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AF515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AF513" i="1"/>
  <c r="AF512" i="1"/>
  <c r="AF511" i="1"/>
  <c r="AF510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AF508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AF503" i="1"/>
  <c r="AF502" i="1"/>
  <c r="AF501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AF498" i="1"/>
  <c r="AE497" i="1"/>
  <c r="AD497" i="1"/>
  <c r="AC497" i="1"/>
  <c r="AF496" i="1"/>
  <c r="AE495" i="1"/>
  <c r="AD495" i="1"/>
  <c r="AC495" i="1"/>
  <c r="AF494" i="1"/>
  <c r="AF493" i="1"/>
  <c r="AF492" i="1"/>
  <c r="AF491" i="1"/>
  <c r="AF490" i="1"/>
  <c r="AF489" i="1"/>
  <c r="AE488" i="1"/>
  <c r="AD488" i="1"/>
  <c r="AC488" i="1"/>
  <c r="AF487" i="1"/>
  <c r="AE486" i="1"/>
  <c r="AD486" i="1"/>
  <c r="AC486" i="1"/>
  <c r="AF485" i="1"/>
  <c r="AF484" i="1"/>
  <c r="AE483" i="1"/>
  <c r="AD483" i="1"/>
  <c r="AC483" i="1"/>
  <c r="AF482" i="1"/>
  <c r="AE481" i="1"/>
  <c r="AD481" i="1"/>
  <c r="AC481" i="1"/>
  <c r="AF480" i="1"/>
  <c r="AF479" i="1"/>
  <c r="AE478" i="1"/>
  <c r="AD478" i="1"/>
  <c r="AC478" i="1"/>
  <c r="AF477" i="1"/>
  <c r="AF476" i="1"/>
  <c r="AE475" i="1"/>
  <c r="AD475" i="1"/>
  <c r="AC475" i="1"/>
  <c r="AF474" i="1"/>
  <c r="AF473" i="1"/>
  <c r="AE472" i="1"/>
  <c r="AD472" i="1"/>
  <c r="AC472" i="1"/>
  <c r="AF471" i="1"/>
  <c r="AF470" i="1"/>
  <c r="AE468" i="1"/>
  <c r="AD468" i="1"/>
  <c r="AC468" i="1"/>
  <c r="AF467" i="1"/>
  <c r="AF466" i="1"/>
  <c r="AF465" i="1"/>
  <c r="AF464" i="1"/>
  <c r="AF463" i="1"/>
  <c r="AF462" i="1"/>
  <c r="AF461" i="1"/>
  <c r="AF460" i="1"/>
  <c r="AF459" i="1"/>
  <c r="AF458" i="1"/>
  <c r="AE457" i="1"/>
  <c r="AD457" i="1"/>
  <c r="AC457" i="1"/>
  <c r="AF456" i="1"/>
  <c r="AF455" i="1"/>
  <c r="AF454" i="1"/>
  <c r="AE453" i="1"/>
  <c r="AD453" i="1"/>
  <c r="AC453" i="1"/>
  <c r="AF451" i="1"/>
  <c r="AF449" i="1"/>
  <c r="AE447" i="1"/>
  <c r="AD447" i="1"/>
  <c r="AC447" i="1"/>
  <c r="AF446" i="1"/>
  <c r="AF445" i="1"/>
  <c r="AF444" i="1"/>
  <c r="AF443" i="1"/>
  <c r="AE442" i="1"/>
  <c r="AD442" i="1"/>
  <c r="AC442" i="1"/>
  <c r="AF441" i="1"/>
  <c r="AF440" i="1"/>
  <c r="AF439" i="1"/>
  <c r="AE438" i="1"/>
  <c r="AD438" i="1"/>
  <c r="AC438" i="1"/>
  <c r="AF437" i="1"/>
  <c r="AF436" i="1"/>
  <c r="AF435" i="1"/>
  <c r="AE434" i="1"/>
  <c r="AD434" i="1"/>
  <c r="AC434" i="1"/>
  <c r="AF433" i="1"/>
  <c r="AF432" i="1"/>
  <c r="AF431" i="1"/>
  <c r="AF430" i="1"/>
  <c r="AF429" i="1"/>
  <c r="AE428" i="1"/>
  <c r="AD428" i="1"/>
  <c r="AC428" i="1"/>
  <c r="AF427" i="1"/>
  <c r="AF426" i="1"/>
  <c r="AF425" i="1"/>
  <c r="AF424" i="1"/>
  <c r="AE423" i="1"/>
  <c r="AD423" i="1"/>
  <c r="AC423" i="1"/>
  <c r="AF422" i="1"/>
  <c r="AF421" i="1"/>
  <c r="AF420" i="1"/>
  <c r="AF419" i="1"/>
  <c r="AF418" i="1"/>
  <c r="AF417" i="1"/>
  <c r="AF416" i="1"/>
  <c r="AF415" i="1"/>
  <c r="AF413" i="1"/>
  <c r="AF412" i="1"/>
  <c r="AF411" i="1"/>
  <c r="AE410" i="1"/>
  <c r="AD410" i="1"/>
  <c r="AC410" i="1"/>
  <c r="AF409" i="1"/>
  <c r="AF408" i="1"/>
  <c r="AF407" i="1"/>
  <c r="AE406" i="1"/>
  <c r="AD406" i="1"/>
  <c r="AC406" i="1"/>
  <c r="AF405" i="1"/>
  <c r="AE404" i="1"/>
  <c r="AD404" i="1"/>
  <c r="AC404" i="1"/>
  <c r="AF403" i="1"/>
  <c r="AF402" i="1"/>
  <c r="AF401" i="1"/>
  <c r="AF400" i="1"/>
  <c r="AF399" i="1"/>
  <c r="AE398" i="1"/>
  <c r="AD398" i="1"/>
  <c r="AC398" i="1"/>
  <c r="AF397" i="1"/>
  <c r="AF396" i="1"/>
  <c r="AF395" i="1"/>
  <c r="AF394" i="1"/>
  <c r="AE393" i="1"/>
  <c r="AD393" i="1"/>
  <c r="AC393" i="1"/>
  <c r="AF392" i="1"/>
  <c r="AF391" i="1"/>
  <c r="AF390" i="1"/>
  <c r="AF389" i="1"/>
  <c r="AF388" i="1"/>
  <c r="AF387" i="1"/>
  <c r="AE386" i="1"/>
  <c r="AD386" i="1"/>
  <c r="AC386" i="1"/>
  <c r="AF385" i="1"/>
  <c r="AF384" i="1"/>
  <c r="AF383" i="1"/>
  <c r="AF382" i="1"/>
  <c r="AF381" i="1"/>
  <c r="AF380" i="1"/>
  <c r="AE379" i="1"/>
  <c r="AD379" i="1"/>
  <c r="AC379" i="1"/>
  <c r="AF378" i="1"/>
  <c r="AF377" i="1"/>
  <c r="AF376" i="1"/>
  <c r="AF375" i="1"/>
  <c r="AF374" i="1"/>
  <c r="AF373" i="1"/>
  <c r="AE372" i="1"/>
  <c r="AD372" i="1"/>
  <c r="AC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E359" i="1"/>
  <c r="AD359" i="1"/>
  <c r="AC359" i="1"/>
  <c r="AF358" i="1"/>
  <c r="AF357" i="1"/>
  <c r="AF356" i="1"/>
  <c r="AE355" i="1"/>
  <c r="AD355" i="1"/>
  <c r="AC355" i="1"/>
  <c r="AF354" i="1"/>
  <c r="AF353" i="1"/>
  <c r="AF352" i="1"/>
  <c r="AF351" i="1"/>
  <c r="AF350" i="1"/>
  <c r="AF349" i="1"/>
  <c r="AF348" i="1"/>
  <c r="AF347" i="1"/>
  <c r="AF346" i="1"/>
  <c r="AF345" i="1"/>
  <c r="AE344" i="1"/>
  <c r="AD344" i="1"/>
  <c r="AC344" i="1"/>
  <c r="AF343" i="1"/>
  <c r="AF342" i="1"/>
  <c r="AE341" i="1"/>
  <c r="AD341" i="1"/>
  <c r="AC341" i="1"/>
  <c r="AF339" i="1"/>
  <c r="AF338" i="1"/>
  <c r="AF337" i="1"/>
  <c r="AC310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E310" i="1"/>
  <c r="AD310" i="1"/>
  <c r="AF309" i="1"/>
  <c r="AF308" i="1"/>
  <c r="AF307" i="1"/>
  <c r="AE306" i="1"/>
  <c r="AD306" i="1"/>
  <c r="AC306" i="1"/>
  <c r="AF305" i="1"/>
  <c r="AF304" i="1"/>
  <c r="AF303" i="1"/>
  <c r="AF302" i="1"/>
  <c r="AF301" i="1"/>
  <c r="AE300" i="1"/>
  <c r="AD300" i="1"/>
  <c r="AC300" i="1"/>
  <c r="AF299" i="1"/>
  <c r="AF298" i="1"/>
  <c r="AF297" i="1"/>
  <c r="AF296" i="1"/>
  <c r="AE295" i="1"/>
  <c r="AD295" i="1"/>
  <c r="AC295" i="1"/>
  <c r="AB295" i="1"/>
  <c r="AA295" i="1"/>
  <c r="Z295" i="1"/>
  <c r="Z294" i="1" s="1"/>
  <c r="Y295" i="1"/>
  <c r="X295" i="1"/>
  <c r="W295" i="1"/>
  <c r="V295" i="1"/>
  <c r="V294" i="1" s="1"/>
  <c r="U295" i="1"/>
  <c r="T295" i="1"/>
  <c r="AF291" i="1"/>
  <c r="AG291" i="1" s="1"/>
  <c r="AF290" i="1"/>
  <c r="AG290" i="1" s="1"/>
  <c r="AF289" i="1"/>
  <c r="AG289" i="1" s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AF286" i="1"/>
  <c r="AG286" i="1" s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AF282" i="1"/>
  <c r="AG282" i="1" s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AF280" i="1"/>
  <c r="AG280" i="1" s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AF278" i="1"/>
  <c r="AG278" i="1" s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AF276" i="1"/>
  <c r="AG276" i="1" s="1"/>
  <c r="AF275" i="1"/>
  <c r="AG275" i="1" s="1"/>
  <c r="AF274" i="1"/>
  <c r="AG274" i="1" s="1"/>
  <c r="AF273" i="1"/>
  <c r="AG273" i="1" s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AF271" i="1"/>
  <c r="AG271" i="1" s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AF269" i="1"/>
  <c r="AG269" i="1" s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AF267" i="1"/>
  <c r="AG267" i="1" s="1"/>
  <c r="AF266" i="1"/>
  <c r="AG266" i="1" s="1"/>
  <c r="AF265" i="1"/>
  <c r="AG265" i="1" s="1"/>
  <c r="AF264" i="1"/>
  <c r="AG264" i="1" s="1"/>
  <c r="AF263" i="1"/>
  <c r="AG263" i="1" s="1"/>
  <c r="AF262" i="1"/>
  <c r="AG262" i="1" s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AF260" i="1"/>
  <c r="AG260" i="1" s="1"/>
  <c r="AF259" i="1"/>
  <c r="AG259" i="1" s="1"/>
  <c r="AF258" i="1"/>
  <c r="AG258" i="1" s="1"/>
  <c r="AF257" i="1"/>
  <c r="AG257" i="1" s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AF255" i="1"/>
  <c r="AG255" i="1" s="1"/>
  <c r="AF254" i="1"/>
  <c r="AG254" i="1" s="1"/>
  <c r="AF253" i="1"/>
  <c r="AG253" i="1" s="1"/>
  <c r="AF252" i="1"/>
  <c r="AG252" i="1" s="1"/>
  <c r="AF251" i="1"/>
  <c r="AG251" i="1" s="1"/>
  <c r="AF250" i="1"/>
  <c r="AG250" i="1" s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AF248" i="1"/>
  <c r="AG248" i="1" s="1"/>
  <c r="AF247" i="1"/>
  <c r="AG247" i="1" s="1"/>
  <c r="AF246" i="1"/>
  <c r="AG246" i="1" s="1"/>
  <c r="AF245" i="1"/>
  <c r="AG245" i="1" s="1"/>
  <c r="AF244" i="1"/>
  <c r="AG244" i="1" s="1"/>
  <c r="AF243" i="1"/>
  <c r="AG243" i="1" s="1"/>
  <c r="AF242" i="1"/>
  <c r="AG242" i="1" s="1"/>
  <c r="AF241" i="1"/>
  <c r="AG241" i="1" s="1"/>
  <c r="AF240" i="1"/>
  <c r="AG240" i="1" s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AF238" i="1"/>
  <c r="AG238" i="1" s="1"/>
  <c r="AF237" i="1"/>
  <c r="AG237" i="1" s="1"/>
  <c r="AF236" i="1"/>
  <c r="AG236" i="1" s="1"/>
  <c r="AF235" i="1"/>
  <c r="AG235" i="1" s="1"/>
  <c r="AF234" i="1"/>
  <c r="AG234" i="1" s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AF232" i="1"/>
  <c r="AG232" i="1" s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AF230" i="1"/>
  <c r="AG230" i="1" s="1"/>
  <c r="AF229" i="1"/>
  <c r="AG229" i="1" s="1"/>
  <c r="AF228" i="1"/>
  <c r="AG228" i="1" s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AF226" i="1"/>
  <c r="AG226" i="1" s="1"/>
  <c r="AF225" i="1"/>
  <c r="AG225" i="1" s="1"/>
  <c r="AF224" i="1"/>
  <c r="AG224" i="1" s="1"/>
  <c r="AF223" i="1"/>
  <c r="AG223" i="1" s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AF221" i="1"/>
  <c r="AG221" i="1" s="1"/>
  <c r="AF220" i="1"/>
  <c r="AG220" i="1" s="1"/>
  <c r="AF219" i="1"/>
  <c r="AG219" i="1" s="1"/>
  <c r="AF218" i="1"/>
  <c r="AG218" i="1" s="1"/>
  <c r="AF217" i="1"/>
  <c r="AG217" i="1" s="1"/>
  <c r="AF216" i="1"/>
  <c r="AG216" i="1" s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AF214" i="1"/>
  <c r="AG214" i="1" s="1"/>
  <c r="AF213" i="1"/>
  <c r="AG213" i="1" s="1"/>
  <c r="AF212" i="1"/>
  <c r="AG212" i="1" s="1"/>
  <c r="AF211" i="1"/>
  <c r="AG211" i="1" s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AF209" i="1"/>
  <c r="AG209" i="1" s="1"/>
  <c r="AF208" i="1"/>
  <c r="AG208" i="1" s="1"/>
  <c r="AF207" i="1"/>
  <c r="AG207" i="1" s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AF205" i="1"/>
  <c r="AG205" i="1" s="1"/>
  <c r="AF204" i="1"/>
  <c r="AG204" i="1" s="1"/>
  <c r="AF203" i="1"/>
  <c r="AG203" i="1" s="1"/>
  <c r="AF202" i="1"/>
  <c r="AG202" i="1" s="1"/>
  <c r="AF201" i="1"/>
  <c r="AG201" i="1" s="1"/>
  <c r="AF200" i="1"/>
  <c r="AG200" i="1" s="1"/>
  <c r="AF199" i="1"/>
  <c r="AG199" i="1" s="1"/>
  <c r="AF198" i="1"/>
  <c r="AG198" i="1" s="1"/>
  <c r="AF197" i="1"/>
  <c r="AG197" i="1" s="1"/>
  <c r="AF196" i="1"/>
  <c r="AG196" i="1" s="1"/>
  <c r="AF195" i="1"/>
  <c r="AG195" i="1" s="1"/>
  <c r="AF194" i="1"/>
  <c r="AG194" i="1" s="1"/>
  <c r="AF193" i="1"/>
  <c r="AG193" i="1" s="1"/>
  <c r="AF192" i="1"/>
  <c r="AG192" i="1" s="1"/>
  <c r="AF191" i="1"/>
  <c r="AG191" i="1" s="1"/>
  <c r="AF190" i="1"/>
  <c r="AG190" i="1" s="1"/>
  <c r="AF189" i="1"/>
  <c r="AG189" i="1" s="1"/>
  <c r="AF188" i="1"/>
  <c r="AG188" i="1" s="1"/>
  <c r="AF187" i="1"/>
  <c r="AG187" i="1" s="1"/>
  <c r="AF186" i="1"/>
  <c r="AG186" i="1" s="1"/>
  <c r="AF185" i="1"/>
  <c r="AG185" i="1" s="1"/>
  <c r="AF184" i="1"/>
  <c r="AG184" i="1" s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AF182" i="1"/>
  <c r="AG182" i="1" s="1"/>
  <c r="AF181" i="1"/>
  <c r="AG181" i="1" s="1"/>
  <c r="AF180" i="1"/>
  <c r="AG180" i="1" s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AF178" i="1"/>
  <c r="AG178" i="1" s="1"/>
  <c r="AF177" i="1"/>
  <c r="AG177" i="1" s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AF175" i="1"/>
  <c r="AG175" i="1" s="1"/>
  <c r="AF174" i="1"/>
  <c r="AG174" i="1" s="1"/>
  <c r="AF173" i="1"/>
  <c r="AG173" i="1" s="1"/>
  <c r="AF172" i="1"/>
  <c r="AG172" i="1" s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AF170" i="1"/>
  <c r="AG170" i="1" s="1"/>
  <c r="AF169" i="1"/>
  <c r="AG169" i="1" s="1"/>
  <c r="AF168" i="1"/>
  <c r="AG168" i="1" s="1"/>
  <c r="AF167" i="1"/>
  <c r="AG167" i="1" s="1"/>
  <c r="AF166" i="1"/>
  <c r="AG166" i="1" s="1"/>
  <c r="AF165" i="1"/>
  <c r="AG165" i="1" s="1"/>
  <c r="AF164" i="1"/>
  <c r="AG164" i="1" s="1"/>
  <c r="AF163" i="1"/>
  <c r="AG163" i="1" s="1"/>
  <c r="AF162" i="1"/>
  <c r="AG162" i="1" s="1"/>
  <c r="AF161" i="1"/>
  <c r="AG161" i="1" s="1"/>
  <c r="AF160" i="1"/>
  <c r="AG160" i="1" s="1"/>
  <c r="AF159" i="1"/>
  <c r="AG159" i="1" s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AF157" i="1"/>
  <c r="AG157" i="1" s="1"/>
  <c r="AF156" i="1"/>
  <c r="AG156" i="1" s="1"/>
  <c r="AF155" i="1"/>
  <c r="AG155" i="1" s="1"/>
  <c r="AF154" i="1"/>
  <c r="AG154" i="1" s="1"/>
  <c r="AF153" i="1"/>
  <c r="AG153" i="1" s="1"/>
  <c r="AF152" i="1"/>
  <c r="AG152" i="1" s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AF150" i="1"/>
  <c r="AG150" i="1" s="1"/>
  <c r="AF149" i="1"/>
  <c r="AG149" i="1" s="1"/>
  <c r="AF148" i="1"/>
  <c r="AG148" i="1" s="1"/>
  <c r="AF147" i="1"/>
  <c r="AG147" i="1" s="1"/>
  <c r="AF146" i="1"/>
  <c r="AG146" i="1" s="1"/>
  <c r="AF145" i="1"/>
  <c r="AG145" i="1" s="1"/>
  <c r="AF144" i="1"/>
  <c r="AG144" i="1" s="1"/>
  <c r="AF143" i="1"/>
  <c r="AG143" i="1" s="1"/>
  <c r="AF142" i="1"/>
  <c r="AG142" i="1" s="1"/>
  <c r="AF141" i="1"/>
  <c r="AG141" i="1" s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AF139" i="1"/>
  <c r="AG139" i="1" s="1"/>
  <c r="AF138" i="1"/>
  <c r="AG138" i="1" s="1"/>
  <c r="AF137" i="1"/>
  <c r="AG137" i="1" s="1"/>
  <c r="AF136" i="1"/>
  <c r="AG136" i="1" s="1"/>
  <c r="AF135" i="1"/>
  <c r="AG135" i="1" s="1"/>
  <c r="AF134" i="1"/>
  <c r="AG134" i="1" s="1"/>
  <c r="AF133" i="1"/>
  <c r="AG133" i="1" s="1"/>
  <c r="AF132" i="1"/>
  <c r="AG132" i="1" s="1"/>
  <c r="AF131" i="1"/>
  <c r="AG131" i="1" s="1"/>
  <c r="AF130" i="1"/>
  <c r="AG130" i="1" s="1"/>
  <c r="AF129" i="1"/>
  <c r="AG129" i="1" s="1"/>
  <c r="AF128" i="1"/>
  <c r="AG128" i="1" s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AF126" i="1"/>
  <c r="AG126" i="1" s="1"/>
  <c r="AF125" i="1"/>
  <c r="AG125" i="1" s="1"/>
  <c r="AF124" i="1"/>
  <c r="AG124" i="1" s="1"/>
  <c r="AF123" i="1"/>
  <c r="AG123" i="1" s="1"/>
  <c r="AF122" i="1"/>
  <c r="AG122" i="1" s="1"/>
  <c r="AF121" i="1"/>
  <c r="AG121" i="1" s="1"/>
  <c r="AF120" i="1"/>
  <c r="AG120" i="1" s="1"/>
  <c r="AF119" i="1"/>
  <c r="AG119" i="1" s="1"/>
  <c r="AF118" i="1"/>
  <c r="AG118" i="1" s="1"/>
  <c r="AF117" i="1"/>
  <c r="AG117" i="1" s="1"/>
  <c r="AF116" i="1"/>
  <c r="AG116" i="1" s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AF114" i="1"/>
  <c r="AG114" i="1" s="1"/>
  <c r="AF113" i="1"/>
  <c r="AG113" i="1" s="1"/>
  <c r="AF112" i="1"/>
  <c r="AG112" i="1" s="1"/>
  <c r="AF111" i="1"/>
  <c r="AG111" i="1" s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AF109" i="1"/>
  <c r="AG109" i="1" s="1"/>
  <c r="AF108" i="1"/>
  <c r="AG108" i="1" s="1"/>
  <c r="AF107" i="1"/>
  <c r="AG107" i="1" s="1"/>
  <c r="AF106" i="1"/>
  <c r="AG106" i="1" s="1"/>
  <c r="AF105" i="1"/>
  <c r="AG105" i="1" s="1"/>
  <c r="AF104" i="1"/>
  <c r="AG104" i="1" s="1"/>
  <c r="AF103" i="1"/>
  <c r="AG103" i="1" s="1"/>
  <c r="AF102" i="1"/>
  <c r="AG102" i="1" s="1"/>
  <c r="AF101" i="1"/>
  <c r="AG101" i="1" s="1"/>
  <c r="AF100" i="1"/>
  <c r="AG100" i="1" s="1"/>
  <c r="AE99" i="1"/>
  <c r="AD99" i="1"/>
  <c r="AC99" i="1"/>
  <c r="AB99" i="1"/>
  <c r="AA99" i="1"/>
  <c r="Z99" i="1"/>
  <c r="Y99" i="1"/>
  <c r="X99" i="1"/>
  <c r="W99" i="1"/>
  <c r="V99" i="1"/>
  <c r="U99" i="1"/>
  <c r="T99" i="1"/>
  <c r="AF98" i="1"/>
  <c r="AG98" i="1" s="1"/>
  <c r="AE97" i="1"/>
  <c r="AD97" i="1"/>
  <c r="AC97" i="1"/>
  <c r="AB97" i="1"/>
  <c r="AA97" i="1"/>
  <c r="Z97" i="1"/>
  <c r="Y97" i="1"/>
  <c r="X97" i="1"/>
  <c r="W97" i="1"/>
  <c r="V97" i="1"/>
  <c r="U97" i="1"/>
  <c r="T97" i="1"/>
  <c r="AF96" i="1"/>
  <c r="AG96" i="1" s="1"/>
  <c r="AF95" i="1"/>
  <c r="AG95" i="1" s="1"/>
  <c r="AF94" i="1"/>
  <c r="AG94" i="1" s="1"/>
  <c r="AF93" i="1"/>
  <c r="AG93" i="1" s="1"/>
  <c r="AF92" i="1"/>
  <c r="AG92" i="1" s="1"/>
  <c r="AE91" i="1"/>
  <c r="AD91" i="1"/>
  <c r="AC91" i="1"/>
  <c r="AB91" i="1"/>
  <c r="AA91" i="1"/>
  <c r="Z91" i="1"/>
  <c r="Y91" i="1"/>
  <c r="X91" i="1"/>
  <c r="W91" i="1"/>
  <c r="V91" i="1"/>
  <c r="U91" i="1"/>
  <c r="T91" i="1"/>
  <c r="AF89" i="1"/>
  <c r="AG89" i="1" s="1"/>
  <c r="AF88" i="1"/>
  <c r="AG88" i="1" s="1"/>
  <c r="AF87" i="1"/>
  <c r="AG87" i="1" s="1"/>
  <c r="AF86" i="1"/>
  <c r="AG86" i="1" s="1"/>
  <c r="AF85" i="1"/>
  <c r="AG85" i="1" s="1"/>
  <c r="AF84" i="1"/>
  <c r="AG84" i="1" s="1"/>
  <c r="AF83" i="1"/>
  <c r="AG83" i="1" s="1"/>
  <c r="AF82" i="1"/>
  <c r="AG82" i="1" s="1"/>
  <c r="AF81" i="1"/>
  <c r="AG81" i="1" s="1"/>
  <c r="AF80" i="1"/>
  <c r="AG80" i="1" s="1"/>
  <c r="AF79" i="1"/>
  <c r="AG79" i="1" s="1"/>
  <c r="AF78" i="1"/>
  <c r="AG78" i="1" s="1"/>
  <c r="AF77" i="1"/>
  <c r="AG77" i="1" s="1"/>
  <c r="AF76" i="1"/>
  <c r="AG76" i="1" s="1"/>
  <c r="AF75" i="1"/>
  <c r="AG75" i="1" s="1"/>
  <c r="AF74" i="1"/>
  <c r="AG74" i="1" s="1"/>
  <c r="AF73" i="1"/>
  <c r="AG73" i="1" s="1"/>
  <c r="AF72" i="1"/>
  <c r="AG72" i="1" s="1"/>
  <c r="AF71" i="1"/>
  <c r="AG71" i="1" s="1"/>
  <c r="AF70" i="1"/>
  <c r="AG70" i="1" s="1"/>
  <c r="AF69" i="1"/>
  <c r="AG69" i="1" s="1"/>
  <c r="AF68" i="1"/>
  <c r="AG68" i="1" s="1"/>
  <c r="AF67" i="1"/>
  <c r="AG67" i="1" s="1"/>
  <c r="AF66" i="1"/>
  <c r="AG66" i="1" s="1"/>
  <c r="AF65" i="1"/>
  <c r="AG65" i="1" s="1"/>
  <c r="AF64" i="1"/>
  <c r="AG64" i="1" s="1"/>
  <c r="AF63" i="1"/>
  <c r="AG63" i="1" s="1"/>
  <c r="AF62" i="1"/>
  <c r="AG62" i="1" s="1"/>
  <c r="AF61" i="1"/>
  <c r="AG61" i="1" s="1"/>
  <c r="AE60" i="1"/>
  <c r="AD60" i="1"/>
  <c r="AC60" i="1"/>
  <c r="AB60" i="1"/>
  <c r="AA60" i="1"/>
  <c r="Z60" i="1"/>
  <c r="Y60" i="1"/>
  <c r="X60" i="1"/>
  <c r="W60" i="1"/>
  <c r="V60" i="1"/>
  <c r="U60" i="1"/>
  <c r="T60" i="1"/>
  <c r="AF59" i="1"/>
  <c r="AG59" i="1" s="1"/>
  <c r="AF58" i="1"/>
  <c r="AG58" i="1" s="1"/>
  <c r="AF57" i="1"/>
  <c r="AG57" i="1" s="1"/>
  <c r="AE56" i="1"/>
  <c r="AD56" i="1"/>
  <c r="AC56" i="1"/>
  <c r="AB56" i="1"/>
  <c r="AA56" i="1"/>
  <c r="Z56" i="1"/>
  <c r="Y56" i="1"/>
  <c r="X56" i="1"/>
  <c r="W56" i="1"/>
  <c r="V56" i="1"/>
  <c r="U56" i="1"/>
  <c r="T56" i="1"/>
  <c r="AF55" i="1"/>
  <c r="AG55" i="1" s="1"/>
  <c r="AF54" i="1"/>
  <c r="AG54" i="1" s="1"/>
  <c r="AF53" i="1"/>
  <c r="AG53" i="1" s="1"/>
  <c r="AF52" i="1"/>
  <c r="AG52" i="1" s="1"/>
  <c r="AF51" i="1"/>
  <c r="AG51" i="1" s="1"/>
  <c r="AE50" i="1"/>
  <c r="AD50" i="1"/>
  <c r="AC50" i="1"/>
  <c r="AB50" i="1"/>
  <c r="AA50" i="1"/>
  <c r="Z50" i="1"/>
  <c r="Y50" i="1"/>
  <c r="X50" i="1"/>
  <c r="W50" i="1"/>
  <c r="V50" i="1"/>
  <c r="U50" i="1"/>
  <c r="T50" i="1"/>
  <c r="AF49" i="1"/>
  <c r="AG49" i="1" s="1"/>
  <c r="AF48" i="1"/>
  <c r="AG48" i="1" s="1"/>
  <c r="AF47" i="1"/>
  <c r="AG47" i="1" s="1"/>
  <c r="AF46" i="1"/>
  <c r="AG46" i="1" s="1"/>
  <c r="AE45" i="1"/>
  <c r="AD45" i="1"/>
  <c r="AC45" i="1"/>
  <c r="AB45" i="1"/>
  <c r="AA45" i="1"/>
  <c r="Z45" i="1"/>
  <c r="Y45" i="1"/>
  <c r="X45" i="1"/>
  <c r="W45" i="1"/>
  <c r="V45" i="1"/>
  <c r="U45" i="1"/>
  <c r="T45" i="1"/>
  <c r="AF43" i="1"/>
  <c r="AG43" i="1" s="1"/>
  <c r="AE42" i="1"/>
  <c r="AD42" i="1"/>
  <c r="AC42" i="1"/>
  <c r="AB42" i="1"/>
  <c r="AA42" i="1"/>
  <c r="Z42" i="1"/>
  <c r="Y42" i="1"/>
  <c r="X42" i="1"/>
  <c r="W42" i="1"/>
  <c r="V42" i="1"/>
  <c r="U42" i="1"/>
  <c r="T42" i="1"/>
  <c r="AF41" i="1"/>
  <c r="AG41" i="1" s="1"/>
  <c r="AF40" i="1"/>
  <c r="AG40" i="1" s="1"/>
  <c r="AE39" i="1"/>
  <c r="AD39" i="1"/>
  <c r="AC39" i="1"/>
  <c r="AB39" i="1"/>
  <c r="AA39" i="1"/>
  <c r="Z39" i="1"/>
  <c r="Y39" i="1"/>
  <c r="X39" i="1"/>
  <c r="W39" i="1"/>
  <c r="V39" i="1"/>
  <c r="U39" i="1"/>
  <c r="T39" i="1"/>
  <c r="AF38" i="1"/>
  <c r="AG38" i="1" s="1"/>
  <c r="AF37" i="1"/>
  <c r="AG37" i="1" s="1"/>
  <c r="AE36" i="1"/>
  <c r="AD36" i="1"/>
  <c r="AC36" i="1"/>
  <c r="AB36" i="1"/>
  <c r="AA36" i="1"/>
  <c r="Z36" i="1"/>
  <c r="Y36" i="1"/>
  <c r="X36" i="1"/>
  <c r="W36" i="1"/>
  <c r="V36" i="1"/>
  <c r="U36" i="1"/>
  <c r="T36" i="1"/>
  <c r="AF35" i="1"/>
  <c r="AG35" i="1" s="1"/>
  <c r="AF34" i="1"/>
  <c r="AG34" i="1" s="1"/>
  <c r="AE33" i="1"/>
  <c r="AD33" i="1"/>
  <c r="AC33" i="1"/>
  <c r="AB33" i="1"/>
  <c r="AA33" i="1"/>
  <c r="Z33" i="1"/>
  <c r="Y33" i="1"/>
  <c r="X33" i="1"/>
  <c r="W33" i="1"/>
  <c r="V33" i="1"/>
  <c r="U33" i="1"/>
  <c r="T33" i="1"/>
  <c r="AF31" i="1"/>
  <c r="AG31" i="1" s="1"/>
  <c r="AE30" i="1"/>
  <c r="AD30" i="1"/>
  <c r="AC30" i="1"/>
  <c r="AB30" i="1"/>
  <c r="AA30" i="1"/>
  <c r="Z30" i="1"/>
  <c r="Y30" i="1"/>
  <c r="X30" i="1"/>
  <c r="W30" i="1"/>
  <c r="V30" i="1"/>
  <c r="U30" i="1"/>
  <c r="T30" i="1"/>
  <c r="AF29" i="1"/>
  <c r="AG29" i="1" s="1"/>
  <c r="AF28" i="1"/>
  <c r="AG28" i="1" s="1"/>
  <c r="AF27" i="1"/>
  <c r="AG27" i="1" s="1"/>
  <c r="AE26" i="1"/>
  <c r="AD26" i="1"/>
  <c r="AC26" i="1"/>
  <c r="AB26" i="1"/>
  <c r="AA26" i="1"/>
  <c r="Z26" i="1"/>
  <c r="Y26" i="1"/>
  <c r="X26" i="1"/>
  <c r="W26" i="1"/>
  <c r="V26" i="1"/>
  <c r="U26" i="1"/>
  <c r="T26" i="1"/>
  <c r="AF25" i="1"/>
  <c r="AG25" i="1" s="1"/>
  <c r="AF24" i="1"/>
  <c r="AG24" i="1" s="1"/>
  <c r="AF23" i="1"/>
  <c r="AG23" i="1" s="1"/>
  <c r="AE22" i="1"/>
  <c r="AD22" i="1"/>
  <c r="AC22" i="1"/>
  <c r="AB22" i="1"/>
  <c r="AA22" i="1"/>
  <c r="Z22" i="1"/>
  <c r="Y22" i="1"/>
  <c r="X22" i="1"/>
  <c r="W22" i="1"/>
  <c r="V22" i="1"/>
  <c r="U22" i="1"/>
  <c r="T22" i="1"/>
  <c r="AF21" i="1"/>
  <c r="AG21" i="1" s="1"/>
  <c r="AF20" i="1"/>
  <c r="AG20" i="1" s="1"/>
  <c r="AF19" i="1"/>
  <c r="AG19" i="1" s="1"/>
  <c r="AF18" i="1"/>
  <c r="AG18" i="1" s="1"/>
  <c r="AF17" i="1"/>
  <c r="AG17" i="1" s="1"/>
  <c r="AF16" i="1"/>
  <c r="AG16" i="1" s="1"/>
  <c r="AE15" i="1"/>
  <c r="AD15" i="1"/>
  <c r="AC15" i="1"/>
  <c r="AB15" i="1"/>
  <c r="AA15" i="1"/>
  <c r="Z15" i="1"/>
  <c r="Y15" i="1"/>
  <c r="X15" i="1"/>
  <c r="W15" i="1"/>
  <c r="V15" i="1"/>
  <c r="U15" i="1"/>
  <c r="T15" i="1"/>
  <c r="AF14" i="1"/>
  <c r="AG14" i="1" s="1"/>
  <c r="AF13" i="1"/>
  <c r="AG13" i="1" s="1"/>
  <c r="AE12" i="1"/>
  <c r="AD12" i="1"/>
  <c r="AC12" i="1"/>
  <c r="AB12" i="1"/>
  <c r="AA12" i="1"/>
  <c r="Z12" i="1"/>
  <c r="Y12" i="1"/>
  <c r="X12" i="1"/>
  <c r="W12" i="1"/>
  <c r="V12" i="1"/>
  <c r="U12" i="1"/>
  <c r="T12" i="1"/>
  <c r="Y44" i="1" l="1"/>
  <c r="AC44" i="1"/>
  <c r="AA44" i="1"/>
  <c r="U44" i="1"/>
  <c r="T44" i="1"/>
  <c r="AE11" i="1"/>
  <c r="X44" i="1"/>
  <c r="U506" i="1"/>
  <c r="X294" i="1"/>
  <c r="X11" i="1"/>
  <c r="U11" i="1"/>
  <c r="AC11" i="1"/>
  <c r="AA294" i="1"/>
  <c r="U340" i="1"/>
  <c r="AC506" i="1"/>
  <c r="W294" i="1"/>
  <c r="V11" i="1"/>
  <c r="AD11" i="1"/>
  <c r="T294" i="1"/>
  <c r="AB294" i="1"/>
  <c r="AF30" i="1"/>
  <c r="AG30" i="1" s="1"/>
  <c r="AE294" i="1"/>
  <c r="AD294" i="1"/>
  <c r="AA11" i="1"/>
  <c r="AD557" i="1"/>
  <c r="AB44" i="1"/>
  <c r="Z557" i="1"/>
  <c r="AF596" i="1"/>
  <c r="W44" i="1"/>
  <c r="AE44" i="1"/>
  <c r="AF475" i="1"/>
  <c r="W11" i="1"/>
  <c r="Y506" i="1"/>
  <c r="AF509" i="1"/>
  <c r="AF514" i="1"/>
  <c r="AF516" i="1"/>
  <c r="Z506" i="1"/>
  <c r="AF554" i="1"/>
  <c r="AF179" i="1"/>
  <c r="AG179" i="1" s="1"/>
  <c r="AF344" i="1"/>
  <c r="AC340" i="1"/>
  <c r="V557" i="1"/>
  <c r="Z44" i="1"/>
  <c r="AF495" i="1"/>
  <c r="W557" i="1"/>
  <c r="AE557" i="1"/>
  <c r="Y90" i="1"/>
  <c r="U294" i="1"/>
  <c r="AF406" i="1"/>
  <c r="AF434" i="1"/>
  <c r="Z11" i="1"/>
  <c r="AF15" i="1"/>
  <c r="AG15" i="1" s="1"/>
  <c r="AF42" i="1"/>
  <c r="AG42" i="1" s="1"/>
  <c r="AF110" i="1"/>
  <c r="AG110" i="1" s="1"/>
  <c r="AF115" i="1"/>
  <c r="AG115" i="1" s="1"/>
  <c r="AF183" i="1"/>
  <c r="AG183" i="1" s="1"/>
  <c r="AF239" i="1"/>
  <c r="AG239" i="1" s="1"/>
  <c r="AF268" i="1"/>
  <c r="AG268" i="1" s="1"/>
  <c r="AF272" i="1"/>
  <c r="AG272" i="1" s="1"/>
  <c r="AF277" i="1"/>
  <c r="AG277" i="1" s="1"/>
  <c r="AF279" i="1"/>
  <c r="AG279" i="1" s="1"/>
  <c r="AF288" i="1"/>
  <c r="AG288" i="1" s="1"/>
  <c r="Y294" i="1"/>
  <c r="Y340" i="1"/>
  <c r="AF379" i="1"/>
  <c r="AF393" i="1"/>
  <c r="AF423" i="1"/>
  <c r="AF428" i="1"/>
  <c r="AF438" i="1"/>
  <c r="AF453" i="1"/>
  <c r="AF468" i="1"/>
  <c r="AF520" i="1"/>
  <c r="Y557" i="1"/>
  <c r="T557" i="1"/>
  <c r="AB557" i="1"/>
  <c r="AF605" i="1"/>
  <c r="AB11" i="1"/>
  <c r="AF26" i="1"/>
  <c r="AG26" i="1" s="1"/>
  <c r="AF45" i="1"/>
  <c r="AG45" i="1" s="1"/>
  <c r="AF50" i="1"/>
  <c r="AG50" i="1" s="1"/>
  <c r="AF60" i="1"/>
  <c r="AG60" i="1" s="1"/>
  <c r="AF99" i="1"/>
  <c r="AG99" i="1" s="1"/>
  <c r="V90" i="1"/>
  <c r="AD90" i="1"/>
  <c r="W90" i="1"/>
  <c r="AE90" i="1"/>
  <c r="AF231" i="1"/>
  <c r="AG231" i="1" s="1"/>
  <c r="AF249" i="1"/>
  <c r="AG249" i="1" s="1"/>
  <c r="AF281" i="1"/>
  <c r="AG281" i="1" s="1"/>
  <c r="V340" i="1"/>
  <c r="V293" i="1" s="1"/>
  <c r="AD340" i="1"/>
  <c r="AF386" i="1"/>
  <c r="AB340" i="1"/>
  <c r="AF488" i="1"/>
  <c r="X506" i="1"/>
  <c r="AF579" i="1"/>
  <c r="AF602" i="1"/>
  <c r="AF618" i="1"/>
  <c r="AF526" i="1"/>
  <c r="AF12" i="1"/>
  <c r="AG12" i="1" s="1"/>
  <c r="AF22" i="1"/>
  <c r="AG22" i="1" s="1"/>
  <c r="AF56" i="1"/>
  <c r="AG56" i="1" s="1"/>
  <c r="Z90" i="1"/>
  <c r="AF171" i="1"/>
  <c r="AG171" i="1" s="1"/>
  <c r="AF227" i="1"/>
  <c r="AG227" i="1" s="1"/>
  <c r="AF270" i="1"/>
  <c r="AG270" i="1" s="1"/>
  <c r="AF295" i="1"/>
  <c r="AF310" i="1"/>
  <c r="AC294" i="1"/>
  <c r="W340" i="1"/>
  <c r="AE340" i="1"/>
  <c r="AF447" i="1"/>
  <c r="AF486" i="1"/>
  <c r="AF500" i="1"/>
  <c r="V506" i="1"/>
  <c r="AD506" i="1"/>
  <c r="AF546" i="1"/>
  <c r="AA506" i="1"/>
  <c r="AF558" i="1"/>
  <c r="U557" i="1"/>
  <c r="AC557" i="1"/>
  <c r="V44" i="1"/>
  <c r="AD44" i="1"/>
  <c r="AF91" i="1"/>
  <c r="AG91" i="1" s="1"/>
  <c r="AB90" i="1"/>
  <c r="AA90" i="1"/>
  <c r="AF222" i="1"/>
  <c r="AG222" i="1" s="1"/>
  <c r="AF233" i="1"/>
  <c r="AG233" i="1" s="1"/>
  <c r="AF256" i="1"/>
  <c r="AG256" i="1" s="1"/>
  <c r="AF261" i="1"/>
  <c r="AG261" i="1" s="1"/>
  <c r="AF306" i="1"/>
  <c r="AF483" i="1"/>
  <c r="AF507" i="1"/>
  <c r="AB506" i="1"/>
  <c r="W506" i="1"/>
  <c r="AE506" i="1"/>
  <c r="AF552" i="1"/>
  <c r="AF478" i="1"/>
  <c r="AF33" i="1"/>
  <c r="AG33" i="1" s="1"/>
  <c r="AF39" i="1"/>
  <c r="AG39" i="1" s="1"/>
  <c r="U90" i="1"/>
  <c r="AC90" i="1"/>
  <c r="AF97" i="1"/>
  <c r="AG97" i="1" s="1"/>
  <c r="AF151" i="1"/>
  <c r="AG151" i="1" s="1"/>
  <c r="AF210" i="1"/>
  <c r="AG210" i="1" s="1"/>
  <c r="AF215" i="1"/>
  <c r="AG215" i="1" s="1"/>
  <c r="AF398" i="1"/>
  <c r="AF540" i="1"/>
  <c r="AF577" i="1"/>
  <c r="AF612" i="1"/>
  <c r="AF36" i="1"/>
  <c r="AG36" i="1" s="1"/>
  <c r="AF206" i="1"/>
  <c r="AG206" i="1" s="1"/>
  <c r="AF359" i="1"/>
  <c r="AF372" i="1"/>
  <c r="AF497" i="1"/>
  <c r="AF567" i="1"/>
  <c r="AF573" i="1"/>
  <c r="Y11" i="1"/>
  <c r="AF127" i="1"/>
  <c r="AG127" i="1" s="1"/>
  <c r="AF140" i="1"/>
  <c r="AG140" i="1" s="1"/>
  <c r="AF158" i="1"/>
  <c r="AG158" i="1" s="1"/>
  <c r="AF285" i="1"/>
  <c r="AG285" i="1" s="1"/>
  <c r="AF300" i="1"/>
  <c r="X340" i="1"/>
  <c r="AF355" i="1"/>
  <c r="AF442" i="1"/>
  <c r="AF457" i="1"/>
  <c r="AF472" i="1"/>
  <c r="AF481" i="1"/>
  <c r="AF524" i="1"/>
  <c r="AA557" i="1"/>
  <c r="AF569" i="1"/>
  <c r="AF581" i="1"/>
  <c r="AA340" i="1"/>
  <c r="AF404" i="1"/>
  <c r="Z340" i="1"/>
  <c r="Z293" i="1" s="1"/>
  <c r="AF176" i="1"/>
  <c r="AG176" i="1" s="1"/>
  <c r="X90" i="1"/>
  <c r="X557" i="1"/>
  <c r="AF341" i="1"/>
  <c r="T90" i="1"/>
  <c r="T506" i="1"/>
  <c r="T11" i="1"/>
  <c r="AF560" i="1"/>
  <c r="AA32" i="1" l="1"/>
  <c r="AA287" i="1" s="1"/>
  <c r="AA292" i="1" s="1"/>
  <c r="AC32" i="1"/>
  <c r="AC287" i="1" s="1"/>
  <c r="AC292" i="1" s="1"/>
  <c r="Y32" i="1"/>
  <c r="Y287" i="1" s="1"/>
  <c r="Y292" i="1" s="1"/>
  <c r="X32" i="1"/>
  <c r="X287" i="1" s="1"/>
  <c r="X292" i="1" s="1"/>
  <c r="AD505" i="1"/>
  <c r="U505" i="1"/>
  <c r="Y505" i="1"/>
  <c r="AB505" i="1"/>
  <c r="AE32" i="1"/>
  <c r="AE287" i="1" s="1"/>
  <c r="AE292" i="1" s="1"/>
  <c r="U32" i="1"/>
  <c r="U287" i="1" s="1"/>
  <c r="Y293" i="1"/>
  <c r="AD293" i="1"/>
  <c r="AC293" i="1"/>
  <c r="X293" i="1"/>
  <c r="W293" i="1"/>
  <c r="AD32" i="1"/>
  <c r="AD287" i="1" s="1"/>
  <c r="AD292" i="1" s="1"/>
  <c r="AB293" i="1"/>
  <c r="AF44" i="1"/>
  <c r="AG44" i="1" s="1"/>
  <c r="AC505" i="1"/>
  <c r="AA293" i="1"/>
  <c r="U293" i="1"/>
  <c r="W505" i="1"/>
  <c r="AB32" i="1"/>
  <c r="AB287" i="1" s="1"/>
  <c r="AB292" i="1" s="1"/>
  <c r="W32" i="1"/>
  <c r="W287" i="1" s="1"/>
  <c r="W292" i="1" s="1"/>
  <c r="V32" i="1"/>
  <c r="V287" i="1" s="1"/>
  <c r="V292" i="1" s="1"/>
  <c r="V499" i="1" s="1"/>
  <c r="V504" i="1" s="1"/>
  <c r="AE505" i="1"/>
  <c r="AE293" i="1"/>
  <c r="Z32" i="1"/>
  <c r="Z287" i="1" s="1"/>
  <c r="Z292" i="1" s="1"/>
  <c r="Z499" i="1" s="1"/>
  <c r="Z504" i="1" s="1"/>
  <c r="Z505" i="1"/>
  <c r="AF294" i="1"/>
  <c r="V505" i="1"/>
  <c r="AA505" i="1"/>
  <c r="AF557" i="1"/>
  <c r="T505" i="1"/>
  <c r="AF506" i="1"/>
  <c r="AF11" i="1"/>
  <c r="AG11" i="1" s="1"/>
  <c r="T32" i="1"/>
  <c r="AF90" i="1"/>
  <c r="AG90" i="1" s="1"/>
  <c r="X505" i="1"/>
  <c r="AC499" i="1" l="1"/>
  <c r="AC504" i="1" s="1"/>
  <c r="AC617" i="1" s="1"/>
  <c r="AC621" i="1" s="1"/>
  <c r="AE499" i="1"/>
  <c r="AE504" i="1" s="1"/>
  <c r="AE617" i="1" s="1"/>
  <c r="AE621" i="1" s="1"/>
  <c r="AA499" i="1"/>
  <c r="AA504" i="1" s="1"/>
  <c r="AA617" i="1" s="1"/>
  <c r="AA621" i="1" s="1"/>
  <c r="X499" i="1"/>
  <c r="X504" i="1" s="1"/>
  <c r="X617" i="1" s="1"/>
  <c r="X621" i="1" s="1"/>
  <c r="U292" i="1"/>
  <c r="U499" i="1" s="1"/>
  <c r="U504" i="1" s="1"/>
  <c r="U617" i="1" s="1"/>
  <c r="U621" i="1" s="1"/>
  <c r="AD499" i="1"/>
  <c r="AD504" i="1" s="1"/>
  <c r="AD617" i="1" s="1"/>
  <c r="AD621" i="1" s="1"/>
  <c r="Y499" i="1"/>
  <c r="Y504" i="1" s="1"/>
  <c r="Y617" i="1" s="1"/>
  <c r="Y621" i="1" s="1"/>
  <c r="AB499" i="1"/>
  <c r="AB504" i="1" s="1"/>
  <c r="AB617" i="1" s="1"/>
  <c r="AB621" i="1" s="1"/>
  <c r="W499" i="1"/>
  <c r="W504" i="1" s="1"/>
  <c r="W617" i="1" s="1"/>
  <c r="W621" i="1" s="1"/>
  <c r="V617" i="1"/>
  <c r="V621" i="1" s="1"/>
  <c r="Z617" i="1"/>
  <c r="Z621" i="1" s="1"/>
  <c r="AF32" i="1"/>
  <c r="AG32" i="1" s="1"/>
  <c r="AF505" i="1"/>
  <c r="T287" i="1"/>
  <c r="T292" i="1" l="1"/>
  <c r="AF287" i="1"/>
  <c r="AG287" i="1" s="1"/>
  <c r="AF292" i="1" l="1"/>
  <c r="AG292" i="1" s="1"/>
  <c r="T410" i="1" l="1"/>
  <c r="AF410" i="1" s="1"/>
  <c r="AF414" i="1"/>
  <c r="T340" i="1" l="1"/>
  <c r="AF340" i="1" l="1"/>
  <c r="T293" i="1"/>
  <c r="AF293" i="1" l="1"/>
  <c r="T499" i="1"/>
  <c r="AF499" i="1" l="1"/>
  <c r="T504" i="1"/>
  <c r="T617" i="1" l="1"/>
  <c r="AF504" i="1"/>
  <c r="T621" i="1" l="1"/>
  <c r="AF621" i="1" s="1"/>
  <c r="AF6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6" authorId="0" shapeId="0" xr:uid="{1F1A1312-D786-40B6-8E6B-5479886E8AD7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운영센터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관리용역</t>
        </r>
        <r>
          <rPr>
            <sz val="9"/>
            <color indexed="81"/>
            <rFont val="Tahoma"/>
            <family val="2"/>
          </rPr>
          <t>, FM Fee 
- PM</t>
        </r>
        <r>
          <rPr>
            <sz val="9"/>
            <color indexed="81"/>
            <rFont val="돋움"/>
            <family val="3"/>
            <charset val="129"/>
          </rPr>
          <t>사업장</t>
        </r>
        <r>
          <rPr>
            <sz val="9"/>
            <color indexed="81"/>
            <rFont val="Tahoma"/>
            <family val="2"/>
          </rPr>
          <t xml:space="preserve"> PM Fee
- </t>
        </r>
        <r>
          <rPr>
            <sz val="9"/>
            <color indexed="81"/>
            <rFont val="돋움"/>
            <family val="3"/>
            <charset val="129"/>
          </rPr>
          <t>신규수주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목표치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17" authorId="0" shapeId="0" xr:uid="{84096795-82E9-483C-9871-C336CE1C38BE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운영센터의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공사매출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임대수선등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리노베이션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보전공사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정보통신공사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18" authorId="0" shapeId="0" xr:uid="{4BE06F58-BB4B-46FF-A670-048BB8E32E17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운영센터의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월정산매출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통신운영팀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통신매출
</t>
        </r>
        <r>
          <rPr>
            <sz val="9"/>
            <color indexed="81"/>
            <rFont val="Tahoma"/>
            <family val="2"/>
          </rPr>
          <t xml:space="preserve">- LM </t>
        </r>
        <r>
          <rPr>
            <sz val="9"/>
            <color indexed="81"/>
            <rFont val="돋움"/>
            <family val="3"/>
            <charset val="129"/>
          </rPr>
          <t>컨설팅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등
</t>
        </r>
      </text>
    </comment>
    <comment ref="F19" authorId="0" shapeId="0" xr:uid="{04337F3F-9E8B-45F2-8FE0-ACC540F79D1A}">
      <text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주차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부가서비스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운영센터에서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코로나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안내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보안로봇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로봇청소기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20" authorId="0" shapeId="0" xr:uid="{54F06BB0-6BC9-4AF3-B8C2-9D48EFDE6FD4}">
      <text>
        <r>
          <rPr>
            <sz val="9"/>
            <color indexed="81"/>
            <rFont val="Tahoma"/>
            <family val="2"/>
          </rPr>
          <t>- FM/PM</t>
        </r>
        <r>
          <rPr>
            <sz val="9"/>
            <color indexed="81"/>
            <rFont val="돋움"/>
            <family val="3"/>
            <charset val="129"/>
          </rPr>
          <t>사업장에서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추가목표치</t>
        </r>
        <r>
          <rPr>
            <sz val="9"/>
            <color indexed="81"/>
            <rFont val="Tahoma"/>
            <family val="2"/>
          </rPr>
          <t xml:space="preserve">
  (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주차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의지치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SERVEONE</author>
    <author>USER</author>
  </authors>
  <commentList>
    <comment ref="B9" authorId="0" shapeId="0" xr:uid="{0943691B-A3B0-4606-A93F-A116955033CC}">
      <text>
        <r>
          <rPr>
            <b/>
            <sz val="9"/>
            <color indexed="81"/>
            <rFont val="Tahoma"/>
            <family val="2"/>
          </rPr>
          <t>SERVEONE: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수원정자국사
</t>
        </r>
      </text>
    </comment>
    <comment ref="B10" authorId="0" shapeId="0" xr:uid="{C80F2FDE-B385-4C5B-996D-EC932013C26C}">
      <text>
        <r>
          <rPr>
            <sz val="10"/>
            <color indexed="81"/>
            <rFont val="돋움"/>
            <family val="3"/>
            <charset val="129"/>
          </rPr>
          <t>데이콤대전종합연구소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53" authorId="1" shapeId="0" xr:uid="{D73281AE-1705-4E12-B685-F5B0E6E5B8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대구사옥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대표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남울산사옥</t>
        </r>
      </text>
    </comment>
    <comment ref="B54" authorId="1" shapeId="0" xr:uid="{3E891216-6904-4658-91BA-577CAE4CBD86}">
      <text>
        <r>
          <rPr>
            <b/>
            <sz val="9"/>
            <color indexed="81"/>
            <rFont val="돋움"/>
            <family val="3"/>
            <charset val="129"/>
          </rPr>
          <t>창원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센터장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포항
동래
진주</t>
        </r>
      </text>
    </comment>
  </commentList>
</comments>
</file>

<file path=xl/sharedStrings.xml><?xml version="1.0" encoding="utf-8"?>
<sst xmlns="http://schemas.openxmlformats.org/spreadsheetml/2006/main" count="983" uniqueCount="790">
  <si>
    <t>구분</t>
    <phoneticPr fontId="10" type="noConversion"/>
  </si>
  <si>
    <t>매출액</t>
    <phoneticPr fontId="10" type="noConversion"/>
  </si>
  <si>
    <t>상품매출</t>
    <phoneticPr fontId="10" type="noConversion"/>
  </si>
  <si>
    <t>상품매출-국내</t>
  </si>
  <si>
    <t>상품매출-기타</t>
  </si>
  <si>
    <t>용역매출</t>
  </si>
  <si>
    <t>용역매출-관리용역료 (고정매출)</t>
    <phoneticPr fontId="2" type="noConversion"/>
  </si>
  <si>
    <t>용역매출-변동매출 (공사)</t>
    <phoneticPr fontId="2" type="noConversion"/>
  </si>
  <si>
    <t>용역매출-변동매출 (사용료/정산성/통신)</t>
    <phoneticPr fontId="2" type="noConversion"/>
  </si>
  <si>
    <t>용역매출- 변동매출 (주차/방역/KI매출)</t>
  </si>
  <si>
    <t>용역매출- 추가목표치</t>
  </si>
  <si>
    <t>용역매출-수출</t>
  </si>
  <si>
    <t>건설형매출</t>
  </si>
  <si>
    <t>건설형매출-건설형매출조정</t>
  </si>
  <si>
    <t>매출순액조정-건설형</t>
  </si>
  <si>
    <t>기타매출</t>
  </si>
  <si>
    <t>기타매출-임대수입</t>
  </si>
  <si>
    <t>기타매출-기타</t>
  </si>
  <si>
    <t>기타매출-전력</t>
    <phoneticPr fontId="2" type="noConversion"/>
  </si>
  <si>
    <t>사내매출액</t>
  </si>
  <si>
    <t>총매출원가</t>
  </si>
  <si>
    <t>상품매출원가</t>
  </si>
  <si>
    <t>상품매출원가:국내</t>
  </si>
  <si>
    <t>상품매출원가:기타</t>
  </si>
  <si>
    <t>건설형매출원가</t>
  </si>
  <si>
    <t>매출원가순액조정-건설형</t>
  </si>
  <si>
    <t>기타매출원가</t>
  </si>
  <si>
    <t>기타매출원가-전력</t>
  </si>
  <si>
    <t>사내매출원가</t>
  </si>
  <si>
    <t>용역원가-인건비</t>
    <phoneticPr fontId="10" type="noConversion"/>
  </si>
  <si>
    <t>(용)급여와임금</t>
  </si>
  <si>
    <t>(용)급여와임금-임원</t>
  </si>
  <si>
    <t>(용)급여와임금-종업원</t>
  </si>
  <si>
    <t>(용)급여와임금-계절직</t>
  </si>
  <si>
    <t>(용)급여와임금-기타잡급</t>
  </si>
  <si>
    <t>(용)상여금</t>
  </si>
  <si>
    <t>(용)상여금-종업원</t>
  </si>
  <si>
    <t>(용)상여금-기타잡급</t>
    <phoneticPr fontId="2" type="noConversion"/>
  </si>
  <si>
    <t>(용)경영성과급-임원</t>
  </si>
  <si>
    <t>(용)경영성과급-종업원</t>
  </si>
  <si>
    <t>(용)경영성과급-기타잡급</t>
    <phoneticPr fontId="2" type="noConversion"/>
  </si>
  <si>
    <t>(용)퇴직급여</t>
  </si>
  <si>
    <t>(용)퇴직급여-퇴직급여</t>
  </si>
  <si>
    <t>(용)퇴직급여-종업원계리평가 조정</t>
  </si>
  <si>
    <t>(용)퇴직급여-DC</t>
  </si>
  <si>
    <t>(용)복리후생비</t>
  </si>
  <si>
    <t>(용)복리후생비-조직활성화비</t>
  </si>
  <si>
    <t>(용)복리후생비-학자금</t>
  </si>
  <si>
    <t>(용)복리후생비-건강보험</t>
    <phoneticPr fontId="2" type="noConversion"/>
  </si>
  <si>
    <t>(용)복리후생비-산재보험료</t>
  </si>
  <si>
    <t>(용)복리후생비-휴가보상비</t>
  </si>
  <si>
    <t>(용)복리후생비-보건의료비</t>
  </si>
  <si>
    <t>(용)복리후생비-중식대</t>
  </si>
  <si>
    <t>(용)복리후생비-예비군운영비</t>
  </si>
  <si>
    <t>(용)복리후생비-통근버스</t>
  </si>
  <si>
    <t>(용)복리후생비-기념품대</t>
  </si>
  <si>
    <t>(용)복리후생비-포상비</t>
  </si>
  <si>
    <t>(용)복리후생비-고용보험료</t>
  </si>
  <si>
    <t>(용)복리후생비-의료비지원금</t>
  </si>
  <si>
    <t>(용)복리후생비-제품구입지원비</t>
  </si>
  <si>
    <t>(용)복리후생비-검진비(본인,배우자)</t>
  </si>
  <si>
    <t>(용)복리후생비-건강유지비</t>
  </si>
  <si>
    <t>(용)복리후생비-경조축의금</t>
  </si>
  <si>
    <t>(용)복리후생비-현장근무복</t>
    <phoneticPr fontId="2" type="noConversion"/>
  </si>
  <si>
    <t>(용)복리후생비-단체보험</t>
  </si>
  <si>
    <t>(용)복리후생비-현장조석식대</t>
  </si>
  <si>
    <t>(용)복리후생비-교대근무식대-FM</t>
  </si>
  <si>
    <t>(용)복리후생비-귀향여비-FM</t>
    <phoneticPr fontId="2" type="noConversion"/>
  </si>
  <si>
    <t>(용)복리후생비-숙소지원비</t>
  </si>
  <si>
    <t>(용)복리후생비-주택지원이자</t>
  </si>
  <si>
    <t>(용)복리후생비-이동발령 출장비-건설</t>
  </si>
  <si>
    <t>(용)복리후생비-이동발령 이사/중개수수료-건설</t>
  </si>
  <si>
    <t>(용)복리후생비-기숙사비</t>
  </si>
  <si>
    <t>(용)복리후생비-기타</t>
  </si>
  <si>
    <t>(용)복리후생비-장기종업원급여</t>
  </si>
  <si>
    <t>용역원가-기타비용</t>
    <phoneticPr fontId="10" type="noConversion"/>
  </si>
  <si>
    <t>(용)수도광열비</t>
  </si>
  <si>
    <t>(용)수도광열비-전기료</t>
  </si>
  <si>
    <t>(용)수도광열비-수도사용료</t>
  </si>
  <si>
    <t>(용)수도광열비-난방용연료</t>
  </si>
  <si>
    <t>(용)수도광열비-가스료</t>
  </si>
  <si>
    <t>(용)수도광열비-기타</t>
  </si>
  <si>
    <t>(용)운반비</t>
  </si>
  <si>
    <t>(용)운반비-운반비</t>
  </si>
  <si>
    <t>(용)감가상각비</t>
  </si>
  <si>
    <t>(용)감가상각비-건물</t>
  </si>
  <si>
    <t>(용)감가상각비-건물부속설비</t>
  </si>
  <si>
    <t>(용)감가상각비-임차자산설비</t>
  </si>
  <si>
    <t>(용)감가상각비-구축물</t>
  </si>
  <si>
    <t>(용)감가상각비-기계장치</t>
  </si>
  <si>
    <t>(용)감가상각비-차량운반구</t>
  </si>
  <si>
    <t>(용)감가상각비-공구와기구</t>
  </si>
  <si>
    <t>(용)감가상각비-비품</t>
  </si>
  <si>
    <t>(용)감가상각비-기타</t>
    <phoneticPr fontId="2" type="noConversion"/>
  </si>
  <si>
    <t>(용)감가상각비-사용권자산(리스)</t>
  </si>
  <si>
    <t>(용)수선비</t>
  </si>
  <si>
    <t>(용)수선비-기타</t>
  </si>
  <si>
    <t>(용)수선비-건물유지/보수</t>
  </si>
  <si>
    <t>(용)수선비-장비유지/보수</t>
  </si>
  <si>
    <t>(용)수선비-전산장비</t>
  </si>
  <si>
    <t>(용)소모품비</t>
  </si>
  <si>
    <t>(용)소모품비-사무용품비</t>
  </si>
  <si>
    <t>(용)소모품비-각종공구류</t>
  </si>
  <si>
    <t>(용)소모품비-청소용품비</t>
  </si>
  <si>
    <t>(용)소모품비-전기전산소모품</t>
  </si>
  <si>
    <t>(용)소모품비-위생／주방용품비</t>
  </si>
  <si>
    <t>(용)소모품비-객실소모품</t>
  </si>
  <si>
    <t>(용)소모품비-업장소모품</t>
  </si>
  <si>
    <t>(용)소모품비-안전장구류</t>
  </si>
  <si>
    <t>(용)소모품비-탕비용품</t>
  </si>
  <si>
    <t>(용)소모품비-현장근무복</t>
    <phoneticPr fontId="2" type="noConversion"/>
  </si>
  <si>
    <t>(용)소모품비-기타</t>
  </si>
  <si>
    <t>(용)세금과공과</t>
  </si>
  <si>
    <t>(용)세금과공과-주민세</t>
  </si>
  <si>
    <t>(용)세금과공과-기타부담금</t>
  </si>
  <si>
    <t>(용)세금과공과-국민연금</t>
  </si>
  <si>
    <t>(용)세금과공과-간주임대부가세</t>
  </si>
  <si>
    <t>(용)세금과공과-협회비</t>
  </si>
  <si>
    <t>(용)세금과공과-인지세</t>
  </si>
  <si>
    <t>(용)세금과공과-사업소세</t>
  </si>
  <si>
    <t>(용)세금과공과-면허/인허가세</t>
  </si>
  <si>
    <t>(용)세금과공과-재산세</t>
  </si>
  <si>
    <t>(용)세금과공과-종합부동산세</t>
  </si>
  <si>
    <t>(용)세금과공과-외국납부세액</t>
  </si>
  <si>
    <t>(용)세금과공과-기타</t>
  </si>
  <si>
    <t>(용)지급임차료</t>
  </si>
  <si>
    <t>(용)지급임차료-부동산임차료</t>
  </si>
  <si>
    <t>(용)지급임차료-부동산관리비</t>
    <phoneticPr fontId="2" type="noConversion"/>
  </si>
  <si>
    <t>(용)지급임차료-지급리스료</t>
  </si>
  <si>
    <t>(용)지급임차료-용차료</t>
  </si>
  <si>
    <t>(용)지급임차료-용차료통근-FM</t>
    <phoneticPr fontId="2" type="noConversion"/>
  </si>
  <si>
    <t>(용)지급임차료-전산장비리스료</t>
  </si>
  <si>
    <t>(용)지급임차료-기타</t>
  </si>
  <si>
    <t>(용)지급임차료-용차부대비</t>
  </si>
  <si>
    <t>(용)지급임차료-유류비</t>
  </si>
  <si>
    <t>(용)지급임차료-보험료</t>
    <phoneticPr fontId="2" type="noConversion"/>
  </si>
  <si>
    <t>(용)보험료</t>
  </si>
  <si>
    <t>(용)보험료-보증보험료</t>
  </si>
  <si>
    <t>(용)보험료-화재보험(종합)</t>
  </si>
  <si>
    <t>(용)보험료-기타</t>
  </si>
  <si>
    <t>(용)보험료-하도급산재</t>
    <phoneticPr fontId="2" type="noConversion"/>
  </si>
  <si>
    <t>(용)보험료-하도급고용</t>
    <phoneticPr fontId="2" type="noConversion"/>
  </si>
  <si>
    <t>(용)보험료-하도급대금지급보증</t>
    <phoneticPr fontId="2" type="noConversion"/>
  </si>
  <si>
    <t>(용)여비교통비</t>
  </si>
  <si>
    <t>(용)여비교통비-시내교통비</t>
  </si>
  <si>
    <t>(용)여비교통비-시내교통비(유류대)</t>
  </si>
  <si>
    <t>(용)여비교통비-전임여비</t>
  </si>
  <si>
    <t>(용)여비교통비-국내출장 교통비</t>
  </si>
  <si>
    <t>(용)여비교통비-국내출장-숙박비</t>
  </si>
  <si>
    <t>(용)여비교통비-국내출장-식대</t>
  </si>
  <si>
    <t>(용)여비교통비-국내출장-기타</t>
  </si>
  <si>
    <t>(용)여비교통비-국내출장 유류대</t>
  </si>
  <si>
    <t>(용)여비교통비-해외출장 교통비</t>
  </si>
  <si>
    <t>(용)여비교통비-해외출장-숙박비</t>
  </si>
  <si>
    <t>(용)여비교통비-해외출장-식대</t>
  </si>
  <si>
    <t>(용)여비교통비-해외출장-기타</t>
  </si>
  <si>
    <t>(용)통신비</t>
  </si>
  <si>
    <t>(용)통신비-전화/SMS/우편</t>
  </si>
  <si>
    <t>(용)통신비-방송수신/웹하드이용료</t>
  </si>
  <si>
    <t>(용)통신비-휴대전화요금 지원비</t>
  </si>
  <si>
    <t>(용)통신비-휴대전화요금 지원비(임원)</t>
  </si>
  <si>
    <t>(용)접대비</t>
  </si>
  <si>
    <t>(용)접대비-접대비</t>
  </si>
  <si>
    <t>(용)접대비-경조사비</t>
  </si>
  <si>
    <t>(용)회의비</t>
  </si>
  <si>
    <t>(용)회의비-외부/고객회의</t>
  </si>
  <si>
    <t>(용)회의비-행사비</t>
  </si>
  <si>
    <t>(용)회의비-부서워크샵</t>
  </si>
  <si>
    <t>(용)지급수수료</t>
  </si>
  <si>
    <t>(용)지급수수료-자문/고문료</t>
    <phoneticPr fontId="2" type="noConversion"/>
  </si>
  <si>
    <t>(용)지급수수료-세탁료</t>
  </si>
  <si>
    <t>(용)지급수수료-검사수수료</t>
  </si>
  <si>
    <t>(용)지급수수료-카드수수료</t>
  </si>
  <si>
    <t>(용)지급수수료-E/L,곤도라주차설비유지보수</t>
  </si>
  <si>
    <t>(용)지급수수료-관제유지보수</t>
  </si>
  <si>
    <t>(용)지급수수료-발전기유지보수</t>
  </si>
  <si>
    <t>(용)지급수수료-세관／세척유지보수</t>
  </si>
  <si>
    <t>(용)지급수수료-은행수수료</t>
  </si>
  <si>
    <t>(용)지급수수료-소독료</t>
  </si>
  <si>
    <t>(용)지급수수료-안전시설</t>
  </si>
  <si>
    <t>(용)지급수수료-퇴직공제</t>
  </si>
  <si>
    <t>(용)지급수수료-조경관리</t>
  </si>
  <si>
    <t>(용)지급수수료-화분대분</t>
  </si>
  <si>
    <t>(용)지급수수료-기타용역및수수료</t>
  </si>
  <si>
    <t>(용)지급수수료-안전교육 및 행사</t>
  </si>
  <si>
    <t>(용)지급수수료-안전진단</t>
  </si>
  <si>
    <t>(용)지급수수료-고객소모품 등-FM</t>
  </si>
  <si>
    <t>(용)지급수수료-수선비 청구-FM</t>
  </si>
  <si>
    <t>(용)지급수수료-건설중인자산</t>
  </si>
  <si>
    <t>(용)지급수수료-채용경비</t>
  </si>
  <si>
    <t>(용)환경보전비-일반</t>
  </si>
  <si>
    <t>(용)도서인쇄비</t>
  </si>
  <si>
    <t>(용)도서인쇄비-신문/도서</t>
  </si>
  <si>
    <t>(용)도서인쇄비-캘린더/수첩</t>
  </si>
  <si>
    <t>(용)도서인쇄비-인쇄비</t>
  </si>
  <si>
    <t>(용)차량유지비</t>
  </si>
  <si>
    <t>(용)차량유지비-유류대</t>
  </si>
  <si>
    <t>(용)차량유지비-제세공과금</t>
  </si>
  <si>
    <t>(용)차량유지비-종합보험료</t>
  </si>
  <si>
    <t>(용)차량유지비-기타</t>
  </si>
  <si>
    <t>(용)교육훈련비</t>
  </si>
  <si>
    <t>(용)교육훈련비-기타</t>
  </si>
  <si>
    <t>(용)교육훈련비-고용보험료환급</t>
  </si>
  <si>
    <t>(용)교육훈련비-교육출장비</t>
  </si>
  <si>
    <t>(용)교육훈련비-사내교육</t>
  </si>
  <si>
    <t>(용)교육훈련비-사외교육</t>
  </si>
  <si>
    <t>(용)교육훈련비-원격교육</t>
  </si>
  <si>
    <t>(용)광고선전비</t>
  </si>
  <si>
    <t>(용)광고선전비-매체광고</t>
  </si>
  <si>
    <t>(용)광고선전비-기념품</t>
  </si>
  <si>
    <t>(용)광고선전비-캘린더/수첩</t>
  </si>
  <si>
    <t>(용)광고선전비-기타</t>
  </si>
  <si>
    <t>(용)무형자산상각</t>
  </si>
  <si>
    <t>(용)무형자산상각-컴퓨터소프트웨어</t>
  </si>
  <si>
    <t>(용)무형자산상각-기타</t>
  </si>
  <si>
    <t>(용)무형자산상각-개별 사용권자산(리스)</t>
  </si>
  <si>
    <t>(용)산업재산권상각</t>
  </si>
  <si>
    <t>(용)전산수수료</t>
  </si>
  <si>
    <t>(용)전산수수료-CNS용역료</t>
  </si>
  <si>
    <t>(용)전산수수료-M/A비용</t>
  </si>
  <si>
    <t>(용)전산수수료-SYSTEM관리비</t>
  </si>
  <si>
    <t>(용)전산수수료-전용선료</t>
  </si>
  <si>
    <t>(용)전산수수료-기타전산용역료</t>
  </si>
  <si>
    <t>(용)인건비성용역료</t>
  </si>
  <si>
    <t>(용)인건비성수수료-청소용역료</t>
  </si>
  <si>
    <t>(용)인건비성수수료-시설</t>
  </si>
  <si>
    <t>(용)인건비성수수료-도우미용역료</t>
  </si>
  <si>
    <t>(용)인건비성수수료-보안/주차</t>
    <phoneticPr fontId="2" type="noConversion"/>
  </si>
  <si>
    <t>(용)인건비성수수료-보안</t>
  </si>
  <si>
    <t>(용)인건비성수수료-주차</t>
  </si>
  <si>
    <t>(용)인건비성수수료-사무용역료</t>
  </si>
  <si>
    <t>(용)인건비성수수료-안전감시</t>
  </si>
  <si>
    <t>(용)인건비성수수료-기타용역료</t>
  </si>
  <si>
    <t>(용)직접공사비</t>
  </si>
  <si>
    <t>(용)직접공사비-공사외주</t>
  </si>
  <si>
    <t>(용)직접공사비-기타</t>
  </si>
  <si>
    <t>(용)직접공사비-자재구매</t>
  </si>
  <si>
    <t>(용)직접공사비-용역인건</t>
  </si>
  <si>
    <t>(용)직접공사비-임차부대비</t>
  </si>
  <si>
    <t>(용)직접공사비-현장소모품비</t>
  </si>
  <si>
    <t>(용)공동원가</t>
  </si>
  <si>
    <t>공동원가-(용)원재료비</t>
  </si>
  <si>
    <t>공동원가-(용)공사외주비</t>
  </si>
  <si>
    <t>공동원가-(용)용역인건(노임)</t>
  </si>
  <si>
    <t>공동원가-(용)지급수수료</t>
  </si>
  <si>
    <t>(용)안전보건관리비</t>
    <phoneticPr fontId="2" type="noConversion"/>
  </si>
  <si>
    <t>(용)안전보건관리비-인건비</t>
    <phoneticPr fontId="2" type="noConversion"/>
  </si>
  <si>
    <t>(용)안전보건관리비-시설비</t>
    <phoneticPr fontId="2" type="noConversion"/>
  </si>
  <si>
    <t>(용)안전보건관리비-보호구 구입 등</t>
    <phoneticPr fontId="2" type="noConversion"/>
  </si>
  <si>
    <t>(용)안전보건관리비-진단비</t>
    <phoneticPr fontId="2" type="noConversion"/>
  </si>
  <si>
    <t>(용)안전보건관리비-교육 및 행사 등</t>
    <phoneticPr fontId="2" type="noConversion"/>
  </si>
  <si>
    <t>(용)안전보건관리비-건강관리 등</t>
    <phoneticPr fontId="2" type="noConversion"/>
  </si>
  <si>
    <t>(용)보상비</t>
  </si>
  <si>
    <t>(용)보상비-일반</t>
  </si>
  <si>
    <t>(용)하자보수비</t>
  </si>
  <si>
    <t>(용)하자보수비-일반</t>
  </si>
  <si>
    <t>(용)재료비</t>
  </si>
  <si>
    <t>(용)원재료비</t>
  </si>
  <si>
    <t>(용)타계정대체입</t>
  </si>
  <si>
    <t>(용)타계정대체입-의제매입세액공제</t>
  </si>
  <si>
    <t>(용)타계정대체출</t>
  </si>
  <si>
    <t>(용)매출원가순액조정-용역</t>
  </si>
  <si>
    <t>(용)건설형매출원가 조정</t>
  </si>
  <si>
    <t>(용)기타매출원가 대체조정</t>
  </si>
  <si>
    <t>(용)사내비용</t>
  </si>
  <si>
    <t>매출총이익1</t>
    <phoneticPr fontId="10" type="noConversion"/>
  </si>
  <si>
    <t>공통비배부(용)</t>
  </si>
  <si>
    <t>실지원비_배부(용)</t>
  </si>
  <si>
    <t>팀지원비_배부(용)</t>
  </si>
  <si>
    <t>매출총이익2</t>
    <phoneticPr fontId="10" type="noConversion"/>
  </si>
  <si>
    <t>판매비와관리비</t>
    <phoneticPr fontId="10" type="noConversion"/>
  </si>
  <si>
    <t>인건비</t>
    <phoneticPr fontId="10" type="noConversion"/>
  </si>
  <si>
    <t>(판)급여와임금</t>
    <phoneticPr fontId="10" type="noConversion"/>
  </si>
  <si>
    <t>(판)급여와임금-임원급여</t>
  </si>
  <si>
    <t>(판)급여와임금-종업원급여</t>
  </si>
  <si>
    <t>(판)급여와임금-계절직임금</t>
  </si>
  <si>
    <t>(판)급여와임금-기타잡급</t>
  </si>
  <si>
    <t>(판)상여금</t>
    <phoneticPr fontId="10" type="noConversion"/>
  </si>
  <si>
    <t>(판)상여금-종업원</t>
  </si>
  <si>
    <t>(판)상여금-기타잡급</t>
    <phoneticPr fontId="2" type="noConversion"/>
  </si>
  <si>
    <t>(판)경영성과급-종업원</t>
  </si>
  <si>
    <t>(판)경영성과급-기타잡급</t>
    <phoneticPr fontId="2" type="noConversion"/>
  </si>
  <si>
    <t>(판)경영성과급-임원</t>
  </si>
  <si>
    <t>(판)퇴직급여</t>
    <phoneticPr fontId="10" type="noConversion"/>
  </si>
  <si>
    <t>(판)퇴직급여-퇴직급여</t>
  </si>
  <si>
    <t>(판)퇴직급여-종업원계리평가조정</t>
  </si>
  <si>
    <t>(판)퇴직급여-DC</t>
  </si>
  <si>
    <t>(판)복리후생비</t>
    <phoneticPr fontId="10" type="noConversion"/>
  </si>
  <si>
    <t>(판)복리후생비-조직활성화비</t>
  </si>
  <si>
    <t>(판)복리후생비-학자금</t>
  </si>
  <si>
    <t>(판)복리후생비-건강보험</t>
    <phoneticPr fontId="2" type="noConversion"/>
  </si>
  <si>
    <t>(판)복리후생비-산재보험</t>
  </si>
  <si>
    <t>(판)복리후생비-휴가보상비</t>
  </si>
  <si>
    <t>(판)복리후생비-보건의료비</t>
  </si>
  <si>
    <t>(판)복리후생비-중식대</t>
  </si>
  <si>
    <t>(판)복리후생비-예비군</t>
  </si>
  <si>
    <t>(판)복리후생비-기념품대</t>
  </si>
  <si>
    <t>(판)복리후생비-포상비</t>
  </si>
  <si>
    <t>(판)복리후생비-고용보험</t>
  </si>
  <si>
    <t>(판)복리후생비-잔업및간식</t>
  </si>
  <si>
    <t>(판)복리후생비-의료비</t>
  </si>
  <si>
    <t>(판)복리후생비-제품구입지원비</t>
  </si>
  <si>
    <t>(판)복리후생비-검진비（본인，배우자）</t>
  </si>
  <si>
    <t>(판)복리후생비-인포멀활동비</t>
  </si>
  <si>
    <t>(판)복리후생비-건강유지비</t>
  </si>
  <si>
    <t>(판)복리후생비-경조축의금</t>
  </si>
  <si>
    <t>(판)복리후생비-현장근무복</t>
  </si>
  <si>
    <t>(판)복리후생비-단체보험</t>
  </si>
  <si>
    <t>(판)복리후생비-교대근무식대-FM</t>
    <phoneticPr fontId="2" type="noConversion"/>
  </si>
  <si>
    <t>(판)복리후생비-귀향여비-FM</t>
  </si>
  <si>
    <t>(판)복리후생비-이동발령 출장비-건설</t>
  </si>
  <si>
    <t>(판)복리후생비-이동발령 이사/중개수수료-건설</t>
  </si>
  <si>
    <t>(판)복리후생비-주택지원이자</t>
  </si>
  <si>
    <t>(판)복리후생비-숙소지원비</t>
  </si>
  <si>
    <t>(판)복리후생비-기타</t>
  </si>
  <si>
    <t>(판)복리후생비-장기종업원급여</t>
  </si>
  <si>
    <t>(판)복리후생비-유류지원비</t>
    <phoneticPr fontId="2" type="noConversion"/>
  </si>
  <si>
    <t>기타경비계</t>
    <phoneticPr fontId="10" type="noConversion"/>
  </si>
  <si>
    <t>(판)접대비</t>
    <phoneticPr fontId="10" type="noConversion"/>
  </si>
  <si>
    <t>(판)접대비-접대비</t>
  </si>
  <si>
    <t>(판)접대비-경조사비</t>
  </si>
  <si>
    <t>(판)감가상각비</t>
    <phoneticPr fontId="10" type="noConversion"/>
  </si>
  <si>
    <t>(판)감가상각비-건물</t>
  </si>
  <si>
    <t>(판)감가상각비-건물부속설비</t>
  </si>
  <si>
    <t>(판)감가상각비-임차자산설비</t>
  </si>
  <si>
    <t>(판)감가상각비-구축물</t>
  </si>
  <si>
    <t>(판)감가상각비-기계장치</t>
  </si>
  <si>
    <t>(판)감가상각비-차량운반구</t>
  </si>
  <si>
    <t>(판)감가상각비-공구와기구</t>
  </si>
  <si>
    <t>(판)감가상각비-비품</t>
  </si>
  <si>
    <t>(판)감가상각비-기타</t>
  </si>
  <si>
    <t>(판)감가상각비-사용권자산(리스)</t>
  </si>
  <si>
    <t>(판)무형자산상각</t>
    <phoneticPr fontId="10" type="noConversion"/>
  </si>
  <si>
    <t>(판)무형자산상각-컴퓨터소프트웨어</t>
  </si>
  <si>
    <t>(판)무형자산상각-개별 사용권자산(리스)</t>
  </si>
  <si>
    <t>(판)무형자산상각-기타</t>
  </si>
  <si>
    <t>(판)세금과공과</t>
    <phoneticPr fontId="10" type="noConversion"/>
  </si>
  <si>
    <t>(판)세금과공과-주민세</t>
  </si>
  <si>
    <t>(판)세금과공과-기타부담금</t>
  </si>
  <si>
    <t>(판)세금과공과-국민연금</t>
  </si>
  <si>
    <t>(판)세금과공과-간주임대부가세</t>
  </si>
  <si>
    <t>(판)세금과공과-협회비</t>
  </si>
  <si>
    <t>(판)세금과공과-인지세</t>
  </si>
  <si>
    <t>(판)세금과공과-사업소세</t>
  </si>
  <si>
    <t>(판)세금과공과-면허/인허가세</t>
  </si>
  <si>
    <t>(판)세금과공과-재산세</t>
  </si>
  <si>
    <t>(판)세금과공과-외국납부세액</t>
  </si>
  <si>
    <t>(판)세금과공과-기타</t>
  </si>
  <si>
    <t>(판)세금과공과-종합부동산세</t>
  </si>
  <si>
    <t>(판)광고선전비</t>
    <phoneticPr fontId="10" type="noConversion"/>
  </si>
  <si>
    <t>(판)광고선전비-회보제작</t>
  </si>
  <si>
    <t>(판)광고선전비-매체광고</t>
  </si>
  <si>
    <t>(판)광고선전비-홍보물제작</t>
  </si>
  <si>
    <t>(판)광고선전비-기념품</t>
  </si>
  <si>
    <t>(판)광고선전비-캘린더/수첩</t>
  </si>
  <si>
    <t>(판)광고선전비-기타</t>
  </si>
  <si>
    <t>(판)지급수수료</t>
    <phoneticPr fontId="10" type="noConversion"/>
  </si>
  <si>
    <t>(판)지급수수료-자문/고문료</t>
    <phoneticPr fontId="2" type="noConversion"/>
  </si>
  <si>
    <t>(판)지급수수료-세탁료</t>
  </si>
  <si>
    <t>(판)지급수수료-금융비용</t>
  </si>
  <si>
    <t>(판)지급수수료-기타용역 및 수수료</t>
  </si>
  <si>
    <t>(판)지급수수료-인화원분담금</t>
  </si>
  <si>
    <t>(판)지급수수료-채용경비</t>
  </si>
  <si>
    <t>(판)교육훈련비</t>
    <phoneticPr fontId="10" type="noConversion"/>
  </si>
  <si>
    <t>(판)교육훈련비-고용보험료환급</t>
  </si>
  <si>
    <t>(판)교육훈련비-교육출장비</t>
  </si>
  <si>
    <t>(판)교육훈련비-사내교육</t>
  </si>
  <si>
    <t>(판)교육훈련비-사외교육</t>
  </si>
  <si>
    <t>(판)교육훈련비-원격교육</t>
  </si>
  <si>
    <t>(판)교육훈련비-기타</t>
  </si>
  <si>
    <t>(판)보험료</t>
    <phoneticPr fontId="10" type="noConversion"/>
  </si>
  <si>
    <t>(판)보험료-보증보험료</t>
  </si>
  <si>
    <t>(판)보험료-손해보험료-화재보험</t>
  </si>
  <si>
    <t>(판)보험료-수출보험료</t>
  </si>
  <si>
    <t>(판)보험료-기타</t>
  </si>
  <si>
    <t>(판)수도광열비</t>
    <phoneticPr fontId="10" type="noConversion"/>
  </si>
  <si>
    <t>(판)수도광열비-전기료</t>
  </si>
  <si>
    <t>(판)수도광열비-수도사용료</t>
  </si>
  <si>
    <t>(판)수도광열비-난방용연료</t>
  </si>
  <si>
    <t>(판)수도광열비-가스료</t>
  </si>
  <si>
    <t>(판)수도광열비-기타</t>
  </si>
  <si>
    <t>(판)운반비</t>
    <phoneticPr fontId="10" type="noConversion"/>
  </si>
  <si>
    <t>(판)운반비-기타</t>
  </si>
  <si>
    <t>(판)판매촉진비</t>
    <phoneticPr fontId="10" type="noConversion"/>
  </si>
  <si>
    <t>(판)판매촉진비-경품/판촉사은품</t>
  </si>
  <si>
    <t>(판)판매촉진비-기타행사비</t>
  </si>
  <si>
    <t>(판)판매촉진비-기타</t>
  </si>
  <si>
    <t>(판)여비교통비</t>
    <phoneticPr fontId="10" type="noConversion"/>
  </si>
  <si>
    <t>(판)여비교통비-시내교통비</t>
  </si>
  <si>
    <t>(판)여비교통비-시내교통비(유류대)</t>
  </si>
  <si>
    <t>(판)여비교통비-전임여비</t>
  </si>
  <si>
    <t>(판)여비교통비-국내출장 교통비</t>
  </si>
  <si>
    <t>(판)여비교통비-국내출장-숙박</t>
  </si>
  <si>
    <t>(판)여비교통비-국내출장-식대</t>
  </si>
  <si>
    <t>(판)여비교통비-국내출장-기타</t>
  </si>
  <si>
    <t>(판)여비교통비-해외출장 교통비</t>
  </si>
  <si>
    <t>(판)여비교통비-해외출장-숙박</t>
  </si>
  <si>
    <t>(판)여비교통비-해외출장-식대</t>
  </si>
  <si>
    <t>(판)여비교통비-해외출장-기타</t>
  </si>
  <si>
    <t>(판)여비교통비-국내출장 유류대</t>
  </si>
  <si>
    <t>(판)통신비</t>
    <phoneticPr fontId="10" type="noConversion"/>
  </si>
  <si>
    <t>(판)통신비-전화/SMS/우편</t>
  </si>
  <si>
    <t>(판)통신비-휴대전화요금 지원비</t>
  </si>
  <si>
    <t>(판)통신비-휴대전화요금 지원비(임원)</t>
  </si>
  <si>
    <t>(판)통신비-방송수신/웹하드이용료</t>
  </si>
  <si>
    <t>(판)소모품비</t>
    <phoneticPr fontId="10" type="noConversion"/>
  </si>
  <si>
    <t>(판)소모품비-사무용품비</t>
  </si>
  <si>
    <t>(판)소모품비-전산소모품비</t>
  </si>
  <si>
    <t>(판)소모품비-탕비용품</t>
  </si>
  <si>
    <t>(판)소모품비-기타</t>
  </si>
  <si>
    <t>(판)소모품비-현장근무복</t>
    <phoneticPr fontId="2" type="noConversion"/>
  </si>
  <si>
    <t>(판)도서인쇄비</t>
    <phoneticPr fontId="10" type="noConversion"/>
  </si>
  <si>
    <t>(판)도서인쇄비-신문/도서</t>
  </si>
  <si>
    <t>(판)도서인쇄비-캘린더/수첩</t>
  </si>
  <si>
    <t>(판)도서인쇄비-인쇄비</t>
  </si>
  <si>
    <t>(판)수선비</t>
    <phoneticPr fontId="10" type="noConversion"/>
  </si>
  <si>
    <t>(판)수선비-건물유지/보수</t>
  </si>
  <si>
    <t>(판)수선비-장비유지/보수</t>
  </si>
  <si>
    <t>(판)수선비-기타</t>
  </si>
  <si>
    <t>(판)차량유지비</t>
    <phoneticPr fontId="10" type="noConversion"/>
  </si>
  <si>
    <t>(판)차량유지비-유류대</t>
  </si>
  <si>
    <t>(판)차량유지비-제세공과금</t>
  </si>
  <si>
    <t>(판)차량유지비-종합보험료</t>
  </si>
  <si>
    <t>(판)차량유지비-기타</t>
  </si>
  <si>
    <t>(판)전산수수료</t>
    <phoneticPr fontId="10" type="noConversion"/>
  </si>
  <si>
    <t>(판)전산수수료-CNS용역</t>
  </si>
  <si>
    <t>(판)전산수수료-M/A비용</t>
  </si>
  <si>
    <t>(판)전산수수료-시스템관리비</t>
  </si>
  <si>
    <t>(판)전산수수료-전용선료</t>
  </si>
  <si>
    <t>(판)전산수수료-기타용역료</t>
  </si>
  <si>
    <t>(판)인건비성수수료</t>
    <phoneticPr fontId="10" type="noConversion"/>
  </si>
  <si>
    <t>(판)인건비성수수료-경비주차용역료</t>
  </si>
  <si>
    <t>(판)인건비성수수료-사무용역료</t>
  </si>
  <si>
    <t>(판)인건비성수수료-기타용역료</t>
  </si>
  <si>
    <t>(판)지급임차료</t>
    <phoneticPr fontId="10" type="noConversion"/>
  </si>
  <si>
    <t>(판)지급임차료-부동산임차료</t>
  </si>
  <si>
    <t>(판)지급임차료-부동산관리비</t>
    <phoneticPr fontId="2" type="noConversion"/>
  </si>
  <si>
    <t>(판)지급임차료-지급리스료</t>
    <phoneticPr fontId="2" type="noConversion"/>
  </si>
  <si>
    <t>(판)지급임차료-용차료</t>
  </si>
  <si>
    <t>(판)지급임차료-용차료통근-FM</t>
    <phoneticPr fontId="2" type="noConversion"/>
  </si>
  <si>
    <t>(판)지급임차료-전산장비리스료</t>
  </si>
  <si>
    <t>(판)지급임차료-용차부대비</t>
  </si>
  <si>
    <t>(판)지급임차료-유류비</t>
  </si>
  <si>
    <t>(판)지급임차료-보험료</t>
    <phoneticPr fontId="2" type="noConversion"/>
  </si>
  <si>
    <t>(판)지급임차료-기타</t>
  </si>
  <si>
    <t>(판)회의비</t>
    <phoneticPr fontId="10" type="noConversion"/>
  </si>
  <si>
    <t>(판)회의비-외부/고객회의</t>
  </si>
  <si>
    <t>(판)회의비-행사비</t>
  </si>
  <si>
    <t>(판)회의비-부서워크샵</t>
  </si>
  <si>
    <t>(판)포장비</t>
    <phoneticPr fontId="10" type="noConversion"/>
  </si>
  <si>
    <t>(판)포장비-수출-포장비</t>
  </si>
  <si>
    <t>(판)포장비-기타</t>
  </si>
  <si>
    <t>(판)대손상각</t>
    <phoneticPr fontId="10" type="noConversion"/>
  </si>
  <si>
    <t>(판)대손상각-대손상각</t>
  </si>
  <si>
    <t>대손충당금환입</t>
  </si>
  <si>
    <t>(판)기타(손실)충당부채</t>
  </si>
  <si>
    <t>(판)기타(손실)충당부채전입</t>
  </si>
  <si>
    <t>(판)기타(손실)충당부채환입</t>
  </si>
  <si>
    <t>(판)산업재산권상각</t>
  </si>
  <si>
    <t>(판)산업재산권상각-상표권</t>
  </si>
  <si>
    <t>(판)하자보수/판매충당부채</t>
  </si>
  <si>
    <t>(판)하자보수/판매보증충당부채전입</t>
  </si>
  <si>
    <t>(판)하자보수/판매보증충당부채환입</t>
  </si>
  <si>
    <t>(판)브랜드사용료</t>
    <phoneticPr fontId="2" type="noConversion"/>
  </si>
  <si>
    <t>(판)안전보건관리비</t>
    <phoneticPr fontId="2" type="noConversion"/>
  </si>
  <si>
    <t>(판)안전보건관리비-인건비</t>
    <phoneticPr fontId="2" type="noConversion"/>
  </si>
  <si>
    <t>(판)안전보건관리비-시설비</t>
    <phoneticPr fontId="2" type="noConversion"/>
  </si>
  <si>
    <t>(판)안전보건관리비-보호구 구입 등</t>
    <phoneticPr fontId="2" type="noConversion"/>
  </si>
  <si>
    <t>(판)안전보건관리비-진단비</t>
    <phoneticPr fontId="2" type="noConversion"/>
  </si>
  <si>
    <t>(판)안전보건관리비-교육 및 행사 등</t>
    <phoneticPr fontId="2" type="noConversion"/>
  </si>
  <si>
    <t>(판)안전보건관리비-건강관리 등</t>
    <phoneticPr fontId="2" type="noConversion"/>
  </si>
  <si>
    <t>(판)보상비</t>
  </si>
  <si>
    <t>(판)보상비-일반</t>
  </si>
  <si>
    <t>(판)사내비용</t>
  </si>
  <si>
    <t>영업이익1</t>
    <phoneticPr fontId="10" type="noConversion"/>
  </si>
  <si>
    <t>공통비배부(판)</t>
  </si>
  <si>
    <t>전사지원비_배부(판)</t>
  </si>
  <si>
    <t>법인지원비-기타_배부(판)</t>
    <phoneticPr fontId="2" type="noConversion"/>
  </si>
  <si>
    <t>법인지원비-안전보건관리비_배부(판)</t>
    <phoneticPr fontId="2" type="noConversion"/>
  </si>
  <si>
    <t>영업이익2</t>
    <phoneticPr fontId="10" type="noConversion"/>
  </si>
  <si>
    <t>영업외손익차</t>
    <phoneticPr fontId="10" type="noConversion"/>
  </si>
  <si>
    <t>영업외수익</t>
  </si>
  <si>
    <t>사업부간수입이자</t>
  </si>
  <si>
    <t>이자수익</t>
    <phoneticPr fontId="10" type="noConversion"/>
  </si>
  <si>
    <t>이자수익-수입이자와 할인료</t>
  </si>
  <si>
    <t>이자수익-유가증권이자</t>
  </si>
  <si>
    <t>이자수익-기타</t>
  </si>
  <si>
    <t>이자수익-퇴직보험 기대수익</t>
  </si>
  <si>
    <t>배당금수익</t>
    <phoneticPr fontId="10" type="noConversion"/>
  </si>
  <si>
    <t/>
  </si>
  <si>
    <t>배당금수익</t>
  </si>
  <si>
    <t>외환차익</t>
    <phoneticPr fontId="10" type="noConversion"/>
  </si>
  <si>
    <t>외환차익-비금융(영업)</t>
  </si>
  <si>
    <t>외환차익-진행조정</t>
  </si>
  <si>
    <t>외환차익-금융(영업외)</t>
  </si>
  <si>
    <t>외화환산이익</t>
    <phoneticPr fontId="10" type="noConversion"/>
  </si>
  <si>
    <t>외화환산이익-비금융(영업)</t>
  </si>
  <si>
    <t>외화환산이익-진행조정</t>
  </si>
  <si>
    <t>외화환산이익-금융(영업외)</t>
  </si>
  <si>
    <t>지분법이익-비지주회사용</t>
  </si>
  <si>
    <t>영업외수익-기타</t>
    <phoneticPr fontId="10" type="noConversion"/>
  </si>
  <si>
    <t>당기손익인식지정금융자산처분이익</t>
  </si>
  <si>
    <t>당기손익인식지정금융자산평가이익</t>
  </si>
  <si>
    <t>파생상품거래이익-금융(영업외)</t>
  </si>
  <si>
    <t>파생상품평가이익-금융(영업외)</t>
  </si>
  <si>
    <t>매도가능금융자산처분이익</t>
  </si>
  <si>
    <t>매도가능금융자산손상차손환입</t>
  </si>
  <si>
    <t>만기보유금융자산처분이익</t>
  </si>
  <si>
    <t>금융보증수수료이익</t>
  </si>
  <si>
    <t>사채상환이익</t>
  </si>
  <si>
    <t>자산수증이익</t>
  </si>
  <si>
    <t>채무면제이익</t>
  </si>
  <si>
    <t>기타대손충당금환입</t>
  </si>
  <si>
    <t>보험차익</t>
  </si>
  <si>
    <t>잡이익</t>
    <phoneticPr fontId="10" type="noConversion"/>
  </si>
  <si>
    <t>잡이익-폐자재매각대</t>
  </si>
  <si>
    <t>파생상품거래이익-비금융(영업)</t>
  </si>
  <si>
    <t>파생상품평가이익-비금융(영업)</t>
  </si>
  <si>
    <t>잡이익-현금과부족</t>
  </si>
  <si>
    <t>잡이익-기타</t>
  </si>
  <si>
    <t>자산처분이익</t>
  </si>
  <si>
    <t>사용권자산 유형자산 처분이익</t>
    <phoneticPr fontId="2" type="noConversion"/>
  </si>
  <si>
    <t>사용권자산 무형자산 처분이익</t>
    <phoneticPr fontId="2" type="noConversion"/>
  </si>
  <si>
    <t>투자부동산처분이익</t>
  </si>
  <si>
    <t>유형자산처분이익</t>
  </si>
  <si>
    <t>무형자산처분이익</t>
  </si>
  <si>
    <t>수입임대료</t>
  </si>
  <si>
    <t>종속기업주식이익</t>
  </si>
  <si>
    <t>종속기업주식손상차손환입</t>
  </si>
  <si>
    <t>종속기업주식처분이익</t>
  </si>
  <si>
    <t>영업외비용</t>
  </si>
  <si>
    <t>사업부간지급이자</t>
  </si>
  <si>
    <t>지급이자</t>
  </si>
  <si>
    <t>지급이자-일반차입금이자</t>
  </si>
  <si>
    <t>지급이자-당좌차월이자</t>
  </si>
  <si>
    <t>지급이자-차입금이자</t>
  </si>
  <si>
    <t>지급이자-기타</t>
  </si>
  <si>
    <t>지급이자-리스부채</t>
  </si>
  <si>
    <t>지급이자-사채이자</t>
  </si>
  <si>
    <t>사채할인발행차금상각</t>
  </si>
  <si>
    <t>외환차손</t>
  </si>
  <si>
    <t>외환차손-금융(영업외)</t>
  </si>
  <si>
    <t>외환차손-진행조정</t>
  </si>
  <si>
    <t>외환차손-비금융(영업)</t>
  </si>
  <si>
    <t>외화환산손실</t>
  </si>
  <si>
    <t>외화환산손실-비금융(영업)</t>
  </si>
  <si>
    <t>외화환산손실-진행조정</t>
  </si>
  <si>
    <t>외화환산손실-금융(영업외)</t>
  </si>
  <si>
    <t>지분법손실</t>
  </si>
  <si>
    <t>기부금</t>
  </si>
  <si>
    <t>영업외비용 -기타</t>
  </si>
  <si>
    <t>단기매매비파생상품자산처분손실</t>
  </si>
  <si>
    <t>단기매매비파생상품자산평가손실</t>
  </si>
  <si>
    <t>매매목적파생상품자산평가손실</t>
  </si>
  <si>
    <t>당기손익인식지정금융자산평가손실</t>
  </si>
  <si>
    <t>파생상품거래손실-금융(영업외)</t>
  </si>
  <si>
    <t>파생상품평가손실-금융(영업외)</t>
  </si>
  <si>
    <t>매도가능금융자산처분손실</t>
  </si>
  <si>
    <t>매도가능금융자산손상차손</t>
  </si>
  <si>
    <t>매출채권처분손실</t>
  </si>
  <si>
    <t>금융보증비용</t>
  </si>
  <si>
    <t>관계기업주식손상차손</t>
  </si>
  <si>
    <t>사채상환손실</t>
  </si>
  <si>
    <t>기타영업외비용</t>
  </si>
  <si>
    <t>기타대손상각비</t>
  </si>
  <si>
    <t>자산처분손실</t>
  </si>
  <si>
    <t>투자부동산처분손실</t>
  </si>
  <si>
    <t>유형자산처분손실</t>
  </si>
  <si>
    <t>무형자산처분손실</t>
  </si>
  <si>
    <t>사용권자산 유형자산 처분손실</t>
    <phoneticPr fontId="2" type="noConversion"/>
  </si>
  <si>
    <t>사용권자산 무형자산 처분손실</t>
    <phoneticPr fontId="2" type="noConversion"/>
  </si>
  <si>
    <t>종속기업주식손실</t>
  </si>
  <si>
    <t>종속기업주식손상차손</t>
  </si>
  <si>
    <t>종속기업주식처분손실</t>
  </si>
  <si>
    <t>잡손실</t>
  </si>
  <si>
    <t>파생상품거래손실-비금융(영업)</t>
  </si>
  <si>
    <t>잡손실-지체상금</t>
  </si>
  <si>
    <t>파생상품평가손실-비금융(영업)</t>
  </si>
  <si>
    <t>잡손실-현금과부족</t>
  </si>
  <si>
    <t>재해손실</t>
  </si>
  <si>
    <t>잡손실-기타</t>
  </si>
  <si>
    <t>자산손상</t>
  </si>
  <si>
    <t>무형자산손상차손 환입</t>
  </si>
  <si>
    <t>투자부동산손상차손환입</t>
  </si>
  <si>
    <t>무형자산손상차손</t>
  </si>
  <si>
    <t>투자부동산손상차손</t>
  </si>
  <si>
    <t>법인세비용 차감전순이익1</t>
    <phoneticPr fontId="10" type="noConversion"/>
  </si>
  <si>
    <t>영업외손익배부</t>
  </si>
  <si>
    <t>전사영업외손익 배부</t>
  </si>
  <si>
    <t>사업부 영업외손익 배부</t>
  </si>
  <si>
    <t>법인세비용 차감전순이익2</t>
    <phoneticPr fontId="10" type="noConversion"/>
  </si>
  <si>
    <t>변경사항 : (용)/(판) 인화원교육 계정 삭제</t>
    <phoneticPr fontId="2" type="noConversion"/>
  </si>
  <si>
    <t>['23년]</t>
    <phoneticPr fontId="2" type="noConversion"/>
  </si>
  <si>
    <t>'23년 01월</t>
    <phoneticPr fontId="2" type="noConversion"/>
  </si>
  <si>
    <t>'23년 02월</t>
    <phoneticPr fontId="2" type="noConversion"/>
  </si>
  <si>
    <t>'23년 03월</t>
    <phoneticPr fontId="2" type="noConversion"/>
  </si>
  <si>
    <t>'23년 04월</t>
    <phoneticPr fontId="2" type="noConversion"/>
  </si>
  <si>
    <t>'23년 05월</t>
    <phoneticPr fontId="2" type="noConversion"/>
  </si>
  <si>
    <t>'23년 06월</t>
    <phoneticPr fontId="2" type="noConversion"/>
  </si>
  <si>
    <t>'23년 07월</t>
    <phoneticPr fontId="2" type="noConversion"/>
  </si>
  <si>
    <t>'23년 08월</t>
    <phoneticPr fontId="2" type="noConversion"/>
  </si>
  <si>
    <t>'23년 09월</t>
    <phoneticPr fontId="2" type="noConversion"/>
  </si>
  <si>
    <t>'23년 10월</t>
    <phoneticPr fontId="2" type="noConversion"/>
  </si>
  <si>
    <t>'23년 11월</t>
    <phoneticPr fontId="2" type="noConversion"/>
  </si>
  <si>
    <t>'23년 12월</t>
    <phoneticPr fontId="2" type="noConversion"/>
  </si>
  <si>
    <t>'23년 計</t>
    <phoneticPr fontId="10" type="noConversion"/>
  </si>
  <si>
    <t>(용)인프라공통비배부</t>
    <phoneticPr fontId="2" type="noConversion"/>
  </si>
  <si>
    <t xml:space="preserve">                9번대 계정 (용)인프라 배부 계정 추가</t>
    <phoneticPr fontId="2" type="noConversion"/>
  </si>
  <si>
    <t>담당지원비_배부(용)</t>
    <phoneticPr fontId="2" type="noConversion"/>
  </si>
  <si>
    <t>비고(산출기준)</t>
    <phoneticPr fontId="10" type="noConversion"/>
  </si>
  <si>
    <t>구)인프라개발팀 '22년 9월 실적 x 106% 적용</t>
  </si>
  <si>
    <t>검진대상자13명, 배우자6명</t>
    <phoneticPr fontId="2" type="noConversion"/>
  </si>
  <si>
    <t>월1만원/인</t>
    <phoneticPr fontId="2" type="noConversion"/>
  </si>
  <si>
    <t>년13,680원/인</t>
    <phoneticPr fontId="2" type="noConversion"/>
  </si>
  <si>
    <t>반기13,650원/인</t>
    <phoneticPr fontId="2" type="noConversion"/>
  </si>
  <si>
    <t>년5만원/인</t>
    <phoneticPr fontId="2" type="noConversion"/>
  </si>
  <si>
    <t>월1만원/팀</t>
    <phoneticPr fontId="2" type="noConversion"/>
  </si>
  <si>
    <t>월6만원/조직장</t>
    <phoneticPr fontId="2" type="noConversion"/>
  </si>
  <si>
    <t>6월</t>
  </si>
  <si>
    <t>6월</t>
    <phoneticPr fontId="2" type="noConversion"/>
  </si>
  <si>
    <t>한국능률협회</t>
    <phoneticPr fontId="2" type="noConversion"/>
  </si>
  <si>
    <t>신규사업개발 및 추진</t>
    <phoneticPr fontId="2" type="noConversion"/>
  </si>
  <si>
    <t>국내출장 참조</t>
    <phoneticPr fontId="2" type="noConversion"/>
  </si>
  <si>
    <t>사외교육 참조</t>
    <phoneticPr fontId="2" type="noConversion"/>
  </si>
  <si>
    <t>AI뷰어 클라우드 운영비</t>
  </si>
  <si>
    <t>운영센터/현장</t>
    <phoneticPr fontId="10" type="noConversion"/>
  </si>
  <si>
    <t>편도거리(km)</t>
    <phoneticPr fontId="2" type="noConversion"/>
  </si>
  <si>
    <t>출장</t>
    <phoneticPr fontId="2" type="noConversion"/>
  </si>
  <si>
    <t>출장교통비</t>
    <phoneticPr fontId="2" type="noConversion"/>
  </si>
  <si>
    <t>엘지가산디지털운영센터</t>
  </si>
  <si>
    <t>X</t>
    <phoneticPr fontId="2" type="noConversion"/>
  </si>
  <si>
    <t>챔피언스파크운영센터</t>
  </si>
  <si>
    <t>이노텍안산R&amp;D운영센터</t>
    <phoneticPr fontId="10" type="noConversion"/>
  </si>
  <si>
    <t>O</t>
    <phoneticPr fontId="2" type="noConversion"/>
  </si>
  <si>
    <t>화학대전기술연구원운영센터</t>
  </si>
  <si>
    <t>U+수원우만운영센터</t>
    <phoneticPr fontId="10" type="noConversion"/>
  </si>
  <si>
    <t>U+대전탄방운영센터</t>
  </si>
  <si>
    <t>U+대전오류운영센터</t>
  </si>
  <si>
    <t>U+북수원운영센터</t>
  </si>
  <si>
    <t>U+대전R&amp;D운영센터</t>
    <phoneticPr fontId="10" type="noConversion"/>
  </si>
  <si>
    <t>U+수원인계운영센터</t>
    <phoneticPr fontId="10" type="noConversion"/>
  </si>
  <si>
    <t>U+방배운영센터</t>
    <phoneticPr fontId="10" type="noConversion"/>
  </si>
  <si>
    <t>U+대구신천운영센터</t>
  </si>
  <si>
    <t>U+부산감전운영센터</t>
  </si>
  <si>
    <t>U+대구효목운영센터</t>
  </si>
  <si>
    <t>U+부산초량운영센터</t>
  </si>
  <si>
    <t>U+부산고객운영센터</t>
    <phoneticPr fontId="10" type="noConversion"/>
  </si>
  <si>
    <t>U+대구황금운영센터</t>
  </si>
  <si>
    <t>U+원주우산운영센터</t>
  </si>
  <si>
    <t>U+원주태장운영센터</t>
  </si>
  <si>
    <t>U+용산운영센터</t>
  </si>
  <si>
    <t>U+대구동인운영센터</t>
    <phoneticPr fontId="10" type="noConversion"/>
  </si>
  <si>
    <t>U+진주충무공운영센터</t>
    <phoneticPr fontId="10" type="noConversion"/>
  </si>
  <si>
    <t>U+상암운영센터</t>
    <phoneticPr fontId="10" type="noConversion"/>
  </si>
  <si>
    <t>U+광주중흥운영센터</t>
  </si>
  <si>
    <t>U+전주중화운영센터</t>
  </si>
  <si>
    <t>U+광주우산운영센터</t>
  </si>
  <si>
    <t>U+광주광천운영센터</t>
  </si>
  <si>
    <t>U+안양운영센터</t>
    <phoneticPr fontId="2" type="noConversion"/>
  </si>
  <si>
    <t>U+전주우아운영센터</t>
  </si>
  <si>
    <t>U+독산운영센터</t>
  </si>
  <si>
    <t>U+인천구월운영센터</t>
  </si>
  <si>
    <t>U+인천간석운영센터</t>
    <phoneticPr fontId="10" type="noConversion"/>
  </si>
  <si>
    <t>U+논현IDC운영센터</t>
    <phoneticPr fontId="10" type="noConversion"/>
  </si>
  <si>
    <t>대신위례운영센터</t>
    <phoneticPr fontId="10" type="noConversion"/>
  </si>
  <si>
    <t>곤지암리조트운영센터</t>
  </si>
  <si>
    <t>생활연수원운영센터</t>
  </si>
  <si>
    <t>분당퍼스트타워운영센터</t>
    <phoneticPr fontId="10" type="noConversion"/>
  </si>
  <si>
    <t>송암빌딩운영센터</t>
    <phoneticPr fontId="10" type="noConversion"/>
  </si>
  <si>
    <t>파크원T2FPM운영센터</t>
    <phoneticPr fontId="10" type="noConversion"/>
  </si>
  <si>
    <t>오투타워FPM운영센터</t>
    <phoneticPr fontId="10" type="noConversion"/>
  </si>
  <si>
    <t>엑셈마곡운영센터</t>
    <phoneticPr fontId="10" type="noConversion"/>
  </si>
  <si>
    <t>LF스퀘어광양운영센터</t>
    <phoneticPr fontId="10" type="noConversion"/>
  </si>
  <si>
    <t>대한제지운영센터</t>
  </si>
  <si>
    <t>LF동관운영센터</t>
  </si>
  <si>
    <t>대치갤러리운영센터</t>
  </si>
  <si>
    <t>세스코터치운영센터</t>
  </si>
  <si>
    <t>LS타워운영센터</t>
  </si>
  <si>
    <t>LS일렉트릭글로벌R&amp;D캠퍼스운영센터</t>
    <phoneticPr fontId="10" type="noConversion"/>
  </si>
  <si>
    <t>한국타이어테크노링운영센터</t>
    <phoneticPr fontId="10" type="noConversion"/>
  </si>
  <si>
    <t>한국테크노플렉스운영센터</t>
    <phoneticPr fontId="10" type="noConversion"/>
  </si>
  <si>
    <t>연산갤러리운영센터</t>
  </si>
  <si>
    <t>KB증권남부운영센터</t>
    <phoneticPr fontId="10" type="noConversion"/>
  </si>
  <si>
    <t>미래에셋증권동부운영센터</t>
    <phoneticPr fontId="10" type="noConversion"/>
  </si>
  <si>
    <t>UNIST운영센터</t>
  </si>
  <si>
    <t>DGIST운영센터</t>
  </si>
  <si>
    <t>서울대기숙사운영센터</t>
  </si>
  <si>
    <t>서울대병원운영센터</t>
    <phoneticPr fontId="10" type="noConversion"/>
  </si>
  <si>
    <t>건대기숙사운영센터</t>
  </si>
  <si>
    <t>GS칼텍스인재개발원운영센터</t>
    <phoneticPr fontId="10" type="noConversion"/>
  </si>
  <si>
    <t>GS건설용인연구소운영센터</t>
  </si>
  <si>
    <t>신규영업-1</t>
    <phoneticPr fontId="2" type="noConversion"/>
  </si>
  <si>
    <t>신규영업-2</t>
  </si>
  <si>
    <t>신규영업-3</t>
  </si>
  <si>
    <t>신규영업-4</t>
  </si>
  <si>
    <t>신규영업-5</t>
  </si>
  <si>
    <t>신규영업-6</t>
  </si>
  <si>
    <t>신규영업-7</t>
  </si>
  <si>
    <t>신규영업-8</t>
  </si>
  <si>
    <t>신규영업-9</t>
  </si>
  <si>
    <t>신규영업-10</t>
  </si>
  <si>
    <t>출장유류대x왕복x300원/km</t>
    <phoneticPr fontId="2" type="noConversion"/>
  </si>
  <si>
    <t>3월</t>
    <phoneticPr fontId="10" type="noConversion"/>
  </si>
  <si>
    <t>10월</t>
    <phoneticPr fontId="10" type="noConversion"/>
  </si>
  <si>
    <t>시기</t>
    <phoneticPr fontId="10" type="noConversion"/>
  </si>
  <si>
    <t>8월</t>
    <phoneticPr fontId="10" type="noConversion"/>
  </si>
  <si>
    <t>교육기관</t>
    <phoneticPr fontId="10" type="noConversion"/>
  </si>
  <si>
    <t>교육명</t>
    <phoneticPr fontId="10" type="noConversion"/>
  </si>
  <si>
    <t>교육예산</t>
    <phoneticPr fontId="10" type="noConversion"/>
  </si>
  <si>
    <t>한국능률협회</t>
    <phoneticPr fontId="10" type="noConversion"/>
  </si>
  <si>
    <t>마케팅 기본 종합</t>
    <phoneticPr fontId="10" type="noConversion"/>
  </si>
  <si>
    <t>한국생산성본부</t>
    <phoneticPr fontId="10" type="noConversion"/>
  </si>
  <si>
    <t>비즈니스모델 발굴을 통한 사업화 전략</t>
    <phoneticPr fontId="10" type="noConversion"/>
  </si>
  <si>
    <t xml:space="preserve">신규사업 아이디어 개발과 기획 실무 </t>
    <phoneticPr fontId="10" type="noConversion"/>
  </si>
  <si>
    <t>ISSA</t>
  </si>
  <si>
    <t>4월</t>
  </si>
  <si>
    <t>5월</t>
  </si>
  <si>
    <t>청소산업전시회부스제작/운영</t>
    <phoneticPr fontId="2" type="noConversion"/>
  </si>
  <si>
    <t>한국디자인진흥원</t>
    <phoneticPr fontId="2" type="noConversion"/>
  </si>
  <si>
    <t>디자인컨설팅양성과정</t>
    <phoneticPr fontId="2" type="noConversion"/>
  </si>
  <si>
    <t>9월</t>
    <phoneticPr fontId="10" type="noConversion"/>
  </si>
  <si>
    <t>구)인프라개발팀 '22년 9월 실적 x 106% 적용</t>
    <phoneticPr fontId="2" type="noConversion"/>
  </si>
  <si>
    <t>월10만원 /인</t>
    <phoneticPr fontId="2" type="noConversion"/>
  </si>
  <si>
    <t>종업원급여/226x8시간x5일(추정)</t>
    <phoneticPr fontId="2" type="noConversion"/>
  </si>
  <si>
    <t>월2만원 /인</t>
    <phoneticPr fontId="2" type="noConversion"/>
  </si>
  <si>
    <t>년100만원/인</t>
    <phoneticPr fontId="2" type="noConversion"/>
  </si>
  <si>
    <t>구)인프라개발팀 '22년 9월 실적 x 100% 적용</t>
    <phoneticPr fontId="2" type="noConversion"/>
  </si>
  <si>
    <t>년12만원/인</t>
    <phoneticPr fontId="2" type="noConversion"/>
  </si>
  <si>
    <t>년4만원/인</t>
    <phoneticPr fontId="2" type="noConversion"/>
  </si>
  <si>
    <t>계</t>
    <phoneticPr fontId="10" type="noConversion"/>
  </si>
  <si>
    <t>소계</t>
    <phoneticPr fontId="2" type="noConversion"/>
  </si>
  <si>
    <t>Product</t>
    <phoneticPr fontId="10" type="noConversion"/>
  </si>
  <si>
    <t>AI뷰어</t>
    <phoneticPr fontId="2" type="noConversion"/>
  </si>
  <si>
    <t>비고</t>
    <phoneticPr fontId="2" type="noConversion"/>
  </si>
  <si>
    <t>기준 *비용은 2인 및 왕복으로 계산</t>
    <phoneticPr fontId="2" type="noConversion"/>
  </si>
  <si>
    <t xml:space="preserve"> - 60km ~ 200km : 국내출장 유류대 (km당 300원)</t>
    <phoneticPr fontId="2" type="noConversion"/>
  </si>
  <si>
    <t xml:space="preserve">  - 40km ~ 60km : 국내출장 교통비 (택시비로 계산)</t>
    <phoneticPr fontId="2" type="noConversion"/>
  </si>
  <si>
    <t xml:space="preserve"> - 200km 이상 : 국내출장 교통비 (KTX비(2인) + 택시비 + 숙박비(2인)</t>
    <phoneticPr fontId="2" type="noConversion"/>
  </si>
  <si>
    <t>UX</t>
    <phoneticPr fontId="2" type="noConversion"/>
  </si>
  <si>
    <t>전시회및박람회참관비(인1만x2회)</t>
    <phoneticPr fontId="2" type="noConversion"/>
  </si>
  <si>
    <t>예비비</t>
    <phoneticPr fontId="2" type="noConversion"/>
  </si>
  <si>
    <t>대학생자녀2명(장재호P,장봉근P)</t>
    <phoneticPr fontId="2" type="noConversion"/>
  </si>
  <si>
    <t>일8000원x20일x15명x12월</t>
    <phoneticPr fontId="2" type="noConversion"/>
  </si>
  <si>
    <t>로봇청소기AWS사용료(월100만원)</t>
    <phoneticPr fontId="2" type="noConversion"/>
  </si>
  <si>
    <t>합계</t>
    <phoneticPr fontId="2" type="noConversion"/>
  </si>
  <si>
    <t>영업브로슈어 및 리플릿(로봇청소기, AI뷰어)</t>
  </si>
  <si>
    <t>로봇청소기배송(경인권3만x월10회, 지방권6만x월5회)</t>
  </si>
  <si>
    <t>1개파트(로봇청소기)x월15만원</t>
  </si>
  <si>
    <t>로봇청소기소모부품구입비(757000원/36개월x300대)+라우터(10만x36개월)</t>
    <phoneticPr fontId="2" type="noConversion"/>
  </si>
  <si>
    <t>로봇청소기무상A/S(130대x월 39,400원)</t>
    <phoneticPr fontId="2" type="noConversion"/>
  </si>
  <si>
    <t xml:space="preserve">인15만원x2회(팀개발방향성회의, 개발진척및향상방안회의) </t>
    <phoneticPr fontId="2" type="noConversion"/>
  </si>
  <si>
    <t>지역본부서비스세미나(2회x400만원), 씨드큐브상품화내부행사(4천만원), 오픈이노베이션상품화외부행사(6천만원)</t>
    <phoneticPr fontId="2" type="noConversion"/>
  </si>
  <si>
    <t>CMI 감염관리 전문가</t>
    <phoneticPr fontId="10" type="noConversion"/>
  </si>
  <si>
    <t>CMI 어드벤스</t>
    <phoneticPr fontId="10" type="noConversion"/>
  </si>
  <si>
    <t>CMI 수퍼바이저</t>
    <phoneticPr fontId="10" type="noConversion"/>
  </si>
  <si>
    <t>소독업면허세</t>
    <phoneticPr fontId="2" type="noConversion"/>
  </si>
  <si>
    <t>로봇청소기</t>
    <phoneticPr fontId="2" type="noConversion"/>
  </si>
  <si>
    <t>월2회 출장(대중교통)</t>
    <phoneticPr fontId="2" type="noConversion"/>
  </si>
  <si>
    <t>월1회 출장(자가차량)</t>
    <phoneticPr fontId="2" type="noConversion"/>
  </si>
  <si>
    <t>숙박비x5만</t>
    <phoneticPr fontId="2" type="noConversion"/>
  </si>
  <si>
    <t>식대x1만</t>
    <phoneticPr fontId="2" type="noConversion"/>
  </si>
  <si>
    <t>월1회 장거리출장</t>
    <phoneticPr fontId="2" type="noConversion"/>
  </si>
  <si>
    <t>원거리출장: 15만원*2인*월1회(야간셋업)</t>
    <phoneticPr fontId="2" type="noConversion"/>
  </si>
  <si>
    <t>근거리출장: 5만원*2인*월3회(야간셋업)</t>
    <phoneticPr fontId="2" type="noConversion"/>
  </si>
  <si>
    <t>월2회 근거리출장</t>
    <phoneticPr fontId="2" type="noConversion"/>
  </si>
  <si>
    <t>자차출장: (청소로봇 및 소모품 이동) km당 300원기준 * 월 700km</t>
    <phoneticPr fontId="2" type="noConversion"/>
  </si>
  <si>
    <t>/</t>
    <phoneticPr fontId="2" type="noConversion"/>
  </si>
  <si>
    <t>RMS</t>
    <phoneticPr fontId="2" type="noConversion"/>
  </si>
  <si>
    <t>6개파트(팀공통/AI/RMS/ESG/신사업/UX)x월15만원</t>
    <phoneticPr fontId="2" type="noConversion"/>
  </si>
  <si>
    <t>9월까지 실적</t>
    <phoneticPr fontId="2" type="noConversion"/>
  </si>
  <si>
    <t>10월~12월 추정</t>
    <phoneticPr fontId="2" type="noConversion"/>
  </si>
  <si>
    <t>'22년 01월</t>
    <phoneticPr fontId="2" type="noConversion"/>
  </si>
  <si>
    <t>'22년 02월</t>
  </si>
  <si>
    <t>'22년 03월</t>
  </si>
  <si>
    <t>'22년 04월</t>
  </si>
  <si>
    <t>'22년 05월</t>
  </si>
  <si>
    <t>'22년 06월</t>
  </si>
  <si>
    <t>'22년 07월</t>
  </si>
  <si>
    <t>'22년 08월</t>
  </si>
  <si>
    <t>'22년 09월</t>
  </si>
  <si>
    <t>'22년 10월</t>
  </si>
  <si>
    <t>'22년 11월</t>
  </si>
  <si>
    <t>'22년 12월</t>
  </si>
  <si>
    <t>'22년 計</t>
    <phoneticPr fontId="10" type="noConversion"/>
  </si>
  <si>
    <t>['22년] - 인프라개발팀기준</t>
    <phoneticPr fontId="2" type="noConversion"/>
  </si>
  <si>
    <t>식대: 2인*3식(야간작업)*월4회*10000원</t>
    <phoneticPr fontId="2" type="noConversion"/>
  </si>
  <si>
    <t>(H&amp;M전국매장 등)</t>
    <phoneticPr fontId="2" type="noConversion"/>
  </si>
  <si>
    <t>기계설비성능점검업협회비(5만원), 전기안전관리자협회비(10만원), 나이스얼라이언스협회비(년10,000$), ISSA 협회비(년90만원)</t>
    <phoneticPr fontId="2" type="noConversion"/>
  </si>
  <si>
    <t>AI뷰어POC전용선료(월16만원), 로봇청소기통신비(월7700원X500회선)</t>
    <phoneticPr fontId="2" type="noConversion"/>
  </si>
  <si>
    <t>AI뷰어번역료(60만), 전기안전관리자선해임/수첩발급비(3.6만), 후이즈청소로봇메일서비이용료(350만), 상품화엑셀러레이션추진비(1억), RMS신규센싱아이템구입및PoC구축(500만x4개소)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</si>
</sst>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#,##0_ ;[Red]\-#,##0\ "/>
    <numFmt numFmtId="178" formatCode="0_ "/>
    <numFmt numFmtId="179" formatCode="#,##0_ ;[Red]\-#,##0_ ;\-_ "/>
  </numFmts>
  <fonts count="26" x14ac:knownFonts="1">
    <font>
      <sz val="11"/>
      <color theme="1"/>
      <name val="맑은 고딕"/>
      <family val="2"/>
      <charset val="129"/>
      <scheme val="minor"/>
    </font>
    <font>
      <b/>
      <u/>
      <sz val="12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sz val="10"/>
      <name val="LG스마트체 Regular"/>
      <family val="3"/>
      <charset val="129"/>
    </font>
    <font>
      <sz val="11"/>
      <name val="LG스마트체 Regular"/>
      <family val="3"/>
      <charset val="129"/>
    </font>
    <font>
      <sz val="11"/>
      <color rgb="FFFF000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b/>
      <sz val="10"/>
      <name val="LG스마트체 Regular"/>
      <family val="3"/>
      <charset val="129"/>
    </font>
    <font>
      <sz val="8"/>
      <name val="돋움"/>
      <family val="3"/>
      <charset val="129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LG스마트체 Regular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sz val="10"/>
      <color indexed="81"/>
      <name val="Tahoma"/>
      <family val="2"/>
    </font>
    <font>
      <b/>
      <sz val="9"/>
      <color theme="1"/>
      <name val="LG스마트체 Regular"/>
      <family val="3"/>
      <charset val="129"/>
    </font>
    <font>
      <sz val="10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ill="1" applyAlignment="1">
      <alignment vertical="top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right" vertical="center"/>
    </xf>
    <xf numFmtId="176" fontId="9" fillId="0" borderId="2" xfId="0" applyNumberFormat="1" applyFont="1" applyFill="1" applyBorder="1" applyAlignment="1">
      <alignment vertical="center"/>
    </xf>
    <xf numFmtId="176" fontId="9" fillId="0" borderId="3" xfId="0" applyNumberFormat="1" applyFont="1" applyFill="1" applyBorder="1" applyAlignment="1">
      <alignment vertical="center"/>
    </xf>
    <xf numFmtId="177" fontId="3" fillId="0" borderId="4" xfId="0" quotePrefix="1" applyNumberFormat="1" applyFont="1" applyFill="1" applyBorder="1" applyAlignment="1">
      <alignment horizontal="center" vertical="center"/>
    </xf>
    <xf numFmtId="177" fontId="3" fillId="0" borderId="3" xfId="0" quotePrefix="1" applyNumberFormat="1" applyFont="1" applyFill="1" applyBorder="1" applyAlignment="1">
      <alignment horizontal="center" vertical="center"/>
    </xf>
    <xf numFmtId="177" fontId="3" fillId="2" borderId="5" xfId="0" quotePrefix="1" applyNumberFormat="1" applyFont="1" applyFill="1" applyBorder="1" applyAlignment="1">
      <alignment horizontal="center" vertical="center"/>
    </xf>
    <xf numFmtId="176" fontId="9" fillId="3" borderId="2" xfId="0" applyNumberFormat="1" applyFont="1" applyFill="1" applyBorder="1" applyAlignment="1">
      <alignment vertical="center"/>
    </xf>
    <xf numFmtId="176" fontId="9" fillId="3" borderId="3" xfId="0" applyNumberFormat="1" applyFont="1" applyFill="1" applyBorder="1" applyAlignment="1">
      <alignment vertical="center"/>
    </xf>
    <xf numFmtId="177" fontId="9" fillId="3" borderId="3" xfId="0" applyNumberFormat="1" applyFont="1" applyFill="1" applyBorder="1" applyAlignment="1">
      <alignment vertical="center"/>
    </xf>
    <xf numFmtId="179" fontId="11" fillId="3" borderId="4" xfId="0" applyNumberFormat="1" applyFont="1" applyFill="1" applyBorder="1" applyAlignment="1">
      <alignment vertical="center"/>
    </xf>
    <xf numFmtId="179" fontId="11" fillId="3" borderId="6" xfId="0" applyNumberFormat="1" applyFont="1" applyFill="1" applyBorder="1" applyAlignment="1">
      <alignment vertical="center"/>
    </xf>
    <xf numFmtId="179" fontId="11" fillId="3" borderId="2" xfId="0" applyNumberFormat="1" applyFont="1" applyFill="1" applyBorder="1" applyAlignment="1">
      <alignment vertical="center"/>
    </xf>
    <xf numFmtId="179" fontId="11" fillId="3" borderId="7" xfId="0" applyNumberFormat="1" applyFont="1" applyFill="1" applyBorder="1" applyAlignment="1">
      <alignment vertical="center"/>
    </xf>
    <xf numFmtId="176" fontId="3" fillId="0" borderId="8" xfId="0" applyNumberFormat="1" applyFont="1" applyFill="1" applyBorder="1" applyAlignment="1">
      <alignment vertical="center"/>
    </xf>
    <xf numFmtId="176" fontId="3" fillId="0" borderId="9" xfId="0" applyNumberFormat="1" applyFont="1" applyFill="1" applyBorder="1" applyAlignment="1">
      <alignment vertical="center"/>
    </xf>
    <xf numFmtId="176" fontId="3" fillId="3" borderId="2" xfId="0" applyNumberFormat="1" applyFont="1" applyFill="1" applyBorder="1" applyAlignment="1">
      <alignment vertical="center"/>
    </xf>
    <xf numFmtId="176" fontId="3" fillId="3" borderId="3" xfId="0" applyNumberFormat="1" applyFont="1" applyFill="1" applyBorder="1" applyAlignment="1">
      <alignment vertical="center"/>
    </xf>
    <xf numFmtId="177" fontId="3" fillId="3" borderId="3" xfId="0" applyNumberFormat="1" applyFont="1" applyFill="1" applyBorder="1" applyAlignment="1">
      <alignment vertical="center"/>
    </xf>
    <xf numFmtId="179" fontId="12" fillId="3" borderId="4" xfId="0" applyNumberFormat="1" applyFont="1" applyFill="1" applyBorder="1" applyAlignment="1">
      <alignment vertical="center"/>
    </xf>
    <xf numFmtId="179" fontId="12" fillId="3" borderId="6" xfId="0" applyNumberFormat="1" applyFont="1" applyFill="1" applyBorder="1" applyAlignment="1">
      <alignment vertical="center"/>
    </xf>
    <xf numFmtId="179" fontId="12" fillId="3" borderId="2" xfId="0" applyNumberFormat="1" applyFont="1" applyFill="1" applyBorder="1" applyAlignment="1">
      <alignment vertical="center"/>
    </xf>
    <xf numFmtId="0" fontId="3" fillId="0" borderId="10" xfId="0" applyNumberFormat="1" applyFont="1" applyFill="1" applyBorder="1" applyAlignment="1">
      <alignment vertical="center"/>
    </xf>
    <xf numFmtId="177" fontId="3" fillId="0" borderId="0" xfId="0" applyNumberFormat="1" applyFont="1" applyFill="1" applyBorder="1" applyAlignment="1">
      <alignment vertical="center"/>
    </xf>
    <xf numFmtId="179" fontId="12" fillId="0" borderId="11" xfId="0" applyNumberFormat="1" applyFont="1" applyFill="1" applyBorder="1" applyAlignment="1">
      <alignment vertical="center"/>
    </xf>
    <xf numFmtId="179" fontId="12" fillId="0" borderId="9" xfId="0" applyNumberFormat="1" applyFont="1" applyFill="1" applyBorder="1" applyAlignment="1">
      <alignment vertical="center"/>
    </xf>
    <xf numFmtId="179" fontId="12" fillId="0" borderId="8" xfId="0" applyNumberFormat="1" applyFont="1" applyFill="1" applyBorder="1" applyAlignment="1">
      <alignment vertical="center"/>
    </xf>
    <xf numFmtId="179" fontId="11" fillId="0" borderId="12" xfId="0" applyNumberFormat="1" applyFont="1" applyFill="1" applyBorder="1" applyAlignment="1">
      <alignment vertical="center"/>
    </xf>
    <xf numFmtId="0" fontId="3" fillId="0" borderId="8" xfId="0" applyNumberFormat="1" applyFont="1" applyFill="1" applyBorder="1" applyAlignment="1">
      <alignment vertical="center"/>
    </xf>
    <xf numFmtId="0" fontId="3" fillId="3" borderId="3" xfId="0" applyNumberFormat="1" applyFont="1" applyFill="1" applyBorder="1" applyAlignment="1">
      <alignment vertical="center"/>
    </xf>
    <xf numFmtId="179" fontId="12" fillId="0" borderId="0" xfId="0" applyNumberFormat="1" applyFont="1" applyFill="1" applyBorder="1" applyAlignment="1">
      <alignment vertical="center"/>
    </xf>
    <xf numFmtId="0" fontId="3" fillId="0" borderId="13" xfId="0" applyNumberFormat="1" applyFont="1" applyFill="1" applyBorder="1" applyAlignment="1">
      <alignment vertical="center"/>
    </xf>
    <xf numFmtId="176" fontId="3" fillId="0" borderId="13" xfId="0" applyNumberFormat="1" applyFont="1" applyFill="1" applyBorder="1" applyAlignment="1">
      <alignment vertical="center"/>
    </xf>
    <xf numFmtId="176" fontId="9" fillId="0" borderId="14" xfId="0" applyNumberFormat="1" applyFont="1" applyFill="1" applyBorder="1" applyAlignment="1">
      <alignment vertical="center"/>
    </xf>
    <xf numFmtId="0" fontId="3" fillId="0" borderId="6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179" fontId="12" fillId="0" borderId="13" xfId="0" applyNumberFormat="1" applyFont="1" applyFill="1" applyBorder="1" applyAlignment="1">
      <alignment vertical="center"/>
    </xf>
    <xf numFmtId="179" fontId="12" fillId="0" borderId="14" xfId="0" applyNumberFormat="1" applyFont="1" applyFill="1" applyBorder="1" applyAlignment="1">
      <alignment vertical="center"/>
    </xf>
    <xf numFmtId="179" fontId="11" fillId="0" borderId="15" xfId="0" applyNumberFormat="1" applyFont="1" applyFill="1" applyBorder="1" applyAlignment="1">
      <alignment vertical="center"/>
    </xf>
    <xf numFmtId="0" fontId="9" fillId="3" borderId="3" xfId="0" applyNumberFormat="1" applyFont="1" applyFill="1" applyBorder="1" applyAlignment="1">
      <alignment vertical="center"/>
    </xf>
    <xf numFmtId="176" fontId="3" fillId="0" borderId="16" xfId="0" applyNumberFormat="1" applyFont="1" applyFill="1" applyBorder="1" applyAlignment="1">
      <alignment vertical="center"/>
    </xf>
    <xf numFmtId="177" fontId="3" fillId="0" borderId="3" xfId="0" applyNumberFormat="1" applyFont="1" applyFill="1" applyBorder="1" applyAlignment="1">
      <alignment vertical="center"/>
    </xf>
    <xf numFmtId="177" fontId="3" fillId="0" borderId="9" xfId="0" applyNumberFormat="1" applyFont="1" applyFill="1" applyBorder="1" applyAlignment="1">
      <alignment vertical="center"/>
    </xf>
    <xf numFmtId="176" fontId="3" fillId="4" borderId="2" xfId="0" applyNumberFormat="1" applyFont="1" applyFill="1" applyBorder="1" applyAlignment="1">
      <alignment vertical="center"/>
    </xf>
    <xf numFmtId="177" fontId="3" fillId="0" borderId="14" xfId="0" applyNumberFormat="1" applyFont="1" applyFill="1" applyBorder="1" applyAlignment="1">
      <alignment vertical="center"/>
    </xf>
    <xf numFmtId="176" fontId="3" fillId="0" borderId="10" xfId="0" applyNumberFormat="1" applyFont="1" applyFill="1" applyBorder="1" applyAlignment="1">
      <alignment vertical="center"/>
    </xf>
    <xf numFmtId="0" fontId="3" fillId="0" borderId="9" xfId="0" applyNumberFormat="1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176" fontId="3" fillId="3" borderId="14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3" fontId="13" fillId="0" borderId="0" xfId="0" applyNumberFormat="1" applyFont="1" applyAlignment="1">
      <alignment vertical="center"/>
    </xf>
    <xf numFmtId="3" fontId="13" fillId="0" borderId="0" xfId="0" applyNumberFormat="1" applyFont="1" applyFill="1" applyAlignment="1">
      <alignment vertical="center"/>
    </xf>
    <xf numFmtId="176" fontId="3" fillId="0" borderId="6" xfId="0" applyNumberFormat="1" applyFont="1" applyFill="1" applyBorder="1" applyAlignment="1">
      <alignment vertical="center"/>
    </xf>
    <xf numFmtId="177" fontId="3" fillId="0" borderId="2" xfId="0" applyNumberFormat="1" applyFont="1" applyFill="1" applyBorder="1" applyAlignment="1">
      <alignment vertical="center"/>
    </xf>
    <xf numFmtId="179" fontId="12" fillId="3" borderId="3" xfId="0" applyNumberFormat="1" applyFont="1" applyFill="1" applyBorder="1" applyAlignment="1">
      <alignment vertical="center"/>
    </xf>
    <xf numFmtId="0" fontId="3" fillId="0" borderId="14" xfId="0" applyNumberFormat="1" applyFont="1" applyFill="1" applyBorder="1" applyAlignment="1">
      <alignment vertical="center"/>
    </xf>
    <xf numFmtId="177" fontId="3" fillId="0" borderId="16" xfId="0" applyNumberFormat="1" applyFont="1" applyFill="1" applyBorder="1" applyAlignment="1">
      <alignment vertical="center"/>
    </xf>
    <xf numFmtId="179" fontId="11" fillId="0" borderId="17" xfId="0" applyNumberFormat="1" applyFont="1" applyFill="1" applyBorder="1" applyAlignment="1">
      <alignment vertical="center"/>
    </xf>
    <xf numFmtId="177" fontId="3" fillId="0" borderId="18" xfId="0" applyNumberFormat="1" applyFont="1" applyFill="1" applyBorder="1" applyAlignment="1">
      <alignment vertical="center"/>
    </xf>
    <xf numFmtId="0" fontId="3" fillId="4" borderId="13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horizontal="left" vertical="center"/>
    </xf>
    <xf numFmtId="0" fontId="3" fillId="3" borderId="3" xfId="0" applyNumberFormat="1" applyFont="1" applyFill="1" applyBorder="1" applyAlignment="1">
      <alignment horizontal="left" vertical="center"/>
    </xf>
    <xf numFmtId="0" fontId="3" fillId="0" borderId="10" xfId="0" applyNumberFormat="1" applyFont="1" applyFill="1" applyBorder="1" applyAlignment="1">
      <alignment horizontal="left" vertical="center"/>
    </xf>
    <xf numFmtId="0" fontId="3" fillId="0" borderId="8" xfId="0" applyNumberFormat="1" applyFont="1" applyFill="1" applyBorder="1" applyAlignment="1">
      <alignment horizontal="left" vertical="center"/>
    </xf>
    <xf numFmtId="177" fontId="9" fillId="3" borderId="4" xfId="0" applyNumberFormat="1" applyFont="1" applyFill="1" applyBorder="1" applyAlignment="1">
      <alignment vertical="center"/>
    </xf>
    <xf numFmtId="176" fontId="3" fillId="0" borderId="18" xfId="0" applyNumberFormat="1" applyFont="1" applyFill="1" applyBorder="1" applyAlignment="1">
      <alignment vertical="center"/>
    </xf>
    <xf numFmtId="176" fontId="3" fillId="0" borderId="19" xfId="0" applyNumberFormat="1" applyFont="1" applyFill="1" applyBorder="1" applyAlignment="1">
      <alignment vertical="center"/>
    </xf>
    <xf numFmtId="179" fontId="12" fillId="0" borderId="16" xfId="0" applyNumberFormat="1" applyFont="1" applyFill="1" applyBorder="1" applyAlignment="1">
      <alignment vertical="center"/>
    </xf>
    <xf numFmtId="179" fontId="12" fillId="0" borderId="10" xfId="0" applyNumberFormat="1" applyFont="1" applyFill="1" applyBorder="1" applyAlignment="1">
      <alignment vertical="center"/>
    </xf>
    <xf numFmtId="179" fontId="12" fillId="0" borderId="19" xfId="0" applyNumberFormat="1" applyFont="1" applyFill="1" applyBorder="1" applyAlignment="1">
      <alignment vertical="center"/>
    </xf>
    <xf numFmtId="176" fontId="3" fillId="0" borderId="14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76" fontId="3" fillId="0" borderId="20" xfId="0" applyNumberFormat="1" applyFont="1" applyFill="1" applyBorder="1" applyAlignment="1">
      <alignment vertical="center"/>
    </xf>
    <xf numFmtId="179" fontId="12" fillId="0" borderId="20" xfId="0" applyNumberFormat="1" applyFont="1" applyFill="1" applyBorder="1" applyAlignment="1">
      <alignment vertical="center"/>
    </xf>
    <xf numFmtId="179" fontId="11" fillId="3" borderId="21" xfId="0" applyNumberFormat="1" applyFont="1" applyFill="1" applyBorder="1" applyAlignment="1">
      <alignment vertical="center"/>
    </xf>
    <xf numFmtId="176" fontId="5" fillId="0" borderId="0" xfId="0" applyNumberFormat="1" applyFont="1" applyFill="1" applyAlignment="1">
      <alignment horizontal="left" vertical="center"/>
    </xf>
    <xf numFmtId="0" fontId="19" fillId="2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41" fontId="3" fillId="0" borderId="13" xfId="1" applyFont="1" applyFill="1" applyBorder="1" applyAlignment="1">
      <alignment horizontal="center" vertical="center"/>
    </xf>
    <xf numFmtId="41" fontId="3" fillId="0" borderId="10" xfId="1" applyFont="1" applyFill="1" applyBorder="1" applyAlignment="1">
      <alignment horizontal="center" vertical="center"/>
    </xf>
    <xf numFmtId="41" fontId="3" fillId="5" borderId="6" xfId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41" fontId="3" fillId="0" borderId="8" xfId="1" applyFont="1" applyFill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9" fillId="2" borderId="6" xfId="1" applyFont="1" applyFill="1" applyBorder="1" applyAlignment="1">
      <alignment horizontal="center" vertical="center"/>
    </xf>
    <xf numFmtId="176" fontId="22" fillId="0" borderId="0" xfId="0" applyNumberFormat="1" applyFont="1" applyFill="1" applyAlignment="1">
      <alignment vertical="center"/>
    </xf>
    <xf numFmtId="177" fontId="22" fillId="0" borderId="5" xfId="0" quotePrefix="1" applyNumberFormat="1" applyFont="1" applyFill="1" applyBorder="1" applyAlignment="1">
      <alignment horizontal="center" vertical="center"/>
    </xf>
    <xf numFmtId="179" fontId="22" fillId="3" borderId="7" xfId="0" applyNumberFormat="1" applyFont="1" applyFill="1" applyBorder="1" applyAlignment="1">
      <alignment vertical="center"/>
    </xf>
    <xf numFmtId="179" fontId="22" fillId="0" borderId="12" xfId="0" applyNumberFormat="1" applyFont="1" applyFill="1" applyBorder="1" applyAlignment="1">
      <alignment vertical="center"/>
    </xf>
    <xf numFmtId="179" fontId="22" fillId="0" borderId="15" xfId="0" applyNumberFormat="1" applyFont="1" applyFill="1" applyBorder="1" applyAlignment="1">
      <alignment vertical="center"/>
    </xf>
    <xf numFmtId="179" fontId="22" fillId="0" borderId="12" xfId="0" quotePrefix="1" applyNumberFormat="1" applyFont="1" applyFill="1" applyBorder="1" applyAlignment="1">
      <alignment vertical="center"/>
    </xf>
    <xf numFmtId="179" fontId="23" fillId="3" borderId="7" xfId="0" applyNumberFormat="1" applyFont="1" applyFill="1" applyBorder="1" applyAlignment="1">
      <alignment vertical="center"/>
    </xf>
    <xf numFmtId="179" fontId="23" fillId="0" borderId="12" xfId="0" applyNumberFormat="1" applyFont="1" applyFill="1" applyBorder="1" applyAlignment="1">
      <alignment vertical="center"/>
    </xf>
    <xf numFmtId="179" fontId="23" fillId="0" borderId="17" xfId="0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41" fontId="25" fillId="2" borderId="6" xfId="0" applyNumberFormat="1" applyFont="1" applyFill="1" applyBorder="1" applyAlignment="1">
      <alignment horizontal="center" vertical="center"/>
    </xf>
    <xf numFmtId="41" fontId="25" fillId="2" borderId="6" xfId="0" applyNumberFormat="1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>
      <alignment vertical="center"/>
    </xf>
    <xf numFmtId="0" fontId="22" fillId="0" borderId="8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>
      <alignment vertical="center"/>
    </xf>
    <xf numFmtId="0" fontId="22" fillId="5" borderId="6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41" fontId="24" fillId="0" borderId="6" xfId="0" applyNumberFormat="1" applyFont="1" applyBorder="1">
      <alignment vertical="center"/>
    </xf>
    <xf numFmtId="0" fontId="22" fillId="5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Border="1">
      <alignment vertical="center"/>
    </xf>
    <xf numFmtId="0" fontId="24" fillId="0" borderId="8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4" fillId="0" borderId="6" xfId="0" applyFont="1" applyBorder="1">
      <alignment vertical="center"/>
    </xf>
    <xf numFmtId="0" fontId="22" fillId="5" borderId="10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41" fontId="24" fillId="2" borderId="6" xfId="0" applyNumberFormat="1" applyFont="1" applyFill="1" applyBorder="1">
      <alignment vertical="center"/>
    </xf>
    <xf numFmtId="0" fontId="24" fillId="0" borderId="13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41" fontId="24" fillId="0" borderId="8" xfId="0" applyNumberFormat="1" applyFont="1" applyBorder="1">
      <alignment vertical="center"/>
    </xf>
    <xf numFmtId="41" fontId="24" fillId="0" borderId="13" xfId="0" applyNumberFormat="1" applyFont="1" applyBorder="1">
      <alignment vertical="center"/>
    </xf>
    <xf numFmtId="41" fontId="24" fillId="0" borderId="10" xfId="1" applyFont="1" applyBorder="1">
      <alignment vertical="center"/>
    </xf>
    <xf numFmtId="41" fontId="24" fillId="0" borderId="6" xfId="1" applyFont="1" applyBorder="1">
      <alignment vertical="center"/>
    </xf>
    <xf numFmtId="41" fontId="24" fillId="0" borderId="0" xfId="0" applyNumberFormat="1" applyFont="1">
      <alignment vertical="center"/>
    </xf>
    <xf numFmtId="41" fontId="25" fillId="2" borderId="6" xfId="0" applyNumberFormat="1" applyFont="1" applyFill="1" applyBorder="1">
      <alignment vertical="center"/>
    </xf>
    <xf numFmtId="0" fontId="24" fillId="0" borderId="8" xfId="0" applyNumberFormat="1" applyFont="1" applyBorder="1">
      <alignment vertical="center"/>
    </xf>
    <xf numFmtId="0" fontId="3" fillId="0" borderId="1" xfId="0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0" fontId="22" fillId="2" borderId="13" xfId="0" applyFont="1" applyFill="1" applyBorder="1" applyAlignment="1">
      <alignment horizontal="center" vertical="center"/>
    </xf>
    <xf numFmtId="177" fontId="3" fillId="6" borderId="4" xfId="0" quotePrefix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ikyongsoo\DATA\&#51088;&#47308;&#44160;&#53664;\1&#49324;&#50629;&#49457;&#44160;&#53664;&#51088;&#47308;\&#44053;&#45224;&#44396;&#52397;&#44060;&#48156;\&#51312;&#45804;&#52397;&#48512;&#51648;&#44060;&#48156;\&#49340;&#49457;&#47932;&#49328;\&#49352;&#54028;&#51068;\A&#49373;&#47749;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N&#36035;&#63963;-&#3288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77;&#50976;\2002file\&#49569;&#51204;&#49440;&#48372;&#54840;&#48152;(&#50976;&#54840;,&#49440;&#46020;)\OFFICE%20&#50577;&#49885;\N&#36035;&#63963;-&#3288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기초"/>
      <sheetName val="건축"/>
      <sheetName val="지표"/>
      <sheetName val="임대"/>
      <sheetName val="공정"/>
      <sheetName val="건설기간분석"/>
      <sheetName val="운영기간분석"/>
      <sheetName val="Dash Board"/>
      <sheetName val="목표세부명세"/>
      <sheetName val="Assumption"/>
      <sheetName val="A생명98"/>
      <sheetName val="TOWER 12TON"/>
      <sheetName val="TOWER 10TON"/>
      <sheetName val="JIB CRANE,HOIST"/>
      <sheetName val="5층 건축물대장 등기 예정"/>
      <sheetName val="층별면적표-060411-5층 통합"/>
      <sheetName val="서피070607"/>
      <sheetName val="재원조달"/>
      <sheetName val="손익"/>
      <sheetName val="현금흐름"/>
      <sheetName val="2F 회의실견적(5_14 일대)"/>
      <sheetName val="노무비"/>
      <sheetName val="Utility Usage YTN TOWER"/>
      <sheetName val="시산표"/>
      <sheetName val="Dash_Board"/>
      <sheetName val="TOWER_12TON"/>
      <sheetName val="TOWER_10TON"/>
      <sheetName val="JIB_CRANE,HOIST"/>
      <sheetName val="5층_건축물대장_등기_예정"/>
      <sheetName val="층별면적표-060411-5층_통합"/>
      <sheetName val="정부노임단가"/>
      <sheetName val="미납중도금후납시"/>
      <sheetName val="Base"/>
      <sheetName val="대구"/>
      <sheetName val="용연"/>
      <sheetName val="울산"/>
      <sheetName val="#REF"/>
      <sheetName val="구미"/>
      <sheetName val="광주"/>
      <sheetName val="언양"/>
      <sheetName val="진천"/>
      <sheetName val="중연"/>
      <sheetName val="대출금_분양율별민감도_토지비수익권"/>
      <sheetName val="손익분석"/>
      <sheetName val="사업보고"/>
      <sheetName val="CF"/>
      <sheetName val="1ST"/>
      <sheetName val="Budget"/>
      <sheetName val="A"/>
      <sheetName val="Dropdown list"/>
      <sheetName val="간이연락"/>
      <sheetName val="master"/>
      <sheetName val="유림골조"/>
      <sheetName val="공통비(전체)"/>
      <sheetName val="유림총괄"/>
      <sheetName val="Prices"/>
      <sheetName val="仲介業者"/>
      <sheetName val="DataWP"/>
      <sheetName val="일위대가(계측기설치)"/>
      <sheetName val="BCPAB"/>
      <sheetName val="fy09 ~12 erp"/>
      <sheetName val="fy09 erp"/>
      <sheetName val="단독빌딩 총합계본"/>
      <sheetName val="Dash_Board1"/>
      <sheetName val="TOWER_12TON1"/>
      <sheetName val="TOWER_10TON1"/>
      <sheetName val="JIB_CRANE,HOIST1"/>
      <sheetName val="5층_건축물대장_등기_예정1"/>
      <sheetName val="층별면적표-060411-5층_통합1"/>
      <sheetName val="2F_회의실견적(5_14_일대)"/>
      <sheetName val="Utility_Usage_YTN_TOWER"/>
      <sheetName val="Sheet1"/>
      <sheetName val="재료비"/>
      <sheetName val="list"/>
      <sheetName val="Raw data_카테고리별 매출"/>
      <sheetName val="Raw data_시설전체_일간,주간_매출&amp;트래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5">
          <cell r="AH25" t="str">
            <v xml:space="preserve"> 진 척 도</v>
          </cell>
        </row>
        <row r="26">
          <cell r="AH26" t="str">
            <v xml:space="preserve"> 공통가설</v>
          </cell>
        </row>
        <row r="27">
          <cell r="AH27" t="str">
            <v xml:space="preserve"> 건축공사</v>
          </cell>
        </row>
        <row r="28">
          <cell r="AH28" t="str">
            <v xml:space="preserve"> 설비공사</v>
          </cell>
        </row>
        <row r="29">
          <cell r="AH29" t="str">
            <v xml:space="preserve"> 전기공사</v>
          </cell>
        </row>
        <row r="30">
          <cell r="AH30" t="str">
            <v xml:space="preserve"> 현관비등</v>
          </cell>
        </row>
        <row r="31">
          <cell r="AH31" t="str">
            <v>누계공정</v>
          </cell>
        </row>
        <row r="33">
          <cell r="AH33" t="str">
            <v xml:space="preserve">  구  분</v>
          </cell>
        </row>
        <row r="34">
          <cell r="AH34" t="str">
            <v xml:space="preserve"> 진 척 도</v>
          </cell>
        </row>
        <row r="35">
          <cell r="AH35" t="str">
            <v xml:space="preserve"> 공통가설</v>
          </cell>
        </row>
        <row r="36">
          <cell r="AH36" t="str">
            <v xml:space="preserve"> 건축공사</v>
          </cell>
        </row>
        <row r="37">
          <cell r="AH37" t="str">
            <v xml:space="preserve"> 설비공사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실행내역"/>
      <sheetName val="직노"/>
      <sheetName val="가설대가"/>
      <sheetName val="토공대가"/>
      <sheetName val="구조대가"/>
      <sheetName val="포설대가1"/>
      <sheetName val="부대대가"/>
      <sheetName val="제직재"/>
      <sheetName val="6PILE  (돌출)"/>
      <sheetName val="전선 및 전선관"/>
      <sheetName val="노임"/>
      <sheetName val="일위대가 집계표"/>
      <sheetName val="D-경비1"/>
      <sheetName val="C-직노1"/>
      <sheetName val="일위대가목록"/>
      <sheetName val="일위대가"/>
      <sheetName val="N賃率_職"/>
      <sheetName val="동원인원"/>
      <sheetName val="원가계산서"/>
      <sheetName val="건축내역"/>
      <sheetName val="J直材4"/>
      <sheetName val="SAMPLE"/>
      <sheetName val="입찰안"/>
      <sheetName val="70%"/>
      <sheetName val="ilch"/>
      <sheetName val="중기사용료"/>
      <sheetName val="대,유,램"/>
      <sheetName val="국별인원"/>
      <sheetName val="인건비(VOICE)"/>
      <sheetName val="2공구산출내역"/>
      <sheetName val="용산1(해보)"/>
      <sheetName val="명세서"/>
      <sheetName val="단가산출목록표"/>
      <sheetName val="대목"/>
      <sheetName val="옥외 전력간선공사"/>
      <sheetName val="DATE"/>
      <sheetName val="일위목록"/>
      <sheetName val="갑지"/>
      <sheetName val="집계표"/>
      <sheetName val="단가산출"/>
      <sheetName val="1차 내역서"/>
      <sheetName val="일위대가(4층원격)"/>
      <sheetName val="적현로"/>
      <sheetName val="재료"/>
      <sheetName val="설치자재"/>
      <sheetName val="내역서"/>
      <sheetName val="기준FACTOR"/>
      <sheetName val="기본사항"/>
      <sheetName val="1안"/>
      <sheetName val="#REF"/>
      <sheetName val="설계내역서"/>
      <sheetName val="터파기및재료"/>
      <sheetName val="정산"/>
      <sheetName val="Sheet1"/>
      <sheetName val="I一般比"/>
      <sheetName val="쌍송교"/>
      <sheetName val="표지1"/>
      <sheetName val="별첨-기계경비 산출목록"/>
      <sheetName val="패널"/>
      <sheetName val="일위대가표(유단가)"/>
      <sheetName val="9509"/>
      <sheetName val="노임이"/>
      <sheetName val="1000 DB구축 부표"/>
      <sheetName val="10.공통-노임단가"/>
      <sheetName val="중기사용료산출근거"/>
      <sheetName val="단가 및 재료비"/>
      <sheetName val="노임단가표"/>
      <sheetName val="자재단가표"/>
      <sheetName val="시설장비부하계산서"/>
      <sheetName val="단가산출목록"/>
      <sheetName val="실적공사비단가"/>
      <sheetName val="GISDB_단가산출목록"/>
      <sheetName val="GISDB_단가산출표"/>
      <sheetName val="소방"/>
      <sheetName val="정부노임단가"/>
      <sheetName val="골조시행"/>
      <sheetName val="Sheet5"/>
      <sheetName val="기본입력"/>
      <sheetName val="프랜트면허"/>
      <sheetName val="수량산출"/>
      <sheetName val="TOTAL"/>
      <sheetName val="데이타"/>
      <sheetName val="식재인부"/>
      <sheetName val="OPGW기별"/>
      <sheetName val="일위"/>
      <sheetName val="기자재비"/>
      <sheetName val="내역서1999.8최종"/>
      <sheetName val="수지예산"/>
      <sheetName val="자료"/>
      <sheetName val="추가대화"/>
      <sheetName val="제-노임"/>
      <sheetName val="설직재-1"/>
      <sheetName val="시설물기초"/>
      <sheetName val="위치조서"/>
      <sheetName val="제경집계"/>
      <sheetName val="산출목록표"/>
      <sheetName val="20관리비율"/>
      <sheetName val="참조자료"/>
      <sheetName val="조명시설"/>
      <sheetName val="을"/>
      <sheetName val="내역서2안"/>
      <sheetName val="물량산출(지점)"/>
      <sheetName val="견적서"/>
      <sheetName val="유림골조"/>
      <sheetName val="건물"/>
      <sheetName val="동원(3)"/>
      <sheetName val="노무비단가"/>
      <sheetName val="내역1"/>
      <sheetName val="화해(함평)"/>
      <sheetName val="화해(장성)"/>
      <sheetName val="시설물일위"/>
      <sheetName val="수량산출1"/>
      <sheetName val="Baby일위대가"/>
      <sheetName val="불법주정차"/>
      <sheetName val="Sheet4"/>
      <sheetName val="단가기준"/>
      <sheetName val="현장경비"/>
      <sheetName val="차액보증"/>
      <sheetName val="단가표"/>
      <sheetName val="갑지(추정)"/>
      <sheetName val="CAUDIT"/>
      <sheetName val="대가"/>
      <sheetName val="Sheet3"/>
      <sheetName val="AV시스템"/>
      <sheetName val="DATA"/>
      <sheetName val="CT "/>
      <sheetName val="전기외주내역"/>
      <sheetName val="원가_(2)"/>
      <sheetName val="6PILE__(돌출)"/>
      <sheetName val="일위대가_집계표"/>
      <sheetName val="전선_및_전선관"/>
      <sheetName val="1000_DB구축_부표"/>
      <sheetName val="설계명세서"/>
      <sheetName val="현장관리비"/>
      <sheetName val="식재일위대가"/>
      <sheetName val="내역5"/>
      <sheetName val="대가단최종"/>
      <sheetName val="전기일위목록"/>
      <sheetName val="공문"/>
      <sheetName val="도급FORM"/>
      <sheetName val="Customer Databas"/>
      <sheetName val="S&amp;R"/>
      <sheetName val="wall"/>
      <sheetName val="노무비"/>
      <sheetName val="자재단가"/>
      <sheetName val="산출기초"/>
      <sheetName val="단가조사"/>
      <sheetName val="공정량산출내역서 "/>
      <sheetName val="가로등내역서"/>
      <sheetName val="일위대가(출입)"/>
      <sheetName val="금액내역서"/>
      <sheetName val="단가 "/>
      <sheetName val="일위대가 (PM)"/>
      <sheetName val="전기"/>
      <sheetName val="예정공정표 (2)"/>
      <sheetName val="인건비"/>
      <sheetName val="5흙막이"/>
      <sheetName val="기본일위"/>
      <sheetName val="8.PILE  (돌출)"/>
      <sheetName val="공종단가"/>
      <sheetName val="일용노임단가2001상"/>
      <sheetName val="단"/>
      <sheetName val="노임단가"/>
      <sheetName val="일위대가표(교체)"/>
      <sheetName val="2000시행총괄"/>
      <sheetName val="산출"/>
      <sheetName val="증감대비"/>
      <sheetName val="구리토평1전기"/>
      <sheetName val="대"/>
      <sheetName val="도로정위치부표"/>
      <sheetName val="도로조사부표"/>
      <sheetName val="CATV"/>
      <sheetName val="2-1. 경관조명 내역총괄표"/>
      <sheetName val="경율산정.XLS"/>
      <sheetName val="날개벽"/>
      <sheetName val="ABUT수량-A1"/>
      <sheetName val="INPUT"/>
      <sheetName val="횡 연장"/>
      <sheetName val="암거단위"/>
      <sheetName val="일위대가(가설)"/>
      <sheetName val="WORK"/>
      <sheetName val="ELECTRIC"/>
      <sheetName val="전체"/>
      <sheetName val="Sheet13"/>
      <sheetName val="2.냉난방설비공사"/>
      <sheetName val="7.자동제어공사"/>
      <sheetName val="동수"/>
      <sheetName val="COST"/>
      <sheetName val="실행철강하도"/>
      <sheetName val="급수 (LPM)"/>
      <sheetName val="9811"/>
      <sheetName val="단가산출서"/>
      <sheetName val="공사비"/>
      <sheetName val="원가_(2)1"/>
      <sheetName val="일위대가_집계표1"/>
      <sheetName val="6PILE__(돌출)1"/>
      <sheetName val="전선_및_전선관1"/>
      <sheetName val="1차_내역서"/>
      <sheetName val="별첨-기계경비_산출목록"/>
      <sheetName val="내역서1999_8최종"/>
      <sheetName val="10_공통-노임단가"/>
      <sheetName val="1000_DB구축_부표1"/>
      <sheetName val="단가_및_재료비"/>
      <sheetName val="옥외_전력간선공사"/>
      <sheetName val="CT_"/>
      <sheetName val="동력기별"/>
      <sheetName val="단가대비"/>
      <sheetName val="DWG-CAB-I"/>
      <sheetName val="Mc1"/>
      <sheetName val="인원계획-미화"/>
      <sheetName val="익산"/>
      <sheetName val="COVER"/>
      <sheetName val="단가조사서"/>
      <sheetName val="총 원가계산"/>
      <sheetName val="물량표"/>
      <sheetName val="토목주소"/>
      <sheetName val="AL공사(원)"/>
      <sheetName val="내역"/>
      <sheetName val="6호기"/>
      <sheetName val="10월"/>
      <sheetName val="대비"/>
      <sheetName val="기초목"/>
      <sheetName val="2.대외공문"/>
      <sheetName val="일위대가(건축)"/>
      <sheetName val="단중표"/>
      <sheetName val="기본설계기준"/>
      <sheetName val="품셈총괄표"/>
      <sheetName val="단가산출서_토목"/>
      <sheetName val="TRE TABLE"/>
      <sheetName val="생산량"/>
      <sheetName val="판매가격(정리)"/>
      <sheetName val="주문"/>
      <sheetName val="공사비예산서_토목분_"/>
      <sheetName val="식음료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95"/>
      <sheetName val="간노비"/>
      <sheetName val="간노비95"/>
      <sheetName val="철거산출근거"/>
      <sheetName val="Y-WORK"/>
      <sheetName val="EXPENSE"/>
      <sheetName val="공사내역"/>
      <sheetName val="일용직내역"/>
      <sheetName val="전력"/>
      <sheetName val="3련 BOX"/>
      <sheetName val="길어깨(현황)"/>
      <sheetName val="BOX전기내역"/>
      <sheetName val="수목표준대가"/>
      <sheetName val="돈암사업"/>
      <sheetName val="갑지1"/>
      <sheetName val="연부97-1"/>
      <sheetName val="단가및재료비"/>
      <sheetName val="도근좌표"/>
      <sheetName val="7.수지"/>
      <sheetName val="CTEMCOST"/>
      <sheetName val="특수선일위대가"/>
      <sheetName val="96작생능"/>
      <sheetName val="환율"/>
      <sheetName val="시중노임(공사)"/>
      <sheetName val="설비(제출)"/>
      <sheetName val="PANEL가격"/>
      <sheetName val="전차선로 물량표"/>
      <sheetName val="한강운반비"/>
      <sheetName val="자재"/>
      <sheetName val="파일의이용"/>
      <sheetName val="기초자료입력"/>
      <sheetName val="전국현황"/>
      <sheetName val="일위(PN)"/>
      <sheetName val="실행내역서"/>
      <sheetName val="2-3.공사비내역서"/>
      <sheetName val="4-2. 기계경비산출"/>
      <sheetName val="7.노무비 근거"/>
      <sheetName val="3-2.일위대가"/>
      <sheetName val="물량내역"/>
      <sheetName val="여과지동"/>
      <sheetName val="기초자료"/>
      <sheetName val="기초일위"/>
      <sheetName val="시설일위"/>
      <sheetName val="조명일위"/>
      <sheetName val="관급"/>
      <sheetName val="데리네이타현황"/>
      <sheetName val="A1"/>
      <sheetName val="회사정보"/>
      <sheetName val="2분기평가"/>
      <sheetName val="※참고자료※"/>
      <sheetName val="공정량산출내역서_"/>
      <sheetName val="단가_"/>
      <sheetName val="일위대가_(PM)"/>
      <sheetName val="예정공정표_(2)"/>
      <sheetName val="8_PILE__(돌출)"/>
      <sheetName val="덤프"/>
      <sheetName val="석재다짐"/>
      <sheetName val="소운반"/>
      <sheetName val="아스콘"/>
      <sheetName val="장비"/>
      <sheetName val="일위_파일"/>
      <sheetName val="이토변실(A3-LINE)"/>
      <sheetName val="data spec"/>
      <sheetName val="예산내역"/>
      <sheetName val="총괄수지표"/>
      <sheetName val="설계내역2"/>
      <sheetName val="기계경비(시간당)"/>
      <sheetName val="램머"/>
      <sheetName val="2000년1차"/>
      <sheetName val="Sheet14"/>
      <sheetName val="출력은 금물"/>
      <sheetName val=" 갑  지 "/>
      <sheetName val="6. 직접경비"/>
      <sheetName val="설계서"/>
      <sheetName val="부하계산서"/>
      <sheetName val="BEND LOSS"/>
      <sheetName val="설계서식"/>
      <sheetName val="수량산출2"/>
      <sheetName val="물량"/>
      <sheetName val="도급예산내역서총괄표"/>
      <sheetName val="설계산출기초"/>
      <sheetName val="건축일위"/>
      <sheetName val="그라우팅일위"/>
      <sheetName val="물량master"/>
      <sheetName val="ITEM"/>
      <sheetName val="배관내역"/>
      <sheetName val="맨홀수량산출(1.0×1.0×1.0)"/>
      <sheetName val="전기변내역"/>
      <sheetName val="적격점수&lt;300억미만&gt;"/>
      <sheetName val="예가표"/>
      <sheetName val="기초단가"/>
      <sheetName val="깨기"/>
      <sheetName val="산근"/>
      <sheetName val="5사남"/>
      <sheetName val="공사개요"/>
      <sheetName val="하수급견적대비"/>
      <sheetName val="A"/>
      <sheetName val="실행내역 "/>
      <sheetName val="anaysis_sheet"/>
      <sheetName val="값"/>
      <sheetName val="가시설"/>
      <sheetName val="중기목록표"/>
      <sheetName val="비탈면보호공수량산출"/>
      <sheetName val="6공구(당초)"/>
      <sheetName val="단위단가"/>
      <sheetName val="내역전기"/>
      <sheetName val="중기일위대가"/>
      <sheetName val="기성2"/>
      <sheetName val="표지"/>
      <sheetName val="설비원가"/>
      <sheetName val="총체보활공정표"/>
      <sheetName val="요율"/>
      <sheetName val="물가대비표"/>
      <sheetName val="부진점(10.09)"/>
      <sheetName val="납부서"/>
      <sheetName val="기계경비총괄표"/>
      <sheetName val="일위대가_현장"/>
      <sheetName val="HW"/>
      <sheetName val="범용도입(1차)"/>
      <sheetName val="SW"/>
      <sheetName val="단가조정표"/>
      <sheetName val="동원인원산출"/>
      <sheetName val="설비"/>
      <sheetName val="내역서(시설)"/>
      <sheetName val="당사"/>
      <sheetName val="건축집계"/>
      <sheetName val=" 견적서"/>
      <sheetName val="자재표"/>
      <sheetName val="실행"/>
      <sheetName val="금융비용"/>
      <sheetName val="경비2내역"/>
      <sheetName val="EQT-ESTN"/>
      <sheetName val="금액"/>
      <sheetName val="판매시설"/>
      <sheetName val="노임변동률"/>
      <sheetName val="BS"/>
      <sheetName val="포장절단"/>
      <sheetName val="단위중량"/>
      <sheetName val="단위수량"/>
      <sheetName val="공예율"/>
      <sheetName val="b_balju_cho"/>
      <sheetName val="실행갑지"/>
      <sheetName val="자  재"/>
      <sheetName val="건축외주"/>
      <sheetName val="도로단위당"/>
      <sheetName val="개산공사비"/>
      <sheetName val="품셈총괄"/>
      <sheetName val="기본DATA Sheet"/>
      <sheetName val="수량총괄"/>
      <sheetName val="적용기준표(98년상반기)"/>
      <sheetName val="5-1.설계명세서"/>
      <sheetName val="공사계획서"/>
      <sheetName val="노임단가(전기·통신)"/>
      <sheetName val="설계"/>
      <sheetName val="b_balju-단가단가단가"/>
      <sheetName val="관급자재대"/>
      <sheetName val="문서원본대장"/>
      <sheetName val="기준_국가명"/>
      <sheetName val="유형자산리드-5700"/>
      <sheetName val="3지구단위"/>
      <sheetName val="단가(1)"/>
      <sheetName val="부대공"/>
      <sheetName val="토공"/>
      <sheetName val="포장공"/>
      <sheetName val="3.건축(현장안)"/>
      <sheetName val="Macro1"/>
      <sheetName val="설계조건"/>
      <sheetName val="단가산출2"/>
      <sheetName val="단가산출1"/>
      <sheetName val="직종별노임단가표"/>
      <sheetName val="전기BOX내역서"/>
      <sheetName val="000000"/>
      <sheetName val="문학간접"/>
      <sheetName val="원가계산서 "/>
      <sheetName val="가도공"/>
      <sheetName val="산출내역서"/>
      <sheetName val="cp-e1"/>
      <sheetName val="기준표"/>
      <sheetName val="현황"/>
      <sheetName val="프린터현황"/>
      <sheetName val="#3E1_GCR"/>
      <sheetName val="품셈적용 자료"/>
      <sheetName val="설계예산서"/>
      <sheetName val="시설물"/>
      <sheetName val="유지관리"/>
      <sheetName val="산출내역서 (2)"/>
      <sheetName val="시중노임"/>
      <sheetName val="설계예시"/>
      <sheetName val="제2호단위수량"/>
      <sheetName val="식재가격"/>
      <sheetName val="식재총괄"/>
      <sheetName val="코드표"/>
      <sheetName val="AC포장수량"/>
      <sheetName val="설계내역"/>
      <sheetName val="원가계산서(공사)"/>
      <sheetName val="회관내역"/>
      <sheetName val="회관내역 (2)"/>
      <sheetName val="공동내역"/>
      <sheetName val="공동내역 (2)"/>
      <sheetName val="쉼터내역"/>
      <sheetName val="쉼터내역 (2)"/>
      <sheetName val="공량산출서"/>
      <sheetName val="대내"/>
      <sheetName val="시장성초안camera"/>
      <sheetName val="횡배수관"/>
      <sheetName val="부분별수량산출(조합기초)"/>
      <sheetName val="내역서적용수량"/>
      <sheetName val="배수공 시멘트 및 골재량 산출"/>
      <sheetName val="친환경주택"/>
      <sheetName val="1000_ɄB구축_부표"/>
      <sheetName val="변경내역"/>
      <sheetName val="정산내역서"/>
      <sheetName val="Sheet2"/>
      <sheetName val="3.하중계산"/>
      <sheetName val="3집"/>
      <sheetName val="환경기계공정표 (3)"/>
      <sheetName val="DATA 입력란"/>
      <sheetName val="1. 설계조건 2.단면가정 3. 하중계산"/>
      <sheetName val="sw1"/>
      <sheetName val="자재단가비교표"/>
      <sheetName val="일위목차"/>
      <sheetName val="SORCE1"/>
      <sheetName val="3"/>
      <sheetName val="관급총괄"/>
      <sheetName val="품셈표"/>
      <sheetName val="XL4Poppy"/>
      <sheetName val="물가자료"/>
      <sheetName val="건축원가"/>
      <sheetName val="공통가설"/>
      <sheetName val="98지급계획"/>
      <sheetName val="대가목록"/>
      <sheetName val="산출집계표"/>
      <sheetName val="원재료출고수량"/>
      <sheetName val="을지"/>
      <sheetName val="1"/>
      <sheetName val="투찰추정"/>
      <sheetName val="표  지"/>
      <sheetName val="B"/>
      <sheetName val="bm"/>
      <sheetName val="도급양식"/>
      <sheetName val="단위량"/>
      <sheetName val="재료집계표2"/>
      <sheetName val="토적집계표"/>
      <sheetName val="Customer_Databas"/>
      <sheetName val="2_냉난방설비공사"/>
      <sheetName val="7_자동제어공사"/>
      <sheetName val="횡_연장"/>
      <sheetName val="급수_(LPM)"/>
      <sheetName val="2-1__경관조명_내역총괄표"/>
      <sheetName val="경율산정_XLS"/>
      <sheetName val="3련_BOX"/>
      <sheetName val="2_대외공문"/>
      <sheetName val="TRE_TABLE"/>
      <sheetName val="총_원가계산"/>
      <sheetName val="교각1"/>
      <sheetName val="할증 "/>
      <sheetName val="공개"/>
      <sheetName val="품의"/>
      <sheetName val="현경"/>
      <sheetName val="☜사⊥발☞"/>
      <sheetName val="하총"/>
      <sheetName val="하사"/>
      <sheetName val="하내"/>
      <sheetName val="토견"/>
      <sheetName val="구조물"/>
      <sheetName val="구자"/>
      <sheetName val="구견"/>
      <sheetName val="☜발⊥검☞"/>
      <sheetName val="입찰"/>
      <sheetName val="4차원가계산서"/>
      <sheetName val="Sheet6"/>
      <sheetName val="투찰"/>
      <sheetName val="Sheet1 (2)"/>
      <sheetName val="공사비산출내역"/>
      <sheetName val="백호우계수"/>
      <sheetName val="관리,공감"/>
      <sheetName val="저"/>
      <sheetName val="BID"/>
      <sheetName val="자재(원원+원대)"/>
      <sheetName val="장비가동"/>
      <sheetName val="지급자재"/>
      <sheetName val="MYUN(MAC)"/>
      <sheetName val="총투입계"/>
      <sheetName val="설계표지"/>
      <sheetName val="대운산출"/>
      <sheetName val="웅진교-S2"/>
      <sheetName val="단관데이터"/>
      <sheetName val="이형관데이터"/>
      <sheetName val="가격조사서"/>
      <sheetName val="2호맨홀공제수량"/>
      <sheetName val="냉천부속동"/>
      <sheetName val="가계부"/>
      <sheetName val="제품목록"/>
      <sheetName val="매입매출관리"/>
      <sheetName val="3.설계예산내역서(예산서)"/>
      <sheetName val="2.예정공정표"/>
      <sheetName val="일용노임단가"/>
      <sheetName val="SG"/>
      <sheetName val="1062-x방향 "/>
      <sheetName val="화전내"/>
      <sheetName val="토목"/>
      <sheetName val="협조전"/>
      <sheetName val="일위대가표"/>
      <sheetName val="단가산출표"/>
      <sheetName val="DHEQSUPT"/>
      <sheetName val="지수적용공사비내역서"/>
      <sheetName val="예산총괄표"/>
      <sheetName val="단면가정"/>
      <sheetName val="설비2차"/>
      <sheetName val="일위대가목차"/>
      <sheetName val="-동력(한전)"/>
      <sheetName val="-전등전열(한전)"/>
      <sheetName val="IEC60364-52(허용전류)"/>
      <sheetName val="공사비_NDE"/>
      <sheetName val="내   역"/>
      <sheetName val="수목데이타 "/>
      <sheetName val="File_관급"/>
      <sheetName val="공정집계"/>
      <sheetName val="★도급내역"/>
      <sheetName val="설명서 "/>
      <sheetName val="단가비교표"/>
      <sheetName val="대공종"/>
      <sheetName val="수량집계"/>
      <sheetName val="공구"/>
      <sheetName val="현장조사"/>
      <sheetName val="을부담운반비"/>
      <sheetName val="운반비산출"/>
      <sheetName val="설계산출표지"/>
      <sheetName val="부대내역"/>
      <sheetName val="QandAJunior"/>
      <sheetName val="원가계산"/>
      <sheetName val="사업성분석"/>
      <sheetName val="CON'C"/>
      <sheetName val="ELEC"/>
      <sheetName val="하부철근수량"/>
      <sheetName val="단가산출내역(노임부분수정)"/>
      <sheetName val="0226"/>
      <sheetName val="원가_(2)2"/>
      <sheetName val="일위대가_집계표2"/>
      <sheetName val="6PILE__(돌출)2"/>
      <sheetName val="전선_및_전선관2"/>
      <sheetName val="1차_내역서1"/>
      <sheetName val="옥외_전력간선공사1"/>
      <sheetName val="내역서1999_8최종1"/>
      <sheetName val="별첨-기계경비_산출목록1"/>
      <sheetName val="1000_DB구축_부표2"/>
      <sheetName val="10_공통-노임단가1"/>
      <sheetName val="단가_및_재료비1"/>
      <sheetName val="CT_1"/>
      <sheetName val="8_PILE__(돌출)1"/>
      <sheetName val="단가_1"/>
      <sheetName val="일위대가_(PM)1"/>
      <sheetName val="공정량산출내역서_1"/>
      <sheetName val="예정공정표_(2)1"/>
      <sheetName val="2-3_공사비내역서"/>
      <sheetName val="4-2__기계경비산출"/>
      <sheetName val="7_노무비_근거"/>
      <sheetName val="3-2_일위대가"/>
      <sheetName val="맨홀수량산출(1_0×1_0×1_0)"/>
      <sheetName val="_견적서"/>
      <sheetName val="전차선로_물량표"/>
      <sheetName val="6__직접경비"/>
      <sheetName val="BEND_LOSS"/>
      <sheetName val="1062-x방향_"/>
      <sheetName val="BOX복구단위수량"/>
      <sheetName val="날개벽수량표"/>
      <sheetName val="1.설계조건"/>
      <sheetName val="메서,변+증"/>
      <sheetName val="맨홀조서"/>
      <sheetName val="3.공통공사대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시방서"/>
      <sheetName val="장비당단가 (1)"/>
      <sheetName val="실행분석표"/>
      <sheetName val="업체견적(거푸집)"/>
      <sheetName val="ABOVEISO(IBL)"/>
      <sheetName val="가시설단위수량"/>
      <sheetName val="영업.일1"/>
      <sheetName val="대비2"/>
      <sheetName val="10월 (2)"/>
      <sheetName val="종합-임현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5">
          <cell r="I5">
            <v>1</v>
          </cell>
        </row>
      </sheetData>
      <sheetData sheetId="224">
        <row r="5">
          <cell r="I5">
            <v>1</v>
          </cell>
        </row>
      </sheetData>
      <sheetData sheetId="225">
        <row r="5">
          <cell r="I5">
            <v>1</v>
          </cell>
        </row>
      </sheetData>
      <sheetData sheetId="226">
        <row r="5">
          <cell r="I5">
            <v>1</v>
          </cell>
        </row>
      </sheetData>
      <sheetData sheetId="227">
        <row r="5">
          <cell r="I5">
            <v>1</v>
          </cell>
        </row>
      </sheetData>
      <sheetData sheetId="228">
        <row r="5">
          <cell r="I5">
            <v>1</v>
          </cell>
        </row>
      </sheetData>
      <sheetData sheetId="229">
        <row r="5">
          <cell r="I5">
            <v>1</v>
          </cell>
        </row>
      </sheetData>
      <sheetData sheetId="230">
        <row r="5">
          <cell r="I5">
            <v>1</v>
          </cell>
        </row>
      </sheetData>
      <sheetData sheetId="231">
        <row r="5">
          <cell r="I5">
            <v>1</v>
          </cell>
        </row>
      </sheetData>
      <sheetData sheetId="232">
        <row r="5">
          <cell r="I5">
            <v>1</v>
          </cell>
        </row>
      </sheetData>
      <sheetData sheetId="233">
        <row r="5">
          <cell r="I5">
            <v>1</v>
          </cell>
        </row>
      </sheetData>
      <sheetData sheetId="234">
        <row r="5">
          <cell r="I5">
            <v>1</v>
          </cell>
        </row>
      </sheetData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일위대가"/>
      <sheetName val="I一般比"/>
      <sheetName val="20관리비율"/>
      <sheetName val="전선 및 전선관"/>
      <sheetName val="수량산출1"/>
      <sheetName val="자재단가표"/>
      <sheetName val="노임"/>
      <sheetName val="급여대장출력"/>
      <sheetName val="工관리비율"/>
      <sheetName val="工완성공사율"/>
      <sheetName val="FACTOR"/>
      <sheetName val="지수"/>
      <sheetName val="직노"/>
      <sheetName val="갑지(추정)"/>
      <sheetName val="Sheet5"/>
      <sheetName val="동원(3)"/>
      <sheetName val="노무비단가"/>
      <sheetName val="옥외 전력간선공사"/>
      <sheetName val="내역1"/>
      <sheetName val="N賃率_職"/>
      <sheetName val="#REF"/>
      <sheetName val="KCS-CA"/>
      <sheetName val="원가계산서"/>
      <sheetName val="화해(함평)"/>
      <sheetName val="화해(장성)"/>
      <sheetName val="내역서"/>
      <sheetName val="시설물일위"/>
      <sheetName val="b_balju_cho"/>
      <sheetName val="C-직노1"/>
      <sheetName val="중기사용료"/>
      <sheetName val="경율산정.XLS"/>
      <sheetName val="노무비"/>
      <sheetName val="노임단가"/>
      <sheetName val="공조기휀"/>
      <sheetName val="수량산출"/>
      <sheetName val="인부임"/>
      <sheetName val="중기일위대가"/>
      <sheetName val="토공"/>
      <sheetName val="제작비추산총괄표"/>
      <sheetName val="Baby일위대가"/>
      <sheetName val="일위대가(가설)"/>
      <sheetName val="내역"/>
      <sheetName val="순공사비"/>
      <sheetName val="을지"/>
      <sheetName val="집계"/>
      <sheetName val="전기공사일위대가"/>
      <sheetName val="새공통"/>
      <sheetName val="공사원가계산서"/>
      <sheetName val="절감효과"/>
      <sheetName val="설계예시"/>
      <sheetName val="간접비총괄 (2)"/>
      <sheetName val="구조물공"/>
      <sheetName val="배수공"/>
      <sheetName val="부대공"/>
      <sheetName val="포장공"/>
      <sheetName val="DATE"/>
      <sheetName val="차액보증"/>
      <sheetName val="인사자료총집계"/>
      <sheetName val="지급자재"/>
      <sheetName val="CTEMCOST"/>
      <sheetName val="Sheet1"/>
      <sheetName val="산경"/>
      <sheetName val="일위대가목록"/>
      <sheetName val="문산"/>
      <sheetName val="일위목록"/>
      <sheetName val="P&amp;L(Ahn)"/>
      <sheetName val="J直材4"/>
      <sheetName val="Data"/>
      <sheetName val="단가조사"/>
      <sheetName val="날개벽수량표"/>
      <sheetName val="유림골조"/>
      <sheetName val="COST"/>
      <sheetName val="Sheet4"/>
      <sheetName val="을-ATYPE"/>
      <sheetName val="을_ATYPE"/>
      <sheetName val="dt0301"/>
      <sheetName val="dtt0301"/>
      <sheetName val="소비자가"/>
      <sheetName val="인건-측정"/>
      <sheetName val="적현로"/>
      <sheetName val="일위"/>
      <sheetName val="건축내역"/>
      <sheetName val="을"/>
      <sheetName val="금융비용"/>
      <sheetName val="인원계획-미화"/>
      <sheetName val="2.수량조서(발주용)"/>
      <sheetName val="총괄내역서"/>
      <sheetName val="다곡2교"/>
      <sheetName val="조건표"/>
      <sheetName val="원형맨홀수량"/>
      <sheetName val="이토변실"/>
      <sheetName val="단"/>
      <sheetName val="제36-40호표"/>
      <sheetName val="총괄집계표"/>
      <sheetName val="CT "/>
      <sheetName val="재료"/>
      <sheetName val="설치자재"/>
      <sheetName val="기본사항"/>
      <sheetName val="환산"/>
      <sheetName val="총괄표"/>
      <sheetName val="업체명"/>
      <sheetName val="관리"/>
      <sheetName val="아파트"/>
      <sheetName val="공통가설"/>
      <sheetName val="품셈TABLE"/>
      <sheetName val="기존단가 (2)"/>
      <sheetName val="1차 내역서"/>
      <sheetName val="샌딩 에폭시 도장"/>
      <sheetName val="일반문틀 설치"/>
      <sheetName val="기본일위"/>
      <sheetName val="교각1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단위단가"/>
      <sheetName val="견적서"/>
      <sheetName val="합천내역"/>
      <sheetName val="자재단가"/>
      <sheetName val="단가목록"/>
      <sheetName val="해창정"/>
      <sheetName val="기본단가표"/>
      <sheetName val="노임이"/>
      <sheetName val="WATER"/>
      <sheetName val="차도부연장현황"/>
      <sheetName val="Galaxy 소비자가격표"/>
      <sheetName val="96노임기준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약전설비"/>
      <sheetName val="설직재-1"/>
      <sheetName val="D-경비1"/>
      <sheetName val="EQT-ESTN"/>
      <sheetName val="기술부 VENDOR LIST"/>
      <sheetName val="B1(반포1차)"/>
      <sheetName val="중기사용료산출근거"/>
      <sheetName val="단가 및 재료비"/>
      <sheetName val="8.수량산출서"/>
      <sheetName val="9.단가조사서"/>
      <sheetName val="6.일위목록"/>
      <sheetName val="소화설비"/>
      <sheetName val="노임단가(일반)"/>
      <sheetName val="전기일위대가"/>
      <sheetName val="일위대가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아파트_9"/>
      <sheetName val="건축-물가변동"/>
      <sheetName val="예산명세서"/>
      <sheetName val="시행후면적"/>
      <sheetName val="(변경계약)총괄내역"/>
      <sheetName val="설계내역서"/>
      <sheetName val="갑지"/>
      <sheetName val="000000"/>
      <sheetName val="증감대비"/>
      <sheetName val="1차설계변경내역"/>
      <sheetName val="인건비"/>
      <sheetName val="6호기"/>
      <sheetName val="일위대가표(유단가)"/>
      <sheetName val="전기"/>
      <sheetName val="요율"/>
      <sheetName val="하도관리"/>
      <sheetName val="확약서"/>
      <sheetName val="Sheet9"/>
      <sheetName val="퇴직영수증"/>
      <sheetName val="기계설비"/>
      <sheetName val="내역을"/>
      <sheetName val="건축"/>
      <sheetName val="대전-교대(A1-A2)"/>
      <sheetName val="가설대가"/>
      <sheetName val="토공대가"/>
      <sheetName val="구조대가"/>
      <sheetName val="포설대가1"/>
      <sheetName val="부대대가"/>
      <sheetName val="공정집계_국별"/>
      <sheetName val="단가산출"/>
      <sheetName val="설계명세서"/>
      <sheetName val="대구-교대(A1)"/>
      <sheetName val="asd"/>
      <sheetName val="물량"/>
      <sheetName val="횡배수관집현황(2공구)"/>
      <sheetName val="경산"/>
      <sheetName val="guard(mac)"/>
      <sheetName val="조명시설"/>
      <sheetName val="대목"/>
      <sheetName val="간접비총괄_(2)"/>
      <sheetName val="원가_(2)1"/>
      <sheetName val="전선_및_전선관1"/>
      <sheetName val="2_수량조서(발주용)"/>
      <sheetName val="옥외_전력간선공사1"/>
      <sheetName val="경율산정_XLS1"/>
      <sheetName val="CT_"/>
      <sheetName val="샌딩_에폭시_도장"/>
      <sheetName val="일반문틀_설치"/>
      <sheetName val="1차_내역서"/>
      <sheetName val="Galaxy_소비자가격표"/>
      <sheetName val="6PILE__(돌출)"/>
      <sheetName val="기술부_VENDOR_LIST"/>
      <sheetName val="단가_및_재료비"/>
      <sheetName val="8_수량산출서"/>
      <sheetName val="9_단가조사서"/>
      <sheetName val="6_일위목록"/>
      <sheetName val="기존단가_(2)"/>
      <sheetName val="8.PILE  (돌출)"/>
      <sheetName val="입찰안"/>
      <sheetName val="전국현황"/>
      <sheetName val="방식총괄"/>
      <sheetName val="4. 자재단가비교표"/>
      <sheetName val="4. 일위대가"/>
      <sheetName val="(A)내역서"/>
      <sheetName val="5사남"/>
      <sheetName val="마포토정"/>
      <sheetName val="10월"/>
      <sheetName val="신천3호용수로"/>
      <sheetName val="2공구산출내역"/>
      <sheetName val="식재일위대가"/>
      <sheetName val="실행대비"/>
      <sheetName val="MOKDONG(1)"/>
      <sheetName val="준검 내역서"/>
      <sheetName val="Total"/>
      <sheetName val="ERL_TBL"/>
      <sheetName val="정부노임단가"/>
      <sheetName val="EXPENSE"/>
      <sheetName val="내역서(실)"/>
      <sheetName val="변압기 및 발전기 용량"/>
      <sheetName val="펀칭"/>
      <sheetName val="공사개요"/>
      <sheetName val="패널"/>
      <sheetName val="기초단가"/>
      <sheetName val="COVER"/>
      <sheetName val="기계실"/>
      <sheetName val="7.수지"/>
      <sheetName val="시설물기초"/>
      <sheetName val="단1"/>
      <sheetName val="건축공사실행"/>
      <sheetName val="Sheet3"/>
      <sheetName val="건축원가"/>
      <sheetName val="b_sul"/>
      <sheetName val="전체"/>
      <sheetName val="기기리스트"/>
      <sheetName val="MOTOR"/>
      <sheetName val="일위대가(출입)"/>
      <sheetName val="업체코드"/>
      <sheetName val="실행내역 "/>
      <sheetName val="부대시설"/>
      <sheetName val="공문"/>
      <sheetName val="내역서2안"/>
      <sheetName val="원가계산 (2)"/>
      <sheetName val="실행철강하도"/>
      <sheetName val="계수원본(99.2.28)"/>
      <sheetName val="제품별구성표"/>
      <sheetName val="하수급견적대비"/>
      <sheetName val="계수원본(99_2_28)"/>
      <sheetName val="내역단위"/>
      <sheetName val="woo(mac)"/>
      <sheetName val="별첨1-4"/>
      <sheetName val="부대내역"/>
      <sheetName val="내역서(기성청구)"/>
      <sheetName val="재료비"/>
      <sheetName val="기별"/>
      <sheetName val="sw1"/>
      <sheetName val="시공변경 설명서"/>
      <sheetName val="공사비증감내역"/>
      <sheetName val="변경조서"/>
      <sheetName val="362품셈"/>
      <sheetName val="C-노임단가"/>
      <sheetName val="수공기"/>
      <sheetName val="중기"/>
      <sheetName val="estimate(TOTAL) (2)"/>
      <sheetName val="estimate"/>
      <sheetName val="광양방향"/>
      <sheetName val="BOX전기내역"/>
      <sheetName val="물가자료"/>
      <sheetName val="기자재비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원형1호맨홀토공수량"/>
      <sheetName val="Sheet13"/>
      <sheetName val="아스콘포장 (5t)"/>
      <sheetName val="자재집계"/>
      <sheetName val="평균높이산출근거"/>
      <sheetName val="횡배수관위치조서"/>
      <sheetName val="POL6차-PIPING"/>
      <sheetName val="9GNG운반"/>
      <sheetName val="공예을"/>
      <sheetName val="Tool"/>
      <sheetName val="기계경비(시간당)"/>
      <sheetName val="램머"/>
      <sheetName val="단가표"/>
      <sheetName val="Key Data"/>
      <sheetName val="경제성분석"/>
      <sheetName val="SANTOGO"/>
      <sheetName val="SANBAISU"/>
      <sheetName val="포승(S+H)"/>
      <sheetName val="포승(SHEET)"/>
      <sheetName val="기성내역서"/>
      <sheetName val="변경내역서"/>
      <sheetName val="표준내역"/>
      <sheetName val="대운산출"/>
      <sheetName val="환율"/>
      <sheetName val="내역서1999.8최종"/>
      <sheetName val="집계표"/>
      <sheetName val="b_balju-단가단가단가"/>
      <sheetName val="Macro1"/>
      <sheetName val="CAUDIT"/>
      <sheetName val="토적계산"/>
      <sheetName val="목차"/>
      <sheetName val="수지예산"/>
      <sheetName val="전선"/>
      <sheetName val="CABLE"/>
      <sheetName val="경율산정"/>
      <sheetName val="사용성검토"/>
      <sheetName val="Sheet2"/>
      <sheetName val="방지책개소별명세"/>
      <sheetName val="단면치수"/>
      <sheetName val="건축토목내역"/>
      <sheetName val="A"/>
      <sheetName val="대비"/>
      <sheetName val="설계내역2"/>
      <sheetName val="터파기및재료"/>
      <sheetName val="교대(A1-A2)"/>
      <sheetName val="PAC"/>
      <sheetName val="설계서(1)"/>
      <sheetName val="대창(장성)"/>
      <sheetName val="대창(함평)-창열"/>
      <sheetName val="3"/>
      <sheetName val="부하계산서"/>
      <sheetName val="도로단위당"/>
      <sheetName val="DATA1"/>
      <sheetName val="암거단위"/>
      <sheetName val="상행-교대(A1-A2)"/>
      <sheetName val="날개벽"/>
      <sheetName val="대로근거"/>
      <sheetName val="단가명령서"/>
      <sheetName val="II손익관리"/>
      <sheetName val="기계내역"/>
      <sheetName val="갑지1"/>
      <sheetName val="JUCK"/>
      <sheetName val="산근"/>
      <sheetName val="모래기초"/>
      <sheetName val="마산월령동골조물량변경"/>
      <sheetName val="청천내"/>
      <sheetName val="sst,stl창호"/>
      <sheetName val="spec1"/>
      <sheetName val="돈암사업"/>
      <sheetName val="명단"/>
      <sheetName val="5Strand-장기처짐PCI"/>
      <sheetName val="도근좌표"/>
      <sheetName val="설계조건"/>
      <sheetName val="3.건축(현장안)"/>
      <sheetName val="직접경비"/>
      <sheetName val="보증금(전신전화가입권)"/>
      <sheetName val="98년BS"/>
      <sheetName val="잉여금"/>
      <sheetName val="손익현황"/>
      <sheetName val="unit 4"/>
      <sheetName val="Sheet1 (2)"/>
      <sheetName val="토목검측서"/>
      <sheetName val="(10) 단가산출결과"/>
      <sheetName val="계림(함평)"/>
      <sheetName val="계림(장성)"/>
      <sheetName val="노원열병합  건축공사기성내역서"/>
      <sheetName val="BOX(상시)"/>
      <sheetName val="제출내역서"/>
      <sheetName val="내역서(실행)"/>
      <sheetName val="내역서 (원본)"/>
      <sheetName val="내역서(실행)3"/>
      <sheetName val="매출처비중(2)"/>
      <sheetName val="BEND LOSS"/>
      <sheetName val="설계서"/>
      <sheetName val="아파트건축"/>
      <sheetName val="국소별수량산출"/>
      <sheetName val="노임변동률"/>
      <sheetName val="OPGW기별"/>
      <sheetName val="지시서"/>
      <sheetName val="이천변압기운반비"/>
      <sheetName val="BOX-1510"/>
      <sheetName val="Macro3"/>
      <sheetName val="Macro2"/>
      <sheetName val="PIPE(인수본)"/>
      <sheetName val="산출내역 (월기성)"/>
      <sheetName val="건축기성"/>
      <sheetName val="공량예산"/>
      <sheetName val="기준표"/>
      <sheetName val=" FURNACE현설"/>
      <sheetName val="명세서(을)"/>
      <sheetName val="환경기계공정표 (3)"/>
      <sheetName val="combi(wall)"/>
      <sheetName val="DAN"/>
      <sheetName val="설계내역(2001)"/>
      <sheetName val="수량산출서"/>
      <sheetName val="1호철근량"/>
      <sheetName val="1. 설계조건 2.단면가정 3. 하중계산"/>
      <sheetName val="DATA 입력란"/>
      <sheetName val="상부수량집계표"/>
      <sheetName val="3F"/>
      <sheetName val="시설장비"/>
      <sheetName val="Macro(차단기)"/>
      <sheetName val="4__자재단가비교표"/>
      <sheetName val="4__일위대가"/>
      <sheetName val="준검_내역서"/>
      <sheetName val="변압기_및_발전기_용량"/>
      <sheetName val="basic_info"/>
      <sheetName val="주요기준"/>
      <sheetName val="조건"/>
      <sheetName val="예산"/>
      <sheetName val="I.설계조건"/>
      <sheetName val="깨기"/>
      <sheetName val="토공집계"/>
      <sheetName val="1.우편집중내역서"/>
      <sheetName val="설계개요"/>
      <sheetName val="신우"/>
      <sheetName val="danga"/>
      <sheetName val="ilch"/>
      <sheetName val="기둥(원형)"/>
      <sheetName val="암거공"/>
      <sheetName val="부대집계1"/>
      <sheetName val="가도단위"/>
      <sheetName val="3련 BOX"/>
      <sheetName val="종배수관"/>
      <sheetName val="4)유동표"/>
      <sheetName val="ABUT수량-A1"/>
      <sheetName val="J"/>
      <sheetName val="철거산출근거"/>
      <sheetName val="1-최종안"/>
      <sheetName val="사업분석-분양가결정"/>
      <sheetName val="대차대조표"/>
      <sheetName val="본체"/>
      <sheetName val="REACTION(USE평시)"/>
      <sheetName val="REACTION(USD지진시)"/>
      <sheetName val="비탈면보호공수량산출"/>
      <sheetName val="수목표준대가"/>
      <sheetName val="제2~7호표"/>
      <sheetName val="예산내역서"/>
      <sheetName val="설계예산서"/>
      <sheetName val="SAMPLE"/>
      <sheetName val="공조기(삭제)"/>
      <sheetName val="백암비스타내역"/>
      <sheetName val="배전KT"/>
      <sheetName val="결선list"/>
      <sheetName val="배관배선내역"/>
      <sheetName val="역T형"/>
      <sheetName val="말뚝지지력산정"/>
      <sheetName val="고등학교"/>
      <sheetName val="BID"/>
      <sheetName val="상세내역서"/>
      <sheetName val="#2-3 일위대가"/>
      <sheetName val="#2-4 단가대비표"/>
      <sheetName val="동원인원"/>
      <sheetName val="자재단가비교표"/>
      <sheetName val="금액"/>
      <sheetName val="도급내역(금차분)"/>
      <sheetName val="현장관리비"/>
      <sheetName val="투찰가"/>
      <sheetName val="몰운대초견적"/>
      <sheetName val="중기솔뇨"/>
      <sheetName val="투찰"/>
      <sheetName val="산출근거"/>
      <sheetName val="전기자료"/>
      <sheetName val="Sheet14"/>
      <sheetName val="Sheet10"/>
      <sheetName val="절탄기단관교체공량"/>
      <sheetName val="이종재질교체공량"/>
      <sheetName val="Final SH Loose Tube 교체공량"/>
      <sheetName val="Y-WORK"/>
      <sheetName val="98수문일위"/>
      <sheetName val="가로등기초"/>
      <sheetName val="가도공"/>
      <sheetName val="물량표"/>
      <sheetName val="조도계산(1)"/>
      <sheetName val="내역서 업체견적단가"/>
      <sheetName val="건축일"/>
      <sheetName val="목표세부명세"/>
      <sheetName val="정화조동내역"/>
      <sheetName val="賃料等一覧"/>
      <sheetName val="조직"/>
      <sheetName val="빗물받이(910-510-410)"/>
      <sheetName val="S&amp;R"/>
      <sheetName val="리츠"/>
      <sheetName val="포장총괄집계표"/>
      <sheetName val="work"/>
      <sheetName val="3CHBDC"/>
      <sheetName val="단위량"/>
      <sheetName val="재료집계표2"/>
      <sheetName val="토적집계표"/>
      <sheetName val="삭제금지단가"/>
      <sheetName val="수량집계"/>
      <sheetName val="물가기준년"/>
      <sheetName val="장비기준"/>
      <sheetName val="REINF."/>
      <sheetName val="LOADS"/>
      <sheetName val="배수관접합및부설  "/>
      <sheetName val="205동"/>
      <sheetName val="메서,변+증"/>
      <sheetName val="코드"/>
      <sheetName val="O＆P"/>
      <sheetName val="사업부배부A"/>
      <sheetName val="내역5"/>
      <sheetName val="공비대비"/>
      <sheetName val="토사(PE)"/>
      <sheetName val="시멘트 및 골재량산출"/>
      <sheetName val="SULKEA"/>
      <sheetName val="단가표 (2)"/>
      <sheetName val="수량산출서(보강)"/>
      <sheetName val="금액내역서"/>
      <sheetName val="개별직종노임단가(2002.5)"/>
      <sheetName val=""/>
      <sheetName val="성서방향-교대(A2)"/>
      <sheetName val="Customer Databas"/>
      <sheetName val="item"/>
      <sheetName val="B"/>
      <sheetName val="유림콘도"/>
      <sheetName val="단가산출1"/>
      <sheetName val="보조셀"/>
      <sheetName val="품셈표"/>
      <sheetName val="BM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갑1"/>
      <sheetName val="경계석수량집계"/>
      <sheetName val="1.설계조건"/>
      <sheetName val="가시설수량"/>
      <sheetName val="INPUT"/>
      <sheetName val="인천제철"/>
      <sheetName val="관리,공감"/>
      <sheetName val="남양시작동010313100%"/>
      <sheetName val="개산공사비"/>
      <sheetName val="H-pile(298x299)"/>
      <sheetName val="H-pile(250x250)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7">
          <cell r="I7">
            <v>0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>
        <row r="7">
          <cell r="I7">
            <v>0</v>
          </cell>
        </row>
      </sheetData>
      <sheetData sheetId="231"/>
      <sheetData sheetId="232"/>
      <sheetData sheetId="233">
        <row r="7">
          <cell r="I7">
            <v>0</v>
          </cell>
        </row>
      </sheetData>
      <sheetData sheetId="234"/>
      <sheetData sheetId="235">
        <row r="7">
          <cell r="I7">
            <v>0</v>
          </cell>
        </row>
      </sheetData>
      <sheetData sheetId="236"/>
      <sheetData sheetId="237"/>
      <sheetData sheetId="238">
        <row r="7">
          <cell r="I7">
            <v>0</v>
          </cell>
        </row>
      </sheetData>
      <sheetData sheetId="239"/>
      <sheetData sheetId="240"/>
      <sheetData sheetId="241">
        <row r="7">
          <cell r="I7">
            <v>0</v>
          </cell>
        </row>
      </sheetData>
      <sheetData sheetId="242"/>
      <sheetData sheetId="243"/>
      <sheetData sheetId="244">
        <row r="7">
          <cell r="I7">
            <v>0</v>
          </cell>
        </row>
      </sheetData>
      <sheetData sheetId="245"/>
      <sheetData sheetId="246">
        <row r="7">
          <cell r="I7">
            <v>0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 refreshError="1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9GNG운반"/>
      <sheetName val="단가산출"/>
      <sheetName val="Sheet1"/>
      <sheetName val="제직재"/>
      <sheetName val="제-노임"/>
      <sheetName val="신우"/>
      <sheetName val="인원계획-미화"/>
      <sheetName val="실행철강하도"/>
      <sheetName val="LANGUAGE"/>
      <sheetName val="APT"/>
      <sheetName val="BID"/>
      <sheetName val="식음료"/>
      <sheetName val="급여대장출력"/>
      <sheetName val="익월작업계힉"/>
      <sheetName val="공사"/>
      <sheetName val="자재"/>
      <sheetName val="산수(hd-0)"/>
      <sheetName val="산수(hd-1)"/>
      <sheetName val="건축"/>
      <sheetName val="賃料等一覧"/>
      <sheetName val="이우(hd)"/>
      <sheetName val="상가매매0115"/>
      <sheetName val="상가임대0115"/>
      <sheetName val="OPREV(대한)"/>
      <sheetName val="재무가정"/>
      <sheetName val="목록"/>
      <sheetName val="중기"/>
      <sheetName val="노무비"/>
      <sheetName val="내역서"/>
    </sheetNames>
    <sheetDataSet>
      <sheetData sheetId="0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02B4-2004-4858-9A1D-056F04FDDE23}">
  <dimension ref="A1:AG621"/>
  <sheetViews>
    <sheetView tabSelected="1" zoomScaleNormal="100" workbookViewId="0">
      <pane xSplit="6" ySplit="11" topLeftCell="AC362" activePane="bottomRight" state="frozen"/>
      <selection activeCell="J6" sqref="J6"/>
      <selection pane="topRight" activeCell="J6" sqref="J6"/>
      <selection pane="bottomLeft" activeCell="J6" sqref="J6"/>
      <selection pane="bottomRight" activeCell="AQ383" sqref="AQ383"/>
    </sheetView>
  </sheetViews>
  <sheetFormatPr defaultColWidth="9" defaultRowHeight="14.25" x14ac:dyDescent="0.3"/>
  <cols>
    <col min="1" max="1" width="3.5" style="2" customWidth="1"/>
    <col min="2" max="2" width="2.375" style="2" customWidth="1"/>
    <col min="3" max="3" width="2.125" style="2" customWidth="1"/>
    <col min="4" max="4" width="3.625" style="2" customWidth="1"/>
    <col min="5" max="5" width="9.625" style="2" bestFit="1" customWidth="1"/>
    <col min="6" max="6" width="31.25" style="3" bestFit="1" customWidth="1"/>
    <col min="7" max="32" width="11.625" style="4" customWidth="1"/>
    <col min="33" max="33" width="42.25" style="101" customWidth="1"/>
    <col min="34" max="16384" width="9" style="2"/>
  </cols>
  <sheetData>
    <row r="1" spans="2:33" ht="15.75" x14ac:dyDescent="0.3">
      <c r="B1" s="1"/>
    </row>
    <row r="6" spans="2:33" ht="16.5" x14ac:dyDescent="0.3">
      <c r="F6" s="5"/>
    </row>
    <row r="7" spans="2:33" x14ac:dyDescent="0.3">
      <c r="B7" s="6" t="s">
        <v>591</v>
      </c>
      <c r="C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2:33" x14ac:dyDescent="0.3">
      <c r="B8" s="88" t="s">
        <v>607</v>
      </c>
      <c r="C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2:33" ht="18.75" thickBot="1" x14ac:dyDescent="0.35">
      <c r="F9" s="9"/>
      <c r="G9" s="10" t="s">
        <v>784</v>
      </c>
      <c r="L9" s="11"/>
      <c r="M9" s="12"/>
      <c r="N9" s="13"/>
      <c r="O9" s="148" t="s">
        <v>769</v>
      </c>
      <c r="P9" s="149" t="s">
        <v>770</v>
      </c>
      <c r="Q9" s="13"/>
      <c r="T9" s="10" t="s">
        <v>592</v>
      </c>
      <c r="Y9" s="11"/>
      <c r="Z9" s="12"/>
      <c r="AA9" s="13"/>
      <c r="AB9" s="12"/>
      <c r="AC9" s="14"/>
      <c r="AD9" s="13"/>
    </row>
    <row r="10" spans="2:33" ht="12.75" x14ac:dyDescent="0.3">
      <c r="B10" s="15" t="s">
        <v>0</v>
      </c>
      <c r="C10" s="16"/>
      <c r="D10" s="16"/>
      <c r="E10" s="16"/>
      <c r="F10" s="16"/>
      <c r="G10" s="17" t="s">
        <v>771</v>
      </c>
      <c r="H10" s="17" t="s">
        <v>772</v>
      </c>
      <c r="I10" s="17" t="s">
        <v>773</v>
      </c>
      <c r="J10" s="17" t="s">
        <v>774</v>
      </c>
      <c r="K10" s="17" t="s">
        <v>775</v>
      </c>
      <c r="L10" s="17" t="s">
        <v>776</v>
      </c>
      <c r="M10" s="17" t="s">
        <v>777</v>
      </c>
      <c r="N10" s="17" t="s">
        <v>778</v>
      </c>
      <c r="O10" s="17" t="s">
        <v>779</v>
      </c>
      <c r="P10" s="151" t="s">
        <v>780</v>
      </c>
      <c r="Q10" s="151" t="s">
        <v>781</v>
      </c>
      <c r="R10" s="151" t="s">
        <v>782</v>
      </c>
      <c r="S10" s="19" t="s">
        <v>783</v>
      </c>
      <c r="T10" s="17" t="s">
        <v>593</v>
      </c>
      <c r="U10" s="17" t="s">
        <v>594</v>
      </c>
      <c r="V10" s="17" t="s">
        <v>595</v>
      </c>
      <c r="W10" s="17" t="s">
        <v>596</v>
      </c>
      <c r="X10" s="17" t="s">
        <v>597</v>
      </c>
      <c r="Y10" s="17" t="s">
        <v>598</v>
      </c>
      <c r="Z10" s="17" t="s">
        <v>599</v>
      </c>
      <c r="AA10" s="17" t="s">
        <v>600</v>
      </c>
      <c r="AB10" s="17" t="s">
        <v>601</v>
      </c>
      <c r="AC10" s="17" t="s">
        <v>602</v>
      </c>
      <c r="AD10" s="17" t="s">
        <v>603</v>
      </c>
      <c r="AE10" s="18" t="s">
        <v>604</v>
      </c>
      <c r="AF10" s="19" t="s">
        <v>605</v>
      </c>
      <c r="AG10" s="102" t="s">
        <v>609</v>
      </c>
    </row>
    <row r="11" spans="2:33" ht="12.75" x14ac:dyDescent="0.3">
      <c r="B11" s="20" t="s">
        <v>1</v>
      </c>
      <c r="C11" s="21"/>
      <c r="D11" s="21"/>
      <c r="E11" s="21"/>
      <c r="F11" s="22"/>
      <c r="G11" s="23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</v>
      </c>
      <c r="M11" s="25">
        <v>0</v>
      </c>
      <c r="N11" s="24">
        <v>0</v>
      </c>
      <c r="O11" s="23">
        <v>0</v>
      </c>
      <c r="P11" s="24">
        <f t="shared" ref="P11:R11" si="0">P12+P15+P22+P26+P30</f>
        <v>0</v>
      </c>
      <c r="Q11" s="24">
        <f t="shared" si="0"/>
        <v>0</v>
      </c>
      <c r="R11" s="25">
        <f t="shared" si="0"/>
        <v>0</v>
      </c>
      <c r="S11" s="26">
        <f t="shared" ref="S11:S52" si="1">SUM(G11:R11)</f>
        <v>0</v>
      </c>
      <c r="T11" s="23">
        <f t="shared" ref="T11:AE11" si="2">T12+T15+T22+T26+T30</f>
        <v>0</v>
      </c>
      <c r="U11" s="24">
        <f t="shared" si="2"/>
        <v>0</v>
      </c>
      <c r="V11" s="24">
        <f t="shared" si="2"/>
        <v>0</v>
      </c>
      <c r="W11" s="24">
        <f t="shared" si="2"/>
        <v>0</v>
      </c>
      <c r="X11" s="24">
        <f t="shared" si="2"/>
        <v>0</v>
      </c>
      <c r="Y11" s="25">
        <f t="shared" si="2"/>
        <v>0</v>
      </c>
      <c r="Z11" s="25">
        <f t="shared" si="2"/>
        <v>0</v>
      </c>
      <c r="AA11" s="24">
        <f t="shared" si="2"/>
        <v>0</v>
      </c>
      <c r="AB11" s="23">
        <f t="shared" si="2"/>
        <v>0</v>
      </c>
      <c r="AC11" s="24">
        <f t="shared" si="2"/>
        <v>0</v>
      </c>
      <c r="AD11" s="24">
        <f t="shared" si="2"/>
        <v>0</v>
      </c>
      <c r="AE11" s="25">
        <f t="shared" si="2"/>
        <v>0</v>
      </c>
      <c r="AF11" s="26">
        <f t="shared" ref="AF11:AG52" si="3">SUM(T11:AE11)</f>
        <v>0</v>
      </c>
      <c r="AG11" s="103">
        <f t="shared" si="3"/>
        <v>0</v>
      </c>
    </row>
    <row r="12" spans="2:33" ht="12.75" x14ac:dyDescent="0.3">
      <c r="B12" s="27"/>
      <c r="C12" s="28"/>
      <c r="D12" s="29" t="s">
        <v>2</v>
      </c>
      <c r="E12" s="30"/>
      <c r="F12" s="31"/>
      <c r="G12" s="32">
        <v>0</v>
      </c>
      <c r="H12" s="33">
        <v>0</v>
      </c>
      <c r="I12" s="33">
        <v>0</v>
      </c>
      <c r="J12" s="33">
        <v>0</v>
      </c>
      <c r="K12" s="33">
        <v>0</v>
      </c>
      <c r="L12" s="34">
        <v>0</v>
      </c>
      <c r="M12" s="34">
        <v>0</v>
      </c>
      <c r="N12" s="33">
        <v>0</v>
      </c>
      <c r="O12" s="32">
        <v>0</v>
      </c>
      <c r="P12" s="33">
        <f t="shared" ref="P12:R12" si="4">SUM(P13:P14)</f>
        <v>0</v>
      </c>
      <c r="Q12" s="33">
        <f t="shared" si="4"/>
        <v>0</v>
      </c>
      <c r="R12" s="34">
        <f t="shared" si="4"/>
        <v>0</v>
      </c>
      <c r="S12" s="26">
        <f t="shared" si="1"/>
        <v>0</v>
      </c>
      <c r="T12" s="32">
        <f t="shared" ref="T12:AE12" si="5">SUM(T13:T14)</f>
        <v>0</v>
      </c>
      <c r="U12" s="33">
        <f t="shared" si="5"/>
        <v>0</v>
      </c>
      <c r="V12" s="33">
        <f t="shared" si="5"/>
        <v>0</v>
      </c>
      <c r="W12" s="33">
        <f t="shared" si="5"/>
        <v>0</v>
      </c>
      <c r="X12" s="33">
        <f t="shared" si="5"/>
        <v>0</v>
      </c>
      <c r="Y12" s="34">
        <f t="shared" si="5"/>
        <v>0</v>
      </c>
      <c r="Z12" s="34">
        <f t="shared" si="5"/>
        <v>0</v>
      </c>
      <c r="AA12" s="33">
        <f t="shared" si="5"/>
        <v>0</v>
      </c>
      <c r="AB12" s="32">
        <f t="shared" si="5"/>
        <v>0</v>
      </c>
      <c r="AC12" s="33">
        <f t="shared" si="5"/>
        <v>0</v>
      </c>
      <c r="AD12" s="33">
        <f t="shared" si="5"/>
        <v>0</v>
      </c>
      <c r="AE12" s="34">
        <f t="shared" si="5"/>
        <v>0</v>
      </c>
      <c r="AF12" s="26">
        <f t="shared" si="3"/>
        <v>0</v>
      </c>
      <c r="AG12" s="103">
        <f t="shared" si="3"/>
        <v>0</v>
      </c>
    </row>
    <row r="13" spans="2:33" ht="12.75" x14ac:dyDescent="0.3">
      <c r="B13" s="27"/>
      <c r="C13" s="28"/>
      <c r="D13" s="28"/>
      <c r="E13" s="35">
        <v>4103000</v>
      </c>
      <c r="F13" s="36" t="s">
        <v>3</v>
      </c>
      <c r="G13" s="37"/>
      <c r="H13" s="37"/>
      <c r="I13" s="37"/>
      <c r="J13" s="37"/>
      <c r="K13" s="37"/>
      <c r="L13" s="38"/>
      <c r="M13" s="38"/>
      <c r="N13" s="39"/>
      <c r="O13" s="37"/>
      <c r="P13" s="39"/>
      <c r="Q13" s="39"/>
      <c r="R13" s="38"/>
      <c r="S13" s="40">
        <f t="shared" si="1"/>
        <v>0</v>
      </c>
      <c r="T13" s="37"/>
      <c r="U13" s="37"/>
      <c r="V13" s="37"/>
      <c r="W13" s="37"/>
      <c r="X13" s="37"/>
      <c r="Y13" s="38"/>
      <c r="Z13" s="38"/>
      <c r="AA13" s="39"/>
      <c r="AB13" s="37"/>
      <c r="AC13" s="39"/>
      <c r="AD13" s="39"/>
      <c r="AE13" s="38"/>
      <c r="AF13" s="40">
        <f t="shared" si="3"/>
        <v>0</v>
      </c>
      <c r="AG13" s="104">
        <f t="shared" si="3"/>
        <v>0</v>
      </c>
    </row>
    <row r="14" spans="2:33" ht="12.75" x14ac:dyDescent="0.3">
      <c r="B14" s="27"/>
      <c r="C14" s="28"/>
      <c r="D14" s="28"/>
      <c r="E14" s="41">
        <v>4103050</v>
      </c>
      <c r="F14" s="36" t="s">
        <v>4</v>
      </c>
      <c r="G14" s="37"/>
      <c r="H14" s="37"/>
      <c r="I14" s="37"/>
      <c r="J14" s="37"/>
      <c r="K14" s="37"/>
      <c r="L14" s="38"/>
      <c r="M14" s="38"/>
      <c r="N14" s="39"/>
      <c r="O14" s="37"/>
      <c r="P14" s="39"/>
      <c r="Q14" s="39"/>
      <c r="R14" s="38"/>
      <c r="S14" s="40">
        <f t="shared" si="1"/>
        <v>0</v>
      </c>
      <c r="T14" s="37"/>
      <c r="U14" s="37"/>
      <c r="V14" s="37"/>
      <c r="W14" s="37"/>
      <c r="X14" s="37"/>
      <c r="Y14" s="38"/>
      <c r="Z14" s="38"/>
      <c r="AA14" s="39"/>
      <c r="AB14" s="37"/>
      <c r="AC14" s="39"/>
      <c r="AD14" s="39"/>
      <c r="AE14" s="38"/>
      <c r="AF14" s="40">
        <f t="shared" si="3"/>
        <v>0</v>
      </c>
      <c r="AG14" s="104">
        <f t="shared" si="3"/>
        <v>0</v>
      </c>
    </row>
    <row r="15" spans="2:33" ht="12.75" x14ac:dyDescent="0.3">
      <c r="B15" s="27"/>
      <c r="C15" s="28"/>
      <c r="D15" s="29" t="s">
        <v>5</v>
      </c>
      <c r="E15" s="42"/>
      <c r="F15" s="31"/>
      <c r="G15" s="32">
        <v>0</v>
      </c>
      <c r="H15" s="33">
        <v>0</v>
      </c>
      <c r="I15" s="33">
        <v>0</v>
      </c>
      <c r="J15" s="33">
        <v>0</v>
      </c>
      <c r="K15" s="33">
        <v>0</v>
      </c>
      <c r="L15" s="34">
        <v>0</v>
      </c>
      <c r="M15" s="34">
        <v>0</v>
      </c>
      <c r="N15" s="33">
        <v>0</v>
      </c>
      <c r="O15" s="32">
        <v>0</v>
      </c>
      <c r="P15" s="33">
        <f t="shared" ref="P15:R15" si="6">SUM(P16:P21)</f>
        <v>0</v>
      </c>
      <c r="Q15" s="33">
        <f t="shared" si="6"/>
        <v>0</v>
      </c>
      <c r="R15" s="34">
        <f t="shared" si="6"/>
        <v>0</v>
      </c>
      <c r="S15" s="26">
        <f t="shared" si="1"/>
        <v>0</v>
      </c>
      <c r="T15" s="32">
        <f t="shared" ref="T15:AE15" si="7">SUM(T16:T21)</f>
        <v>0</v>
      </c>
      <c r="U15" s="33">
        <f t="shared" si="7"/>
        <v>0</v>
      </c>
      <c r="V15" s="33">
        <f t="shared" si="7"/>
        <v>0</v>
      </c>
      <c r="W15" s="33">
        <f t="shared" si="7"/>
        <v>0</v>
      </c>
      <c r="X15" s="33">
        <f t="shared" si="7"/>
        <v>0</v>
      </c>
      <c r="Y15" s="34">
        <f t="shared" si="7"/>
        <v>0</v>
      </c>
      <c r="Z15" s="34">
        <f t="shared" si="7"/>
        <v>0</v>
      </c>
      <c r="AA15" s="33">
        <f t="shared" si="7"/>
        <v>0</v>
      </c>
      <c r="AB15" s="32">
        <f t="shared" si="7"/>
        <v>0</v>
      </c>
      <c r="AC15" s="33">
        <f t="shared" si="7"/>
        <v>0</v>
      </c>
      <c r="AD15" s="33">
        <f t="shared" si="7"/>
        <v>0</v>
      </c>
      <c r="AE15" s="34">
        <f t="shared" si="7"/>
        <v>0</v>
      </c>
      <c r="AF15" s="26">
        <f t="shared" si="3"/>
        <v>0</v>
      </c>
      <c r="AG15" s="103">
        <f t="shared" si="3"/>
        <v>0</v>
      </c>
    </row>
    <row r="16" spans="2:33" ht="12.75" x14ac:dyDescent="0.3">
      <c r="B16" s="27"/>
      <c r="C16" s="27"/>
      <c r="D16" s="28"/>
      <c r="E16" s="35">
        <v>4105110</v>
      </c>
      <c r="F16" s="36" t="s">
        <v>6</v>
      </c>
      <c r="G16" s="37"/>
      <c r="H16" s="37"/>
      <c r="I16" s="37"/>
      <c r="J16" s="37"/>
      <c r="K16" s="37"/>
      <c r="L16" s="39"/>
      <c r="M16" s="39"/>
      <c r="N16" s="39"/>
      <c r="O16" s="39"/>
      <c r="P16" s="37"/>
      <c r="Q16" s="37"/>
      <c r="R16" s="43"/>
      <c r="S16" s="40">
        <f t="shared" si="1"/>
        <v>0</v>
      </c>
      <c r="T16" s="37"/>
      <c r="U16" s="37"/>
      <c r="V16" s="37"/>
      <c r="W16" s="37"/>
      <c r="X16" s="37"/>
      <c r="Y16" s="39"/>
      <c r="Z16" s="39"/>
      <c r="AA16" s="39"/>
      <c r="AB16" s="39"/>
      <c r="AC16" s="37"/>
      <c r="AD16" s="37"/>
      <c r="AE16" s="43"/>
      <c r="AF16" s="40">
        <f t="shared" si="3"/>
        <v>0</v>
      </c>
      <c r="AG16" s="104">
        <f t="shared" si="3"/>
        <v>0</v>
      </c>
    </row>
    <row r="17" spans="2:33" ht="12.75" x14ac:dyDescent="0.3">
      <c r="B17" s="27"/>
      <c r="C17" s="27"/>
      <c r="D17" s="28"/>
      <c r="E17" s="41">
        <v>4105120</v>
      </c>
      <c r="F17" s="36" t="s">
        <v>7</v>
      </c>
      <c r="G17" s="37"/>
      <c r="H17" s="37"/>
      <c r="I17" s="37"/>
      <c r="J17" s="37"/>
      <c r="K17" s="37"/>
      <c r="L17" s="38"/>
      <c r="M17" s="38"/>
      <c r="N17" s="39"/>
      <c r="O17" s="37"/>
      <c r="P17" s="39"/>
      <c r="Q17" s="39"/>
      <c r="R17" s="38"/>
      <c r="S17" s="40">
        <f t="shared" si="1"/>
        <v>0</v>
      </c>
      <c r="T17" s="37"/>
      <c r="U17" s="37"/>
      <c r="V17" s="37"/>
      <c r="W17" s="37"/>
      <c r="X17" s="37"/>
      <c r="Y17" s="38"/>
      <c r="Z17" s="38"/>
      <c r="AA17" s="39"/>
      <c r="AB17" s="37"/>
      <c r="AC17" s="39"/>
      <c r="AD17" s="39"/>
      <c r="AE17" s="38"/>
      <c r="AF17" s="40">
        <f t="shared" si="3"/>
        <v>0</v>
      </c>
      <c r="AG17" s="104">
        <f t="shared" si="3"/>
        <v>0</v>
      </c>
    </row>
    <row r="18" spans="2:33" ht="12.75" x14ac:dyDescent="0.3">
      <c r="B18" s="27"/>
      <c r="C18" s="27"/>
      <c r="D18" s="28"/>
      <c r="E18" s="41">
        <v>4105130</v>
      </c>
      <c r="F18" s="36" t="s">
        <v>8</v>
      </c>
      <c r="G18" s="37"/>
      <c r="H18" s="37"/>
      <c r="I18" s="37"/>
      <c r="J18" s="37"/>
      <c r="K18" s="37"/>
      <c r="L18" s="38"/>
      <c r="M18" s="38"/>
      <c r="N18" s="39"/>
      <c r="O18" s="37"/>
      <c r="P18" s="39"/>
      <c r="Q18" s="39"/>
      <c r="R18" s="38"/>
      <c r="S18" s="40">
        <f t="shared" si="1"/>
        <v>0</v>
      </c>
      <c r="T18" s="37"/>
      <c r="U18" s="37"/>
      <c r="V18" s="37"/>
      <c r="W18" s="37"/>
      <c r="X18" s="37"/>
      <c r="Y18" s="38"/>
      <c r="Z18" s="38"/>
      <c r="AA18" s="39"/>
      <c r="AB18" s="37"/>
      <c r="AC18" s="39"/>
      <c r="AD18" s="39"/>
      <c r="AE18" s="38"/>
      <c r="AF18" s="40">
        <f t="shared" si="3"/>
        <v>0</v>
      </c>
      <c r="AG18" s="104">
        <f t="shared" si="3"/>
        <v>0</v>
      </c>
    </row>
    <row r="19" spans="2:33" ht="12.75" x14ac:dyDescent="0.3">
      <c r="B19" s="27"/>
      <c r="C19" s="27"/>
      <c r="D19" s="28"/>
      <c r="E19" s="41">
        <v>4105140</v>
      </c>
      <c r="F19" s="36" t="s">
        <v>9</v>
      </c>
      <c r="G19" s="37"/>
      <c r="H19" s="37"/>
      <c r="I19" s="37"/>
      <c r="J19" s="37"/>
      <c r="K19" s="37"/>
      <c r="L19" s="38"/>
      <c r="M19" s="38"/>
      <c r="N19" s="39"/>
      <c r="O19" s="37"/>
      <c r="P19" s="39"/>
      <c r="Q19" s="39"/>
      <c r="R19" s="38"/>
      <c r="S19" s="40">
        <f t="shared" si="1"/>
        <v>0</v>
      </c>
      <c r="T19" s="37"/>
      <c r="U19" s="37"/>
      <c r="V19" s="37"/>
      <c r="W19" s="37"/>
      <c r="X19" s="37"/>
      <c r="Y19" s="38"/>
      <c r="Z19" s="38"/>
      <c r="AA19" s="39"/>
      <c r="AB19" s="37"/>
      <c r="AC19" s="39"/>
      <c r="AD19" s="39"/>
      <c r="AE19" s="38"/>
      <c r="AF19" s="40">
        <f t="shared" si="3"/>
        <v>0</v>
      </c>
      <c r="AG19" s="104">
        <f t="shared" si="3"/>
        <v>0</v>
      </c>
    </row>
    <row r="20" spans="2:33" ht="12.75" x14ac:dyDescent="0.3">
      <c r="B20" s="27"/>
      <c r="C20" s="27"/>
      <c r="D20" s="28"/>
      <c r="E20" s="41">
        <v>4105190</v>
      </c>
      <c r="F20" s="36" t="s">
        <v>10</v>
      </c>
      <c r="G20" s="37"/>
      <c r="H20" s="37"/>
      <c r="I20" s="37"/>
      <c r="J20" s="37"/>
      <c r="K20" s="37"/>
      <c r="L20" s="38"/>
      <c r="M20" s="38"/>
      <c r="N20" s="39"/>
      <c r="O20" s="37"/>
      <c r="P20" s="39"/>
      <c r="Q20" s="39"/>
      <c r="R20" s="38"/>
      <c r="S20" s="40">
        <f t="shared" si="1"/>
        <v>0</v>
      </c>
      <c r="T20" s="37"/>
      <c r="U20" s="37"/>
      <c r="V20" s="37"/>
      <c r="W20" s="37"/>
      <c r="X20" s="37"/>
      <c r="Y20" s="38"/>
      <c r="Z20" s="38"/>
      <c r="AA20" s="39"/>
      <c r="AB20" s="37"/>
      <c r="AC20" s="39"/>
      <c r="AD20" s="39"/>
      <c r="AE20" s="38"/>
      <c r="AF20" s="40">
        <f t="shared" si="3"/>
        <v>0</v>
      </c>
      <c r="AG20" s="104">
        <f t="shared" si="3"/>
        <v>0</v>
      </c>
    </row>
    <row r="21" spans="2:33" ht="12.75" x14ac:dyDescent="0.3">
      <c r="B21" s="27"/>
      <c r="C21" s="27"/>
      <c r="D21" s="28"/>
      <c r="E21" s="41">
        <v>4105200</v>
      </c>
      <c r="F21" s="36" t="s">
        <v>11</v>
      </c>
      <c r="G21" s="37"/>
      <c r="H21" s="37"/>
      <c r="I21" s="37"/>
      <c r="J21" s="37"/>
      <c r="K21" s="37"/>
      <c r="L21" s="38"/>
      <c r="M21" s="38"/>
      <c r="N21" s="39"/>
      <c r="O21" s="37"/>
      <c r="P21" s="39"/>
      <c r="Q21" s="39"/>
      <c r="R21" s="38"/>
      <c r="S21" s="40">
        <f t="shared" si="1"/>
        <v>0</v>
      </c>
      <c r="T21" s="37"/>
      <c r="U21" s="37"/>
      <c r="V21" s="37"/>
      <c r="W21" s="37"/>
      <c r="X21" s="37"/>
      <c r="Y21" s="38"/>
      <c r="Z21" s="38"/>
      <c r="AA21" s="39"/>
      <c r="AB21" s="37"/>
      <c r="AC21" s="39"/>
      <c r="AD21" s="39"/>
      <c r="AE21" s="38"/>
      <c r="AF21" s="40">
        <f t="shared" si="3"/>
        <v>0</v>
      </c>
      <c r="AG21" s="104">
        <f t="shared" si="3"/>
        <v>0</v>
      </c>
    </row>
    <row r="22" spans="2:33" ht="12.75" x14ac:dyDescent="0.3">
      <c r="B22" s="27"/>
      <c r="C22" s="28"/>
      <c r="D22" s="29" t="s">
        <v>12</v>
      </c>
      <c r="E22" s="42"/>
      <c r="F22" s="31"/>
      <c r="G22" s="32">
        <v>0</v>
      </c>
      <c r="H22" s="33">
        <v>0</v>
      </c>
      <c r="I22" s="33">
        <v>0</v>
      </c>
      <c r="J22" s="33">
        <v>0</v>
      </c>
      <c r="K22" s="33">
        <v>0</v>
      </c>
      <c r="L22" s="34">
        <v>0</v>
      </c>
      <c r="M22" s="34">
        <v>0</v>
      </c>
      <c r="N22" s="33">
        <v>0</v>
      </c>
      <c r="O22" s="32">
        <v>0</v>
      </c>
      <c r="P22" s="33">
        <f t="shared" ref="P22:R22" si="8">SUM(P23:P25)</f>
        <v>0</v>
      </c>
      <c r="Q22" s="33">
        <f t="shared" si="8"/>
        <v>0</v>
      </c>
      <c r="R22" s="34">
        <f t="shared" si="8"/>
        <v>0</v>
      </c>
      <c r="S22" s="26">
        <f t="shared" si="1"/>
        <v>0</v>
      </c>
      <c r="T22" s="32">
        <f t="shared" ref="T22:AE22" si="9">SUM(T23:T25)</f>
        <v>0</v>
      </c>
      <c r="U22" s="33">
        <f t="shared" si="9"/>
        <v>0</v>
      </c>
      <c r="V22" s="33">
        <f t="shared" si="9"/>
        <v>0</v>
      </c>
      <c r="W22" s="33">
        <f t="shared" si="9"/>
        <v>0</v>
      </c>
      <c r="X22" s="33">
        <f t="shared" si="9"/>
        <v>0</v>
      </c>
      <c r="Y22" s="34">
        <f t="shared" si="9"/>
        <v>0</v>
      </c>
      <c r="Z22" s="34">
        <f t="shared" si="9"/>
        <v>0</v>
      </c>
      <c r="AA22" s="33">
        <f t="shared" si="9"/>
        <v>0</v>
      </c>
      <c r="AB22" s="32">
        <f t="shared" si="9"/>
        <v>0</v>
      </c>
      <c r="AC22" s="33">
        <f t="shared" si="9"/>
        <v>0</v>
      </c>
      <c r="AD22" s="33">
        <f t="shared" si="9"/>
        <v>0</v>
      </c>
      <c r="AE22" s="34">
        <f t="shared" si="9"/>
        <v>0</v>
      </c>
      <c r="AF22" s="26">
        <f t="shared" si="3"/>
        <v>0</v>
      </c>
      <c r="AG22" s="103">
        <f t="shared" si="3"/>
        <v>0</v>
      </c>
    </row>
    <row r="23" spans="2:33" ht="12.75" x14ac:dyDescent="0.3">
      <c r="B23" s="27"/>
      <c r="C23" s="28"/>
      <c r="D23" s="28"/>
      <c r="E23" s="35">
        <v>4106000</v>
      </c>
      <c r="F23" s="36" t="s">
        <v>12</v>
      </c>
      <c r="G23" s="37"/>
      <c r="H23" s="37"/>
      <c r="I23" s="37"/>
      <c r="J23" s="37"/>
      <c r="K23" s="37"/>
      <c r="L23" s="38"/>
      <c r="M23" s="38"/>
      <c r="N23" s="39"/>
      <c r="O23" s="37"/>
      <c r="P23" s="39"/>
      <c r="Q23" s="39"/>
      <c r="R23" s="38"/>
      <c r="S23" s="40">
        <f t="shared" si="1"/>
        <v>0</v>
      </c>
      <c r="T23" s="37"/>
      <c r="U23" s="37"/>
      <c r="V23" s="37"/>
      <c r="W23" s="37"/>
      <c r="X23" s="37"/>
      <c r="Y23" s="38"/>
      <c r="Z23" s="38"/>
      <c r="AA23" s="39"/>
      <c r="AB23" s="37"/>
      <c r="AC23" s="39"/>
      <c r="AD23" s="39"/>
      <c r="AE23" s="38"/>
      <c r="AF23" s="40">
        <f t="shared" si="3"/>
        <v>0</v>
      </c>
      <c r="AG23" s="104">
        <f t="shared" si="3"/>
        <v>0</v>
      </c>
    </row>
    <row r="24" spans="2:33" ht="12.75" x14ac:dyDescent="0.3">
      <c r="B24" s="27"/>
      <c r="C24" s="28"/>
      <c r="D24" s="28"/>
      <c r="E24" s="41">
        <v>4106100</v>
      </c>
      <c r="F24" s="36" t="s">
        <v>13</v>
      </c>
      <c r="G24" s="37"/>
      <c r="H24" s="37"/>
      <c r="I24" s="37"/>
      <c r="J24" s="37"/>
      <c r="K24" s="37"/>
      <c r="L24" s="38"/>
      <c r="M24" s="38"/>
      <c r="N24" s="39"/>
      <c r="O24" s="37"/>
      <c r="P24" s="39"/>
      <c r="Q24" s="39"/>
      <c r="R24" s="38"/>
      <c r="S24" s="40">
        <f t="shared" si="1"/>
        <v>0</v>
      </c>
      <c r="T24" s="37"/>
      <c r="U24" s="37"/>
      <c r="V24" s="37"/>
      <c r="W24" s="37"/>
      <c r="X24" s="37"/>
      <c r="Y24" s="38"/>
      <c r="Z24" s="38"/>
      <c r="AA24" s="39"/>
      <c r="AB24" s="37"/>
      <c r="AC24" s="39"/>
      <c r="AD24" s="39"/>
      <c r="AE24" s="38"/>
      <c r="AF24" s="40">
        <f t="shared" si="3"/>
        <v>0</v>
      </c>
      <c r="AG24" s="104">
        <f t="shared" si="3"/>
        <v>0</v>
      </c>
    </row>
    <row r="25" spans="2:33" ht="12.75" x14ac:dyDescent="0.3">
      <c r="B25" s="27"/>
      <c r="C25" s="28"/>
      <c r="D25" s="28"/>
      <c r="E25" s="44">
        <v>4112992</v>
      </c>
      <c r="F25" s="36" t="s">
        <v>14</v>
      </c>
      <c r="G25" s="37"/>
      <c r="H25" s="37"/>
      <c r="I25" s="37"/>
      <c r="J25" s="37"/>
      <c r="K25" s="37"/>
      <c r="L25" s="38"/>
      <c r="M25" s="38"/>
      <c r="N25" s="39"/>
      <c r="O25" s="37"/>
      <c r="P25" s="39"/>
      <c r="Q25" s="39"/>
      <c r="R25" s="38"/>
      <c r="S25" s="40">
        <f t="shared" si="1"/>
        <v>0</v>
      </c>
      <c r="T25" s="37"/>
      <c r="U25" s="37"/>
      <c r="V25" s="37"/>
      <c r="W25" s="37"/>
      <c r="X25" s="37"/>
      <c r="Y25" s="38"/>
      <c r="Z25" s="38"/>
      <c r="AA25" s="39"/>
      <c r="AB25" s="37"/>
      <c r="AC25" s="39"/>
      <c r="AD25" s="39"/>
      <c r="AE25" s="38"/>
      <c r="AF25" s="40">
        <f t="shared" si="3"/>
        <v>0</v>
      </c>
      <c r="AG25" s="104">
        <f t="shared" si="3"/>
        <v>0</v>
      </c>
    </row>
    <row r="26" spans="2:33" ht="12.75" x14ac:dyDescent="0.3">
      <c r="B26" s="27"/>
      <c r="C26" s="28"/>
      <c r="D26" s="29" t="s">
        <v>15</v>
      </c>
      <c r="E26" s="42"/>
      <c r="F26" s="31"/>
      <c r="G26" s="32">
        <v>0</v>
      </c>
      <c r="H26" s="33">
        <v>0</v>
      </c>
      <c r="I26" s="33">
        <v>0</v>
      </c>
      <c r="J26" s="33">
        <v>0</v>
      </c>
      <c r="K26" s="33">
        <v>0</v>
      </c>
      <c r="L26" s="34">
        <v>0</v>
      </c>
      <c r="M26" s="34">
        <v>0</v>
      </c>
      <c r="N26" s="33">
        <v>0</v>
      </c>
      <c r="O26" s="32">
        <v>0</v>
      </c>
      <c r="P26" s="33">
        <f t="shared" ref="P26:R26" si="10">SUM(P27:P29)</f>
        <v>0</v>
      </c>
      <c r="Q26" s="33">
        <f t="shared" si="10"/>
        <v>0</v>
      </c>
      <c r="R26" s="34">
        <f t="shared" si="10"/>
        <v>0</v>
      </c>
      <c r="S26" s="26">
        <f t="shared" si="1"/>
        <v>0</v>
      </c>
      <c r="T26" s="32">
        <f t="shared" ref="T26:AE26" si="11">SUM(T27:T29)</f>
        <v>0</v>
      </c>
      <c r="U26" s="33">
        <f t="shared" si="11"/>
        <v>0</v>
      </c>
      <c r="V26" s="33">
        <f t="shared" si="11"/>
        <v>0</v>
      </c>
      <c r="W26" s="33">
        <f t="shared" si="11"/>
        <v>0</v>
      </c>
      <c r="X26" s="33">
        <f t="shared" si="11"/>
        <v>0</v>
      </c>
      <c r="Y26" s="34">
        <f t="shared" si="11"/>
        <v>0</v>
      </c>
      <c r="Z26" s="34">
        <f t="shared" si="11"/>
        <v>0</v>
      </c>
      <c r="AA26" s="33">
        <f t="shared" si="11"/>
        <v>0</v>
      </c>
      <c r="AB26" s="32">
        <f t="shared" si="11"/>
        <v>0</v>
      </c>
      <c r="AC26" s="33">
        <f t="shared" si="11"/>
        <v>0</v>
      </c>
      <c r="AD26" s="33">
        <f t="shared" si="11"/>
        <v>0</v>
      </c>
      <c r="AE26" s="34">
        <f t="shared" si="11"/>
        <v>0</v>
      </c>
      <c r="AF26" s="26">
        <f t="shared" si="3"/>
        <v>0</v>
      </c>
      <c r="AG26" s="103">
        <f t="shared" si="3"/>
        <v>0</v>
      </c>
    </row>
    <row r="27" spans="2:33" ht="12.75" x14ac:dyDescent="0.3">
      <c r="B27" s="27"/>
      <c r="C27" s="28"/>
      <c r="D27" s="28"/>
      <c r="E27" s="35">
        <v>4107000</v>
      </c>
      <c r="F27" s="36" t="s">
        <v>16</v>
      </c>
      <c r="G27" s="37"/>
      <c r="H27" s="37"/>
      <c r="I27" s="37"/>
      <c r="J27" s="37"/>
      <c r="K27" s="37"/>
      <c r="L27" s="38"/>
      <c r="M27" s="38"/>
      <c r="N27" s="39"/>
      <c r="O27" s="37"/>
      <c r="P27" s="39"/>
      <c r="Q27" s="39"/>
      <c r="R27" s="38"/>
      <c r="S27" s="40">
        <f t="shared" si="1"/>
        <v>0</v>
      </c>
      <c r="T27" s="37"/>
      <c r="U27" s="37"/>
      <c r="V27" s="37"/>
      <c r="W27" s="37"/>
      <c r="X27" s="37"/>
      <c r="Y27" s="38"/>
      <c r="Z27" s="38"/>
      <c r="AA27" s="39"/>
      <c r="AB27" s="37"/>
      <c r="AC27" s="39"/>
      <c r="AD27" s="39"/>
      <c r="AE27" s="38"/>
      <c r="AF27" s="40">
        <f t="shared" si="3"/>
        <v>0</v>
      </c>
      <c r="AG27" s="104">
        <f t="shared" si="3"/>
        <v>0</v>
      </c>
    </row>
    <row r="28" spans="2:33" ht="12.75" x14ac:dyDescent="0.3">
      <c r="B28" s="27"/>
      <c r="C28" s="28"/>
      <c r="D28" s="28"/>
      <c r="E28" s="41">
        <v>4107190</v>
      </c>
      <c r="F28" s="36" t="s">
        <v>17</v>
      </c>
      <c r="G28" s="37"/>
      <c r="H28" s="37"/>
      <c r="I28" s="37"/>
      <c r="J28" s="37"/>
      <c r="K28" s="37"/>
      <c r="L28" s="38"/>
      <c r="M28" s="38"/>
      <c r="N28" s="39"/>
      <c r="O28" s="37"/>
      <c r="P28" s="39"/>
      <c r="Q28" s="39"/>
      <c r="R28" s="38"/>
      <c r="S28" s="40">
        <f t="shared" si="1"/>
        <v>0</v>
      </c>
      <c r="T28" s="37"/>
      <c r="U28" s="37"/>
      <c r="V28" s="37"/>
      <c r="W28" s="37"/>
      <c r="X28" s="37"/>
      <c r="Y28" s="38"/>
      <c r="Z28" s="38"/>
      <c r="AA28" s="39"/>
      <c r="AB28" s="37"/>
      <c r="AC28" s="39"/>
      <c r="AD28" s="39"/>
      <c r="AE28" s="38"/>
      <c r="AF28" s="40">
        <f t="shared" si="3"/>
        <v>0</v>
      </c>
      <c r="AG28" s="104">
        <f t="shared" si="3"/>
        <v>0</v>
      </c>
    </row>
    <row r="29" spans="2:33" ht="12.75" x14ac:dyDescent="0.3">
      <c r="B29" s="27"/>
      <c r="C29" s="28"/>
      <c r="D29" s="28"/>
      <c r="E29" s="44">
        <v>4109000</v>
      </c>
      <c r="F29" s="36" t="s">
        <v>18</v>
      </c>
      <c r="G29" s="37"/>
      <c r="H29" s="37"/>
      <c r="I29" s="37"/>
      <c r="J29" s="37"/>
      <c r="K29" s="37"/>
      <c r="L29" s="38"/>
      <c r="M29" s="38"/>
      <c r="N29" s="39"/>
      <c r="O29" s="37"/>
      <c r="P29" s="39"/>
      <c r="Q29" s="39"/>
      <c r="R29" s="38"/>
      <c r="S29" s="40">
        <f t="shared" si="1"/>
        <v>0</v>
      </c>
      <c r="T29" s="37"/>
      <c r="U29" s="37"/>
      <c r="V29" s="37"/>
      <c r="W29" s="37"/>
      <c r="X29" s="37"/>
      <c r="Y29" s="38"/>
      <c r="Z29" s="38"/>
      <c r="AA29" s="39"/>
      <c r="AB29" s="37"/>
      <c r="AC29" s="39"/>
      <c r="AD29" s="39"/>
      <c r="AE29" s="38"/>
      <c r="AF29" s="40">
        <f t="shared" si="3"/>
        <v>0</v>
      </c>
      <c r="AG29" s="104">
        <f t="shared" si="3"/>
        <v>0</v>
      </c>
    </row>
    <row r="30" spans="2:33" ht="12.75" x14ac:dyDescent="0.3">
      <c r="B30" s="27"/>
      <c r="C30" s="28"/>
      <c r="D30" s="29" t="s">
        <v>19</v>
      </c>
      <c r="E30" s="42"/>
      <c r="F30" s="31"/>
      <c r="G30" s="32">
        <v>0</v>
      </c>
      <c r="H30" s="33">
        <v>0</v>
      </c>
      <c r="I30" s="33">
        <v>0</v>
      </c>
      <c r="J30" s="33">
        <v>0</v>
      </c>
      <c r="K30" s="33">
        <v>0</v>
      </c>
      <c r="L30" s="34">
        <v>0</v>
      </c>
      <c r="M30" s="34">
        <v>0</v>
      </c>
      <c r="N30" s="33">
        <v>0</v>
      </c>
      <c r="O30" s="32">
        <v>0</v>
      </c>
      <c r="P30" s="33">
        <f t="shared" ref="P30:R30" si="12">P31</f>
        <v>0</v>
      </c>
      <c r="Q30" s="33">
        <f t="shared" si="12"/>
        <v>0</v>
      </c>
      <c r="R30" s="34">
        <f t="shared" si="12"/>
        <v>0</v>
      </c>
      <c r="S30" s="26">
        <f t="shared" si="1"/>
        <v>0</v>
      </c>
      <c r="T30" s="32">
        <f t="shared" ref="T30:AE30" si="13">T31</f>
        <v>0</v>
      </c>
      <c r="U30" s="33">
        <f t="shared" si="13"/>
        <v>0</v>
      </c>
      <c r="V30" s="33">
        <f t="shared" si="13"/>
        <v>0</v>
      </c>
      <c r="W30" s="33">
        <f t="shared" si="13"/>
        <v>0</v>
      </c>
      <c r="X30" s="33">
        <f t="shared" si="13"/>
        <v>0</v>
      </c>
      <c r="Y30" s="34">
        <f t="shared" si="13"/>
        <v>0</v>
      </c>
      <c r="Z30" s="34">
        <f t="shared" si="13"/>
        <v>0</v>
      </c>
      <c r="AA30" s="33">
        <f t="shared" si="13"/>
        <v>0</v>
      </c>
      <c r="AB30" s="32">
        <f t="shared" si="13"/>
        <v>0</v>
      </c>
      <c r="AC30" s="33">
        <f t="shared" si="13"/>
        <v>0</v>
      </c>
      <c r="AD30" s="33">
        <f t="shared" si="13"/>
        <v>0</v>
      </c>
      <c r="AE30" s="34">
        <f t="shared" si="13"/>
        <v>0</v>
      </c>
      <c r="AF30" s="26">
        <f t="shared" si="3"/>
        <v>0</v>
      </c>
      <c r="AG30" s="103">
        <f t="shared" si="3"/>
        <v>0</v>
      </c>
    </row>
    <row r="31" spans="2:33" ht="12.75" x14ac:dyDescent="0.3">
      <c r="B31" s="45"/>
      <c r="C31" s="45"/>
      <c r="D31" s="46"/>
      <c r="E31" s="47">
        <v>9103010</v>
      </c>
      <c r="F31" s="48" t="s">
        <v>19</v>
      </c>
      <c r="G31" s="37"/>
      <c r="H31" s="37"/>
      <c r="I31" s="37"/>
      <c r="J31" s="37"/>
      <c r="K31" s="37"/>
      <c r="L31" s="49"/>
      <c r="M31" s="49"/>
      <c r="N31" s="49"/>
      <c r="O31" s="49"/>
      <c r="P31" s="49"/>
      <c r="Q31" s="49"/>
      <c r="R31" s="50"/>
      <c r="S31" s="51">
        <f t="shared" si="1"/>
        <v>0</v>
      </c>
      <c r="T31" s="37"/>
      <c r="U31" s="37"/>
      <c r="V31" s="37"/>
      <c r="W31" s="37"/>
      <c r="X31" s="37"/>
      <c r="Y31" s="49"/>
      <c r="Z31" s="49"/>
      <c r="AA31" s="49"/>
      <c r="AB31" s="49"/>
      <c r="AC31" s="49"/>
      <c r="AD31" s="49"/>
      <c r="AE31" s="50"/>
      <c r="AF31" s="51">
        <f t="shared" si="3"/>
        <v>0</v>
      </c>
      <c r="AG31" s="105">
        <f t="shared" si="3"/>
        <v>0</v>
      </c>
    </row>
    <row r="32" spans="2:33" ht="12.75" x14ac:dyDescent="0.3">
      <c r="B32" s="20" t="s">
        <v>20</v>
      </c>
      <c r="C32" s="21"/>
      <c r="D32" s="21"/>
      <c r="E32" s="52"/>
      <c r="F32" s="31"/>
      <c r="G32" s="23">
        <v>0</v>
      </c>
      <c r="H32" s="24">
        <v>0</v>
      </c>
      <c r="I32" s="24">
        <v>0</v>
      </c>
      <c r="J32" s="24">
        <v>0</v>
      </c>
      <c r="K32" s="24">
        <v>0</v>
      </c>
      <c r="L32" s="25">
        <v>0</v>
      </c>
      <c r="M32" s="25">
        <v>0</v>
      </c>
      <c r="N32" s="24">
        <v>0</v>
      </c>
      <c r="O32" s="23">
        <v>0</v>
      </c>
      <c r="P32" s="24">
        <f t="shared" ref="P32:R32" si="14">P33+P36+P39+P42+P44+P90</f>
        <v>0</v>
      </c>
      <c r="Q32" s="24">
        <f t="shared" si="14"/>
        <v>0</v>
      </c>
      <c r="R32" s="25">
        <f t="shared" si="14"/>
        <v>0</v>
      </c>
      <c r="S32" s="26">
        <f t="shared" si="1"/>
        <v>0</v>
      </c>
      <c r="T32" s="23">
        <f t="shared" ref="T32:AE32" si="15">T33+T36+T39+T42+T44+T90</f>
        <v>0</v>
      </c>
      <c r="U32" s="24">
        <f t="shared" si="15"/>
        <v>0</v>
      </c>
      <c r="V32" s="24">
        <f t="shared" si="15"/>
        <v>0</v>
      </c>
      <c r="W32" s="24">
        <f t="shared" si="15"/>
        <v>0</v>
      </c>
      <c r="X32" s="24">
        <f t="shared" si="15"/>
        <v>0</v>
      </c>
      <c r="Y32" s="25">
        <f t="shared" si="15"/>
        <v>0</v>
      </c>
      <c r="Z32" s="25">
        <f t="shared" si="15"/>
        <v>0</v>
      </c>
      <c r="AA32" s="24">
        <f t="shared" si="15"/>
        <v>0</v>
      </c>
      <c r="AB32" s="23">
        <f t="shared" si="15"/>
        <v>0</v>
      </c>
      <c r="AC32" s="24">
        <f t="shared" si="15"/>
        <v>0</v>
      </c>
      <c r="AD32" s="24">
        <f t="shared" si="15"/>
        <v>0</v>
      </c>
      <c r="AE32" s="25">
        <f t="shared" si="15"/>
        <v>0</v>
      </c>
      <c r="AF32" s="26">
        <f t="shared" si="3"/>
        <v>0</v>
      </c>
      <c r="AG32" s="103">
        <f t="shared" si="3"/>
        <v>0</v>
      </c>
    </row>
    <row r="33" spans="2:33" ht="12.75" x14ac:dyDescent="0.3">
      <c r="B33" s="27"/>
      <c r="C33" s="28"/>
      <c r="D33" s="29" t="s">
        <v>21</v>
      </c>
      <c r="E33" s="42"/>
      <c r="F33" s="31"/>
      <c r="G33" s="32">
        <v>0</v>
      </c>
      <c r="H33" s="33">
        <v>0</v>
      </c>
      <c r="I33" s="33">
        <v>0</v>
      </c>
      <c r="J33" s="33">
        <v>0</v>
      </c>
      <c r="K33" s="33">
        <v>0</v>
      </c>
      <c r="L33" s="34">
        <v>0</v>
      </c>
      <c r="M33" s="34">
        <v>0</v>
      </c>
      <c r="N33" s="33">
        <v>0</v>
      </c>
      <c r="O33" s="32">
        <v>0</v>
      </c>
      <c r="P33" s="33">
        <f t="shared" ref="P33:R33" si="16">SUM(P34:P35)</f>
        <v>0</v>
      </c>
      <c r="Q33" s="33">
        <f t="shared" si="16"/>
        <v>0</v>
      </c>
      <c r="R33" s="34">
        <f t="shared" si="16"/>
        <v>0</v>
      </c>
      <c r="S33" s="26">
        <f t="shared" si="1"/>
        <v>0</v>
      </c>
      <c r="T33" s="32">
        <f t="shared" ref="T33:AE33" si="17">SUM(T34:T35)</f>
        <v>0</v>
      </c>
      <c r="U33" s="33">
        <f t="shared" si="17"/>
        <v>0</v>
      </c>
      <c r="V33" s="33">
        <f t="shared" si="17"/>
        <v>0</v>
      </c>
      <c r="W33" s="33">
        <f t="shared" si="17"/>
        <v>0</v>
      </c>
      <c r="X33" s="33">
        <f t="shared" si="17"/>
        <v>0</v>
      </c>
      <c r="Y33" s="34">
        <f t="shared" si="17"/>
        <v>0</v>
      </c>
      <c r="Z33" s="34">
        <f t="shared" si="17"/>
        <v>0</v>
      </c>
      <c r="AA33" s="33">
        <f t="shared" si="17"/>
        <v>0</v>
      </c>
      <c r="AB33" s="32">
        <f t="shared" si="17"/>
        <v>0</v>
      </c>
      <c r="AC33" s="33">
        <f t="shared" si="17"/>
        <v>0</v>
      </c>
      <c r="AD33" s="33">
        <f t="shared" si="17"/>
        <v>0</v>
      </c>
      <c r="AE33" s="34">
        <f t="shared" si="17"/>
        <v>0</v>
      </c>
      <c r="AF33" s="26">
        <f t="shared" si="3"/>
        <v>0</v>
      </c>
      <c r="AG33" s="103">
        <f t="shared" si="3"/>
        <v>0</v>
      </c>
    </row>
    <row r="34" spans="2:33" ht="12.75" x14ac:dyDescent="0.3">
      <c r="B34" s="27"/>
      <c r="C34" s="28"/>
      <c r="D34" s="28"/>
      <c r="E34" s="35">
        <v>4202000</v>
      </c>
      <c r="F34" s="36" t="s">
        <v>22</v>
      </c>
      <c r="G34" s="37"/>
      <c r="H34" s="37"/>
      <c r="I34" s="37"/>
      <c r="J34" s="37"/>
      <c r="K34" s="37"/>
      <c r="L34" s="38"/>
      <c r="M34" s="38"/>
      <c r="N34" s="39"/>
      <c r="O34" s="37"/>
      <c r="P34" s="39"/>
      <c r="Q34" s="39"/>
      <c r="R34" s="38"/>
      <c r="S34" s="40">
        <f t="shared" si="1"/>
        <v>0</v>
      </c>
      <c r="T34" s="37"/>
      <c r="U34" s="37"/>
      <c r="V34" s="37"/>
      <c r="W34" s="37"/>
      <c r="X34" s="37"/>
      <c r="Y34" s="38"/>
      <c r="Z34" s="38"/>
      <c r="AA34" s="39"/>
      <c r="AB34" s="37"/>
      <c r="AC34" s="39"/>
      <c r="AD34" s="39"/>
      <c r="AE34" s="38"/>
      <c r="AF34" s="40">
        <f t="shared" si="3"/>
        <v>0</v>
      </c>
      <c r="AG34" s="104">
        <f t="shared" si="3"/>
        <v>0</v>
      </c>
    </row>
    <row r="35" spans="2:33" ht="12.75" x14ac:dyDescent="0.3">
      <c r="B35" s="27"/>
      <c r="C35" s="28"/>
      <c r="D35" s="28"/>
      <c r="E35" s="41">
        <v>4202190</v>
      </c>
      <c r="F35" s="36" t="s">
        <v>23</v>
      </c>
      <c r="G35" s="37"/>
      <c r="H35" s="37"/>
      <c r="I35" s="37"/>
      <c r="J35" s="37"/>
      <c r="K35" s="37"/>
      <c r="L35" s="38"/>
      <c r="M35" s="38"/>
      <c r="N35" s="39"/>
      <c r="O35" s="37"/>
      <c r="P35" s="39"/>
      <c r="Q35" s="39"/>
      <c r="R35" s="38"/>
      <c r="S35" s="40">
        <f t="shared" si="1"/>
        <v>0</v>
      </c>
      <c r="T35" s="37"/>
      <c r="U35" s="37"/>
      <c r="V35" s="37"/>
      <c r="W35" s="37"/>
      <c r="X35" s="37"/>
      <c r="Y35" s="38"/>
      <c r="Z35" s="38"/>
      <c r="AA35" s="39"/>
      <c r="AB35" s="37"/>
      <c r="AC35" s="39"/>
      <c r="AD35" s="39"/>
      <c r="AE35" s="38"/>
      <c r="AF35" s="40">
        <f t="shared" si="3"/>
        <v>0</v>
      </c>
      <c r="AG35" s="104">
        <f t="shared" si="3"/>
        <v>0</v>
      </c>
    </row>
    <row r="36" spans="2:33" ht="12.75" x14ac:dyDescent="0.3">
      <c r="B36" s="27"/>
      <c r="C36" s="28"/>
      <c r="D36" s="29" t="s">
        <v>24</v>
      </c>
      <c r="E36" s="42"/>
      <c r="F36" s="31"/>
      <c r="G36" s="32">
        <v>0</v>
      </c>
      <c r="H36" s="33">
        <v>0</v>
      </c>
      <c r="I36" s="33">
        <v>0</v>
      </c>
      <c r="J36" s="33">
        <v>0</v>
      </c>
      <c r="K36" s="33">
        <v>0</v>
      </c>
      <c r="L36" s="34">
        <v>0</v>
      </c>
      <c r="M36" s="34">
        <v>0</v>
      </c>
      <c r="N36" s="33">
        <v>0</v>
      </c>
      <c r="O36" s="32">
        <v>0</v>
      </c>
      <c r="P36" s="33">
        <f t="shared" ref="P36:R36" si="18">SUM(P37:P38)</f>
        <v>0</v>
      </c>
      <c r="Q36" s="33">
        <f t="shared" si="18"/>
        <v>0</v>
      </c>
      <c r="R36" s="34">
        <f t="shared" si="18"/>
        <v>0</v>
      </c>
      <c r="S36" s="26">
        <f t="shared" si="1"/>
        <v>0</v>
      </c>
      <c r="T36" s="32">
        <f t="shared" ref="T36:AE36" si="19">SUM(T37:T38)</f>
        <v>0</v>
      </c>
      <c r="U36" s="33">
        <f t="shared" si="19"/>
        <v>0</v>
      </c>
      <c r="V36" s="33">
        <f t="shared" si="19"/>
        <v>0</v>
      </c>
      <c r="W36" s="33">
        <f t="shared" si="19"/>
        <v>0</v>
      </c>
      <c r="X36" s="33">
        <f t="shared" si="19"/>
        <v>0</v>
      </c>
      <c r="Y36" s="34">
        <f t="shared" si="19"/>
        <v>0</v>
      </c>
      <c r="Z36" s="34">
        <f t="shared" si="19"/>
        <v>0</v>
      </c>
      <c r="AA36" s="33">
        <f t="shared" si="19"/>
        <v>0</v>
      </c>
      <c r="AB36" s="32">
        <f t="shared" si="19"/>
        <v>0</v>
      </c>
      <c r="AC36" s="33">
        <f t="shared" si="19"/>
        <v>0</v>
      </c>
      <c r="AD36" s="33">
        <f t="shared" si="19"/>
        <v>0</v>
      </c>
      <c r="AE36" s="34">
        <f t="shared" si="19"/>
        <v>0</v>
      </c>
      <c r="AF36" s="26">
        <f t="shared" si="3"/>
        <v>0</v>
      </c>
      <c r="AG36" s="103">
        <f t="shared" si="3"/>
        <v>0</v>
      </c>
    </row>
    <row r="37" spans="2:33" ht="12.75" x14ac:dyDescent="0.3">
      <c r="B37" s="27"/>
      <c r="C37" s="28"/>
      <c r="D37" s="28"/>
      <c r="E37" s="35">
        <v>4258910</v>
      </c>
      <c r="F37" s="36" t="s">
        <v>24</v>
      </c>
      <c r="G37" s="37"/>
      <c r="H37" s="37"/>
      <c r="I37" s="37"/>
      <c r="J37" s="37"/>
      <c r="K37" s="37"/>
      <c r="L37" s="38"/>
      <c r="M37" s="38"/>
      <c r="N37" s="39"/>
      <c r="O37" s="37"/>
      <c r="P37" s="39"/>
      <c r="Q37" s="39"/>
      <c r="R37" s="38"/>
      <c r="S37" s="40">
        <f t="shared" si="1"/>
        <v>0</v>
      </c>
      <c r="T37" s="37"/>
      <c r="U37" s="37"/>
      <c r="V37" s="37"/>
      <c r="W37" s="37"/>
      <c r="X37" s="37"/>
      <c r="Y37" s="38"/>
      <c r="Z37" s="38"/>
      <c r="AA37" s="39"/>
      <c r="AB37" s="37"/>
      <c r="AC37" s="39"/>
      <c r="AD37" s="39"/>
      <c r="AE37" s="38"/>
      <c r="AF37" s="40">
        <f t="shared" si="3"/>
        <v>0</v>
      </c>
      <c r="AG37" s="104">
        <f t="shared" si="3"/>
        <v>0</v>
      </c>
    </row>
    <row r="38" spans="2:33" ht="12.75" x14ac:dyDescent="0.3">
      <c r="B38" s="27"/>
      <c r="C38" s="28"/>
      <c r="D38" s="28"/>
      <c r="E38" s="44">
        <v>4202530</v>
      </c>
      <c r="F38" s="36" t="s">
        <v>25</v>
      </c>
      <c r="G38" s="37"/>
      <c r="H38" s="37"/>
      <c r="I38" s="37"/>
      <c r="J38" s="37"/>
      <c r="K38" s="37"/>
      <c r="L38" s="38"/>
      <c r="M38" s="38"/>
      <c r="N38" s="39"/>
      <c r="O38" s="37"/>
      <c r="P38" s="39"/>
      <c r="Q38" s="39"/>
      <c r="R38" s="38"/>
      <c r="S38" s="40">
        <f t="shared" si="1"/>
        <v>0</v>
      </c>
      <c r="T38" s="37"/>
      <c r="U38" s="37"/>
      <c r="V38" s="37"/>
      <c r="W38" s="37"/>
      <c r="X38" s="37"/>
      <c r="Y38" s="38"/>
      <c r="Z38" s="38"/>
      <c r="AA38" s="39"/>
      <c r="AB38" s="37"/>
      <c r="AC38" s="39"/>
      <c r="AD38" s="39"/>
      <c r="AE38" s="38"/>
      <c r="AF38" s="40">
        <f t="shared" si="3"/>
        <v>0</v>
      </c>
      <c r="AG38" s="104">
        <f t="shared" si="3"/>
        <v>0</v>
      </c>
    </row>
    <row r="39" spans="2:33" ht="12.75" x14ac:dyDescent="0.3">
      <c r="B39" s="27"/>
      <c r="C39" s="28"/>
      <c r="D39" s="29" t="s">
        <v>26</v>
      </c>
      <c r="E39" s="42"/>
      <c r="F39" s="31"/>
      <c r="G39" s="32">
        <v>0</v>
      </c>
      <c r="H39" s="33">
        <v>0</v>
      </c>
      <c r="I39" s="33">
        <v>0</v>
      </c>
      <c r="J39" s="33">
        <v>0</v>
      </c>
      <c r="K39" s="33">
        <v>0</v>
      </c>
      <c r="L39" s="34">
        <v>0</v>
      </c>
      <c r="M39" s="34">
        <v>0</v>
      </c>
      <c r="N39" s="33">
        <v>0</v>
      </c>
      <c r="O39" s="32">
        <v>0</v>
      </c>
      <c r="P39" s="33">
        <f t="shared" ref="P39:R39" si="20">SUM(P40:P41)</f>
        <v>0</v>
      </c>
      <c r="Q39" s="33">
        <f t="shared" si="20"/>
        <v>0</v>
      </c>
      <c r="R39" s="34">
        <f t="shared" si="20"/>
        <v>0</v>
      </c>
      <c r="S39" s="26">
        <f t="shared" si="1"/>
        <v>0</v>
      </c>
      <c r="T39" s="32">
        <f t="shared" ref="T39:AE39" si="21">SUM(T40:T41)</f>
        <v>0</v>
      </c>
      <c r="U39" s="33">
        <f t="shared" si="21"/>
        <v>0</v>
      </c>
      <c r="V39" s="33">
        <f t="shared" si="21"/>
        <v>0</v>
      </c>
      <c r="W39" s="33">
        <f t="shared" si="21"/>
        <v>0</v>
      </c>
      <c r="X39" s="33">
        <f t="shared" si="21"/>
        <v>0</v>
      </c>
      <c r="Y39" s="34">
        <f t="shared" si="21"/>
        <v>0</v>
      </c>
      <c r="Z39" s="34">
        <f t="shared" si="21"/>
        <v>0</v>
      </c>
      <c r="AA39" s="33">
        <f t="shared" si="21"/>
        <v>0</v>
      </c>
      <c r="AB39" s="32">
        <f t="shared" si="21"/>
        <v>0</v>
      </c>
      <c r="AC39" s="33">
        <f t="shared" si="21"/>
        <v>0</v>
      </c>
      <c r="AD39" s="33">
        <f t="shared" si="21"/>
        <v>0</v>
      </c>
      <c r="AE39" s="34">
        <f t="shared" si="21"/>
        <v>0</v>
      </c>
      <c r="AF39" s="26">
        <f t="shared" si="3"/>
        <v>0</v>
      </c>
      <c r="AG39" s="103">
        <f t="shared" si="3"/>
        <v>0</v>
      </c>
    </row>
    <row r="40" spans="2:33" ht="12.75" x14ac:dyDescent="0.3">
      <c r="B40" s="27"/>
      <c r="C40" s="28"/>
      <c r="D40" s="28"/>
      <c r="E40" s="35">
        <v>4205000</v>
      </c>
      <c r="F40" s="36" t="s">
        <v>26</v>
      </c>
      <c r="G40" s="37"/>
      <c r="H40" s="37"/>
      <c r="I40" s="37"/>
      <c r="J40" s="37"/>
      <c r="K40" s="37"/>
      <c r="L40" s="38"/>
      <c r="M40" s="38"/>
      <c r="N40" s="39"/>
      <c r="O40" s="37"/>
      <c r="P40" s="39"/>
      <c r="Q40" s="39"/>
      <c r="R40" s="38"/>
      <c r="S40" s="40">
        <f t="shared" si="1"/>
        <v>0</v>
      </c>
      <c r="T40" s="37"/>
      <c r="U40" s="37"/>
      <c r="V40" s="37"/>
      <c r="W40" s="37"/>
      <c r="X40" s="37"/>
      <c r="Y40" s="38"/>
      <c r="Z40" s="38"/>
      <c r="AA40" s="39"/>
      <c r="AB40" s="37"/>
      <c r="AC40" s="39"/>
      <c r="AD40" s="39"/>
      <c r="AE40" s="38"/>
      <c r="AF40" s="40">
        <f t="shared" si="3"/>
        <v>0</v>
      </c>
      <c r="AG40" s="104">
        <f t="shared" si="3"/>
        <v>0</v>
      </c>
    </row>
    <row r="41" spans="2:33" ht="12.75" x14ac:dyDescent="0.3">
      <c r="B41" s="27"/>
      <c r="C41" s="28"/>
      <c r="D41" s="28"/>
      <c r="E41" s="44">
        <v>4258930</v>
      </c>
      <c r="F41" s="36" t="s">
        <v>27</v>
      </c>
      <c r="G41" s="37"/>
      <c r="H41" s="37"/>
      <c r="I41" s="37"/>
      <c r="J41" s="37"/>
      <c r="K41" s="37"/>
      <c r="L41" s="38"/>
      <c r="M41" s="38"/>
      <c r="N41" s="39"/>
      <c r="O41" s="37"/>
      <c r="P41" s="39"/>
      <c r="Q41" s="39"/>
      <c r="R41" s="38"/>
      <c r="S41" s="40">
        <f t="shared" si="1"/>
        <v>0</v>
      </c>
      <c r="T41" s="37"/>
      <c r="U41" s="37"/>
      <c r="V41" s="37"/>
      <c r="W41" s="37"/>
      <c r="X41" s="37"/>
      <c r="Y41" s="38"/>
      <c r="Z41" s="38"/>
      <c r="AA41" s="39"/>
      <c r="AB41" s="37"/>
      <c r="AC41" s="39"/>
      <c r="AD41" s="39"/>
      <c r="AE41" s="38"/>
      <c r="AF41" s="40">
        <f t="shared" si="3"/>
        <v>0</v>
      </c>
      <c r="AG41" s="104">
        <f t="shared" si="3"/>
        <v>0</v>
      </c>
    </row>
    <row r="42" spans="2:33" ht="12.75" x14ac:dyDescent="0.3">
      <c r="B42" s="27"/>
      <c r="C42" s="28"/>
      <c r="D42" s="29" t="s">
        <v>28</v>
      </c>
      <c r="E42" s="42"/>
      <c r="F42" s="31"/>
      <c r="G42" s="32">
        <v>0</v>
      </c>
      <c r="H42" s="33">
        <v>0</v>
      </c>
      <c r="I42" s="33">
        <v>0</v>
      </c>
      <c r="J42" s="33">
        <v>0</v>
      </c>
      <c r="K42" s="33">
        <v>0</v>
      </c>
      <c r="L42" s="34">
        <v>0</v>
      </c>
      <c r="M42" s="34">
        <v>0</v>
      </c>
      <c r="N42" s="33">
        <v>0</v>
      </c>
      <c r="O42" s="32">
        <v>0</v>
      </c>
      <c r="P42" s="33">
        <f t="shared" ref="P42:R42" si="22">P43</f>
        <v>0</v>
      </c>
      <c r="Q42" s="33">
        <f t="shared" si="22"/>
        <v>0</v>
      </c>
      <c r="R42" s="34">
        <f t="shared" si="22"/>
        <v>0</v>
      </c>
      <c r="S42" s="26">
        <f t="shared" si="1"/>
        <v>0</v>
      </c>
      <c r="T42" s="32">
        <f t="shared" ref="T42:AE42" si="23">T43</f>
        <v>0</v>
      </c>
      <c r="U42" s="33">
        <f t="shared" si="23"/>
        <v>0</v>
      </c>
      <c r="V42" s="33">
        <f t="shared" si="23"/>
        <v>0</v>
      </c>
      <c r="W42" s="33">
        <f t="shared" si="23"/>
        <v>0</v>
      </c>
      <c r="X42" s="33">
        <f t="shared" si="23"/>
        <v>0</v>
      </c>
      <c r="Y42" s="34">
        <f t="shared" si="23"/>
        <v>0</v>
      </c>
      <c r="Z42" s="34">
        <f t="shared" si="23"/>
        <v>0</v>
      </c>
      <c r="AA42" s="33">
        <f t="shared" si="23"/>
        <v>0</v>
      </c>
      <c r="AB42" s="32">
        <f t="shared" si="23"/>
        <v>0</v>
      </c>
      <c r="AC42" s="33">
        <f t="shared" si="23"/>
        <v>0</v>
      </c>
      <c r="AD42" s="33">
        <f t="shared" si="23"/>
        <v>0</v>
      </c>
      <c r="AE42" s="34">
        <f t="shared" si="23"/>
        <v>0</v>
      </c>
      <c r="AF42" s="26">
        <f t="shared" si="3"/>
        <v>0</v>
      </c>
      <c r="AG42" s="103">
        <f t="shared" si="3"/>
        <v>0</v>
      </c>
    </row>
    <row r="43" spans="2:33" ht="12.75" x14ac:dyDescent="0.3">
      <c r="B43" s="27"/>
      <c r="C43" s="28"/>
      <c r="D43" s="53"/>
      <c r="E43" s="47">
        <v>9103020</v>
      </c>
      <c r="F43" s="54" t="s">
        <v>28</v>
      </c>
      <c r="G43" s="37"/>
      <c r="H43" s="37"/>
      <c r="I43" s="37"/>
      <c r="J43" s="37"/>
      <c r="K43" s="37"/>
      <c r="L43" s="38"/>
      <c r="M43" s="38"/>
      <c r="N43" s="39"/>
      <c r="O43" s="37"/>
      <c r="P43" s="39"/>
      <c r="Q43" s="39"/>
      <c r="R43" s="38"/>
      <c r="S43" s="40">
        <f t="shared" si="1"/>
        <v>0</v>
      </c>
      <c r="T43" s="37"/>
      <c r="U43" s="37"/>
      <c r="V43" s="37"/>
      <c r="W43" s="37"/>
      <c r="X43" s="37"/>
      <c r="Y43" s="38"/>
      <c r="Z43" s="38"/>
      <c r="AA43" s="39"/>
      <c r="AB43" s="37"/>
      <c r="AC43" s="39"/>
      <c r="AD43" s="39"/>
      <c r="AE43" s="38"/>
      <c r="AF43" s="40">
        <f t="shared" si="3"/>
        <v>0</v>
      </c>
      <c r="AG43" s="104">
        <f t="shared" si="3"/>
        <v>0</v>
      </c>
    </row>
    <row r="44" spans="2:33" ht="12.75" x14ac:dyDescent="0.3">
      <c r="B44" s="27"/>
      <c r="C44" s="29" t="s">
        <v>29</v>
      </c>
      <c r="D44" s="30"/>
      <c r="E44" s="42"/>
      <c r="F44" s="31"/>
      <c r="G44" s="32">
        <v>0</v>
      </c>
      <c r="H44" s="33">
        <v>0</v>
      </c>
      <c r="I44" s="33">
        <v>0</v>
      </c>
      <c r="J44" s="33">
        <v>0</v>
      </c>
      <c r="K44" s="33">
        <v>0</v>
      </c>
      <c r="L44" s="34">
        <v>0</v>
      </c>
      <c r="M44" s="34">
        <v>0</v>
      </c>
      <c r="N44" s="33">
        <v>0</v>
      </c>
      <c r="O44" s="32">
        <v>0</v>
      </c>
      <c r="P44" s="33">
        <f t="shared" ref="P44:R44" si="24">P45+P50+P56+P60</f>
        <v>0</v>
      </c>
      <c r="Q44" s="33">
        <f t="shared" si="24"/>
        <v>0</v>
      </c>
      <c r="R44" s="34">
        <f t="shared" si="24"/>
        <v>0</v>
      </c>
      <c r="S44" s="26">
        <f t="shared" si="1"/>
        <v>0</v>
      </c>
      <c r="T44" s="32">
        <f t="shared" ref="T44:AE44" si="25">T45+T50+T56+T60</f>
        <v>0</v>
      </c>
      <c r="U44" s="33">
        <f t="shared" si="25"/>
        <v>0</v>
      </c>
      <c r="V44" s="33">
        <f t="shared" si="25"/>
        <v>0</v>
      </c>
      <c r="W44" s="33">
        <f t="shared" si="25"/>
        <v>0</v>
      </c>
      <c r="X44" s="33">
        <f t="shared" si="25"/>
        <v>0</v>
      </c>
      <c r="Y44" s="34">
        <f t="shared" si="25"/>
        <v>0</v>
      </c>
      <c r="Z44" s="34">
        <f t="shared" si="25"/>
        <v>0</v>
      </c>
      <c r="AA44" s="33">
        <f t="shared" si="25"/>
        <v>0</v>
      </c>
      <c r="AB44" s="32">
        <f t="shared" si="25"/>
        <v>0</v>
      </c>
      <c r="AC44" s="33">
        <f t="shared" si="25"/>
        <v>0</v>
      </c>
      <c r="AD44" s="33">
        <f t="shared" si="25"/>
        <v>0</v>
      </c>
      <c r="AE44" s="34">
        <f t="shared" si="25"/>
        <v>0</v>
      </c>
      <c r="AF44" s="26">
        <f t="shared" si="3"/>
        <v>0</v>
      </c>
      <c r="AG44" s="103">
        <f t="shared" si="3"/>
        <v>0</v>
      </c>
    </row>
    <row r="45" spans="2:33" ht="12.75" x14ac:dyDescent="0.3">
      <c r="B45" s="27"/>
      <c r="C45" s="27"/>
      <c r="D45" s="29" t="s">
        <v>30</v>
      </c>
      <c r="E45" s="42"/>
      <c r="F45" s="31"/>
      <c r="G45" s="32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f t="shared" ref="P45:R45" si="26">SUM(P46:P49)</f>
        <v>0</v>
      </c>
      <c r="Q45" s="33">
        <f t="shared" si="26"/>
        <v>0</v>
      </c>
      <c r="R45" s="34">
        <f t="shared" si="26"/>
        <v>0</v>
      </c>
      <c r="S45" s="26">
        <f t="shared" si="1"/>
        <v>0</v>
      </c>
      <c r="T45" s="32">
        <f t="shared" ref="T45:AE45" si="27">SUM(T46:T49)</f>
        <v>0</v>
      </c>
      <c r="U45" s="33">
        <f t="shared" si="27"/>
        <v>0</v>
      </c>
      <c r="V45" s="33">
        <f t="shared" si="27"/>
        <v>0</v>
      </c>
      <c r="W45" s="33">
        <f t="shared" si="27"/>
        <v>0</v>
      </c>
      <c r="X45" s="33">
        <f t="shared" si="27"/>
        <v>0</v>
      </c>
      <c r="Y45" s="33">
        <f t="shared" si="27"/>
        <v>0</v>
      </c>
      <c r="Z45" s="33">
        <f t="shared" si="27"/>
        <v>0</v>
      </c>
      <c r="AA45" s="33">
        <f t="shared" si="27"/>
        <v>0</v>
      </c>
      <c r="AB45" s="33">
        <f t="shared" si="27"/>
        <v>0</v>
      </c>
      <c r="AC45" s="33">
        <f t="shared" si="27"/>
        <v>0</v>
      </c>
      <c r="AD45" s="33">
        <f t="shared" si="27"/>
        <v>0</v>
      </c>
      <c r="AE45" s="34">
        <f t="shared" si="27"/>
        <v>0</v>
      </c>
      <c r="AF45" s="26">
        <f t="shared" si="3"/>
        <v>0</v>
      </c>
      <c r="AG45" s="103">
        <f t="shared" si="3"/>
        <v>0</v>
      </c>
    </row>
    <row r="46" spans="2:33" ht="12.75" x14ac:dyDescent="0.3">
      <c r="B46" s="27"/>
      <c r="C46" s="28"/>
      <c r="D46" s="28"/>
      <c r="E46" s="35">
        <v>4251000</v>
      </c>
      <c r="F46" s="55" t="s">
        <v>31</v>
      </c>
      <c r="G46" s="37"/>
      <c r="H46" s="37"/>
      <c r="I46" s="37"/>
      <c r="J46" s="37"/>
      <c r="K46" s="37"/>
      <c r="L46" s="38"/>
      <c r="M46" s="38"/>
      <c r="N46" s="39"/>
      <c r="O46" s="37"/>
      <c r="P46" s="39"/>
      <c r="Q46" s="39"/>
      <c r="R46" s="38"/>
      <c r="S46" s="40">
        <f t="shared" si="1"/>
        <v>0</v>
      </c>
      <c r="T46" s="37"/>
      <c r="U46" s="37"/>
      <c r="V46" s="37"/>
      <c r="W46" s="37"/>
      <c r="X46" s="37"/>
      <c r="Y46" s="38"/>
      <c r="Z46" s="38"/>
      <c r="AA46" s="39"/>
      <c r="AB46" s="37"/>
      <c r="AC46" s="39"/>
      <c r="AD46" s="39"/>
      <c r="AE46" s="38"/>
      <c r="AF46" s="40">
        <f t="shared" si="3"/>
        <v>0</v>
      </c>
      <c r="AG46" s="104">
        <f t="shared" si="3"/>
        <v>0</v>
      </c>
    </row>
    <row r="47" spans="2:33" ht="12.75" x14ac:dyDescent="0.3">
      <c r="B47" s="27"/>
      <c r="C47" s="28"/>
      <c r="D47" s="28"/>
      <c r="E47" s="41">
        <v>4251100</v>
      </c>
      <c r="F47" s="55" t="s">
        <v>32</v>
      </c>
      <c r="G47" s="37"/>
      <c r="H47" s="37"/>
      <c r="I47" s="37"/>
      <c r="J47" s="37"/>
      <c r="K47" s="37"/>
      <c r="L47" s="39"/>
      <c r="M47" s="39"/>
      <c r="N47" s="39"/>
      <c r="O47" s="39"/>
      <c r="P47" s="39"/>
      <c r="Q47" s="39"/>
      <c r="R47" s="38"/>
      <c r="S47" s="40">
        <f t="shared" si="1"/>
        <v>0</v>
      </c>
      <c r="T47" s="37"/>
      <c r="U47" s="37"/>
      <c r="V47" s="37"/>
      <c r="W47" s="37"/>
      <c r="X47" s="37"/>
      <c r="Y47" s="39"/>
      <c r="Z47" s="39"/>
      <c r="AA47" s="39"/>
      <c r="AB47" s="39"/>
      <c r="AC47" s="39"/>
      <c r="AD47" s="39"/>
      <c r="AE47" s="38"/>
      <c r="AF47" s="40">
        <f t="shared" si="3"/>
        <v>0</v>
      </c>
      <c r="AG47" s="104">
        <f t="shared" si="3"/>
        <v>0</v>
      </c>
    </row>
    <row r="48" spans="2:33" ht="12.75" x14ac:dyDescent="0.3">
      <c r="B48" s="27"/>
      <c r="C48" s="28"/>
      <c r="D48" s="28"/>
      <c r="E48" s="41">
        <v>4251110</v>
      </c>
      <c r="F48" s="55" t="s">
        <v>33</v>
      </c>
      <c r="G48" s="37"/>
      <c r="H48" s="37"/>
      <c r="I48" s="37"/>
      <c r="J48" s="37"/>
      <c r="K48" s="37"/>
      <c r="L48" s="38"/>
      <c r="M48" s="38"/>
      <c r="N48" s="39"/>
      <c r="O48" s="37"/>
      <c r="P48" s="39"/>
      <c r="Q48" s="39"/>
      <c r="R48" s="38"/>
      <c r="S48" s="40">
        <f t="shared" si="1"/>
        <v>0</v>
      </c>
      <c r="T48" s="37"/>
      <c r="U48" s="37"/>
      <c r="V48" s="37"/>
      <c r="W48" s="37"/>
      <c r="X48" s="37"/>
      <c r="Y48" s="38"/>
      <c r="Z48" s="38"/>
      <c r="AA48" s="39"/>
      <c r="AB48" s="37"/>
      <c r="AC48" s="39"/>
      <c r="AD48" s="39"/>
      <c r="AE48" s="38"/>
      <c r="AF48" s="40">
        <f t="shared" si="3"/>
        <v>0</v>
      </c>
      <c r="AG48" s="104">
        <f t="shared" si="3"/>
        <v>0</v>
      </c>
    </row>
    <row r="49" spans="2:33" ht="12.75" x14ac:dyDescent="0.3">
      <c r="B49" s="27"/>
      <c r="C49" s="28"/>
      <c r="D49" s="28"/>
      <c r="E49" s="41">
        <v>4251120</v>
      </c>
      <c r="F49" s="55" t="s">
        <v>34</v>
      </c>
      <c r="G49" s="37"/>
      <c r="H49" s="37"/>
      <c r="I49" s="37"/>
      <c r="J49" s="37"/>
      <c r="K49" s="37"/>
      <c r="L49" s="38"/>
      <c r="M49" s="38"/>
      <c r="N49" s="39"/>
      <c r="O49" s="37"/>
      <c r="P49" s="39"/>
      <c r="Q49" s="39"/>
      <c r="R49" s="38"/>
      <c r="S49" s="40">
        <f t="shared" si="1"/>
        <v>0</v>
      </c>
      <c r="T49" s="37"/>
      <c r="U49" s="37"/>
      <c r="V49" s="37"/>
      <c r="W49" s="37"/>
      <c r="X49" s="37"/>
      <c r="Y49" s="38"/>
      <c r="Z49" s="38"/>
      <c r="AA49" s="39"/>
      <c r="AB49" s="37"/>
      <c r="AC49" s="39"/>
      <c r="AD49" s="39"/>
      <c r="AE49" s="38"/>
      <c r="AF49" s="40">
        <f t="shared" si="3"/>
        <v>0</v>
      </c>
      <c r="AG49" s="104">
        <f t="shared" si="3"/>
        <v>0</v>
      </c>
    </row>
    <row r="50" spans="2:33" ht="12.75" x14ac:dyDescent="0.3">
      <c r="B50" s="27"/>
      <c r="C50" s="28"/>
      <c r="D50" s="29" t="s">
        <v>35</v>
      </c>
      <c r="E50" s="42"/>
      <c r="F50" s="31"/>
      <c r="G50" s="32">
        <v>0</v>
      </c>
      <c r="H50" s="33">
        <v>0</v>
      </c>
      <c r="I50" s="33">
        <v>0</v>
      </c>
      <c r="J50" s="33">
        <v>0</v>
      </c>
      <c r="K50" s="33">
        <v>0</v>
      </c>
      <c r="L50" s="34">
        <v>0</v>
      </c>
      <c r="M50" s="34">
        <v>0</v>
      </c>
      <c r="N50" s="33">
        <v>0</v>
      </c>
      <c r="O50" s="32">
        <v>0</v>
      </c>
      <c r="P50" s="33">
        <f t="shared" ref="P50:R50" si="28">SUM(P51:P55)</f>
        <v>0</v>
      </c>
      <c r="Q50" s="33">
        <f t="shared" si="28"/>
        <v>0</v>
      </c>
      <c r="R50" s="34">
        <f t="shared" si="28"/>
        <v>0</v>
      </c>
      <c r="S50" s="26">
        <f t="shared" si="1"/>
        <v>0</v>
      </c>
      <c r="T50" s="32">
        <f t="shared" ref="T50:AE50" si="29">SUM(T51:T55)</f>
        <v>0</v>
      </c>
      <c r="U50" s="33">
        <f t="shared" si="29"/>
        <v>0</v>
      </c>
      <c r="V50" s="33">
        <f t="shared" si="29"/>
        <v>0</v>
      </c>
      <c r="W50" s="33">
        <f t="shared" si="29"/>
        <v>0</v>
      </c>
      <c r="X50" s="33">
        <f t="shared" si="29"/>
        <v>0</v>
      </c>
      <c r="Y50" s="34">
        <f t="shared" si="29"/>
        <v>0</v>
      </c>
      <c r="Z50" s="34">
        <f t="shared" si="29"/>
        <v>0</v>
      </c>
      <c r="AA50" s="33">
        <f t="shared" si="29"/>
        <v>0</v>
      </c>
      <c r="AB50" s="32">
        <f t="shared" si="29"/>
        <v>0</v>
      </c>
      <c r="AC50" s="33">
        <f t="shared" si="29"/>
        <v>0</v>
      </c>
      <c r="AD50" s="33">
        <f t="shared" si="29"/>
        <v>0</v>
      </c>
      <c r="AE50" s="34">
        <f t="shared" si="29"/>
        <v>0</v>
      </c>
      <c r="AF50" s="26">
        <f t="shared" si="3"/>
        <v>0</v>
      </c>
      <c r="AG50" s="103">
        <f t="shared" si="3"/>
        <v>0</v>
      </c>
    </row>
    <row r="51" spans="2:33" ht="12.75" x14ac:dyDescent="0.3">
      <c r="B51" s="27"/>
      <c r="C51" s="28"/>
      <c r="D51" s="28"/>
      <c r="E51" s="41">
        <v>4251210</v>
      </c>
      <c r="F51" s="55" t="s">
        <v>36</v>
      </c>
      <c r="G51" s="37"/>
      <c r="H51" s="37"/>
      <c r="I51" s="37"/>
      <c r="J51" s="37"/>
      <c r="K51" s="37"/>
      <c r="L51" s="39"/>
      <c r="M51" s="39"/>
      <c r="N51" s="39"/>
      <c r="O51" s="39"/>
      <c r="P51" s="39"/>
      <c r="Q51" s="39"/>
      <c r="R51" s="38"/>
      <c r="S51" s="40">
        <f t="shared" si="1"/>
        <v>0</v>
      </c>
      <c r="T51" s="37"/>
      <c r="U51" s="37"/>
      <c r="V51" s="37"/>
      <c r="W51" s="37"/>
      <c r="X51" s="37"/>
      <c r="Y51" s="39"/>
      <c r="Z51" s="39"/>
      <c r="AA51" s="39"/>
      <c r="AB51" s="39"/>
      <c r="AC51" s="39"/>
      <c r="AD51" s="39"/>
      <c r="AE51" s="38"/>
      <c r="AF51" s="40">
        <f t="shared" si="3"/>
        <v>0</v>
      </c>
      <c r="AG51" s="104">
        <f t="shared" si="3"/>
        <v>0</v>
      </c>
    </row>
    <row r="52" spans="2:33" ht="12.75" x14ac:dyDescent="0.3">
      <c r="B52" s="27"/>
      <c r="C52" s="28"/>
      <c r="D52" s="28"/>
      <c r="E52" s="41">
        <v>4251230</v>
      </c>
      <c r="F52" s="55" t="s">
        <v>37</v>
      </c>
      <c r="G52" s="37"/>
      <c r="H52" s="37"/>
      <c r="I52" s="37"/>
      <c r="J52" s="37"/>
      <c r="K52" s="37"/>
      <c r="L52" s="38"/>
      <c r="M52" s="38"/>
      <c r="N52" s="39"/>
      <c r="O52" s="37"/>
      <c r="P52" s="39"/>
      <c r="Q52" s="39"/>
      <c r="R52" s="38"/>
      <c r="S52" s="40">
        <f t="shared" si="1"/>
        <v>0</v>
      </c>
      <c r="T52" s="37"/>
      <c r="U52" s="37"/>
      <c r="V52" s="37"/>
      <c r="W52" s="37"/>
      <c r="X52" s="37"/>
      <c r="Y52" s="38"/>
      <c r="Z52" s="38"/>
      <c r="AA52" s="39"/>
      <c r="AB52" s="37"/>
      <c r="AC52" s="39"/>
      <c r="AD52" s="39"/>
      <c r="AE52" s="38"/>
      <c r="AF52" s="40">
        <f t="shared" si="3"/>
        <v>0</v>
      </c>
      <c r="AG52" s="104">
        <f t="shared" si="3"/>
        <v>0</v>
      </c>
    </row>
    <row r="53" spans="2:33" ht="12.75" x14ac:dyDescent="0.3">
      <c r="B53" s="27"/>
      <c r="C53" s="28"/>
      <c r="D53" s="28"/>
      <c r="E53" s="41">
        <v>4251200</v>
      </c>
      <c r="F53" s="55" t="s">
        <v>38</v>
      </c>
      <c r="G53" s="37"/>
      <c r="H53" s="37"/>
      <c r="I53" s="37"/>
      <c r="J53" s="37"/>
      <c r="K53" s="37"/>
      <c r="L53" s="38"/>
      <c r="M53" s="38"/>
      <c r="N53" s="39"/>
      <c r="O53" s="37"/>
      <c r="P53" s="39"/>
      <c r="Q53" s="39"/>
      <c r="R53" s="38"/>
      <c r="S53" s="40">
        <f t="shared" ref="S53:S116" si="30">SUM(G53:R53)</f>
        <v>0</v>
      </c>
      <c r="T53" s="37"/>
      <c r="U53" s="37"/>
      <c r="V53" s="37"/>
      <c r="W53" s="37"/>
      <c r="X53" s="37"/>
      <c r="Y53" s="38"/>
      <c r="Z53" s="38"/>
      <c r="AA53" s="39"/>
      <c r="AB53" s="37"/>
      <c r="AC53" s="39"/>
      <c r="AD53" s="39"/>
      <c r="AE53" s="38"/>
      <c r="AF53" s="40">
        <f t="shared" ref="AF53:AG116" si="31">SUM(T53:AE53)</f>
        <v>0</v>
      </c>
      <c r="AG53" s="104">
        <f t="shared" si="31"/>
        <v>0</v>
      </c>
    </row>
    <row r="54" spans="2:33" ht="12.75" x14ac:dyDescent="0.3">
      <c r="B54" s="27"/>
      <c r="C54" s="28"/>
      <c r="D54" s="28"/>
      <c r="E54" s="41">
        <v>4251220</v>
      </c>
      <c r="F54" s="55" t="s">
        <v>39</v>
      </c>
      <c r="G54" s="37"/>
      <c r="H54" s="37"/>
      <c r="I54" s="37"/>
      <c r="J54" s="37"/>
      <c r="K54" s="37"/>
      <c r="L54" s="39"/>
      <c r="M54" s="39"/>
      <c r="N54" s="39"/>
      <c r="O54" s="39"/>
      <c r="P54" s="39"/>
      <c r="Q54" s="39"/>
      <c r="R54" s="38"/>
      <c r="S54" s="40">
        <f t="shared" si="30"/>
        <v>0</v>
      </c>
      <c r="T54" s="37"/>
      <c r="U54" s="37"/>
      <c r="V54" s="37"/>
      <c r="W54" s="37"/>
      <c r="X54" s="37"/>
      <c r="Y54" s="39"/>
      <c r="Z54" s="39"/>
      <c r="AA54" s="39"/>
      <c r="AB54" s="39"/>
      <c r="AC54" s="39"/>
      <c r="AD54" s="39"/>
      <c r="AE54" s="38"/>
      <c r="AF54" s="40">
        <f t="shared" si="31"/>
        <v>0</v>
      </c>
      <c r="AG54" s="104">
        <f t="shared" si="31"/>
        <v>0</v>
      </c>
    </row>
    <row r="55" spans="2:33" ht="12.75" x14ac:dyDescent="0.3">
      <c r="B55" s="27"/>
      <c r="C55" s="28"/>
      <c r="D55" s="28"/>
      <c r="E55" s="44">
        <v>4251240</v>
      </c>
      <c r="F55" s="55" t="s">
        <v>40</v>
      </c>
      <c r="G55" s="37"/>
      <c r="H55" s="37"/>
      <c r="I55" s="37"/>
      <c r="J55" s="37"/>
      <c r="K55" s="37"/>
      <c r="L55" s="38"/>
      <c r="M55" s="38"/>
      <c r="N55" s="39"/>
      <c r="O55" s="37"/>
      <c r="P55" s="39"/>
      <c r="Q55" s="39"/>
      <c r="R55" s="38"/>
      <c r="S55" s="40">
        <f t="shared" si="30"/>
        <v>0</v>
      </c>
      <c r="T55" s="37"/>
      <c r="U55" s="37"/>
      <c r="V55" s="37"/>
      <c r="W55" s="37"/>
      <c r="X55" s="37"/>
      <c r="Y55" s="38"/>
      <c r="Z55" s="38"/>
      <c r="AA55" s="39"/>
      <c r="AB55" s="37"/>
      <c r="AC55" s="39"/>
      <c r="AD55" s="39"/>
      <c r="AE55" s="38"/>
      <c r="AF55" s="40">
        <f t="shared" si="31"/>
        <v>0</v>
      </c>
      <c r="AG55" s="104">
        <f t="shared" si="31"/>
        <v>0</v>
      </c>
    </row>
    <row r="56" spans="2:33" ht="12.75" x14ac:dyDescent="0.3">
      <c r="B56" s="27"/>
      <c r="C56" s="28"/>
      <c r="D56" s="29" t="s">
        <v>41</v>
      </c>
      <c r="E56" s="42"/>
      <c r="F56" s="31"/>
      <c r="G56" s="32">
        <v>0</v>
      </c>
      <c r="H56" s="33">
        <v>0</v>
      </c>
      <c r="I56" s="33">
        <v>0</v>
      </c>
      <c r="J56" s="33">
        <v>0</v>
      </c>
      <c r="K56" s="33">
        <v>0</v>
      </c>
      <c r="L56" s="34">
        <v>0</v>
      </c>
      <c r="M56" s="34">
        <v>0</v>
      </c>
      <c r="N56" s="33">
        <v>0</v>
      </c>
      <c r="O56" s="32">
        <v>0</v>
      </c>
      <c r="P56" s="33">
        <f t="shared" ref="P56:R56" si="32">SUM(P57:P59)</f>
        <v>0</v>
      </c>
      <c r="Q56" s="33">
        <f t="shared" si="32"/>
        <v>0</v>
      </c>
      <c r="R56" s="34">
        <f t="shared" si="32"/>
        <v>0</v>
      </c>
      <c r="S56" s="26">
        <f t="shared" si="30"/>
        <v>0</v>
      </c>
      <c r="T56" s="32">
        <f t="shared" ref="T56:AE56" si="33">SUM(T57:T59)</f>
        <v>0</v>
      </c>
      <c r="U56" s="33">
        <f t="shared" si="33"/>
        <v>0</v>
      </c>
      <c r="V56" s="33">
        <f t="shared" si="33"/>
        <v>0</v>
      </c>
      <c r="W56" s="33">
        <f t="shared" si="33"/>
        <v>0</v>
      </c>
      <c r="X56" s="33">
        <f t="shared" si="33"/>
        <v>0</v>
      </c>
      <c r="Y56" s="34">
        <f t="shared" si="33"/>
        <v>0</v>
      </c>
      <c r="Z56" s="34">
        <f t="shared" si="33"/>
        <v>0</v>
      </c>
      <c r="AA56" s="33">
        <f t="shared" si="33"/>
        <v>0</v>
      </c>
      <c r="AB56" s="32">
        <f t="shared" si="33"/>
        <v>0</v>
      </c>
      <c r="AC56" s="33">
        <f t="shared" si="33"/>
        <v>0</v>
      </c>
      <c r="AD56" s="33">
        <f t="shared" si="33"/>
        <v>0</v>
      </c>
      <c r="AE56" s="34">
        <f t="shared" si="33"/>
        <v>0</v>
      </c>
      <c r="AF56" s="26">
        <f t="shared" si="31"/>
        <v>0</v>
      </c>
      <c r="AG56" s="103">
        <f t="shared" si="31"/>
        <v>0</v>
      </c>
    </row>
    <row r="57" spans="2:33" ht="12.75" x14ac:dyDescent="0.3">
      <c r="B57" s="27"/>
      <c r="C57" s="28"/>
      <c r="D57" s="28"/>
      <c r="E57" s="41">
        <v>4251300</v>
      </c>
      <c r="F57" s="55" t="s">
        <v>42</v>
      </c>
      <c r="G57" s="37"/>
      <c r="H57" s="37"/>
      <c r="I57" s="37"/>
      <c r="J57" s="37"/>
      <c r="K57" s="37"/>
      <c r="L57" s="39"/>
      <c r="M57" s="39"/>
      <c r="N57" s="39"/>
      <c r="O57" s="39"/>
      <c r="P57" s="39"/>
      <c r="Q57" s="39"/>
      <c r="R57" s="38"/>
      <c r="S57" s="40">
        <f t="shared" si="30"/>
        <v>0</v>
      </c>
      <c r="T57" s="37"/>
      <c r="U57" s="37"/>
      <c r="V57" s="37"/>
      <c r="W57" s="37"/>
      <c r="X57" s="37"/>
      <c r="Y57" s="39"/>
      <c r="Z57" s="39"/>
      <c r="AA57" s="39"/>
      <c r="AB57" s="39"/>
      <c r="AC57" s="39"/>
      <c r="AD57" s="39"/>
      <c r="AE57" s="38"/>
      <c r="AF57" s="40">
        <f t="shared" si="31"/>
        <v>0</v>
      </c>
      <c r="AG57" s="104">
        <f t="shared" si="31"/>
        <v>0</v>
      </c>
    </row>
    <row r="58" spans="2:33" ht="12.75" x14ac:dyDescent="0.3">
      <c r="B58" s="27"/>
      <c r="C58" s="28"/>
      <c r="D58" s="28"/>
      <c r="E58" s="41">
        <v>4251310</v>
      </c>
      <c r="F58" s="55" t="s">
        <v>43</v>
      </c>
      <c r="G58" s="37"/>
      <c r="H58" s="37"/>
      <c r="I58" s="37"/>
      <c r="J58" s="37"/>
      <c r="K58" s="37"/>
      <c r="L58" s="38"/>
      <c r="M58" s="38"/>
      <c r="N58" s="39"/>
      <c r="O58" s="37"/>
      <c r="P58" s="39"/>
      <c r="Q58" s="39"/>
      <c r="R58" s="38"/>
      <c r="S58" s="40">
        <f t="shared" si="30"/>
        <v>0</v>
      </c>
      <c r="T58" s="37"/>
      <c r="U58" s="37"/>
      <c r="V58" s="37"/>
      <c r="W58" s="37"/>
      <c r="X58" s="37"/>
      <c r="Y58" s="38"/>
      <c r="Z58" s="38"/>
      <c r="AA58" s="39"/>
      <c r="AB58" s="37"/>
      <c r="AC58" s="39"/>
      <c r="AD58" s="39"/>
      <c r="AE58" s="38"/>
      <c r="AF58" s="40">
        <f t="shared" si="31"/>
        <v>0</v>
      </c>
      <c r="AG58" s="104">
        <f t="shared" si="31"/>
        <v>0</v>
      </c>
    </row>
    <row r="59" spans="2:33" ht="12.75" x14ac:dyDescent="0.3">
      <c r="B59" s="27"/>
      <c r="C59" s="28"/>
      <c r="D59" s="28"/>
      <c r="E59" s="41">
        <v>4251320</v>
      </c>
      <c r="F59" s="55" t="s">
        <v>44</v>
      </c>
      <c r="G59" s="37"/>
      <c r="H59" s="37"/>
      <c r="I59" s="37"/>
      <c r="J59" s="37"/>
      <c r="K59" s="37"/>
      <c r="L59" s="38"/>
      <c r="M59" s="38"/>
      <c r="N59" s="39"/>
      <c r="O59" s="37"/>
      <c r="P59" s="39"/>
      <c r="Q59" s="39"/>
      <c r="R59" s="38"/>
      <c r="S59" s="40">
        <f t="shared" si="30"/>
        <v>0</v>
      </c>
      <c r="T59" s="37"/>
      <c r="U59" s="37"/>
      <c r="V59" s="37"/>
      <c r="W59" s="37"/>
      <c r="X59" s="37"/>
      <c r="Y59" s="38"/>
      <c r="Z59" s="38"/>
      <c r="AA59" s="39"/>
      <c r="AB59" s="37"/>
      <c r="AC59" s="39"/>
      <c r="AD59" s="39"/>
      <c r="AE59" s="38"/>
      <c r="AF59" s="40">
        <f t="shared" si="31"/>
        <v>0</v>
      </c>
      <c r="AG59" s="104">
        <f t="shared" si="31"/>
        <v>0</v>
      </c>
    </row>
    <row r="60" spans="2:33" ht="12.75" x14ac:dyDescent="0.3">
      <c r="B60" s="27"/>
      <c r="C60" s="28"/>
      <c r="D60" s="29" t="s">
        <v>45</v>
      </c>
      <c r="E60" s="42"/>
      <c r="F60" s="31"/>
      <c r="G60" s="32">
        <v>0</v>
      </c>
      <c r="H60" s="33">
        <v>0</v>
      </c>
      <c r="I60" s="33">
        <v>0</v>
      </c>
      <c r="J60" s="33">
        <v>0</v>
      </c>
      <c r="K60" s="33">
        <v>0</v>
      </c>
      <c r="L60" s="34">
        <v>0</v>
      </c>
      <c r="M60" s="34">
        <v>0</v>
      </c>
      <c r="N60" s="33">
        <v>0</v>
      </c>
      <c r="O60" s="32">
        <v>0</v>
      </c>
      <c r="P60" s="33">
        <f t="shared" ref="P60:R60" si="34">SUM(P61:P89)</f>
        <v>0</v>
      </c>
      <c r="Q60" s="33">
        <f t="shared" si="34"/>
        <v>0</v>
      </c>
      <c r="R60" s="34">
        <f t="shared" si="34"/>
        <v>0</v>
      </c>
      <c r="S60" s="26">
        <f t="shared" si="30"/>
        <v>0</v>
      </c>
      <c r="T60" s="32">
        <f t="shared" ref="T60:AE60" si="35">SUM(T61:T89)</f>
        <v>0</v>
      </c>
      <c r="U60" s="33">
        <f t="shared" si="35"/>
        <v>0</v>
      </c>
      <c r="V60" s="33">
        <f t="shared" si="35"/>
        <v>0</v>
      </c>
      <c r="W60" s="33">
        <f t="shared" si="35"/>
        <v>0</v>
      </c>
      <c r="X60" s="33">
        <f t="shared" si="35"/>
        <v>0</v>
      </c>
      <c r="Y60" s="34">
        <f t="shared" si="35"/>
        <v>0</v>
      </c>
      <c r="Z60" s="34">
        <f t="shared" si="35"/>
        <v>0</v>
      </c>
      <c r="AA60" s="33">
        <f t="shared" si="35"/>
        <v>0</v>
      </c>
      <c r="AB60" s="32">
        <f t="shared" si="35"/>
        <v>0</v>
      </c>
      <c r="AC60" s="33">
        <f t="shared" si="35"/>
        <v>0</v>
      </c>
      <c r="AD60" s="33">
        <f t="shared" si="35"/>
        <v>0</v>
      </c>
      <c r="AE60" s="34">
        <f t="shared" si="35"/>
        <v>0</v>
      </c>
      <c r="AF60" s="26">
        <f t="shared" si="31"/>
        <v>0</v>
      </c>
      <c r="AG60" s="103">
        <f t="shared" si="31"/>
        <v>0</v>
      </c>
    </row>
    <row r="61" spans="2:33" ht="12.75" x14ac:dyDescent="0.3">
      <c r="B61" s="27"/>
      <c r="C61" s="28"/>
      <c r="D61" s="28"/>
      <c r="E61" s="41">
        <v>4252800</v>
      </c>
      <c r="F61" s="41" t="s">
        <v>46</v>
      </c>
      <c r="G61" s="37"/>
      <c r="H61" s="37"/>
      <c r="I61" s="37"/>
      <c r="J61" s="37"/>
      <c r="K61" s="37"/>
      <c r="L61" s="38"/>
      <c r="M61" s="38"/>
      <c r="N61" s="39"/>
      <c r="O61" s="37"/>
      <c r="P61" s="37"/>
      <c r="Q61" s="37"/>
      <c r="R61" s="43"/>
      <c r="S61" s="40">
        <f t="shared" si="30"/>
        <v>0</v>
      </c>
      <c r="T61" s="37"/>
      <c r="U61" s="37"/>
      <c r="V61" s="37"/>
      <c r="W61" s="37"/>
      <c r="X61" s="37"/>
      <c r="Y61" s="38"/>
      <c r="Z61" s="38"/>
      <c r="AA61" s="39"/>
      <c r="AB61" s="37"/>
      <c r="AC61" s="37"/>
      <c r="AD61" s="37"/>
      <c r="AE61" s="43"/>
      <c r="AF61" s="40">
        <f t="shared" si="31"/>
        <v>0</v>
      </c>
      <c r="AG61" s="104">
        <f t="shared" si="31"/>
        <v>0</v>
      </c>
    </row>
    <row r="62" spans="2:33" ht="12.75" x14ac:dyDescent="0.3">
      <c r="B62" s="27"/>
      <c r="C62" s="28"/>
      <c r="D62" s="28"/>
      <c r="E62" s="41">
        <v>4252810</v>
      </c>
      <c r="F62" s="55" t="s">
        <v>47</v>
      </c>
      <c r="G62" s="37"/>
      <c r="H62" s="37"/>
      <c r="I62" s="37"/>
      <c r="J62" s="37"/>
      <c r="K62" s="37"/>
      <c r="L62" s="38"/>
      <c r="M62" s="38"/>
      <c r="N62" s="39"/>
      <c r="O62" s="37"/>
      <c r="P62" s="39"/>
      <c r="Q62" s="39"/>
      <c r="R62" s="38"/>
      <c r="S62" s="40">
        <f t="shared" si="30"/>
        <v>0</v>
      </c>
      <c r="T62" s="37"/>
      <c r="U62" s="37"/>
      <c r="V62" s="37"/>
      <c r="W62" s="37"/>
      <c r="X62" s="37"/>
      <c r="Y62" s="38"/>
      <c r="Z62" s="38"/>
      <c r="AA62" s="39"/>
      <c r="AB62" s="37"/>
      <c r="AC62" s="39"/>
      <c r="AD62" s="39"/>
      <c r="AE62" s="38"/>
      <c r="AF62" s="40">
        <f t="shared" si="31"/>
        <v>0</v>
      </c>
      <c r="AG62" s="104">
        <f t="shared" si="31"/>
        <v>0</v>
      </c>
    </row>
    <row r="63" spans="2:33" ht="12.75" x14ac:dyDescent="0.3">
      <c r="B63" s="27"/>
      <c r="C63" s="28"/>
      <c r="D63" s="28"/>
      <c r="E63" s="41">
        <v>4252820</v>
      </c>
      <c r="F63" s="55" t="s">
        <v>48</v>
      </c>
      <c r="G63" s="37"/>
      <c r="H63" s="37"/>
      <c r="I63" s="37"/>
      <c r="J63" s="37"/>
      <c r="K63" s="37"/>
      <c r="L63" s="39"/>
      <c r="M63" s="39"/>
      <c r="N63" s="39"/>
      <c r="O63" s="39"/>
      <c r="P63" s="39"/>
      <c r="Q63" s="39"/>
      <c r="R63" s="38"/>
      <c r="S63" s="40">
        <f t="shared" si="30"/>
        <v>0</v>
      </c>
      <c r="T63" s="37"/>
      <c r="U63" s="37"/>
      <c r="V63" s="37"/>
      <c r="W63" s="37"/>
      <c r="X63" s="37"/>
      <c r="Y63" s="39"/>
      <c r="Z63" s="39"/>
      <c r="AA63" s="39"/>
      <c r="AB63" s="39"/>
      <c r="AC63" s="39"/>
      <c r="AD63" s="39"/>
      <c r="AE63" s="38"/>
      <c r="AF63" s="40">
        <f t="shared" si="31"/>
        <v>0</v>
      </c>
      <c r="AG63" s="104">
        <f t="shared" si="31"/>
        <v>0</v>
      </c>
    </row>
    <row r="64" spans="2:33" ht="12.75" x14ac:dyDescent="0.3">
      <c r="B64" s="27"/>
      <c r="C64" s="28"/>
      <c r="D64" s="28"/>
      <c r="E64" s="41">
        <v>4252830</v>
      </c>
      <c r="F64" s="55" t="s">
        <v>49</v>
      </c>
      <c r="G64" s="37"/>
      <c r="H64" s="37"/>
      <c r="I64" s="37"/>
      <c r="J64" s="37"/>
      <c r="K64" s="37"/>
      <c r="L64" s="38"/>
      <c r="M64" s="38"/>
      <c r="N64" s="39"/>
      <c r="O64" s="37"/>
      <c r="P64" s="39"/>
      <c r="Q64" s="39"/>
      <c r="R64" s="38"/>
      <c r="S64" s="40">
        <f t="shared" si="30"/>
        <v>0</v>
      </c>
      <c r="T64" s="37"/>
      <c r="U64" s="37"/>
      <c r="V64" s="37"/>
      <c r="W64" s="37"/>
      <c r="X64" s="37"/>
      <c r="Y64" s="38"/>
      <c r="Z64" s="38"/>
      <c r="AA64" s="39"/>
      <c r="AB64" s="37"/>
      <c r="AC64" s="39"/>
      <c r="AD64" s="39"/>
      <c r="AE64" s="38"/>
      <c r="AF64" s="40">
        <f t="shared" si="31"/>
        <v>0</v>
      </c>
      <c r="AG64" s="104">
        <f t="shared" si="31"/>
        <v>0</v>
      </c>
    </row>
    <row r="65" spans="2:33" ht="12.75" x14ac:dyDescent="0.3">
      <c r="B65" s="27"/>
      <c r="C65" s="28"/>
      <c r="D65" s="28"/>
      <c r="E65" s="41">
        <v>4252840</v>
      </c>
      <c r="F65" s="55" t="s">
        <v>50</v>
      </c>
      <c r="G65" s="37"/>
      <c r="H65" s="37"/>
      <c r="I65" s="37"/>
      <c r="J65" s="37"/>
      <c r="K65" s="37"/>
      <c r="L65" s="39"/>
      <c r="M65" s="39"/>
      <c r="N65" s="39"/>
      <c r="O65" s="39"/>
      <c r="P65" s="39"/>
      <c r="Q65" s="39"/>
      <c r="R65" s="38"/>
      <c r="S65" s="40">
        <f t="shared" si="30"/>
        <v>0</v>
      </c>
      <c r="T65" s="37"/>
      <c r="U65" s="37"/>
      <c r="V65" s="37"/>
      <c r="W65" s="37"/>
      <c r="X65" s="37"/>
      <c r="Y65" s="39"/>
      <c r="Z65" s="39"/>
      <c r="AA65" s="39"/>
      <c r="AB65" s="39"/>
      <c r="AC65" s="39"/>
      <c r="AD65" s="39"/>
      <c r="AE65" s="38"/>
      <c r="AF65" s="40">
        <f t="shared" si="31"/>
        <v>0</v>
      </c>
      <c r="AG65" s="104">
        <f t="shared" si="31"/>
        <v>0</v>
      </c>
    </row>
    <row r="66" spans="2:33" ht="12.75" x14ac:dyDescent="0.3">
      <c r="B66" s="27"/>
      <c r="C66" s="28"/>
      <c r="D66" s="28"/>
      <c r="E66" s="41">
        <v>4252850</v>
      </c>
      <c r="F66" s="55" t="s">
        <v>51</v>
      </c>
      <c r="G66" s="37"/>
      <c r="H66" s="37"/>
      <c r="I66" s="37"/>
      <c r="J66" s="37"/>
      <c r="K66" s="37"/>
      <c r="L66" s="38"/>
      <c r="M66" s="38"/>
      <c r="N66" s="39"/>
      <c r="O66" s="37"/>
      <c r="P66" s="39"/>
      <c r="Q66" s="39"/>
      <c r="R66" s="38"/>
      <c r="S66" s="40">
        <f t="shared" si="30"/>
        <v>0</v>
      </c>
      <c r="T66" s="37"/>
      <c r="U66" s="37"/>
      <c r="V66" s="37"/>
      <c r="W66" s="37"/>
      <c r="X66" s="37"/>
      <c r="Y66" s="38"/>
      <c r="Z66" s="38"/>
      <c r="AA66" s="39"/>
      <c r="AB66" s="37"/>
      <c r="AC66" s="39"/>
      <c r="AD66" s="39"/>
      <c r="AE66" s="38"/>
      <c r="AF66" s="40">
        <f t="shared" si="31"/>
        <v>0</v>
      </c>
      <c r="AG66" s="104">
        <f t="shared" si="31"/>
        <v>0</v>
      </c>
    </row>
    <row r="67" spans="2:33" ht="12.75" x14ac:dyDescent="0.3">
      <c r="B67" s="27"/>
      <c r="C67" s="28"/>
      <c r="D67" s="28"/>
      <c r="E67" s="41">
        <v>4252860</v>
      </c>
      <c r="F67" s="55" t="s">
        <v>52</v>
      </c>
      <c r="G67" s="37"/>
      <c r="H67" s="37"/>
      <c r="I67" s="37"/>
      <c r="J67" s="37"/>
      <c r="K67" s="37"/>
      <c r="L67" s="39"/>
      <c r="M67" s="39"/>
      <c r="N67" s="39"/>
      <c r="O67" s="39"/>
      <c r="P67" s="39"/>
      <c r="Q67" s="39"/>
      <c r="R67" s="38"/>
      <c r="S67" s="40">
        <f t="shared" si="30"/>
        <v>0</v>
      </c>
      <c r="T67" s="37"/>
      <c r="U67" s="37"/>
      <c r="V67" s="37"/>
      <c r="W67" s="37"/>
      <c r="X67" s="37"/>
      <c r="Y67" s="39"/>
      <c r="Z67" s="39"/>
      <c r="AA67" s="39"/>
      <c r="AB67" s="39"/>
      <c r="AC67" s="39"/>
      <c r="AD67" s="39"/>
      <c r="AE67" s="38"/>
      <c r="AF67" s="40">
        <f t="shared" si="31"/>
        <v>0</v>
      </c>
      <c r="AG67" s="104">
        <f t="shared" si="31"/>
        <v>0</v>
      </c>
    </row>
    <row r="68" spans="2:33" ht="12.75" x14ac:dyDescent="0.3">
      <c r="B68" s="27"/>
      <c r="C68" s="28"/>
      <c r="D68" s="28"/>
      <c r="E68" s="41">
        <v>4252870</v>
      </c>
      <c r="F68" s="55" t="s">
        <v>53</v>
      </c>
      <c r="G68" s="37"/>
      <c r="H68" s="37"/>
      <c r="I68" s="37"/>
      <c r="J68" s="37"/>
      <c r="K68" s="37"/>
      <c r="L68" s="38"/>
      <c r="M68" s="38"/>
      <c r="N68" s="39"/>
      <c r="O68" s="37"/>
      <c r="P68" s="39"/>
      <c r="Q68" s="39"/>
      <c r="R68" s="38"/>
      <c r="S68" s="40">
        <f t="shared" si="30"/>
        <v>0</v>
      </c>
      <c r="T68" s="37"/>
      <c r="U68" s="37"/>
      <c r="V68" s="37"/>
      <c r="W68" s="37"/>
      <c r="X68" s="37"/>
      <c r="Y68" s="38"/>
      <c r="Z68" s="38"/>
      <c r="AA68" s="39"/>
      <c r="AB68" s="37"/>
      <c r="AC68" s="39"/>
      <c r="AD68" s="39"/>
      <c r="AE68" s="38"/>
      <c r="AF68" s="40">
        <f t="shared" si="31"/>
        <v>0</v>
      </c>
      <c r="AG68" s="104">
        <f t="shared" si="31"/>
        <v>0</v>
      </c>
    </row>
    <row r="69" spans="2:33" ht="12.75" x14ac:dyDescent="0.3">
      <c r="B69" s="27"/>
      <c r="C69" s="28"/>
      <c r="D69" s="28"/>
      <c r="E69" s="41">
        <v>4252880</v>
      </c>
      <c r="F69" s="55" t="s">
        <v>54</v>
      </c>
      <c r="G69" s="37"/>
      <c r="H69" s="37"/>
      <c r="I69" s="37"/>
      <c r="J69" s="37"/>
      <c r="K69" s="37"/>
      <c r="L69" s="38"/>
      <c r="M69" s="38"/>
      <c r="N69" s="39"/>
      <c r="O69" s="37"/>
      <c r="P69" s="39"/>
      <c r="Q69" s="39"/>
      <c r="R69" s="38"/>
      <c r="S69" s="40">
        <f t="shared" si="30"/>
        <v>0</v>
      </c>
      <c r="T69" s="37"/>
      <c r="U69" s="37"/>
      <c r="V69" s="37"/>
      <c r="W69" s="37"/>
      <c r="X69" s="37"/>
      <c r="Y69" s="38"/>
      <c r="Z69" s="38"/>
      <c r="AA69" s="39"/>
      <c r="AB69" s="37"/>
      <c r="AC69" s="39"/>
      <c r="AD69" s="39"/>
      <c r="AE69" s="38"/>
      <c r="AF69" s="40">
        <f t="shared" si="31"/>
        <v>0</v>
      </c>
      <c r="AG69" s="104">
        <f t="shared" si="31"/>
        <v>0</v>
      </c>
    </row>
    <row r="70" spans="2:33" ht="12.75" x14ac:dyDescent="0.3">
      <c r="B70" s="27"/>
      <c r="C70" s="28"/>
      <c r="D70" s="28"/>
      <c r="E70" s="41">
        <v>4252890</v>
      </c>
      <c r="F70" s="55" t="s">
        <v>55</v>
      </c>
      <c r="G70" s="37"/>
      <c r="H70" s="37"/>
      <c r="I70" s="37"/>
      <c r="J70" s="37"/>
      <c r="K70" s="37"/>
      <c r="L70" s="38"/>
      <c r="M70" s="38"/>
      <c r="N70" s="39"/>
      <c r="O70" s="37"/>
      <c r="P70" s="39"/>
      <c r="Q70" s="39"/>
      <c r="R70" s="38"/>
      <c r="S70" s="40">
        <f t="shared" si="30"/>
        <v>0</v>
      </c>
      <c r="T70" s="37"/>
      <c r="U70" s="37"/>
      <c r="V70" s="37"/>
      <c r="W70" s="37"/>
      <c r="X70" s="37"/>
      <c r="Y70" s="38"/>
      <c r="Z70" s="38"/>
      <c r="AA70" s="39"/>
      <c r="AB70" s="37"/>
      <c r="AC70" s="39"/>
      <c r="AD70" s="39"/>
      <c r="AE70" s="38"/>
      <c r="AF70" s="40">
        <f t="shared" si="31"/>
        <v>0</v>
      </c>
      <c r="AG70" s="104">
        <f t="shared" si="31"/>
        <v>0</v>
      </c>
    </row>
    <row r="71" spans="2:33" ht="12.75" x14ac:dyDescent="0.3">
      <c r="B71" s="27"/>
      <c r="C71" s="28"/>
      <c r="D71" s="28"/>
      <c r="E71" s="41">
        <v>4252900</v>
      </c>
      <c r="F71" s="55" t="s">
        <v>56</v>
      </c>
      <c r="G71" s="37"/>
      <c r="H71" s="37"/>
      <c r="I71" s="37"/>
      <c r="J71" s="37"/>
      <c r="K71" s="37"/>
      <c r="L71" s="38"/>
      <c r="M71" s="38"/>
      <c r="N71" s="39"/>
      <c r="O71" s="37"/>
      <c r="P71" s="39"/>
      <c r="Q71" s="39"/>
      <c r="R71" s="38"/>
      <c r="S71" s="40">
        <f t="shared" si="30"/>
        <v>0</v>
      </c>
      <c r="T71" s="37"/>
      <c r="U71" s="37"/>
      <c r="V71" s="37"/>
      <c r="W71" s="37"/>
      <c r="X71" s="37"/>
      <c r="Y71" s="38"/>
      <c r="Z71" s="38"/>
      <c r="AA71" s="39"/>
      <c r="AB71" s="37"/>
      <c r="AC71" s="39"/>
      <c r="AD71" s="39"/>
      <c r="AE71" s="38"/>
      <c r="AF71" s="40">
        <f t="shared" si="31"/>
        <v>0</v>
      </c>
      <c r="AG71" s="104">
        <f t="shared" si="31"/>
        <v>0</v>
      </c>
    </row>
    <row r="72" spans="2:33" ht="12.75" x14ac:dyDescent="0.3">
      <c r="B72" s="27"/>
      <c r="C72" s="28"/>
      <c r="D72" s="28"/>
      <c r="E72" s="41">
        <v>4252920</v>
      </c>
      <c r="F72" s="55" t="s">
        <v>57</v>
      </c>
      <c r="G72" s="37"/>
      <c r="H72" s="37"/>
      <c r="I72" s="37"/>
      <c r="J72" s="37"/>
      <c r="K72" s="37"/>
      <c r="L72" s="39"/>
      <c r="M72" s="39"/>
      <c r="N72" s="39"/>
      <c r="O72" s="39"/>
      <c r="P72" s="39"/>
      <c r="Q72" s="39"/>
      <c r="R72" s="38"/>
      <c r="S72" s="40">
        <f t="shared" si="30"/>
        <v>0</v>
      </c>
      <c r="T72" s="37"/>
      <c r="U72" s="37"/>
      <c r="V72" s="37"/>
      <c r="W72" s="37"/>
      <c r="X72" s="37"/>
      <c r="Y72" s="39"/>
      <c r="Z72" s="39"/>
      <c r="AA72" s="39"/>
      <c r="AB72" s="39"/>
      <c r="AC72" s="39"/>
      <c r="AD72" s="39"/>
      <c r="AE72" s="38"/>
      <c r="AF72" s="40">
        <f t="shared" si="31"/>
        <v>0</v>
      </c>
      <c r="AG72" s="104">
        <f t="shared" si="31"/>
        <v>0</v>
      </c>
    </row>
    <row r="73" spans="2:33" ht="12.75" x14ac:dyDescent="0.3">
      <c r="B73" s="27"/>
      <c r="C73" s="28"/>
      <c r="D73" s="28"/>
      <c r="E73" s="41">
        <v>4252940</v>
      </c>
      <c r="F73" s="55" t="s">
        <v>58</v>
      </c>
      <c r="G73" s="37"/>
      <c r="H73" s="37"/>
      <c r="I73" s="37"/>
      <c r="J73" s="37"/>
      <c r="K73" s="37"/>
      <c r="L73" s="39"/>
      <c r="M73" s="39"/>
      <c r="N73" s="39"/>
      <c r="O73" s="39"/>
      <c r="P73" s="39"/>
      <c r="Q73" s="39"/>
      <c r="R73" s="38"/>
      <c r="S73" s="40">
        <f t="shared" si="30"/>
        <v>0</v>
      </c>
      <c r="T73" s="37"/>
      <c r="U73" s="37"/>
      <c r="V73" s="37"/>
      <c r="W73" s="37"/>
      <c r="X73" s="37"/>
      <c r="Y73" s="39"/>
      <c r="Z73" s="39"/>
      <c r="AA73" s="39"/>
      <c r="AB73" s="39"/>
      <c r="AC73" s="39"/>
      <c r="AD73" s="39"/>
      <c r="AE73" s="38"/>
      <c r="AF73" s="40">
        <f t="shared" si="31"/>
        <v>0</v>
      </c>
      <c r="AG73" s="104">
        <f t="shared" si="31"/>
        <v>0</v>
      </c>
    </row>
    <row r="74" spans="2:33" ht="12.75" x14ac:dyDescent="0.3">
      <c r="B74" s="27"/>
      <c r="C74" s="28"/>
      <c r="D74" s="28"/>
      <c r="E74" s="41">
        <v>4252950</v>
      </c>
      <c r="F74" s="55" t="s">
        <v>59</v>
      </c>
      <c r="G74" s="37"/>
      <c r="H74" s="37"/>
      <c r="I74" s="37"/>
      <c r="J74" s="37"/>
      <c r="K74" s="37"/>
      <c r="L74" s="39"/>
      <c r="M74" s="39"/>
      <c r="N74" s="39"/>
      <c r="O74" s="39"/>
      <c r="P74" s="39"/>
      <c r="Q74" s="39"/>
      <c r="R74" s="38"/>
      <c r="S74" s="40">
        <f t="shared" si="30"/>
        <v>0</v>
      </c>
      <c r="T74" s="37"/>
      <c r="U74" s="37"/>
      <c r="V74" s="37"/>
      <c r="W74" s="37"/>
      <c r="X74" s="37"/>
      <c r="Y74" s="39"/>
      <c r="Z74" s="39"/>
      <c r="AA74" s="39"/>
      <c r="AB74" s="39"/>
      <c r="AC74" s="39"/>
      <c r="AD74" s="39"/>
      <c r="AE74" s="38"/>
      <c r="AF74" s="40">
        <f t="shared" si="31"/>
        <v>0</v>
      </c>
      <c r="AG74" s="104">
        <f t="shared" si="31"/>
        <v>0</v>
      </c>
    </row>
    <row r="75" spans="2:33" ht="12.75" x14ac:dyDescent="0.3">
      <c r="B75" s="27"/>
      <c r="C75" s="28"/>
      <c r="D75" s="28"/>
      <c r="E75" s="41">
        <v>4252960</v>
      </c>
      <c r="F75" s="55" t="s">
        <v>60</v>
      </c>
      <c r="G75" s="37"/>
      <c r="H75" s="37"/>
      <c r="I75" s="37"/>
      <c r="J75" s="37"/>
      <c r="K75" s="37"/>
      <c r="L75" s="38"/>
      <c r="M75" s="38"/>
      <c r="N75" s="39"/>
      <c r="O75" s="37"/>
      <c r="P75" s="39"/>
      <c r="Q75" s="39"/>
      <c r="R75" s="38"/>
      <c r="S75" s="40">
        <f t="shared" si="30"/>
        <v>0</v>
      </c>
      <c r="T75" s="37"/>
      <c r="U75" s="37"/>
      <c r="V75" s="37"/>
      <c r="W75" s="37"/>
      <c r="X75" s="37"/>
      <c r="Y75" s="38"/>
      <c r="Z75" s="38"/>
      <c r="AA75" s="39"/>
      <c r="AB75" s="37"/>
      <c r="AC75" s="39"/>
      <c r="AD75" s="39"/>
      <c r="AE75" s="38"/>
      <c r="AF75" s="40">
        <f t="shared" si="31"/>
        <v>0</v>
      </c>
      <c r="AG75" s="104">
        <f t="shared" si="31"/>
        <v>0</v>
      </c>
    </row>
    <row r="76" spans="2:33" ht="12.75" x14ac:dyDescent="0.3">
      <c r="B76" s="27"/>
      <c r="C76" s="28"/>
      <c r="D76" s="28"/>
      <c r="E76" s="41">
        <v>4252980</v>
      </c>
      <c r="F76" s="55" t="s">
        <v>61</v>
      </c>
      <c r="G76" s="37"/>
      <c r="H76" s="37"/>
      <c r="I76" s="37"/>
      <c r="J76" s="37"/>
      <c r="K76" s="37"/>
      <c r="L76" s="38"/>
      <c r="M76" s="38"/>
      <c r="N76" s="39"/>
      <c r="O76" s="37"/>
      <c r="P76" s="39"/>
      <c r="Q76" s="39"/>
      <c r="R76" s="38"/>
      <c r="S76" s="40">
        <f t="shared" si="30"/>
        <v>0</v>
      </c>
      <c r="T76" s="37"/>
      <c r="U76" s="37"/>
      <c r="V76" s="37"/>
      <c r="W76" s="37"/>
      <c r="X76" s="37"/>
      <c r="Y76" s="38"/>
      <c r="Z76" s="38"/>
      <c r="AA76" s="39"/>
      <c r="AB76" s="37"/>
      <c r="AC76" s="39"/>
      <c r="AD76" s="39"/>
      <c r="AE76" s="38"/>
      <c r="AF76" s="40">
        <f t="shared" si="31"/>
        <v>0</v>
      </c>
      <c r="AG76" s="104">
        <f t="shared" si="31"/>
        <v>0</v>
      </c>
    </row>
    <row r="77" spans="2:33" ht="12.75" x14ac:dyDescent="0.3">
      <c r="B77" s="27"/>
      <c r="C77" s="28"/>
      <c r="D77" s="28"/>
      <c r="E77" s="41">
        <v>4252990</v>
      </c>
      <c r="F77" s="55" t="s">
        <v>62</v>
      </c>
      <c r="G77" s="37"/>
      <c r="H77" s="37"/>
      <c r="I77" s="37"/>
      <c r="J77" s="37"/>
      <c r="K77" s="37"/>
      <c r="L77" s="38"/>
      <c r="M77" s="38"/>
      <c r="N77" s="39"/>
      <c r="O77" s="37"/>
      <c r="P77" s="39"/>
      <c r="Q77" s="39"/>
      <c r="R77" s="38"/>
      <c r="S77" s="40">
        <f t="shared" si="30"/>
        <v>0</v>
      </c>
      <c r="T77" s="37"/>
      <c r="U77" s="37"/>
      <c r="V77" s="37"/>
      <c r="W77" s="37"/>
      <c r="X77" s="37"/>
      <c r="Y77" s="38"/>
      <c r="Z77" s="38"/>
      <c r="AA77" s="39"/>
      <c r="AB77" s="37"/>
      <c r="AC77" s="39"/>
      <c r="AD77" s="39"/>
      <c r="AE77" s="38"/>
      <c r="AF77" s="40">
        <f t="shared" si="31"/>
        <v>0</v>
      </c>
      <c r="AG77" s="104">
        <f t="shared" si="31"/>
        <v>0</v>
      </c>
    </row>
    <row r="78" spans="2:33" ht="12.75" x14ac:dyDescent="0.3">
      <c r="B78" s="27"/>
      <c r="C78" s="28"/>
      <c r="D78" s="28"/>
      <c r="E78" s="41">
        <v>4253100</v>
      </c>
      <c r="F78" s="55" t="s">
        <v>63</v>
      </c>
      <c r="G78" s="37"/>
      <c r="H78" s="37"/>
      <c r="I78" s="37"/>
      <c r="J78" s="37"/>
      <c r="K78" s="37"/>
      <c r="L78" s="38"/>
      <c r="M78" s="38"/>
      <c r="N78" s="39"/>
      <c r="O78" s="37"/>
      <c r="P78" s="39"/>
      <c r="Q78" s="39"/>
      <c r="R78" s="38"/>
      <c r="S78" s="40">
        <f t="shared" si="30"/>
        <v>0</v>
      </c>
      <c r="T78" s="37"/>
      <c r="U78" s="37"/>
      <c r="V78" s="37"/>
      <c r="W78" s="37"/>
      <c r="X78" s="37"/>
      <c r="Y78" s="38"/>
      <c r="Z78" s="38"/>
      <c r="AA78" s="39"/>
      <c r="AB78" s="37"/>
      <c r="AC78" s="39"/>
      <c r="AD78" s="39"/>
      <c r="AE78" s="38"/>
      <c r="AF78" s="40">
        <f t="shared" si="31"/>
        <v>0</v>
      </c>
      <c r="AG78" s="104">
        <f t="shared" si="31"/>
        <v>0</v>
      </c>
    </row>
    <row r="79" spans="2:33" ht="12.75" x14ac:dyDescent="0.3">
      <c r="B79" s="27"/>
      <c r="C79" s="28"/>
      <c r="D79" s="28"/>
      <c r="E79" s="41">
        <v>4253110</v>
      </c>
      <c r="F79" s="55" t="s">
        <v>64</v>
      </c>
      <c r="G79" s="37"/>
      <c r="H79" s="37"/>
      <c r="I79" s="37"/>
      <c r="J79" s="37"/>
      <c r="K79" s="37"/>
      <c r="L79" s="38"/>
      <c r="M79" s="38"/>
      <c r="N79" s="39"/>
      <c r="O79" s="37"/>
      <c r="P79" s="39"/>
      <c r="Q79" s="39"/>
      <c r="R79" s="38"/>
      <c r="S79" s="40">
        <f t="shared" si="30"/>
        <v>0</v>
      </c>
      <c r="T79" s="37"/>
      <c r="U79" s="37"/>
      <c r="V79" s="37"/>
      <c r="W79" s="37"/>
      <c r="X79" s="37"/>
      <c r="Y79" s="38"/>
      <c r="Z79" s="38"/>
      <c r="AA79" s="39"/>
      <c r="AB79" s="37"/>
      <c r="AC79" s="39"/>
      <c r="AD79" s="39"/>
      <c r="AE79" s="38"/>
      <c r="AF79" s="40">
        <f t="shared" si="31"/>
        <v>0</v>
      </c>
      <c r="AG79" s="104">
        <f t="shared" si="31"/>
        <v>0</v>
      </c>
    </row>
    <row r="80" spans="2:33" ht="12.75" x14ac:dyDescent="0.3">
      <c r="B80" s="27"/>
      <c r="C80" s="28"/>
      <c r="D80" s="28"/>
      <c r="E80" s="41">
        <v>4253120</v>
      </c>
      <c r="F80" s="55" t="s">
        <v>65</v>
      </c>
      <c r="G80" s="37"/>
      <c r="H80" s="37"/>
      <c r="I80" s="37"/>
      <c r="J80" s="37"/>
      <c r="K80" s="37"/>
      <c r="L80" s="38"/>
      <c r="M80" s="38"/>
      <c r="N80" s="39"/>
      <c r="O80" s="37"/>
      <c r="P80" s="39"/>
      <c r="Q80" s="39"/>
      <c r="R80" s="38"/>
      <c r="S80" s="40">
        <f t="shared" si="30"/>
        <v>0</v>
      </c>
      <c r="T80" s="37"/>
      <c r="U80" s="37"/>
      <c r="V80" s="37"/>
      <c r="W80" s="37"/>
      <c r="X80" s="37"/>
      <c r="Y80" s="38"/>
      <c r="Z80" s="38"/>
      <c r="AA80" s="39"/>
      <c r="AB80" s="37"/>
      <c r="AC80" s="39"/>
      <c r="AD80" s="39"/>
      <c r="AE80" s="38"/>
      <c r="AF80" s="40">
        <f t="shared" si="31"/>
        <v>0</v>
      </c>
      <c r="AG80" s="104">
        <f t="shared" si="31"/>
        <v>0</v>
      </c>
    </row>
    <row r="81" spans="2:33" ht="12.75" x14ac:dyDescent="0.3">
      <c r="B81" s="27"/>
      <c r="C81" s="28"/>
      <c r="D81" s="28"/>
      <c r="E81" s="41">
        <v>4253140</v>
      </c>
      <c r="F81" s="55" t="s">
        <v>66</v>
      </c>
      <c r="G81" s="37"/>
      <c r="H81" s="37"/>
      <c r="I81" s="37"/>
      <c r="J81" s="37"/>
      <c r="K81" s="37"/>
      <c r="L81" s="38"/>
      <c r="M81" s="38"/>
      <c r="N81" s="39"/>
      <c r="O81" s="37"/>
      <c r="P81" s="39"/>
      <c r="Q81" s="39"/>
      <c r="R81" s="38"/>
      <c r="S81" s="40">
        <f t="shared" si="30"/>
        <v>0</v>
      </c>
      <c r="T81" s="37"/>
      <c r="U81" s="37"/>
      <c r="V81" s="37"/>
      <c r="W81" s="37"/>
      <c r="X81" s="37"/>
      <c r="Y81" s="38"/>
      <c r="Z81" s="38"/>
      <c r="AA81" s="39"/>
      <c r="AB81" s="37"/>
      <c r="AC81" s="39"/>
      <c r="AD81" s="39"/>
      <c r="AE81" s="38"/>
      <c r="AF81" s="40">
        <f t="shared" si="31"/>
        <v>0</v>
      </c>
      <c r="AG81" s="104">
        <f t="shared" si="31"/>
        <v>0</v>
      </c>
    </row>
    <row r="82" spans="2:33" ht="12.75" x14ac:dyDescent="0.3">
      <c r="B82" s="27"/>
      <c r="C82" s="28"/>
      <c r="D82" s="27"/>
      <c r="E82" s="41">
        <v>4253151</v>
      </c>
      <c r="F82" s="55" t="s">
        <v>67</v>
      </c>
      <c r="G82" s="37"/>
      <c r="H82" s="37"/>
      <c r="I82" s="37"/>
      <c r="J82" s="37"/>
      <c r="K82" s="37"/>
      <c r="L82" s="38"/>
      <c r="M82" s="38"/>
      <c r="N82" s="39"/>
      <c r="O82" s="37"/>
      <c r="P82" s="39"/>
      <c r="Q82" s="39"/>
      <c r="R82" s="38"/>
      <c r="S82" s="40">
        <f t="shared" si="30"/>
        <v>0</v>
      </c>
      <c r="T82" s="37"/>
      <c r="U82" s="37"/>
      <c r="V82" s="37"/>
      <c r="W82" s="37"/>
      <c r="X82" s="37"/>
      <c r="Y82" s="38"/>
      <c r="Z82" s="38"/>
      <c r="AA82" s="39"/>
      <c r="AB82" s="37"/>
      <c r="AC82" s="39"/>
      <c r="AD82" s="39"/>
      <c r="AE82" s="38"/>
      <c r="AF82" s="40">
        <f t="shared" si="31"/>
        <v>0</v>
      </c>
      <c r="AG82" s="104">
        <f t="shared" si="31"/>
        <v>0</v>
      </c>
    </row>
    <row r="83" spans="2:33" ht="12.75" x14ac:dyDescent="0.3">
      <c r="B83" s="27"/>
      <c r="C83" s="28"/>
      <c r="D83" s="28"/>
      <c r="E83" s="41">
        <v>4253160</v>
      </c>
      <c r="F83" s="55" t="s">
        <v>68</v>
      </c>
      <c r="G83" s="37"/>
      <c r="H83" s="37"/>
      <c r="I83" s="37"/>
      <c r="J83" s="37"/>
      <c r="K83" s="37"/>
      <c r="L83" s="38"/>
      <c r="M83" s="38"/>
      <c r="N83" s="39"/>
      <c r="O83" s="37"/>
      <c r="P83" s="39"/>
      <c r="Q83" s="39"/>
      <c r="R83" s="38"/>
      <c r="S83" s="40">
        <f t="shared" si="30"/>
        <v>0</v>
      </c>
      <c r="T83" s="37"/>
      <c r="U83" s="37"/>
      <c r="V83" s="37"/>
      <c r="W83" s="37"/>
      <c r="X83" s="37"/>
      <c r="Y83" s="38"/>
      <c r="Z83" s="38"/>
      <c r="AA83" s="39"/>
      <c r="AB83" s="37"/>
      <c r="AC83" s="39"/>
      <c r="AD83" s="39"/>
      <c r="AE83" s="38"/>
      <c r="AF83" s="40">
        <f t="shared" si="31"/>
        <v>0</v>
      </c>
      <c r="AG83" s="104">
        <f t="shared" si="31"/>
        <v>0</v>
      </c>
    </row>
    <row r="84" spans="2:33" ht="12.75" x14ac:dyDescent="0.3">
      <c r="B84" s="27"/>
      <c r="C84" s="28"/>
      <c r="D84" s="28"/>
      <c r="E84" s="41">
        <v>4253161</v>
      </c>
      <c r="F84" s="55" t="s">
        <v>69</v>
      </c>
      <c r="G84" s="37"/>
      <c r="H84" s="37"/>
      <c r="I84" s="37"/>
      <c r="J84" s="37"/>
      <c r="K84" s="37"/>
      <c r="L84" s="38"/>
      <c r="M84" s="38"/>
      <c r="N84" s="39"/>
      <c r="O84" s="37"/>
      <c r="P84" s="39"/>
      <c r="Q84" s="39"/>
      <c r="R84" s="38"/>
      <c r="S84" s="40">
        <f t="shared" si="30"/>
        <v>0</v>
      </c>
      <c r="T84" s="37"/>
      <c r="U84" s="37"/>
      <c r="V84" s="37"/>
      <c r="W84" s="37"/>
      <c r="X84" s="37"/>
      <c r="Y84" s="38"/>
      <c r="Z84" s="38"/>
      <c r="AA84" s="39"/>
      <c r="AB84" s="37"/>
      <c r="AC84" s="39"/>
      <c r="AD84" s="39"/>
      <c r="AE84" s="38"/>
      <c r="AF84" s="40">
        <f t="shared" si="31"/>
        <v>0</v>
      </c>
      <c r="AG84" s="104">
        <f t="shared" si="31"/>
        <v>0</v>
      </c>
    </row>
    <row r="85" spans="2:33" ht="12.75" x14ac:dyDescent="0.3">
      <c r="B85" s="27"/>
      <c r="C85" s="28"/>
      <c r="D85" s="28"/>
      <c r="E85" s="41">
        <v>4253170</v>
      </c>
      <c r="F85" s="55" t="s">
        <v>70</v>
      </c>
      <c r="G85" s="37"/>
      <c r="H85" s="37"/>
      <c r="I85" s="37"/>
      <c r="J85" s="37"/>
      <c r="K85" s="37"/>
      <c r="L85" s="38"/>
      <c r="M85" s="38"/>
      <c r="N85" s="39"/>
      <c r="O85" s="37"/>
      <c r="P85" s="39"/>
      <c r="Q85" s="39"/>
      <c r="R85" s="38"/>
      <c r="S85" s="40">
        <f t="shared" si="30"/>
        <v>0</v>
      </c>
      <c r="T85" s="37"/>
      <c r="U85" s="37"/>
      <c r="V85" s="37"/>
      <c r="W85" s="37"/>
      <c r="X85" s="37"/>
      <c r="Y85" s="38"/>
      <c r="Z85" s="38"/>
      <c r="AA85" s="39"/>
      <c r="AB85" s="37"/>
      <c r="AC85" s="39"/>
      <c r="AD85" s="39"/>
      <c r="AE85" s="38"/>
      <c r="AF85" s="40">
        <f t="shared" si="31"/>
        <v>0</v>
      </c>
      <c r="AG85" s="104">
        <f t="shared" si="31"/>
        <v>0</v>
      </c>
    </row>
    <row r="86" spans="2:33" ht="12.75" x14ac:dyDescent="0.3">
      <c r="B86" s="27"/>
      <c r="C86" s="28"/>
      <c r="D86" s="28"/>
      <c r="E86" s="41">
        <v>4253180</v>
      </c>
      <c r="F86" s="55" t="s">
        <v>71</v>
      </c>
      <c r="G86" s="37"/>
      <c r="H86" s="37"/>
      <c r="I86" s="37"/>
      <c r="J86" s="37"/>
      <c r="K86" s="37"/>
      <c r="L86" s="38"/>
      <c r="M86" s="38"/>
      <c r="N86" s="39"/>
      <c r="O86" s="37"/>
      <c r="P86" s="39"/>
      <c r="Q86" s="39"/>
      <c r="R86" s="38"/>
      <c r="S86" s="40">
        <f t="shared" si="30"/>
        <v>0</v>
      </c>
      <c r="T86" s="37"/>
      <c r="U86" s="37"/>
      <c r="V86" s="37"/>
      <c r="W86" s="37"/>
      <c r="X86" s="37"/>
      <c r="Y86" s="38"/>
      <c r="Z86" s="38"/>
      <c r="AA86" s="39"/>
      <c r="AB86" s="37"/>
      <c r="AC86" s="39"/>
      <c r="AD86" s="39"/>
      <c r="AE86" s="38"/>
      <c r="AF86" s="40">
        <f t="shared" si="31"/>
        <v>0</v>
      </c>
      <c r="AG86" s="104">
        <f t="shared" si="31"/>
        <v>0</v>
      </c>
    </row>
    <row r="87" spans="2:33" ht="12.75" x14ac:dyDescent="0.3">
      <c r="B87" s="27"/>
      <c r="C87" s="28"/>
      <c r="D87" s="28"/>
      <c r="E87" s="41">
        <v>4253181</v>
      </c>
      <c r="F87" s="55" t="s">
        <v>72</v>
      </c>
      <c r="G87" s="37"/>
      <c r="H87" s="37"/>
      <c r="I87" s="37"/>
      <c r="J87" s="37"/>
      <c r="K87" s="37"/>
      <c r="L87" s="38"/>
      <c r="M87" s="38"/>
      <c r="N87" s="39"/>
      <c r="O87" s="37"/>
      <c r="P87" s="39"/>
      <c r="Q87" s="39"/>
      <c r="R87" s="38"/>
      <c r="S87" s="40">
        <f t="shared" si="30"/>
        <v>0</v>
      </c>
      <c r="T87" s="37"/>
      <c r="U87" s="37"/>
      <c r="V87" s="37"/>
      <c r="W87" s="37"/>
      <c r="X87" s="37"/>
      <c r="Y87" s="38"/>
      <c r="Z87" s="38"/>
      <c r="AA87" s="39"/>
      <c r="AB87" s="37"/>
      <c r="AC87" s="39"/>
      <c r="AD87" s="39"/>
      <c r="AE87" s="38"/>
      <c r="AF87" s="40">
        <f t="shared" si="31"/>
        <v>0</v>
      </c>
      <c r="AG87" s="104">
        <f t="shared" si="31"/>
        <v>0</v>
      </c>
    </row>
    <row r="88" spans="2:33" ht="12.75" x14ac:dyDescent="0.3">
      <c r="B88" s="27"/>
      <c r="C88" s="28"/>
      <c r="D88" s="28"/>
      <c r="E88" s="41">
        <v>4253190</v>
      </c>
      <c r="F88" s="55" t="s">
        <v>73</v>
      </c>
      <c r="G88" s="37"/>
      <c r="H88" s="37"/>
      <c r="I88" s="37"/>
      <c r="J88" s="37"/>
      <c r="K88" s="37"/>
      <c r="L88" s="38"/>
      <c r="M88" s="38"/>
      <c r="N88" s="39"/>
      <c r="O88" s="37"/>
      <c r="P88" s="39"/>
      <c r="Q88" s="39"/>
      <c r="R88" s="38"/>
      <c r="S88" s="40">
        <f t="shared" si="30"/>
        <v>0</v>
      </c>
      <c r="T88" s="37"/>
      <c r="U88" s="37"/>
      <c r="V88" s="37"/>
      <c r="W88" s="37"/>
      <c r="X88" s="37"/>
      <c r="Y88" s="38"/>
      <c r="Z88" s="38"/>
      <c r="AA88" s="39"/>
      <c r="AB88" s="37"/>
      <c r="AC88" s="39"/>
      <c r="AD88" s="39"/>
      <c r="AE88" s="38"/>
      <c r="AF88" s="40">
        <f t="shared" si="31"/>
        <v>0</v>
      </c>
      <c r="AG88" s="104">
        <f t="shared" si="31"/>
        <v>0</v>
      </c>
    </row>
    <row r="89" spans="2:33" ht="12.75" x14ac:dyDescent="0.3">
      <c r="B89" s="27"/>
      <c r="C89" s="28"/>
      <c r="D89" s="28"/>
      <c r="E89" s="41">
        <v>4253191</v>
      </c>
      <c r="F89" s="55" t="s">
        <v>74</v>
      </c>
      <c r="G89" s="37"/>
      <c r="H89" s="37"/>
      <c r="I89" s="37"/>
      <c r="J89" s="37"/>
      <c r="K89" s="37"/>
      <c r="L89" s="38"/>
      <c r="M89" s="38"/>
      <c r="N89" s="39"/>
      <c r="O89" s="37"/>
      <c r="P89" s="39"/>
      <c r="Q89" s="39"/>
      <c r="R89" s="38"/>
      <c r="S89" s="40">
        <f t="shared" si="30"/>
        <v>0</v>
      </c>
      <c r="T89" s="37"/>
      <c r="U89" s="37"/>
      <c r="V89" s="37"/>
      <c r="W89" s="37"/>
      <c r="X89" s="37"/>
      <c r="Y89" s="38"/>
      <c r="Z89" s="38"/>
      <c r="AA89" s="39"/>
      <c r="AB89" s="37"/>
      <c r="AC89" s="39"/>
      <c r="AD89" s="39"/>
      <c r="AE89" s="38"/>
      <c r="AF89" s="40">
        <f t="shared" si="31"/>
        <v>0</v>
      </c>
      <c r="AG89" s="104">
        <f t="shared" si="31"/>
        <v>0</v>
      </c>
    </row>
    <row r="90" spans="2:33" ht="12.75" x14ac:dyDescent="0.3">
      <c r="B90" s="27"/>
      <c r="C90" s="29" t="s">
        <v>75</v>
      </c>
      <c r="D90" s="30"/>
      <c r="E90" s="42"/>
      <c r="F90" s="31"/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f t="shared" ref="P90:R90" si="36">P91+P97+P99+P110+P115+P127+P140+P151+P158+P171+P176+P179+P183+P206+P210+P215+P222+P227+P231+P233+P239+P249+P256+P261+P268+P270+P272+P277+P279+P281+P285</f>
        <v>0</v>
      </c>
      <c r="Q90" s="33">
        <f t="shared" si="36"/>
        <v>0</v>
      </c>
      <c r="R90" s="33">
        <f t="shared" si="36"/>
        <v>0</v>
      </c>
      <c r="S90" s="26">
        <f t="shared" si="30"/>
        <v>0</v>
      </c>
      <c r="T90" s="33">
        <f t="shared" ref="T90:AE90" si="37">T91+T97+T99+T110+T115+T127+T140+T151+T158+T171+T176+T179+T183+T206+T210+T215+T222+T227+T231+T233+T239+T249+T256+T261+T268+T270+T272+T277+T279+T281+T285</f>
        <v>0</v>
      </c>
      <c r="U90" s="33">
        <f t="shared" si="37"/>
        <v>0</v>
      </c>
      <c r="V90" s="33">
        <f t="shared" si="37"/>
        <v>0</v>
      </c>
      <c r="W90" s="33">
        <f t="shared" si="37"/>
        <v>0</v>
      </c>
      <c r="X90" s="33">
        <f t="shared" si="37"/>
        <v>0</v>
      </c>
      <c r="Y90" s="33">
        <f t="shared" si="37"/>
        <v>0</v>
      </c>
      <c r="Z90" s="33">
        <f t="shared" si="37"/>
        <v>0</v>
      </c>
      <c r="AA90" s="33">
        <f t="shared" si="37"/>
        <v>0</v>
      </c>
      <c r="AB90" s="33">
        <f t="shared" si="37"/>
        <v>0</v>
      </c>
      <c r="AC90" s="33">
        <f t="shared" si="37"/>
        <v>0</v>
      </c>
      <c r="AD90" s="33">
        <f t="shared" si="37"/>
        <v>0</v>
      </c>
      <c r="AE90" s="33">
        <f t="shared" si="37"/>
        <v>0</v>
      </c>
      <c r="AF90" s="26">
        <f t="shared" si="31"/>
        <v>0</v>
      </c>
      <c r="AG90" s="103">
        <f t="shared" si="31"/>
        <v>0</v>
      </c>
    </row>
    <row r="91" spans="2:33" ht="12.75" x14ac:dyDescent="0.3">
      <c r="B91" s="27"/>
      <c r="C91" s="28"/>
      <c r="D91" s="29" t="s">
        <v>76</v>
      </c>
      <c r="E91" s="42"/>
      <c r="F91" s="31"/>
      <c r="G91" s="32">
        <v>0</v>
      </c>
      <c r="H91" s="33">
        <v>0</v>
      </c>
      <c r="I91" s="33">
        <v>0</v>
      </c>
      <c r="J91" s="33">
        <v>0</v>
      </c>
      <c r="K91" s="33">
        <v>0</v>
      </c>
      <c r="L91" s="34">
        <v>0</v>
      </c>
      <c r="M91" s="34">
        <v>0</v>
      </c>
      <c r="N91" s="33">
        <v>0</v>
      </c>
      <c r="O91" s="32">
        <v>0</v>
      </c>
      <c r="P91" s="33">
        <f t="shared" ref="P91:R91" si="38">SUM(P92:P96)</f>
        <v>0</v>
      </c>
      <c r="Q91" s="33">
        <f t="shared" si="38"/>
        <v>0</v>
      </c>
      <c r="R91" s="34">
        <f t="shared" si="38"/>
        <v>0</v>
      </c>
      <c r="S91" s="26">
        <f t="shared" si="30"/>
        <v>0</v>
      </c>
      <c r="T91" s="32">
        <f t="shared" ref="T91:AE91" si="39">SUM(T92:T96)</f>
        <v>0</v>
      </c>
      <c r="U91" s="33">
        <f t="shared" si="39"/>
        <v>0</v>
      </c>
      <c r="V91" s="33">
        <f t="shared" si="39"/>
        <v>0</v>
      </c>
      <c r="W91" s="33">
        <f t="shared" si="39"/>
        <v>0</v>
      </c>
      <c r="X91" s="33">
        <f t="shared" si="39"/>
        <v>0</v>
      </c>
      <c r="Y91" s="34">
        <f t="shared" si="39"/>
        <v>0</v>
      </c>
      <c r="Z91" s="34">
        <f t="shared" si="39"/>
        <v>0</v>
      </c>
      <c r="AA91" s="33">
        <f t="shared" si="39"/>
        <v>0</v>
      </c>
      <c r="AB91" s="32">
        <f t="shared" si="39"/>
        <v>0</v>
      </c>
      <c r="AC91" s="33">
        <f t="shared" si="39"/>
        <v>0</v>
      </c>
      <c r="AD91" s="33">
        <f t="shared" si="39"/>
        <v>0</v>
      </c>
      <c r="AE91" s="34">
        <f t="shared" si="39"/>
        <v>0</v>
      </c>
      <c r="AF91" s="26">
        <f t="shared" si="31"/>
        <v>0</v>
      </c>
      <c r="AG91" s="103">
        <f t="shared" si="31"/>
        <v>0</v>
      </c>
    </row>
    <row r="92" spans="2:33" ht="12.75" x14ac:dyDescent="0.3">
      <c r="B92" s="27"/>
      <c r="C92" s="28"/>
      <c r="D92" s="28"/>
      <c r="E92" s="41">
        <v>4251400</v>
      </c>
      <c r="F92" s="55" t="s">
        <v>77</v>
      </c>
      <c r="G92" s="37"/>
      <c r="H92" s="37"/>
      <c r="I92" s="37"/>
      <c r="J92" s="37"/>
      <c r="K92" s="37"/>
      <c r="L92" s="38"/>
      <c r="M92" s="38"/>
      <c r="N92" s="39"/>
      <c r="O92" s="37"/>
      <c r="P92" s="39"/>
      <c r="Q92" s="39"/>
      <c r="R92" s="38"/>
      <c r="S92" s="40">
        <f t="shared" si="30"/>
        <v>0</v>
      </c>
      <c r="T92" s="37"/>
      <c r="U92" s="37"/>
      <c r="V92" s="37"/>
      <c r="W92" s="37"/>
      <c r="X92" s="37"/>
      <c r="Y92" s="38"/>
      <c r="Z92" s="38"/>
      <c r="AA92" s="39"/>
      <c r="AB92" s="37"/>
      <c r="AC92" s="39"/>
      <c r="AD92" s="39"/>
      <c r="AE92" s="38"/>
      <c r="AF92" s="40">
        <f t="shared" si="31"/>
        <v>0</v>
      </c>
      <c r="AG92" s="104">
        <f t="shared" si="31"/>
        <v>0</v>
      </c>
    </row>
    <row r="93" spans="2:33" ht="12.75" x14ac:dyDescent="0.3">
      <c r="B93" s="27"/>
      <c r="C93" s="28"/>
      <c r="D93" s="28"/>
      <c r="E93" s="41">
        <v>4251410</v>
      </c>
      <c r="F93" s="55" t="s">
        <v>78</v>
      </c>
      <c r="G93" s="37"/>
      <c r="H93" s="37"/>
      <c r="I93" s="37"/>
      <c r="J93" s="37"/>
      <c r="K93" s="37"/>
      <c r="L93" s="38"/>
      <c r="M93" s="38"/>
      <c r="N93" s="39"/>
      <c r="O93" s="37"/>
      <c r="P93" s="39"/>
      <c r="Q93" s="39"/>
      <c r="R93" s="38"/>
      <c r="S93" s="40">
        <f t="shared" si="30"/>
        <v>0</v>
      </c>
      <c r="T93" s="37"/>
      <c r="U93" s="37"/>
      <c r="V93" s="37"/>
      <c r="W93" s="37"/>
      <c r="X93" s="37"/>
      <c r="Y93" s="38"/>
      <c r="Z93" s="38"/>
      <c r="AA93" s="39"/>
      <c r="AB93" s="37"/>
      <c r="AC93" s="39"/>
      <c r="AD93" s="39"/>
      <c r="AE93" s="38"/>
      <c r="AF93" s="40">
        <f t="shared" si="31"/>
        <v>0</v>
      </c>
      <c r="AG93" s="104">
        <f t="shared" si="31"/>
        <v>0</v>
      </c>
    </row>
    <row r="94" spans="2:33" ht="12.75" x14ac:dyDescent="0.3">
      <c r="B94" s="27"/>
      <c r="C94" s="28"/>
      <c r="D94" s="28"/>
      <c r="E94" s="41">
        <v>4251420</v>
      </c>
      <c r="F94" s="55" t="s">
        <v>79</v>
      </c>
      <c r="G94" s="37"/>
      <c r="H94" s="37"/>
      <c r="I94" s="37"/>
      <c r="J94" s="37"/>
      <c r="K94" s="37"/>
      <c r="L94" s="38"/>
      <c r="M94" s="38"/>
      <c r="N94" s="39"/>
      <c r="O94" s="37"/>
      <c r="P94" s="39"/>
      <c r="Q94" s="39"/>
      <c r="R94" s="38"/>
      <c r="S94" s="40">
        <f t="shared" si="30"/>
        <v>0</v>
      </c>
      <c r="T94" s="37"/>
      <c r="U94" s="37"/>
      <c r="V94" s="37"/>
      <c r="W94" s="37"/>
      <c r="X94" s="37"/>
      <c r="Y94" s="38"/>
      <c r="Z94" s="38"/>
      <c r="AA94" s="39"/>
      <c r="AB94" s="37"/>
      <c r="AC94" s="39"/>
      <c r="AD94" s="39"/>
      <c r="AE94" s="38"/>
      <c r="AF94" s="40">
        <f t="shared" si="31"/>
        <v>0</v>
      </c>
      <c r="AG94" s="104">
        <f t="shared" si="31"/>
        <v>0</v>
      </c>
    </row>
    <row r="95" spans="2:33" ht="12.75" x14ac:dyDescent="0.3">
      <c r="B95" s="27"/>
      <c r="C95" s="28"/>
      <c r="D95" s="28"/>
      <c r="E95" s="41">
        <v>4251430</v>
      </c>
      <c r="F95" s="55" t="s">
        <v>80</v>
      </c>
      <c r="G95" s="37"/>
      <c r="H95" s="37"/>
      <c r="I95" s="37"/>
      <c r="J95" s="37"/>
      <c r="K95" s="37"/>
      <c r="L95" s="38"/>
      <c r="M95" s="38"/>
      <c r="N95" s="39"/>
      <c r="O95" s="37"/>
      <c r="P95" s="39"/>
      <c r="Q95" s="39"/>
      <c r="R95" s="38"/>
      <c r="S95" s="40">
        <f t="shared" si="30"/>
        <v>0</v>
      </c>
      <c r="T95" s="37"/>
      <c r="U95" s="37"/>
      <c r="V95" s="37"/>
      <c r="W95" s="37"/>
      <c r="X95" s="37"/>
      <c r="Y95" s="38"/>
      <c r="Z95" s="38"/>
      <c r="AA95" s="39"/>
      <c r="AB95" s="37"/>
      <c r="AC95" s="39"/>
      <c r="AD95" s="39"/>
      <c r="AE95" s="38"/>
      <c r="AF95" s="40">
        <f t="shared" si="31"/>
        <v>0</v>
      </c>
      <c r="AG95" s="104">
        <f t="shared" si="31"/>
        <v>0</v>
      </c>
    </row>
    <row r="96" spans="2:33" ht="12.75" x14ac:dyDescent="0.3">
      <c r="B96" s="27"/>
      <c r="C96" s="28"/>
      <c r="D96" s="28"/>
      <c r="E96" s="41">
        <v>4251440</v>
      </c>
      <c r="F96" s="55" t="s">
        <v>81</v>
      </c>
      <c r="G96" s="37"/>
      <c r="H96" s="37"/>
      <c r="I96" s="37"/>
      <c r="J96" s="37"/>
      <c r="K96" s="37"/>
      <c r="L96" s="38"/>
      <c r="M96" s="38"/>
      <c r="N96" s="39"/>
      <c r="O96" s="37"/>
      <c r="P96" s="39"/>
      <c r="Q96" s="39"/>
      <c r="R96" s="38"/>
      <c r="S96" s="40">
        <f t="shared" si="30"/>
        <v>0</v>
      </c>
      <c r="T96" s="37"/>
      <c r="U96" s="37"/>
      <c r="V96" s="37"/>
      <c r="W96" s="37"/>
      <c r="X96" s="37"/>
      <c r="Y96" s="38"/>
      <c r="Z96" s="38"/>
      <c r="AA96" s="39"/>
      <c r="AB96" s="37"/>
      <c r="AC96" s="39"/>
      <c r="AD96" s="39"/>
      <c r="AE96" s="38"/>
      <c r="AF96" s="40">
        <f t="shared" si="31"/>
        <v>0</v>
      </c>
      <c r="AG96" s="104">
        <f t="shared" si="31"/>
        <v>0</v>
      </c>
    </row>
    <row r="97" spans="2:33" ht="12.75" x14ac:dyDescent="0.3">
      <c r="B97" s="27"/>
      <c r="C97" s="28"/>
      <c r="D97" s="29" t="s">
        <v>82</v>
      </c>
      <c r="E97" s="42"/>
      <c r="F97" s="31"/>
      <c r="G97" s="32">
        <v>0</v>
      </c>
      <c r="H97" s="33">
        <v>0</v>
      </c>
      <c r="I97" s="33">
        <v>0</v>
      </c>
      <c r="J97" s="33">
        <v>0</v>
      </c>
      <c r="K97" s="33">
        <v>0</v>
      </c>
      <c r="L97" s="34">
        <v>0</v>
      </c>
      <c r="M97" s="34">
        <v>0</v>
      </c>
      <c r="N97" s="33">
        <v>0</v>
      </c>
      <c r="O97" s="32">
        <v>0</v>
      </c>
      <c r="P97" s="33">
        <f t="shared" ref="P97:R97" si="40">P98</f>
        <v>0</v>
      </c>
      <c r="Q97" s="33">
        <f t="shared" si="40"/>
        <v>0</v>
      </c>
      <c r="R97" s="34">
        <f t="shared" si="40"/>
        <v>0</v>
      </c>
      <c r="S97" s="26">
        <f t="shared" si="30"/>
        <v>0</v>
      </c>
      <c r="T97" s="32">
        <f t="shared" ref="T97:AE97" si="41">T98</f>
        <v>0</v>
      </c>
      <c r="U97" s="33">
        <f t="shared" si="41"/>
        <v>0</v>
      </c>
      <c r="V97" s="33">
        <f t="shared" si="41"/>
        <v>0</v>
      </c>
      <c r="W97" s="33">
        <f t="shared" si="41"/>
        <v>0</v>
      </c>
      <c r="X97" s="33">
        <f t="shared" si="41"/>
        <v>0</v>
      </c>
      <c r="Y97" s="34">
        <f t="shared" si="41"/>
        <v>0</v>
      </c>
      <c r="Z97" s="34">
        <f t="shared" si="41"/>
        <v>0</v>
      </c>
      <c r="AA97" s="33">
        <f t="shared" si="41"/>
        <v>0</v>
      </c>
      <c r="AB97" s="32">
        <f t="shared" si="41"/>
        <v>0</v>
      </c>
      <c r="AC97" s="33">
        <f t="shared" si="41"/>
        <v>0</v>
      </c>
      <c r="AD97" s="33">
        <f t="shared" si="41"/>
        <v>0</v>
      </c>
      <c r="AE97" s="34">
        <f t="shared" si="41"/>
        <v>0</v>
      </c>
      <c r="AF97" s="26">
        <f t="shared" si="31"/>
        <v>0</v>
      </c>
      <c r="AG97" s="103">
        <f t="shared" si="31"/>
        <v>0</v>
      </c>
    </row>
    <row r="98" spans="2:33" ht="12.75" x14ac:dyDescent="0.3">
      <c r="B98" s="27"/>
      <c r="C98" s="28"/>
      <c r="D98" s="28"/>
      <c r="E98" s="41">
        <v>4251500</v>
      </c>
      <c r="F98" s="55" t="s">
        <v>83</v>
      </c>
      <c r="G98" s="37"/>
      <c r="H98" s="37"/>
      <c r="I98" s="37"/>
      <c r="J98" s="37"/>
      <c r="K98" s="37"/>
      <c r="L98" s="38"/>
      <c r="M98" s="38"/>
      <c r="N98" s="39"/>
      <c r="O98" s="37"/>
      <c r="P98" s="39"/>
      <c r="Q98" s="39"/>
      <c r="R98" s="38"/>
      <c r="S98" s="40">
        <f t="shared" si="30"/>
        <v>0</v>
      </c>
      <c r="T98" s="37"/>
      <c r="U98" s="37"/>
      <c r="V98" s="37"/>
      <c r="W98" s="37"/>
      <c r="X98" s="37"/>
      <c r="Y98" s="38"/>
      <c r="Z98" s="38"/>
      <c r="AA98" s="39"/>
      <c r="AB98" s="37"/>
      <c r="AC98" s="39"/>
      <c r="AD98" s="39"/>
      <c r="AE98" s="38"/>
      <c r="AF98" s="40">
        <f t="shared" si="31"/>
        <v>0</v>
      </c>
      <c r="AG98" s="104">
        <f t="shared" si="31"/>
        <v>0</v>
      </c>
    </row>
    <row r="99" spans="2:33" ht="12.75" x14ac:dyDescent="0.3">
      <c r="B99" s="27"/>
      <c r="C99" s="28"/>
      <c r="D99" s="29" t="s">
        <v>84</v>
      </c>
      <c r="E99" s="42"/>
      <c r="F99" s="31"/>
      <c r="G99" s="32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f t="shared" ref="P99:R99" si="42">SUM(P100:P109)</f>
        <v>0</v>
      </c>
      <c r="Q99" s="33">
        <f t="shared" si="42"/>
        <v>0</v>
      </c>
      <c r="R99" s="34">
        <f t="shared" si="42"/>
        <v>0</v>
      </c>
      <c r="S99" s="26">
        <f t="shared" si="30"/>
        <v>0</v>
      </c>
      <c r="T99" s="32">
        <f t="shared" ref="T99:AE99" si="43">SUM(T100:T109)</f>
        <v>0</v>
      </c>
      <c r="U99" s="33">
        <f t="shared" si="43"/>
        <v>0</v>
      </c>
      <c r="V99" s="33">
        <f t="shared" si="43"/>
        <v>0</v>
      </c>
      <c r="W99" s="33">
        <f t="shared" si="43"/>
        <v>0</v>
      </c>
      <c r="X99" s="33">
        <f t="shared" si="43"/>
        <v>0</v>
      </c>
      <c r="Y99" s="33">
        <f t="shared" si="43"/>
        <v>0</v>
      </c>
      <c r="Z99" s="33">
        <f t="shared" si="43"/>
        <v>0</v>
      </c>
      <c r="AA99" s="33">
        <f t="shared" si="43"/>
        <v>0</v>
      </c>
      <c r="AB99" s="33">
        <f t="shared" si="43"/>
        <v>0</v>
      </c>
      <c r="AC99" s="33">
        <f t="shared" si="43"/>
        <v>0</v>
      </c>
      <c r="AD99" s="33">
        <f t="shared" si="43"/>
        <v>0</v>
      </c>
      <c r="AE99" s="34">
        <f t="shared" si="43"/>
        <v>0</v>
      </c>
      <c r="AF99" s="26">
        <f t="shared" si="31"/>
        <v>0</v>
      </c>
      <c r="AG99" s="103">
        <f t="shared" si="31"/>
        <v>0</v>
      </c>
    </row>
    <row r="100" spans="2:33" ht="12.75" x14ac:dyDescent="0.3">
      <c r="B100" s="27"/>
      <c r="C100" s="28"/>
      <c r="D100" s="28"/>
      <c r="E100" s="41">
        <v>4251510</v>
      </c>
      <c r="F100" s="55" t="s">
        <v>85</v>
      </c>
      <c r="G100" s="37"/>
      <c r="H100" s="37"/>
      <c r="I100" s="37"/>
      <c r="J100" s="37"/>
      <c r="K100" s="37"/>
      <c r="L100" s="39"/>
      <c r="M100" s="39"/>
      <c r="N100" s="39"/>
      <c r="O100" s="39"/>
      <c r="P100" s="39"/>
      <c r="Q100" s="39"/>
      <c r="R100" s="38"/>
      <c r="S100" s="40">
        <f t="shared" si="30"/>
        <v>0</v>
      </c>
      <c r="T100" s="37"/>
      <c r="U100" s="37"/>
      <c r="V100" s="37"/>
      <c r="W100" s="37"/>
      <c r="X100" s="37"/>
      <c r="Y100" s="39"/>
      <c r="Z100" s="39"/>
      <c r="AA100" s="39"/>
      <c r="AB100" s="39"/>
      <c r="AC100" s="39"/>
      <c r="AD100" s="39"/>
      <c r="AE100" s="38"/>
      <c r="AF100" s="40">
        <f t="shared" si="31"/>
        <v>0</v>
      </c>
      <c r="AG100" s="104">
        <f t="shared" si="31"/>
        <v>0</v>
      </c>
    </row>
    <row r="101" spans="2:33" ht="12.75" x14ac:dyDescent="0.3">
      <c r="B101" s="27"/>
      <c r="C101" s="28"/>
      <c r="D101" s="28"/>
      <c r="E101" s="41">
        <v>4251511</v>
      </c>
      <c r="F101" s="55" t="s">
        <v>86</v>
      </c>
      <c r="G101" s="37"/>
      <c r="H101" s="37"/>
      <c r="I101" s="37"/>
      <c r="J101" s="37"/>
      <c r="K101" s="37"/>
      <c r="L101" s="39"/>
      <c r="M101" s="39"/>
      <c r="N101" s="39"/>
      <c r="O101" s="39"/>
      <c r="P101" s="39"/>
      <c r="Q101" s="39"/>
      <c r="R101" s="38"/>
      <c r="S101" s="40">
        <f t="shared" si="30"/>
        <v>0</v>
      </c>
      <c r="T101" s="37"/>
      <c r="U101" s="37"/>
      <c r="V101" s="37"/>
      <c r="W101" s="37"/>
      <c r="X101" s="37"/>
      <c r="Y101" s="39"/>
      <c r="Z101" s="39"/>
      <c r="AA101" s="39"/>
      <c r="AB101" s="39"/>
      <c r="AC101" s="39"/>
      <c r="AD101" s="39"/>
      <c r="AE101" s="38"/>
      <c r="AF101" s="40">
        <f t="shared" si="31"/>
        <v>0</v>
      </c>
      <c r="AG101" s="104">
        <f t="shared" si="31"/>
        <v>0</v>
      </c>
    </row>
    <row r="102" spans="2:33" ht="12.75" x14ac:dyDescent="0.3">
      <c r="B102" s="27"/>
      <c r="C102" s="28"/>
      <c r="D102" s="28"/>
      <c r="E102" s="41">
        <v>4251520</v>
      </c>
      <c r="F102" s="55" t="s">
        <v>87</v>
      </c>
      <c r="G102" s="37"/>
      <c r="H102" s="37"/>
      <c r="I102" s="37"/>
      <c r="J102" s="37"/>
      <c r="K102" s="37"/>
      <c r="L102" s="39"/>
      <c r="M102" s="39"/>
      <c r="N102" s="39"/>
      <c r="O102" s="39"/>
      <c r="P102" s="39"/>
      <c r="Q102" s="39"/>
      <c r="R102" s="38"/>
      <c r="S102" s="40">
        <f t="shared" si="30"/>
        <v>0</v>
      </c>
      <c r="T102" s="37"/>
      <c r="U102" s="37"/>
      <c r="V102" s="37"/>
      <c r="W102" s="37"/>
      <c r="X102" s="37"/>
      <c r="Y102" s="39"/>
      <c r="Z102" s="39"/>
      <c r="AA102" s="39"/>
      <c r="AB102" s="39"/>
      <c r="AC102" s="39"/>
      <c r="AD102" s="39"/>
      <c r="AE102" s="38"/>
      <c r="AF102" s="40">
        <f t="shared" si="31"/>
        <v>0</v>
      </c>
      <c r="AG102" s="104">
        <f t="shared" si="31"/>
        <v>0</v>
      </c>
    </row>
    <row r="103" spans="2:33" ht="12.75" x14ac:dyDescent="0.3">
      <c r="B103" s="27"/>
      <c r="C103" s="28"/>
      <c r="D103" s="28"/>
      <c r="E103" s="41">
        <v>4251530</v>
      </c>
      <c r="F103" s="55" t="s">
        <v>88</v>
      </c>
      <c r="G103" s="37"/>
      <c r="H103" s="37"/>
      <c r="I103" s="37"/>
      <c r="J103" s="37"/>
      <c r="K103" s="37"/>
      <c r="L103" s="39"/>
      <c r="M103" s="39"/>
      <c r="N103" s="39"/>
      <c r="O103" s="39"/>
      <c r="P103" s="39"/>
      <c r="Q103" s="39"/>
      <c r="R103" s="38"/>
      <c r="S103" s="40">
        <f t="shared" si="30"/>
        <v>0</v>
      </c>
      <c r="T103" s="37"/>
      <c r="U103" s="37"/>
      <c r="V103" s="37"/>
      <c r="W103" s="37"/>
      <c r="X103" s="37"/>
      <c r="Y103" s="39"/>
      <c r="Z103" s="39"/>
      <c r="AA103" s="39"/>
      <c r="AB103" s="39"/>
      <c r="AC103" s="39"/>
      <c r="AD103" s="39"/>
      <c r="AE103" s="38"/>
      <c r="AF103" s="40">
        <f t="shared" si="31"/>
        <v>0</v>
      </c>
      <c r="AG103" s="104">
        <f t="shared" si="31"/>
        <v>0</v>
      </c>
    </row>
    <row r="104" spans="2:33" ht="12.75" x14ac:dyDescent="0.3">
      <c r="B104" s="27"/>
      <c r="C104" s="28"/>
      <c r="D104" s="28"/>
      <c r="E104" s="41">
        <v>4251540</v>
      </c>
      <c r="F104" s="55" t="s">
        <v>89</v>
      </c>
      <c r="G104" s="37"/>
      <c r="H104" s="37"/>
      <c r="I104" s="37"/>
      <c r="J104" s="37"/>
      <c r="K104" s="37"/>
      <c r="L104" s="39"/>
      <c r="M104" s="39"/>
      <c r="N104" s="39"/>
      <c r="O104" s="39"/>
      <c r="P104" s="39"/>
      <c r="Q104" s="39"/>
      <c r="R104" s="38"/>
      <c r="S104" s="40">
        <f t="shared" si="30"/>
        <v>0</v>
      </c>
      <c r="T104" s="37"/>
      <c r="U104" s="37"/>
      <c r="V104" s="37"/>
      <c r="W104" s="37"/>
      <c r="X104" s="37"/>
      <c r="Y104" s="39"/>
      <c r="Z104" s="39"/>
      <c r="AA104" s="39"/>
      <c r="AB104" s="39"/>
      <c r="AC104" s="39"/>
      <c r="AD104" s="39"/>
      <c r="AE104" s="38"/>
      <c r="AF104" s="40">
        <f t="shared" si="31"/>
        <v>0</v>
      </c>
      <c r="AG104" s="104">
        <f t="shared" si="31"/>
        <v>0</v>
      </c>
    </row>
    <row r="105" spans="2:33" ht="12.75" x14ac:dyDescent="0.3">
      <c r="B105" s="27"/>
      <c r="C105" s="28"/>
      <c r="D105" s="28"/>
      <c r="E105" s="41">
        <v>4251550</v>
      </c>
      <c r="F105" s="55" t="s">
        <v>90</v>
      </c>
      <c r="G105" s="37"/>
      <c r="H105" s="37"/>
      <c r="I105" s="37"/>
      <c r="J105" s="37"/>
      <c r="K105" s="37"/>
      <c r="L105" s="39"/>
      <c r="M105" s="39"/>
      <c r="N105" s="39"/>
      <c r="O105" s="39"/>
      <c r="P105" s="39"/>
      <c r="Q105" s="39"/>
      <c r="R105" s="38"/>
      <c r="S105" s="40">
        <f t="shared" si="30"/>
        <v>0</v>
      </c>
      <c r="T105" s="37"/>
      <c r="U105" s="37"/>
      <c r="V105" s="37"/>
      <c r="W105" s="37"/>
      <c r="X105" s="37"/>
      <c r="Y105" s="39"/>
      <c r="Z105" s="39"/>
      <c r="AA105" s="39"/>
      <c r="AB105" s="39"/>
      <c r="AC105" s="39"/>
      <c r="AD105" s="39"/>
      <c r="AE105" s="38"/>
      <c r="AF105" s="40">
        <f t="shared" si="31"/>
        <v>0</v>
      </c>
      <c r="AG105" s="104">
        <f t="shared" si="31"/>
        <v>0</v>
      </c>
    </row>
    <row r="106" spans="2:33" ht="12.75" x14ac:dyDescent="0.3">
      <c r="B106" s="27"/>
      <c r="C106" s="28"/>
      <c r="D106" s="28"/>
      <c r="E106" s="41">
        <v>4251560</v>
      </c>
      <c r="F106" s="55" t="s">
        <v>91</v>
      </c>
      <c r="G106" s="37"/>
      <c r="H106" s="37"/>
      <c r="I106" s="37"/>
      <c r="J106" s="37"/>
      <c r="K106" s="37"/>
      <c r="L106" s="39"/>
      <c r="M106" s="39"/>
      <c r="N106" s="39"/>
      <c r="O106" s="39"/>
      <c r="P106" s="39"/>
      <c r="Q106" s="39"/>
      <c r="R106" s="38"/>
      <c r="S106" s="40">
        <f t="shared" si="30"/>
        <v>0</v>
      </c>
      <c r="T106" s="37"/>
      <c r="U106" s="37"/>
      <c r="V106" s="37"/>
      <c r="W106" s="37"/>
      <c r="X106" s="37"/>
      <c r="Y106" s="39"/>
      <c r="Z106" s="39"/>
      <c r="AA106" s="39"/>
      <c r="AB106" s="39"/>
      <c r="AC106" s="39"/>
      <c r="AD106" s="39"/>
      <c r="AE106" s="38"/>
      <c r="AF106" s="40">
        <f t="shared" si="31"/>
        <v>0</v>
      </c>
      <c r="AG106" s="104">
        <f t="shared" si="31"/>
        <v>0</v>
      </c>
    </row>
    <row r="107" spans="2:33" ht="12.75" x14ac:dyDescent="0.3">
      <c r="B107" s="27"/>
      <c r="C107" s="28"/>
      <c r="D107" s="28"/>
      <c r="E107" s="41">
        <v>4251570</v>
      </c>
      <c r="F107" s="55" t="s">
        <v>92</v>
      </c>
      <c r="G107" s="37"/>
      <c r="H107" s="37"/>
      <c r="I107" s="37"/>
      <c r="J107" s="37"/>
      <c r="K107" s="37"/>
      <c r="L107" s="39"/>
      <c r="M107" s="39"/>
      <c r="N107" s="39"/>
      <c r="O107" s="39"/>
      <c r="P107" s="39"/>
      <c r="Q107" s="39"/>
      <c r="R107" s="38"/>
      <c r="S107" s="40">
        <f t="shared" si="30"/>
        <v>0</v>
      </c>
      <c r="T107" s="37"/>
      <c r="U107" s="37"/>
      <c r="V107" s="37"/>
      <c r="W107" s="37"/>
      <c r="X107" s="37"/>
      <c r="Y107" s="39"/>
      <c r="Z107" s="39"/>
      <c r="AA107" s="39"/>
      <c r="AB107" s="39"/>
      <c r="AC107" s="39"/>
      <c r="AD107" s="39"/>
      <c r="AE107" s="38"/>
      <c r="AF107" s="40">
        <f t="shared" si="31"/>
        <v>0</v>
      </c>
      <c r="AG107" s="104">
        <f t="shared" si="31"/>
        <v>0</v>
      </c>
    </row>
    <row r="108" spans="2:33" ht="12.75" x14ac:dyDescent="0.3">
      <c r="B108" s="27"/>
      <c r="C108" s="28"/>
      <c r="D108" s="28"/>
      <c r="E108" s="41">
        <v>4251590</v>
      </c>
      <c r="F108" s="55" t="s">
        <v>93</v>
      </c>
      <c r="G108" s="37"/>
      <c r="H108" s="37"/>
      <c r="I108" s="37"/>
      <c r="J108" s="37"/>
      <c r="K108" s="37"/>
      <c r="L108" s="38"/>
      <c r="M108" s="38"/>
      <c r="N108" s="39"/>
      <c r="O108" s="37"/>
      <c r="P108" s="39"/>
      <c r="Q108" s="39"/>
      <c r="R108" s="38"/>
      <c r="S108" s="40">
        <f t="shared" si="30"/>
        <v>0</v>
      </c>
      <c r="T108" s="37"/>
      <c r="U108" s="37"/>
      <c r="V108" s="37"/>
      <c r="W108" s="37"/>
      <c r="X108" s="37"/>
      <c r="Y108" s="38"/>
      <c r="Z108" s="38"/>
      <c r="AA108" s="39"/>
      <c r="AB108" s="37"/>
      <c r="AC108" s="39"/>
      <c r="AD108" s="39"/>
      <c r="AE108" s="38"/>
      <c r="AF108" s="40">
        <f t="shared" si="31"/>
        <v>0</v>
      </c>
      <c r="AG108" s="104">
        <f t="shared" si="31"/>
        <v>0</v>
      </c>
    </row>
    <row r="109" spans="2:33" ht="12.75" x14ac:dyDescent="0.3">
      <c r="B109" s="27"/>
      <c r="C109" s="28"/>
      <c r="D109" s="27"/>
      <c r="E109" s="41">
        <v>4255110</v>
      </c>
      <c r="F109" s="55" t="s">
        <v>94</v>
      </c>
      <c r="G109" s="37"/>
      <c r="H109" s="37"/>
      <c r="I109" s="37"/>
      <c r="J109" s="37"/>
      <c r="K109" s="37"/>
      <c r="L109" s="38"/>
      <c r="M109" s="38"/>
      <c r="N109" s="39"/>
      <c r="O109" s="37"/>
      <c r="P109" s="39"/>
      <c r="Q109" s="39"/>
      <c r="R109" s="38"/>
      <c r="S109" s="40">
        <f t="shared" si="30"/>
        <v>0</v>
      </c>
      <c r="T109" s="37"/>
      <c r="U109" s="37"/>
      <c r="V109" s="37"/>
      <c r="W109" s="37"/>
      <c r="X109" s="37"/>
      <c r="Y109" s="38"/>
      <c r="Z109" s="38"/>
      <c r="AA109" s="39"/>
      <c r="AB109" s="37"/>
      <c r="AC109" s="39"/>
      <c r="AD109" s="39"/>
      <c r="AE109" s="38"/>
      <c r="AF109" s="40">
        <f t="shared" si="31"/>
        <v>0</v>
      </c>
      <c r="AG109" s="104">
        <f t="shared" si="31"/>
        <v>0</v>
      </c>
    </row>
    <row r="110" spans="2:33" ht="12.75" x14ac:dyDescent="0.3">
      <c r="B110" s="27"/>
      <c r="C110" s="28"/>
      <c r="D110" s="29" t="s">
        <v>95</v>
      </c>
      <c r="E110" s="42"/>
      <c r="F110" s="31"/>
      <c r="G110" s="32">
        <v>0</v>
      </c>
      <c r="H110" s="33">
        <v>0</v>
      </c>
      <c r="I110" s="33">
        <v>0</v>
      </c>
      <c r="J110" s="33">
        <v>0</v>
      </c>
      <c r="K110" s="33">
        <v>0</v>
      </c>
      <c r="L110" s="34">
        <v>0</v>
      </c>
      <c r="M110" s="34">
        <v>0</v>
      </c>
      <c r="N110" s="33">
        <v>0</v>
      </c>
      <c r="O110" s="32">
        <v>0</v>
      </c>
      <c r="P110" s="33">
        <f t="shared" ref="P110:R110" si="44">SUM(P111:P114)</f>
        <v>0</v>
      </c>
      <c r="Q110" s="33">
        <f t="shared" si="44"/>
        <v>0</v>
      </c>
      <c r="R110" s="34">
        <f t="shared" si="44"/>
        <v>0</v>
      </c>
      <c r="S110" s="26">
        <f t="shared" si="30"/>
        <v>0</v>
      </c>
      <c r="T110" s="32">
        <f t="shared" ref="T110:AE110" si="45">SUM(T111:T114)</f>
        <v>0</v>
      </c>
      <c r="U110" s="33">
        <f t="shared" si="45"/>
        <v>0</v>
      </c>
      <c r="V110" s="33">
        <f t="shared" si="45"/>
        <v>0</v>
      </c>
      <c r="W110" s="33">
        <f t="shared" si="45"/>
        <v>0</v>
      </c>
      <c r="X110" s="33">
        <f t="shared" si="45"/>
        <v>0</v>
      </c>
      <c r="Y110" s="34">
        <f t="shared" si="45"/>
        <v>0</v>
      </c>
      <c r="Z110" s="34">
        <f t="shared" si="45"/>
        <v>0</v>
      </c>
      <c r="AA110" s="33">
        <f t="shared" si="45"/>
        <v>0</v>
      </c>
      <c r="AB110" s="32">
        <f t="shared" si="45"/>
        <v>0</v>
      </c>
      <c r="AC110" s="33">
        <f t="shared" si="45"/>
        <v>0</v>
      </c>
      <c r="AD110" s="33">
        <f t="shared" si="45"/>
        <v>0</v>
      </c>
      <c r="AE110" s="34">
        <f t="shared" si="45"/>
        <v>0</v>
      </c>
      <c r="AF110" s="26">
        <f t="shared" si="31"/>
        <v>0</v>
      </c>
      <c r="AG110" s="103">
        <f t="shared" si="31"/>
        <v>0</v>
      </c>
    </row>
    <row r="111" spans="2:33" ht="12.75" x14ac:dyDescent="0.3">
      <c r="B111" s="27"/>
      <c r="C111" s="28"/>
      <c r="D111" s="28"/>
      <c r="E111" s="41">
        <v>4251600</v>
      </c>
      <c r="F111" s="55" t="s">
        <v>96</v>
      </c>
      <c r="G111" s="37"/>
      <c r="H111" s="37"/>
      <c r="I111" s="37"/>
      <c r="J111" s="37"/>
      <c r="K111" s="37"/>
      <c r="L111" s="38"/>
      <c r="M111" s="38"/>
      <c r="N111" s="39"/>
      <c r="O111" s="37"/>
      <c r="P111" s="39"/>
      <c r="Q111" s="39"/>
      <c r="R111" s="38"/>
      <c r="S111" s="40">
        <f t="shared" si="30"/>
        <v>0</v>
      </c>
      <c r="T111" s="37"/>
      <c r="U111" s="37"/>
      <c r="V111" s="37"/>
      <c r="W111" s="37"/>
      <c r="X111" s="37"/>
      <c r="Y111" s="38"/>
      <c r="Z111" s="38"/>
      <c r="AA111" s="39"/>
      <c r="AB111" s="37"/>
      <c r="AC111" s="39"/>
      <c r="AD111" s="39"/>
      <c r="AE111" s="38"/>
      <c r="AF111" s="40">
        <f t="shared" si="31"/>
        <v>0</v>
      </c>
      <c r="AG111" s="104">
        <f t="shared" si="31"/>
        <v>0</v>
      </c>
    </row>
    <row r="112" spans="2:33" ht="12.75" x14ac:dyDescent="0.3">
      <c r="B112" s="27"/>
      <c r="C112" s="28"/>
      <c r="D112" s="28"/>
      <c r="E112" s="41">
        <v>4251610</v>
      </c>
      <c r="F112" s="55" t="s">
        <v>97</v>
      </c>
      <c r="G112" s="37"/>
      <c r="H112" s="37"/>
      <c r="I112" s="37"/>
      <c r="J112" s="37"/>
      <c r="K112" s="37"/>
      <c r="L112" s="38"/>
      <c r="M112" s="38"/>
      <c r="N112" s="39"/>
      <c r="O112" s="37"/>
      <c r="P112" s="39"/>
      <c r="Q112" s="39"/>
      <c r="R112" s="38"/>
      <c r="S112" s="40">
        <f t="shared" si="30"/>
        <v>0</v>
      </c>
      <c r="T112" s="37"/>
      <c r="U112" s="37"/>
      <c r="V112" s="37"/>
      <c r="W112" s="37"/>
      <c r="X112" s="37"/>
      <c r="Y112" s="38"/>
      <c r="Z112" s="38"/>
      <c r="AA112" s="39"/>
      <c r="AB112" s="37"/>
      <c r="AC112" s="39"/>
      <c r="AD112" s="39"/>
      <c r="AE112" s="38"/>
      <c r="AF112" s="40">
        <f t="shared" si="31"/>
        <v>0</v>
      </c>
      <c r="AG112" s="104">
        <f t="shared" si="31"/>
        <v>0</v>
      </c>
    </row>
    <row r="113" spans="2:33" ht="12.75" x14ac:dyDescent="0.3">
      <c r="B113" s="27"/>
      <c r="C113" s="28"/>
      <c r="D113" s="28"/>
      <c r="E113" s="41">
        <v>4251630</v>
      </c>
      <c r="F113" s="55" t="s">
        <v>98</v>
      </c>
      <c r="G113" s="37"/>
      <c r="H113" s="37"/>
      <c r="I113" s="37"/>
      <c r="J113" s="37"/>
      <c r="K113" s="37"/>
      <c r="L113" s="38"/>
      <c r="M113" s="38"/>
      <c r="N113" s="39"/>
      <c r="O113" s="37"/>
      <c r="P113" s="39"/>
      <c r="Q113" s="39"/>
      <c r="R113" s="38"/>
      <c r="S113" s="40">
        <f t="shared" si="30"/>
        <v>0</v>
      </c>
      <c r="T113" s="37"/>
      <c r="U113" s="37"/>
      <c r="V113" s="37"/>
      <c r="W113" s="37"/>
      <c r="X113" s="37"/>
      <c r="Y113" s="38"/>
      <c r="Z113" s="38"/>
      <c r="AA113" s="39"/>
      <c r="AB113" s="37"/>
      <c r="AC113" s="39"/>
      <c r="AD113" s="39"/>
      <c r="AE113" s="38"/>
      <c r="AF113" s="40">
        <f t="shared" si="31"/>
        <v>0</v>
      </c>
      <c r="AG113" s="104">
        <f t="shared" si="31"/>
        <v>0</v>
      </c>
    </row>
    <row r="114" spans="2:33" ht="12.75" x14ac:dyDescent="0.3">
      <c r="B114" s="27"/>
      <c r="C114" s="28"/>
      <c r="D114" s="28"/>
      <c r="E114" s="41">
        <v>4251700</v>
      </c>
      <c r="F114" s="55" t="s">
        <v>99</v>
      </c>
      <c r="G114" s="37"/>
      <c r="H114" s="37"/>
      <c r="I114" s="37"/>
      <c r="J114" s="37"/>
      <c r="K114" s="37"/>
      <c r="L114" s="38"/>
      <c r="M114" s="38"/>
      <c r="N114" s="39"/>
      <c r="O114" s="37"/>
      <c r="P114" s="39"/>
      <c r="Q114" s="39"/>
      <c r="R114" s="38"/>
      <c r="S114" s="40">
        <f t="shared" si="30"/>
        <v>0</v>
      </c>
      <c r="T114" s="37"/>
      <c r="U114" s="37"/>
      <c r="V114" s="37"/>
      <c r="W114" s="37"/>
      <c r="X114" s="37"/>
      <c r="Y114" s="38"/>
      <c r="Z114" s="38"/>
      <c r="AA114" s="39"/>
      <c r="AB114" s="37"/>
      <c r="AC114" s="39"/>
      <c r="AD114" s="39"/>
      <c r="AE114" s="38"/>
      <c r="AF114" s="40">
        <f t="shared" si="31"/>
        <v>0</v>
      </c>
      <c r="AG114" s="104">
        <f t="shared" si="31"/>
        <v>0</v>
      </c>
    </row>
    <row r="115" spans="2:33" ht="12.75" x14ac:dyDescent="0.3">
      <c r="B115" s="27"/>
      <c r="C115" s="28"/>
      <c r="D115" s="29" t="s">
        <v>100</v>
      </c>
      <c r="E115" s="42"/>
      <c r="F115" s="31"/>
      <c r="G115" s="32">
        <v>0</v>
      </c>
      <c r="H115" s="33">
        <v>0</v>
      </c>
      <c r="I115" s="33">
        <v>0</v>
      </c>
      <c r="J115" s="33">
        <v>0</v>
      </c>
      <c r="K115" s="33">
        <v>0</v>
      </c>
      <c r="L115" s="34">
        <v>0</v>
      </c>
      <c r="M115" s="34">
        <v>0</v>
      </c>
      <c r="N115" s="33">
        <v>0</v>
      </c>
      <c r="O115" s="32">
        <v>0</v>
      </c>
      <c r="P115" s="33">
        <f t="shared" ref="P115:R115" si="46">SUM(P116:P126)</f>
        <v>0</v>
      </c>
      <c r="Q115" s="33">
        <f t="shared" si="46"/>
        <v>0</v>
      </c>
      <c r="R115" s="34">
        <f t="shared" si="46"/>
        <v>0</v>
      </c>
      <c r="S115" s="26">
        <f t="shared" si="30"/>
        <v>0</v>
      </c>
      <c r="T115" s="32">
        <f t="shared" ref="T115:AE115" si="47">SUM(T116:T126)</f>
        <v>0</v>
      </c>
      <c r="U115" s="33">
        <f t="shared" si="47"/>
        <v>0</v>
      </c>
      <c r="V115" s="33">
        <f t="shared" si="47"/>
        <v>0</v>
      </c>
      <c r="W115" s="33">
        <f t="shared" si="47"/>
        <v>0</v>
      </c>
      <c r="X115" s="33">
        <f t="shared" si="47"/>
        <v>0</v>
      </c>
      <c r="Y115" s="34">
        <f t="shared" si="47"/>
        <v>0</v>
      </c>
      <c r="Z115" s="34">
        <f t="shared" si="47"/>
        <v>0</v>
      </c>
      <c r="AA115" s="33">
        <f t="shared" si="47"/>
        <v>0</v>
      </c>
      <c r="AB115" s="32">
        <f t="shared" si="47"/>
        <v>0</v>
      </c>
      <c r="AC115" s="33">
        <f t="shared" si="47"/>
        <v>0</v>
      </c>
      <c r="AD115" s="33">
        <f t="shared" si="47"/>
        <v>0</v>
      </c>
      <c r="AE115" s="34">
        <f t="shared" si="47"/>
        <v>0</v>
      </c>
      <c r="AF115" s="26">
        <f t="shared" si="31"/>
        <v>0</v>
      </c>
      <c r="AG115" s="103">
        <f t="shared" si="31"/>
        <v>0</v>
      </c>
    </row>
    <row r="116" spans="2:33" ht="12.75" x14ac:dyDescent="0.3">
      <c r="B116" s="27"/>
      <c r="C116" s="28"/>
      <c r="D116" s="28"/>
      <c r="E116" s="41">
        <v>4252000</v>
      </c>
      <c r="F116" s="55" t="s">
        <v>101</v>
      </c>
      <c r="G116" s="37"/>
      <c r="H116" s="37"/>
      <c r="I116" s="37"/>
      <c r="J116" s="37"/>
      <c r="K116" s="37"/>
      <c r="L116" s="38"/>
      <c r="M116" s="38"/>
      <c r="N116" s="39"/>
      <c r="O116" s="37"/>
      <c r="P116" s="39"/>
      <c r="Q116" s="39"/>
      <c r="R116" s="38"/>
      <c r="S116" s="40">
        <f t="shared" si="30"/>
        <v>0</v>
      </c>
      <c r="T116" s="37"/>
      <c r="U116" s="37"/>
      <c r="V116" s="37"/>
      <c r="W116" s="37"/>
      <c r="X116" s="37"/>
      <c r="Y116" s="38"/>
      <c r="Z116" s="38"/>
      <c r="AA116" s="39"/>
      <c r="AB116" s="37"/>
      <c r="AC116" s="39"/>
      <c r="AD116" s="39"/>
      <c r="AE116" s="38"/>
      <c r="AF116" s="40">
        <f t="shared" si="31"/>
        <v>0</v>
      </c>
      <c r="AG116" s="104">
        <f t="shared" si="31"/>
        <v>0</v>
      </c>
    </row>
    <row r="117" spans="2:33" ht="12.75" x14ac:dyDescent="0.3">
      <c r="B117" s="27"/>
      <c r="C117" s="28"/>
      <c r="D117" s="28"/>
      <c r="E117" s="41">
        <v>4252100</v>
      </c>
      <c r="F117" s="55" t="s">
        <v>102</v>
      </c>
      <c r="G117" s="37"/>
      <c r="H117" s="37"/>
      <c r="I117" s="37"/>
      <c r="J117" s="37"/>
      <c r="K117" s="37"/>
      <c r="L117" s="38"/>
      <c r="M117" s="38"/>
      <c r="N117" s="39"/>
      <c r="O117" s="37"/>
      <c r="P117" s="39"/>
      <c r="Q117" s="39"/>
      <c r="R117" s="38"/>
      <c r="S117" s="40">
        <f t="shared" ref="S117:S181" si="48">SUM(G117:R117)</f>
        <v>0</v>
      </c>
      <c r="T117" s="37"/>
      <c r="U117" s="37"/>
      <c r="V117" s="37"/>
      <c r="W117" s="37"/>
      <c r="X117" s="37"/>
      <c r="Y117" s="38"/>
      <c r="Z117" s="38"/>
      <c r="AA117" s="39"/>
      <c r="AB117" s="37"/>
      <c r="AC117" s="39"/>
      <c r="AD117" s="39"/>
      <c r="AE117" s="38"/>
      <c r="AF117" s="40">
        <f t="shared" ref="AF117:AG181" si="49">SUM(T117:AE117)</f>
        <v>0</v>
      </c>
      <c r="AG117" s="104">
        <f t="shared" si="49"/>
        <v>0</v>
      </c>
    </row>
    <row r="118" spans="2:33" ht="12.75" x14ac:dyDescent="0.3">
      <c r="B118" s="27"/>
      <c r="C118" s="28"/>
      <c r="D118" s="28"/>
      <c r="E118" s="41">
        <v>4252110</v>
      </c>
      <c r="F118" s="55" t="s">
        <v>103</v>
      </c>
      <c r="G118" s="37"/>
      <c r="H118" s="37"/>
      <c r="I118" s="37"/>
      <c r="J118" s="37"/>
      <c r="K118" s="37"/>
      <c r="L118" s="38"/>
      <c r="M118" s="38"/>
      <c r="N118" s="39"/>
      <c r="O118" s="37"/>
      <c r="P118" s="39"/>
      <c r="Q118" s="39"/>
      <c r="R118" s="38"/>
      <c r="S118" s="40">
        <f t="shared" si="48"/>
        <v>0</v>
      </c>
      <c r="T118" s="37"/>
      <c r="U118" s="37"/>
      <c r="V118" s="37"/>
      <c r="W118" s="37"/>
      <c r="X118" s="37"/>
      <c r="Y118" s="38"/>
      <c r="Z118" s="38"/>
      <c r="AA118" s="39"/>
      <c r="AB118" s="37"/>
      <c r="AC118" s="39"/>
      <c r="AD118" s="39"/>
      <c r="AE118" s="38"/>
      <c r="AF118" s="40">
        <f t="shared" si="49"/>
        <v>0</v>
      </c>
      <c r="AG118" s="104">
        <f t="shared" si="49"/>
        <v>0</v>
      </c>
    </row>
    <row r="119" spans="2:33" ht="12.75" x14ac:dyDescent="0.3">
      <c r="B119" s="27"/>
      <c r="C119" s="28"/>
      <c r="D119" s="28"/>
      <c r="E119" s="41">
        <v>4252120</v>
      </c>
      <c r="F119" s="55" t="s">
        <v>104</v>
      </c>
      <c r="G119" s="37"/>
      <c r="H119" s="37"/>
      <c r="I119" s="37"/>
      <c r="J119" s="37"/>
      <c r="K119" s="37"/>
      <c r="L119" s="38"/>
      <c r="M119" s="38"/>
      <c r="N119" s="39"/>
      <c r="O119" s="37"/>
      <c r="P119" s="39"/>
      <c r="Q119" s="39"/>
      <c r="R119" s="38"/>
      <c r="S119" s="40">
        <f t="shared" si="48"/>
        <v>0</v>
      </c>
      <c r="T119" s="37"/>
      <c r="U119" s="37"/>
      <c r="V119" s="37"/>
      <c r="W119" s="37"/>
      <c r="X119" s="37"/>
      <c r="Y119" s="38"/>
      <c r="Z119" s="38"/>
      <c r="AA119" s="39"/>
      <c r="AB119" s="37"/>
      <c r="AC119" s="39"/>
      <c r="AD119" s="39"/>
      <c r="AE119" s="38"/>
      <c r="AF119" s="40">
        <f t="shared" si="49"/>
        <v>0</v>
      </c>
      <c r="AG119" s="104">
        <f t="shared" si="49"/>
        <v>0</v>
      </c>
    </row>
    <row r="120" spans="2:33" ht="12.75" x14ac:dyDescent="0.3">
      <c r="B120" s="27"/>
      <c r="C120" s="28"/>
      <c r="D120" s="28"/>
      <c r="E120" s="41">
        <v>4252130</v>
      </c>
      <c r="F120" s="55" t="s">
        <v>105</v>
      </c>
      <c r="G120" s="37"/>
      <c r="H120" s="37"/>
      <c r="I120" s="37"/>
      <c r="J120" s="37"/>
      <c r="K120" s="37"/>
      <c r="L120" s="38"/>
      <c r="M120" s="38"/>
      <c r="N120" s="39"/>
      <c r="O120" s="37"/>
      <c r="P120" s="39"/>
      <c r="Q120" s="39"/>
      <c r="R120" s="38"/>
      <c r="S120" s="40">
        <f t="shared" si="48"/>
        <v>0</v>
      </c>
      <c r="T120" s="37"/>
      <c r="U120" s="37"/>
      <c r="V120" s="37"/>
      <c r="W120" s="37"/>
      <c r="X120" s="37"/>
      <c r="Y120" s="38"/>
      <c r="Z120" s="38"/>
      <c r="AA120" s="39"/>
      <c r="AB120" s="37"/>
      <c r="AC120" s="39"/>
      <c r="AD120" s="39"/>
      <c r="AE120" s="38"/>
      <c r="AF120" s="40">
        <f t="shared" si="49"/>
        <v>0</v>
      </c>
      <c r="AG120" s="104">
        <f t="shared" si="49"/>
        <v>0</v>
      </c>
    </row>
    <row r="121" spans="2:33" ht="12.75" x14ac:dyDescent="0.3">
      <c r="B121" s="27"/>
      <c r="C121" s="28"/>
      <c r="D121" s="28"/>
      <c r="E121" s="41">
        <v>4252150</v>
      </c>
      <c r="F121" s="55" t="s">
        <v>106</v>
      </c>
      <c r="G121" s="37"/>
      <c r="H121" s="37"/>
      <c r="I121" s="37"/>
      <c r="J121" s="37"/>
      <c r="K121" s="37"/>
      <c r="L121" s="38"/>
      <c r="M121" s="38"/>
      <c r="N121" s="39"/>
      <c r="O121" s="37"/>
      <c r="P121" s="39"/>
      <c r="Q121" s="39"/>
      <c r="R121" s="38"/>
      <c r="S121" s="40">
        <f t="shared" si="48"/>
        <v>0</v>
      </c>
      <c r="T121" s="37"/>
      <c r="U121" s="37"/>
      <c r="V121" s="37"/>
      <c r="W121" s="37"/>
      <c r="X121" s="37"/>
      <c r="Y121" s="38"/>
      <c r="Z121" s="38"/>
      <c r="AA121" s="39"/>
      <c r="AB121" s="37"/>
      <c r="AC121" s="39"/>
      <c r="AD121" s="39"/>
      <c r="AE121" s="38"/>
      <c r="AF121" s="40">
        <f t="shared" si="49"/>
        <v>0</v>
      </c>
      <c r="AG121" s="104">
        <f t="shared" si="49"/>
        <v>0</v>
      </c>
    </row>
    <row r="122" spans="2:33" ht="12.75" x14ac:dyDescent="0.3">
      <c r="B122" s="27"/>
      <c r="C122" s="28"/>
      <c r="D122" s="28"/>
      <c r="E122" s="41">
        <v>4252160</v>
      </c>
      <c r="F122" s="55" t="s">
        <v>107</v>
      </c>
      <c r="G122" s="37"/>
      <c r="H122" s="37"/>
      <c r="I122" s="37"/>
      <c r="J122" s="37"/>
      <c r="K122" s="37"/>
      <c r="L122" s="38"/>
      <c r="M122" s="38"/>
      <c r="N122" s="39"/>
      <c r="O122" s="37"/>
      <c r="P122" s="39"/>
      <c r="Q122" s="39"/>
      <c r="R122" s="38"/>
      <c r="S122" s="40">
        <f t="shared" si="48"/>
        <v>0</v>
      </c>
      <c r="T122" s="37"/>
      <c r="U122" s="37"/>
      <c r="V122" s="37"/>
      <c r="W122" s="37"/>
      <c r="X122" s="37"/>
      <c r="Y122" s="38"/>
      <c r="Z122" s="38"/>
      <c r="AA122" s="39"/>
      <c r="AB122" s="37"/>
      <c r="AC122" s="39"/>
      <c r="AD122" s="39"/>
      <c r="AE122" s="38"/>
      <c r="AF122" s="40">
        <f t="shared" si="49"/>
        <v>0</v>
      </c>
      <c r="AG122" s="104">
        <f t="shared" si="49"/>
        <v>0</v>
      </c>
    </row>
    <row r="123" spans="2:33" ht="12.75" x14ac:dyDescent="0.3">
      <c r="B123" s="27"/>
      <c r="C123" s="28"/>
      <c r="D123" s="28"/>
      <c r="E123" s="41">
        <v>4252240</v>
      </c>
      <c r="F123" s="55" t="s">
        <v>108</v>
      </c>
      <c r="G123" s="37"/>
      <c r="H123" s="37"/>
      <c r="I123" s="37"/>
      <c r="J123" s="37"/>
      <c r="K123" s="37"/>
      <c r="L123" s="38"/>
      <c r="M123" s="38"/>
      <c r="N123" s="39"/>
      <c r="O123" s="37"/>
      <c r="P123" s="39"/>
      <c r="Q123" s="39"/>
      <c r="R123" s="38"/>
      <c r="S123" s="40">
        <f t="shared" si="48"/>
        <v>0</v>
      </c>
      <c r="T123" s="37"/>
      <c r="U123" s="37"/>
      <c r="V123" s="37"/>
      <c r="W123" s="37"/>
      <c r="X123" s="37"/>
      <c r="Y123" s="38"/>
      <c r="Z123" s="38"/>
      <c r="AA123" s="39"/>
      <c r="AB123" s="37"/>
      <c r="AC123" s="39"/>
      <c r="AD123" s="39"/>
      <c r="AE123" s="38"/>
      <c r="AF123" s="40">
        <f t="shared" si="49"/>
        <v>0</v>
      </c>
      <c r="AG123" s="104">
        <f t="shared" si="49"/>
        <v>0</v>
      </c>
    </row>
    <row r="124" spans="2:33" ht="12.75" x14ac:dyDescent="0.3">
      <c r="B124" s="27"/>
      <c r="C124" s="28"/>
      <c r="D124" s="28"/>
      <c r="E124" s="41">
        <v>4252260</v>
      </c>
      <c r="F124" s="55" t="s">
        <v>109</v>
      </c>
      <c r="G124" s="37"/>
      <c r="H124" s="37"/>
      <c r="I124" s="37"/>
      <c r="J124" s="37"/>
      <c r="K124" s="37"/>
      <c r="L124" s="38"/>
      <c r="M124" s="38"/>
      <c r="N124" s="39"/>
      <c r="O124" s="37"/>
      <c r="P124" s="39"/>
      <c r="Q124" s="39"/>
      <c r="R124" s="38"/>
      <c r="S124" s="40">
        <f t="shared" si="48"/>
        <v>0</v>
      </c>
      <c r="T124" s="37"/>
      <c r="U124" s="37"/>
      <c r="V124" s="37"/>
      <c r="W124" s="37"/>
      <c r="X124" s="37"/>
      <c r="Y124" s="38"/>
      <c r="Z124" s="38"/>
      <c r="AA124" s="39"/>
      <c r="AB124" s="37"/>
      <c r="AC124" s="39"/>
      <c r="AD124" s="39"/>
      <c r="AE124" s="38"/>
      <c r="AF124" s="40">
        <f t="shared" si="49"/>
        <v>0</v>
      </c>
      <c r="AG124" s="104">
        <f t="shared" si="49"/>
        <v>0</v>
      </c>
    </row>
    <row r="125" spans="2:33" ht="12.75" x14ac:dyDescent="0.3">
      <c r="B125" s="27"/>
      <c r="C125" s="28"/>
      <c r="D125" s="28"/>
      <c r="E125" s="41">
        <v>4252270</v>
      </c>
      <c r="F125" s="55" t="s">
        <v>110</v>
      </c>
      <c r="G125" s="37"/>
      <c r="H125" s="37"/>
      <c r="I125" s="37"/>
      <c r="J125" s="37"/>
      <c r="K125" s="37"/>
      <c r="L125" s="38"/>
      <c r="M125" s="38"/>
      <c r="N125" s="39"/>
      <c r="O125" s="37"/>
      <c r="P125" s="39"/>
      <c r="Q125" s="39"/>
      <c r="R125" s="38"/>
      <c r="S125" s="40">
        <f t="shared" si="48"/>
        <v>0</v>
      </c>
      <c r="T125" s="37"/>
      <c r="U125" s="37"/>
      <c r="V125" s="37"/>
      <c r="W125" s="37"/>
      <c r="X125" s="37"/>
      <c r="Y125" s="38"/>
      <c r="Z125" s="38"/>
      <c r="AA125" s="39"/>
      <c r="AB125" s="37"/>
      <c r="AC125" s="39"/>
      <c r="AD125" s="39"/>
      <c r="AE125" s="38"/>
      <c r="AF125" s="40">
        <f t="shared" si="49"/>
        <v>0</v>
      </c>
      <c r="AG125" s="104">
        <f t="shared" si="49"/>
        <v>0</v>
      </c>
    </row>
    <row r="126" spans="2:33" ht="12.75" x14ac:dyDescent="0.3">
      <c r="B126" s="27"/>
      <c r="C126" s="28"/>
      <c r="D126" s="28"/>
      <c r="E126" s="41">
        <v>4252290</v>
      </c>
      <c r="F126" s="55" t="s">
        <v>111</v>
      </c>
      <c r="G126" s="37"/>
      <c r="H126" s="37"/>
      <c r="I126" s="37"/>
      <c r="J126" s="37"/>
      <c r="K126" s="37"/>
      <c r="L126" s="38"/>
      <c r="M126" s="38"/>
      <c r="N126" s="39"/>
      <c r="O126" s="37"/>
      <c r="P126" s="39"/>
      <c r="Q126" s="39"/>
      <c r="R126" s="38"/>
      <c r="S126" s="40">
        <f t="shared" si="48"/>
        <v>0</v>
      </c>
      <c r="T126" s="37"/>
      <c r="U126" s="37"/>
      <c r="V126" s="37"/>
      <c r="W126" s="37"/>
      <c r="X126" s="37"/>
      <c r="Y126" s="38"/>
      <c r="Z126" s="38"/>
      <c r="AA126" s="39"/>
      <c r="AB126" s="37"/>
      <c r="AC126" s="39"/>
      <c r="AD126" s="39"/>
      <c r="AE126" s="38"/>
      <c r="AF126" s="40">
        <f t="shared" si="49"/>
        <v>0</v>
      </c>
      <c r="AG126" s="104">
        <f t="shared" si="49"/>
        <v>0</v>
      </c>
    </row>
    <row r="127" spans="2:33" ht="12.75" x14ac:dyDescent="0.3">
      <c r="B127" s="27"/>
      <c r="C127" s="28"/>
      <c r="D127" s="29" t="s">
        <v>112</v>
      </c>
      <c r="E127" s="42"/>
      <c r="F127" s="31"/>
      <c r="G127" s="32">
        <v>0</v>
      </c>
      <c r="H127" s="33">
        <v>0</v>
      </c>
      <c r="I127" s="33">
        <v>0</v>
      </c>
      <c r="J127" s="33">
        <v>0</v>
      </c>
      <c r="K127" s="33">
        <v>0</v>
      </c>
      <c r="L127" s="34">
        <v>0</v>
      </c>
      <c r="M127" s="34">
        <v>0</v>
      </c>
      <c r="N127" s="33">
        <v>0</v>
      </c>
      <c r="O127" s="32">
        <v>0</v>
      </c>
      <c r="P127" s="33">
        <f t="shared" ref="P127:R127" si="50">SUM(P128:P139)</f>
        <v>0</v>
      </c>
      <c r="Q127" s="33">
        <f t="shared" si="50"/>
        <v>0</v>
      </c>
      <c r="R127" s="34">
        <f t="shared" si="50"/>
        <v>0</v>
      </c>
      <c r="S127" s="26">
        <f t="shared" si="48"/>
        <v>0</v>
      </c>
      <c r="T127" s="32">
        <f t="shared" ref="T127:AE127" si="51">SUM(T128:T139)</f>
        <v>0</v>
      </c>
      <c r="U127" s="33">
        <f t="shared" si="51"/>
        <v>0</v>
      </c>
      <c r="V127" s="33">
        <f t="shared" si="51"/>
        <v>0</v>
      </c>
      <c r="W127" s="33">
        <f t="shared" si="51"/>
        <v>0</v>
      </c>
      <c r="X127" s="33">
        <f t="shared" si="51"/>
        <v>0</v>
      </c>
      <c r="Y127" s="34">
        <f t="shared" si="51"/>
        <v>0</v>
      </c>
      <c r="Z127" s="34">
        <f t="shared" si="51"/>
        <v>0</v>
      </c>
      <c r="AA127" s="33">
        <f t="shared" si="51"/>
        <v>0</v>
      </c>
      <c r="AB127" s="32">
        <f t="shared" si="51"/>
        <v>0</v>
      </c>
      <c r="AC127" s="33">
        <f t="shared" si="51"/>
        <v>0</v>
      </c>
      <c r="AD127" s="33">
        <f t="shared" si="51"/>
        <v>0</v>
      </c>
      <c r="AE127" s="34">
        <f t="shared" si="51"/>
        <v>0</v>
      </c>
      <c r="AF127" s="26">
        <f t="shared" si="49"/>
        <v>0</v>
      </c>
      <c r="AG127" s="103">
        <f t="shared" si="49"/>
        <v>0</v>
      </c>
    </row>
    <row r="128" spans="2:33" ht="12.75" x14ac:dyDescent="0.3">
      <c r="B128" s="27"/>
      <c r="C128" s="28"/>
      <c r="D128" s="28"/>
      <c r="E128" s="41">
        <v>4252400</v>
      </c>
      <c r="F128" s="55" t="s">
        <v>113</v>
      </c>
      <c r="G128" s="37"/>
      <c r="H128" s="37"/>
      <c r="I128" s="37"/>
      <c r="J128" s="37"/>
      <c r="K128" s="37"/>
      <c r="L128" s="38"/>
      <c r="M128" s="38"/>
      <c r="N128" s="39"/>
      <c r="O128" s="37"/>
      <c r="P128" s="39"/>
      <c r="Q128" s="39"/>
      <c r="R128" s="38"/>
      <c r="S128" s="40">
        <f t="shared" si="48"/>
        <v>0</v>
      </c>
      <c r="T128" s="37"/>
      <c r="U128" s="37"/>
      <c r="V128" s="37"/>
      <c r="W128" s="37"/>
      <c r="X128" s="37"/>
      <c r="Y128" s="38"/>
      <c r="Z128" s="38"/>
      <c r="AA128" s="39"/>
      <c r="AB128" s="37"/>
      <c r="AC128" s="39"/>
      <c r="AD128" s="39"/>
      <c r="AE128" s="38"/>
      <c r="AF128" s="40">
        <f t="shared" si="49"/>
        <v>0</v>
      </c>
      <c r="AG128" s="104">
        <f t="shared" si="49"/>
        <v>0</v>
      </c>
    </row>
    <row r="129" spans="2:33" ht="12.75" x14ac:dyDescent="0.3">
      <c r="B129" s="27"/>
      <c r="C129" s="28"/>
      <c r="D129" s="28"/>
      <c r="E129" s="41">
        <v>4252410</v>
      </c>
      <c r="F129" s="55" t="s">
        <v>114</v>
      </c>
      <c r="G129" s="37"/>
      <c r="H129" s="37"/>
      <c r="I129" s="37"/>
      <c r="J129" s="37"/>
      <c r="K129" s="37"/>
      <c r="L129" s="38"/>
      <c r="M129" s="38"/>
      <c r="N129" s="39"/>
      <c r="O129" s="37"/>
      <c r="P129" s="39"/>
      <c r="Q129" s="39"/>
      <c r="R129" s="38"/>
      <c r="S129" s="40">
        <f t="shared" si="48"/>
        <v>0</v>
      </c>
      <c r="T129" s="37"/>
      <c r="U129" s="37"/>
      <c r="V129" s="37"/>
      <c r="W129" s="37"/>
      <c r="X129" s="37"/>
      <c r="Y129" s="38"/>
      <c r="Z129" s="38"/>
      <c r="AA129" s="39"/>
      <c r="AB129" s="37"/>
      <c r="AC129" s="39"/>
      <c r="AD129" s="39"/>
      <c r="AE129" s="38"/>
      <c r="AF129" s="40">
        <f t="shared" si="49"/>
        <v>0</v>
      </c>
      <c r="AG129" s="104">
        <f t="shared" si="49"/>
        <v>0</v>
      </c>
    </row>
    <row r="130" spans="2:33" ht="12.75" x14ac:dyDescent="0.3">
      <c r="B130" s="27"/>
      <c r="C130" s="28"/>
      <c r="D130" s="28"/>
      <c r="E130" s="41">
        <v>4252420</v>
      </c>
      <c r="F130" s="55" t="s">
        <v>115</v>
      </c>
      <c r="G130" s="37"/>
      <c r="H130" s="37"/>
      <c r="I130" s="37"/>
      <c r="J130" s="37"/>
      <c r="K130" s="37"/>
      <c r="L130" s="39"/>
      <c r="M130" s="39"/>
      <c r="N130" s="39"/>
      <c r="O130" s="39"/>
      <c r="P130" s="39"/>
      <c r="Q130" s="39"/>
      <c r="R130" s="38"/>
      <c r="S130" s="40">
        <f t="shared" si="48"/>
        <v>0</v>
      </c>
      <c r="T130" s="37"/>
      <c r="U130" s="37"/>
      <c r="V130" s="37"/>
      <c r="W130" s="37"/>
      <c r="X130" s="37"/>
      <c r="Y130" s="39"/>
      <c r="Z130" s="39"/>
      <c r="AA130" s="39"/>
      <c r="AB130" s="39"/>
      <c r="AC130" s="39"/>
      <c r="AD130" s="39"/>
      <c r="AE130" s="38"/>
      <c r="AF130" s="40">
        <f t="shared" si="49"/>
        <v>0</v>
      </c>
      <c r="AG130" s="104">
        <f t="shared" si="49"/>
        <v>0</v>
      </c>
    </row>
    <row r="131" spans="2:33" ht="12.75" x14ac:dyDescent="0.3">
      <c r="B131" s="27"/>
      <c r="C131" s="28"/>
      <c r="D131" s="28"/>
      <c r="E131" s="41">
        <v>4252430</v>
      </c>
      <c r="F131" s="55" t="s">
        <v>116</v>
      </c>
      <c r="G131" s="37"/>
      <c r="H131" s="37"/>
      <c r="I131" s="37"/>
      <c r="J131" s="37"/>
      <c r="K131" s="37"/>
      <c r="L131" s="38"/>
      <c r="M131" s="38"/>
      <c r="N131" s="39"/>
      <c r="O131" s="37"/>
      <c r="P131" s="39"/>
      <c r="Q131" s="39"/>
      <c r="R131" s="38"/>
      <c r="S131" s="40">
        <f t="shared" si="48"/>
        <v>0</v>
      </c>
      <c r="T131" s="37"/>
      <c r="U131" s="37"/>
      <c r="V131" s="37"/>
      <c r="W131" s="37"/>
      <c r="X131" s="37"/>
      <c r="Y131" s="38"/>
      <c r="Z131" s="38"/>
      <c r="AA131" s="39"/>
      <c r="AB131" s="37"/>
      <c r="AC131" s="39"/>
      <c r="AD131" s="39"/>
      <c r="AE131" s="38"/>
      <c r="AF131" s="40">
        <f t="shared" si="49"/>
        <v>0</v>
      </c>
      <c r="AG131" s="104">
        <f t="shared" si="49"/>
        <v>0</v>
      </c>
    </row>
    <row r="132" spans="2:33" ht="12.75" x14ac:dyDescent="0.3">
      <c r="B132" s="27"/>
      <c r="C132" s="28"/>
      <c r="D132" s="28"/>
      <c r="E132" s="41">
        <v>4252440</v>
      </c>
      <c r="F132" s="55" t="s">
        <v>117</v>
      </c>
      <c r="G132" s="37"/>
      <c r="H132" s="37"/>
      <c r="I132" s="37"/>
      <c r="J132" s="37"/>
      <c r="K132" s="37"/>
      <c r="L132" s="38"/>
      <c r="M132" s="38"/>
      <c r="N132" s="39"/>
      <c r="O132" s="37"/>
      <c r="P132" s="39"/>
      <c r="Q132" s="39"/>
      <c r="R132" s="38"/>
      <c r="S132" s="40">
        <f t="shared" si="48"/>
        <v>0</v>
      </c>
      <c r="T132" s="37"/>
      <c r="U132" s="37"/>
      <c r="V132" s="37"/>
      <c r="W132" s="37"/>
      <c r="X132" s="37"/>
      <c r="Y132" s="38"/>
      <c r="Z132" s="38"/>
      <c r="AA132" s="39"/>
      <c r="AB132" s="37"/>
      <c r="AC132" s="39"/>
      <c r="AD132" s="39"/>
      <c r="AE132" s="38"/>
      <c r="AF132" s="40">
        <f t="shared" si="49"/>
        <v>0</v>
      </c>
      <c r="AG132" s="104">
        <f t="shared" si="49"/>
        <v>0</v>
      </c>
    </row>
    <row r="133" spans="2:33" ht="12.75" x14ac:dyDescent="0.3">
      <c r="B133" s="27"/>
      <c r="C133" s="28"/>
      <c r="D133" s="28"/>
      <c r="E133" s="41">
        <v>4252450</v>
      </c>
      <c r="F133" s="55" t="s">
        <v>118</v>
      </c>
      <c r="G133" s="37"/>
      <c r="H133" s="37"/>
      <c r="I133" s="37"/>
      <c r="J133" s="37"/>
      <c r="K133" s="37"/>
      <c r="L133" s="38"/>
      <c r="M133" s="38"/>
      <c r="N133" s="39"/>
      <c r="O133" s="37"/>
      <c r="P133" s="39"/>
      <c r="Q133" s="39"/>
      <c r="R133" s="38"/>
      <c r="S133" s="40">
        <f t="shared" si="48"/>
        <v>0</v>
      </c>
      <c r="T133" s="37"/>
      <c r="U133" s="37"/>
      <c r="V133" s="37"/>
      <c r="W133" s="37"/>
      <c r="X133" s="37"/>
      <c r="Y133" s="38"/>
      <c r="Z133" s="38"/>
      <c r="AA133" s="39"/>
      <c r="AB133" s="37"/>
      <c r="AC133" s="39"/>
      <c r="AD133" s="39"/>
      <c r="AE133" s="38"/>
      <c r="AF133" s="40">
        <f t="shared" si="49"/>
        <v>0</v>
      </c>
      <c r="AG133" s="104">
        <f t="shared" si="49"/>
        <v>0</v>
      </c>
    </row>
    <row r="134" spans="2:33" ht="12.75" x14ac:dyDescent="0.3">
      <c r="B134" s="27"/>
      <c r="C134" s="28"/>
      <c r="D134" s="28"/>
      <c r="E134" s="41">
        <v>4252460</v>
      </c>
      <c r="F134" s="55" t="s">
        <v>119</v>
      </c>
      <c r="G134" s="37"/>
      <c r="H134" s="37"/>
      <c r="I134" s="37"/>
      <c r="J134" s="37"/>
      <c r="K134" s="37"/>
      <c r="L134" s="39"/>
      <c r="M134" s="39"/>
      <c r="N134" s="39"/>
      <c r="O134" s="39"/>
      <c r="P134" s="39"/>
      <c r="Q134" s="39"/>
      <c r="R134" s="38"/>
      <c r="S134" s="40">
        <f t="shared" si="48"/>
        <v>0</v>
      </c>
      <c r="T134" s="37"/>
      <c r="U134" s="37"/>
      <c r="V134" s="37"/>
      <c r="W134" s="37"/>
      <c r="X134" s="37"/>
      <c r="Y134" s="39"/>
      <c r="Z134" s="39"/>
      <c r="AA134" s="39"/>
      <c r="AB134" s="39"/>
      <c r="AC134" s="39"/>
      <c r="AD134" s="39"/>
      <c r="AE134" s="38"/>
      <c r="AF134" s="40">
        <f t="shared" si="49"/>
        <v>0</v>
      </c>
      <c r="AG134" s="104">
        <f t="shared" si="49"/>
        <v>0</v>
      </c>
    </row>
    <row r="135" spans="2:33" ht="12.75" x14ac:dyDescent="0.3">
      <c r="B135" s="27"/>
      <c r="C135" s="28"/>
      <c r="D135" s="28"/>
      <c r="E135" s="41">
        <v>4252470</v>
      </c>
      <c r="F135" s="55" t="s">
        <v>120</v>
      </c>
      <c r="G135" s="37"/>
      <c r="H135" s="37"/>
      <c r="I135" s="37"/>
      <c r="J135" s="37"/>
      <c r="K135" s="37"/>
      <c r="L135" s="38"/>
      <c r="M135" s="38"/>
      <c r="N135" s="39"/>
      <c r="O135" s="37"/>
      <c r="P135" s="39"/>
      <c r="Q135" s="39"/>
      <c r="R135" s="38"/>
      <c r="S135" s="40">
        <f t="shared" si="48"/>
        <v>0</v>
      </c>
      <c r="T135" s="37"/>
      <c r="U135" s="37"/>
      <c r="V135" s="37"/>
      <c r="W135" s="37"/>
      <c r="X135" s="37"/>
      <c r="Y135" s="38"/>
      <c r="Z135" s="38"/>
      <c r="AA135" s="39"/>
      <c r="AB135" s="37"/>
      <c r="AC135" s="39"/>
      <c r="AD135" s="39"/>
      <c r="AE135" s="38"/>
      <c r="AF135" s="40">
        <f t="shared" si="49"/>
        <v>0</v>
      </c>
      <c r="AG135" s="104">
        <f t="shared" si="49"/>
        <v>0</v>
      </c>
    </row>
    <row r="136" spans="2:33" ht="12.75" x14ac:dyDescent="0.3">
      <c r="B136" s="27"/>
      <c r="C136" s="28"/>
      <c r="D136" s="28"/>
      <c r="E136" s="41">
        <v>4252480</v>
      </c>
      <c r="F136" s="55" t="s">
        <v>121</v>
      </c>
      <c r="G136" s="37"/>
      <c r="H136" s="37"/>
      <c r="I136" s="37"/>
      <c r="J136" s="37"/>
      <c r="K136" s="37"/>
      <c r="L136" s="38"/>
      <c r="M136" s="38"/>
      <c r="N136" s="39"/>
      <c r="O136" s="37"/>
      <c r="P136" s="39"/>
      <c r="Q136" s="39"/>
      <c r="R136" s="38"/>
      <c r="S136" s="40">
        <f t="shared" si="48"/>
        <v>0</v>
      </c>
      <c r="T136" s="37"/>
      <c r="U136" s="37"/>
      <c r="V136" s="37"/>
      <c r="W136" s="37"/>
      <c r="X136" s="37"/>
      <c r="Y136" s="38"/>
      <c r="Z136" s="38"/>
      <c r="AA136" s="39"/>
      <c r="AB136" s="37"/>
      <c r="AC136" s="39"/>
      <c r="AD136" s="39"/>
      <c r="AE136" s="38"/>
      <c r="AF136" s="40">
        <f t="shared" si="49"/>
        <v>0</v>
      </c>
      <c r="AG136" s="104">
        <f t="shared" si="49"/>
        <v>0</v>
      </c>
    </row>
    <row r="137" spans="2:33" ht="12.75" x14ac:dyDescent="0.3">
      <c r="B137" s="27"/>
      <c r="C137" s="28"/>
      <c r="D137" s="28"/>
      <c r="E137" s="41">
        <v>4252485</v>
      </c>
      <c r="F137" s="55" t="s">
        <v>122</v>
      </c>
      <c r="G137" s="37"/>
      <c r="H137" s="37"/>
      <c r="I137" s="37"/>
      <c r="J137" s="37"/>
      <c r="K137" s="37"/>
      <c r="L137" s="38"/>
      <c r="M137" s="38"/>
      <c r="N137" s="39"/>
      <c r="O137" s="37"/>
      <c r="P137" s="39"/>
      <c r="Q137" s="39"/>
      <c r="R137" s="38"/>
      <c r="S137" s="40">
        <f t="shared" si="48"/>
        <v>0</v>
      </c>
      <c r="T137" s="37"/>
      <c r="U137" s="37"/>
      <c r="V137" s="37"/>
      <c r="W137" s="37"/>
      <c r="X137" s="37"/>
      <c r="Y137" s="38"/>
      <c r="Z137" s="38"/>
      <c r="AA137" s="39"/>
      <c r="AB137" s="37"/>
      <c r="AC137" s="39"/>
      <c r="AD137" s="39"/>
      <c r="AE137" s="38"/>
      <c r="AF137" s="40">
        <f t="shared" si="49"/>
        <v>0</v>
      </c>
      <c r="AG137" s="104">
        <f t="shared" si="49"/>
        <v>0</v>
      </c>
    </row>
    <row r="138" spans="2:33" ht="12.75" x14ac:dyDescent="0.3">
      <c r="B138" s="27"/>
      <c r="C138" s="28"/>
      <c r="D138" s="28"/>
      <c r="E138" s="41">
        <v>4252488</v>
      </c>
      <c r="F138" s="55" t="s">
        <v>123</v>
      </c>
      <c r="G138" s="37"/>
      <c r="H138" s="37"/>
      <c r="I138" s="37"/>
      <c r="J138" s="37"/>
      <c r="K138" s="37"/>
      <c r="L138" s="38"/>
      <c r="M138" s="38"/>
      <c r="N138" s="39"/>
      <c r="O138" s="37"/>
      <c r="P138" s="39"/>
      <c r="Q138" s="39"/>
      <c r="R138" s="38"/>
      <c r="S138" s="40">
        <f t="shared" si="48"/>
        <v>0</v>
      </c>
      <c r="T138" s="37"/>
      <c r="U138" s="37"/>
      <c r="V138" s="37"/>
      <c r="W138" s="37"/>
      <c r="X138" s="37"/>
      <c r="Y138" s="38"/>
      <c r="Z138" s="38"/>
      <c r="AA138" s="39"/>
      <c r="AB138" s="37"/>
      <c r="AC138" s="39"/>
      <c r="AD138" s="39"/>
      <c r="AE138" s="38"/>
      <c r="AF138" s="40">
        <f t="shared" si="49"/>
        <v>0</v>
      </c>
      <c r="AG138" s="104">
        <f t="shared" si="49"/>
        <v>0</v>
      </c>
    </row>
    <row r="139" spans="2:33" ht="12.75" x14ac:dyDescent="0.3">
      <c r="B139" s="27"/>
      <c r="C139" s="28"/>
      <c r="D139" s="28"/>
      <c r="E139" s="41">
        <v>4252490</v>
      </c>
      <c r="F139" s="55" t="s">
        <v>124</v>
      </c>
      <c r="G139" s="37"/>
      <c r="H139" s="37"/>
      <c r="I139" s="37"/>
      <c r="J139" s="37"/>
      <c r="K139" s="37"/>
      <c r="L139" s="38"/>
      <c r="M139" s="38"/>
      <c r="N139" s="39"/>
      <c r="O139" s="37"/>
      <c r="P139" s="39"/>
      <c r="Q139" s="39"/>
      <c r="R139" s="38"/>
      <c r="S139" s="40">
        <f t="shared" si="48"/>
        <v>0</v>
      </c>
      <c r="T139" s="37"/>
      <c r="U139" s="37"/>
      <c r="V139" s="37"/>
      <c r="W139" s="37"/>
      <c r="X139" s="37"/>
      <c r="Y139" s="38"/>
      <c r="Z139" s="38"/>
      <c r="AA139" s="39"/>
      <c r="AB139" s="37"/>
      <c r="AC139" s="39"/>
      <c r="AD139" s="39"/>
      <c r="AE139" s="38"/>
      <c r="AF139" s="40">
        <f t="shared" si="49"/>
        <v>0</v>
      </c>
      <c r="AG139" s="104">
        <f t="shared" si="49"/>
        <v>0</v>
      </c>
    </row>
    <row r="140" spans="2:33" ht="12.75" x14ac:dyDescent="0.3">
      <c r="B140" s="27"/>
      <c r="C140" s="28"/>
      <c r="D140" s="29" t="s">
        <v>125</v>
      </c>
      <c r="E140" s="42"/>
      <c r="F140" s="31"/>
      <c r="G140" s="32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f t="shared" ref="P140:R140" si="52">SUM(P141:P150)</f>
        <v>0</v>
      </c>
      <c r="Q140" s="33">
        <f t="shared" si="52"/>
        <v>0</v>
      </c>
      <c r="R140" s="34">
        <f t="shared" si="52"/>
        <v>0</v>
      </c>
      <c r="S140" s="26">
        <f t="shared" si="48"/>
        <v>0</v>
      </c>
      <c r="T140" s="32">
        <f t="shared" ref="T140:AE140" si="53">SUM(T141:T150)</f>
        <v>0</v>
      </c>
      <c r="U140" s="33">
        <f t="shared" si="53"/>
        <v>0</v>
      </c>
      <c r="V140" s="33">
        <f t="shared" si="53"/>
        <v>0</v>
      </c>
      <c r="W140" s="33">
        <f t="shared" si="53"/>
        <v>0</v>
      </c>
      <c r="X140" s="33">
        <f t="shared" si="53"/>
        <v>0</v>
      </c>
      <c r="Y140" s="33">
        <f t="shared" si="53"/>
        <v>0</v>
      </c>
      <c r="Z140" s="33">
        <f t="shared" si="53"/>
        <v>0</v>
      </c>
      <c r="AA140" s="33">
        <f t="shared" si="53"/>
        <v>0</v>
      </c>
      <c r="AB140" s="33">
        <f t="shared" si="53"/>
        <v>0</v>
      </c>
      <c r="AC140" s="33">
        <f t="shared" si="53"/>
        <v>0</v>
      </c>
      <c r="AD140" s="33">
        <f t="shared" si="53"/>
        <v>0</v>
      </c>
      <c r="AE140" s="34">
        <f t="shared" si="53"/>
        <v>0</v>
      </c>
      <c r="AF140" s="26">
        <f t="shared" si="49"/>
        <v>0</v>
      </c>
      <c r="AG140" s="103">
        <f t="shared" si="49"/>
        <v>0</v>
      </c>
    </row>
    <row r="141" spans="2:33" ht="12.75" x14ac:dyDescent="0.3">
      <c r="B141" s="27"/>
      <c r="C141" s="28"/>
      <c r="D141" s="28"/>
      <c r="E141" s="41">
        <v>4252600</v>
      </c>
      <c r="F141" s="55" t="s">
        <v>126</v>
      </c>
      <c r="G141" s="37"/>
      <c r="H141" s="37"/>
      <c r="I141" s="37"/>
      <c r="J141" s="37"/>
      <c r="K141" s="37"/>
      <c r="L141" s="38"/>
      <c r="M141" s="38"/>
      <c r="N141" s="39"/>
      <c r="O141" s="37"/>
      <c r="P141" s="39"/>
      <c r="Q141" s="39"/>
      <c r="R141" s="38"/>
      <c r="S141" s="40">
        <f t="shared" si="48"/>
        <v>0</v>
      </c>
      <c r="T141" s="37"/>
      <c r="U141" s="37"/>
      <c r="V141" s="37"/>
      <c r="W141" s="37"/>
      <c r="X141" s="37"/>
      <c r="Y141" s="38"/>
      <c r="Z141" s="38"/>
      <c r="AA141" s="39"/>
      <c r="AB141" s="37"/>
      <c r="AC141" s="39"/>
      <c r="AD141" s="39"/>
      <c r="AE141" s="38"/>
      <c r="AF141" s="40">
        <f t="shared" si="49"/>
        <v>0</v>
      </c>
      <c r="AG141" s="104">
        <f t="shared" si="49"/>
        <v>0</v>
      </c>
    </row>
    <row r="142" spans="2:33" ht="12.75" x14ac:dyDescent="0.3">
      <c r="B142" s="27"/>
      <c r="C142" s="28"/>
      <c r="D142" s="28"/>
      <c r="E142" s="41">
        <v>4252601</v>
      </c>
      <c r="F142" s="55" t="s">
        <v>127</v>
      </c>
      <c r="G142" s="37"/>
      <c r="H142" s="37"/>
      <c r="I142" s="37"/>
      <c r="J142" s="37"/>
      <c r="K142" s="37"/>
      <c r="L142" s="38"/>
      <c r="M142" s="38"/>
      <c r="N142" s="39"/>
      <c r="O142" s="37"/>
      <c r="P142" s="39"/>
      <c r="Q142" s="39"/>
      <c r="R142" s="38"/>
      <c r="S142" s="40">
        <f t="shared" si="48"/>
        <v>0</v>
      </c>
      <c r="T142" s="37"/>
      <c r="U142" s="37"/>
      <c r="V142" s="37"/>
      <c r="W142" s="37"/>
      <c r="X142" s="37"/>
      <c r="Y142" s="38"/>
      <c r="Z142" s="38"/>
      <c r="AA142" s="39"/>
      <c r="AB142" s="37"/>
      <c r="AC142" s="39"/>
      <c r="AD142" s="39"/>
      <c r="AE142" s="38"/>
      <c r="AF142" s="40">
        <f t="shared" si="49"/>
        <v>0</v>
      </c>
      <c r="AG142" s="104">
        <f t="shared" si="49"/>
        <v>0</v>
      </c>
    </row>
    <row r="143" spans="2:33" ht="12.75" x14ac:dyDescent="0.3">
      <c r="B143" s="27"/>
      <c r="C143" s="28"/>
      <c r="D143" s="28"/>
      <c r="E143" s="41">
        <v>4252610</v>
      </c>
      <c r="F143" s="55" t="s">
        <v>128</v>
      </c>
      <c r="G143" s="37"/>
      <c r="H143" s="37"/>
      <c r="I143" s="37"/>
      <c r="J143" s="37"/>
      <c r="K143" s="37"/>
      <c r="L143" s="38"/>
      <c r="M143" s="38"/>
      <c r="N143" s="39"/>
      <c r="O143" s="37"/>
      <c r="P143" s="39"/>
      <c r="Q143" s="39"/>
      <c r="R143" s="38"/>
      <c r="S143" s="40">
        <f t="shared" si="48"/>
        <v>0</v>
      </c>
      <c r="T143" s="37"/>
      <c r="U143" s="37"/>
      <c r="V143" s="37"/>
      <c r="W143" s="37"/>
      <c r="X143" s="37"/>
      <c r="Y143" s="38"/>
      <c r="Z143" s="38"/>
      <c r="AA143" s="39"/>
      <c r="AB143" s="37"/>
      <c r="AC143" s="39"/>
      <c r="AD143" s="39"/>
      <c r="AE143" s="38"/>
      <c r="AF143" s="40">
        <f t="shared" si="49"/>
        <v>0</v>
      </c>
      <c r="AG143" s="104">
        <f t="shared" si="49"/>
        <v>0</v>
      </c>
    </row>
    <row r="144" spans="2:33" ht="12.75" x14ac:dyDescent="0.3">
      <c r="B144" s="27"/>
      <c r="C144" s="28"/>
      <c r="D144" s="28"/>
      <c r="E144" s="41">
        <v>4252620</v>
      </c>
      <c r="F144" s="55" t="s">
        <v>129</v>
      </c>
      <c r="G144" s="37"/>
      <c r="H144" s="37"/>
      <c r="I144" s="37"/>
      <c r="J144" s="37"/>
      <c r="K144" s="37"/>
      <c r="L144" s="38"/>
      <c r="M144" s="38"/>
      <c r="N144" s="39"/>
      <c r="O144" s="37"/>
      <c r="P144" s="39"/>
      <c r="Q144" s="39"/>
      <c r="R144" s="38"/>
      <c r="S144" s="40">
        <f t="shared" si="48"/>
        <v>0</v>
      </c>
      <c r="T144" s="37"/>
      <c r="U144" s="37"/>
      <c r="V144" s="37"/>
      <c r="W144" s="37"/>
      <c r="X144" s="37"/>
      <c r="Y144" s="38"/>
      <c r="Z144" s="38"/>
      <c r="AA144" s="39"/>
      <c r="AB144" s="37"/>
      <c r="AC144" s="39"/>
      <c r="AD144" s="39"/>
      <c r="AE144" s="38"/>
      <c r="AF144" s="40">
        <f t="shared" si="49"/>
        <v>0</v>
      </c>
      <c r="AG144" s="104">
        <f t="shared" si="49"/>
        <v>0</v>
      </c>
    </row>
    <row r="145" spans="2:33" ht="12.75" x14ac:dyDescent="0.3">
      <c r="B145" s="27"/>
      <c r="C145" s="28"/>
      <c r="D145" s="28"/>
      <c r="E145" s="41">
        <v>4252621</v>
      </c>
      <c r="F145" s="55" t="s">
        <v>130</v>
      </c>
      <c r="G145" s="37"/>
      <c r="H145" s="37"/>
      <c r="I145" s="37"/>
      <c r="J145" s="37"/>
      <c r="K145" s="37"/>
      <c r="L145" s="38"/>
      <c r="M145" s="38"/>
      <c r="N145" s="39"/>
      <c r="O145" s="37"/>
      <c r="P145" s="39"/>
      <c r="Q145" s="39"/>
      <c r="R145" s="38"/>
      <c r="S145" s="40">
        <f t="shared" si="48"/>
        <v>0</v>
      </c>
      <c r="T145" s="37"/>
      <c r="U145" s="37"/>
      <c r="V145" s="37"/>
      <c r="W145" s="37"/>
      <c r="X145" s="37"/>
      <c r="Y145" s="38"/>
      <c r="Z145" s="38"/>
      <c r="AA145" s="39"/>
      <c r="AB145" s="37"/>
      <c r="AC145" s="39"/>
      <c r="AD145" s="39"/>
      <c r="AE145" s="38"/>
      <c r="AF145" s="40">
        <f t="shared" si="49"/>
        <v>0</v>
      </c>
      <c r="AG145" s="104">
        <f t="shared" si="49"/>
        <v>0</v>
      </c>
    </row>
    <row r="146" spans="2:33" ht="12.75" x14ac:dyDescent="0.3">
      <c r="B146" s="27"/>
      <c r="C146" s="28"/>
      <c r="D146" s="28"/>
      <c r="E146" s="41">
        <v>4252640</v>
      </c>
      <c r="F146" s="55" t="s">
        <v>131</v>
      </c>
      <c r="G146" s="37"/>
      <c r="H146" s="37"/>
      <c r="I146" s="37"/>
      <c r="J146" s="37"/>
      <c r="K146" s="37"/>
      <c r="L146" s="38"/>
      <c r="M146" s="38"/>
      <c r="N146" s="39"/>
      <c r="O146" s="37"/>
      <c r="P146" s="39"/>
      <c r="Q146" s="39"/>
      <c r="R146" s="38"/>
      <c r="S146" s="40">
        <f t="shared" si="48"/>
        <v>0</v>
      </c>
      <c r="T146" s="37"/>
      <c r="U146" s="37"/>
      <c r="V146" s="37"/>
      <c r="W146" s="37"/>
      <c r="X146" s="37"/>
      <c r="Y146" s="38"/>
      <c r="Z146" s="38"/>
      <c r="AA146" s="39"/>
      <c r="AB146" s="37"/>
      <c r="AC146" s="39"/>
      <c r="AD146" s="39"/>
      <c r="AE146" s="38"/>
      <c r="AF146" s="40">
        <f t="shared" si="49"/>
        <v>0</v>
      </c>
      <c r="AG146" s="104">
        <f t="shared" si="49"/>
        <v>0</v>
      </c>
    </row>
    <row r="147" spans="2:33" ht="12.75" x14ac:dyDescent="0.3">
      <c r="B147" s="27"/>
      <c r="C147" s="28"/>
      <c r="D147" s="28"/>
      <c r="E147" s="41">
        <v>4252650</v>
      </c>
      <c r="F147" s="55" t="s">
        <v>132</v>
      </c>
      <c r="G147" s="37"/>
      <c r="H147" s="37"/>
      <c r="I147" s="37"/>
      <c r="J147" s="37"/>
      <c r="K147" s="37"/>
      <c r="L147" s="38"/>
      <c r="M147" s="38"/>
      <c r="N147" s="39"/>
      <c r="O147" s="37"/>
      <c r="P147" s="39"/>
      <c r="Q147" s="39"/>
      <c r="R147" s="38"/>
      <c r="S147" s="40">
        <f t="shared" si="48"/>
        <v>0</v>
      </c>
      <c r="T147" s="37"/>
      <c r="U147" s="37"/>
      <c r="V147" s="37"/>
      <c r="W147" s="37"/>
      <c r="X147" s="37"/>
      <c r="Y147" s="38"/>
      <c r="Z147" s="38"/>
      <c r="AA147" s="39"/>
      <c r="AB147" s="37"/>
      <c r="AC147" s="39"/>
      <c r="AD147" s="39"/>
      <c r="AE147" s="38"/>
      <c r="AF147" s="40">
        <f t="shared" si="49"/>
        <v>0</v>
      </c>
      <c r="AG147" s="104">
        <f t="shared" si="49"/>
        <v>0</v>
      </c>
    </row>
    <row r="148" spans="2:33" ht="12.75" x14ac:dyDescent="0.3">
      <c r="B148" s="27"/>
      <c r="C148" s="28"/>
      <c r="D148" s="28"/>
      <c r="E148" s="41">
        <v>4252660</v>
      </c>
      <c r="F148" s="55" t="s">
        <v>133</v>
      </c>
      <c r="G148" s="37"/>
      <c r="H148" s="37"/>
      <c r="I148" s="37"/>
      <c r="J148" s="37"/>
      <c r="K148" s="37"/>
      <c r="L148" s="38"/>
      <c r="M148" s="38"/>
      <c r="N148" s="39"/>
      <c r="O148" s="37"/>
      <c r="P148" s="39"/>
      <c r="Q148" s="39"/>
      <c r="R148" s="38"/>
      <c r="S148" s="40">
        <f t="shared" si="48"/>
        <v>0</v>
      </c>
      <c r="T148" s="37"/>
      <c r="U148" s="37"/>
      <c r="V148" s="37"/>
      <c r="W148" s="37"/>
      <c r="X148" s="37"/>
      <c r="Y148" s="38"/>
      <c r="Z148" s="38"/>
      <c r="AA148" s="39"/>
      <c r="AB148" s="37"/>
      <c r="AC148" s="39"/>
      <c r="AD148" s="39"/>
      <c r="AE148" s="38"/>
      <c r="AF148" s="40">
        <f t="shared" si="49"/>
        <v>0</v>
      </c>
      <c r="AG148" s="104">
        <f t="shared" si="49"/>
        <v>0</v>
      </c>
    </row>
    <row r="149" spans="2:33" ht="12.75" x14ac:dyDescent="0.3">
      <c r="B149" s="27"/>
      <c r="C149" s="28"/>
      <c r="D149" s="28"/>
      <c r="E149" s="41">
        <v>4252680</v>
      </c>
      <c r="F149" s="55" t="s">
        <v>134</v>
      </c>
      <c r="G149" s="37"/>
      <c r="H149" s="37"/>
      <c r="I149" s="37"/>
      <c r="J149" s="37"/>
      <c r="K149" s="37"/>
      <c r="L149" s="38"/>
      <c r="M149" s="38"/>
      <c r="N149" s="39"/>
      <c r="O149" s="37"/>
      <c r="P149" s="39"/>
      <c r="Q149" s="39"/>
      <c r="R149" s="38"/>
      <c r="S149" s="40">
        <f t="shared" si="48"/>
        <v>0</v>
      </c>
      <c r="T149" s="37"/>
      <c r="U149" s="37"/>
      <c r="V149" s="37"/>
      <c r="W149" s="37"/>
      <c r="X149" s="37"/>
      <c r="Y149" s="38"/>
      <c r="Z149" s="38"/>
      <c r="AA149" s="39"/>
      <c r="AB149" s="37"/>
      <c r="AC149" s="39"/>
      <c r="AD149" s="39"/>
      <c r="AE149" s="38"/>
      <c r="AF149" s="40">
        <f t="shared" si="49"/>
        <v>0</v>
      </c>
      <c r="AG149" s="104">
        <f t="shared" si="49"/>
        <v>0</v>
      </c>
    </row>
    <row r="150" spans="2:33" ht="12.75" x14ac:dyDescent="0.3">
      <c r="B150" s="27"/>
      <c r="C150" s="28"/>
      <c r="D150" s="28"/>
      <c r="E150" s="41">
        <v>4252690</v>
      </c>
      <c r="F150" s="55" t="s">
        <v>135</v>
      </c>
      <c r="G150" s="37"/>
      <c r="H150" s="37"/>
      <c r="I150" s="37"/>
      <c r="J150" s="37"/>
      <c r="K150" s="37"/>
      <c r="L150" s="38"/>
      <c r="M150" s="38"/>
      <c r="N150" s="39"/>
      <c r="O150" s="37"/>
      <c r="P150" s="39"/>
      <c r="Q150" s="39"/>
      <c r="R150" s="38"/>
      <c r="S150" s="40">
        <f t="shared" si="48"/>
        <v>0</v>
      </c>
      <c r="T150" s="37"/>
      <c r="U150" s="37"/>
      <c r="V150" s="37"/>
      <c r="W150" s="37"/>
      <c r="X150" s="37"/>
      <c r="Y150" s="38"/>
      <c r="Z150" s="38"/>
      <c r="AA150" s="39"/>
      <c r="AB150" s="37"/>
      <c r="AC150" s="39"/>
      <c r="AD150" s="39"/>
      <c r="AE150" s="38"/>
      <c r="AF150" s="40">
        <f t="shared" si="49"/>
        <v>0</v>
      </c>
      <c r="AG150" s="104">
        <f t="shared" si="49"/>
        <v>0</v>
      </c>
    </row>
    <row r="151" spans="2:33" ht="12.75" x14ac:dyDescent="0.3">
      <c r="B151" s="27"/>
      <c r="C151" s="28"/>
      <c r="D151" s="29" t="s">
        <v>136</v>
      </c>
      <c r="E151" s="42"/>
      <c r="F151" s="31"/>
      <c r="G151" s="32">
        <v>0</v>
      </c>
      <c r="H151" s="33">
        <v>0</v>
      </c>
      <c r="I151" s="33">
        <v>0</v>
      </c>
      <c r="J151" s="33">
        <v>0</v>
      </c>
      <c r="K151" s="33">
        <v>0</v>
      </c>
      <c r="L151" s="34">
        <v>0</v>
      </c>
      <c r="M151" s="34">
        <v>0</v>
      </c>
      <c r="N151" s="33">
        <v>0</v>
      </c>
      <c r="O151" s="32">
        <v>0</v>
      </c>
      <c r="P151" s="33">
        <f t="shared" ref="P151:R151" si="54">SUM(P152:P157)</f>
        <v>0</v>
      </c>
      <c r="Q151" s="33">
        <f t="shared" si="54"/>
        <v>0</v>
      </c>
      <c r="R151" s="34">
        <f t="shared" si="54"/>
        <v>0</v>
      </c>
      <c r="S151" s="26">
        <f t="shared" si="48"/>
        <v>0</v>
      </c>
      <c r="T151" s="32">
        <f t="shared" ref="T151:AE151" si="55">SUM(T152:T157)</f>
        <v>0</v>
      </c>
      <c r="U151" s="33">
        <f t="shared" si="55"/>
        <v>0</v>
      </c>
      <c r="V151" s="33">
        <f t="shared" si="55"/>
        <v>0</v>
      </c>
      <c r="W151" s="33">
        <f t="shared" si="55"/>
        <v>0</v>
      </c>
      <c r="X151" s="33">
        <f t="shared" si="55"/>
        <v>0</v>
      </c>
      <c r="Y151" s="34">
        <f t="shared" si="55"/>
        <v>0</v>
      </c>
      <c r="Z151" s="34">
        <f t="shared" si="55"/>
        <v>0</v>
      </c>
      <c r="AA151" s="33">
        <f t="shared" si="55"/>
        <v>0</v>
      </c>
      <c r="AB151" s="32">
        <f t="shared" si="55"/>
        <v>0</v>
      </c>
      <c r="AC151" s="33">
        <f t="shared" si="55"/>
        <v>0</v>
      </c>
      <c r="AD151" s="33">
        <f t="shared" si="55"/>
        <v>0</v>
      </c>
      <c r="AE151" s="34">
        <f t="shared" si="55"/>
        <v>0</v>
      </c>
      <c r="AF151" s="26">
        <f t="shared" si="49"/>
        <v>0</v>
      </c>
      <c r="AG151" s="103">
        <f t="shared" si="49"/>
        <v>0</v>
      </c>
    </row>
    <row r="152" spans="2:33" ht="12.75" x14ac:dyDescent="0.3">
      <c r="B152" s="27"/>
      <c r="C152" s="28"/>
      <c r="D152" s="28"/>
      <c r="E152" s="41">
        <v>4252700</v>
      </c>
      <c r="F152" s="55" t="s">
        <v>137</v>
      </c>
      <c r="G152" s="37"/>
      <c r="H152" s="37"/>
      <c r="I152" s="37"/>
      <c r="J152" s="37"/>
      <c r="K152" s="37"/>
      <c r="L152" s="38"/>
      <c r="M152" s="38"/>
      <c r="N152" s="39"/>
      <c r="O152" s="37"/>
      <c r="P152" s="39"/>
      <c r="Q152" s="39"/>
      <c r="R152" s="38"/>
      <c r="S152" s="40">
        <f t="shared" si="48"/>
        <v>0</v>
      </c>
      <c r="T152" s="37"/>
      <c r="U152" s="37"/>
      <c r="V152" s="37"/>
      <c r="W152" s="37"/>
      <c r="X152" s="37"/>
      <c r="Y152" s="38"/>
      <c r="Z152" s="38"/>
      <c r="AA152" s="39"/>
      <c r="AB152" s="37"/>
      <c r="AC152" s="39"/>
      <c r="AD152" s="39"/>
      <c r="AE152" s="38"/>
      <c r="AF152" s="40">
        <f t="shared" si="49"/>
        <v>0</v>
      </c>
      <c r="AG152" s="104">
        <f t="shared" si="49"/>
        <v>0</v>
      </c>
    </row>
    <row r="153" spans="2:33" ht="12.75" x14ac:dyDescent="0.3">
      <c r="B153" s="27"/>
      <c r="C153" s="28"/>
      <c r="D153" s="28"/>
      <c r="E153" s="41">
        <v>4252710</v>
      </c>
      <c r="F153" s="55" t="s">
        <v>138</v>
      </c>
      <c r="G153" s="37"/>
      <c r="H153" s="37"/>
      <c r="I153" s="37"/>
      <c r="J153" s="37"/>
      <c r="K153" s="37"/>
      <c r="L153" s="38"/>
      <c r="M153" s="38"/>
      <c r="N153" s="39"/>
      <c r="O153" s="37"/>
      <c r="P153" s="39"/>
      <c r="Q153" s="39"/>
      <c r="R153" s="38"/>
      <c r="S153" s="40">
        <f t="shared" si="48"/>
        <v>0</v>
      </c>
      <c r="T153" s="37"/>
      <c r="U153" s="37"/>
      <c r="V153" s="37"/>
      <c r="W153" s="37"/>
      <c r="X153" s="37"/>
      <c r="Y153" s="38"/>
      <c r="Z153" s="38"/>
      <c r="AA153" s="39"/>
      <c r="AB153" s="37"/>
      <c r="AC153" s="39"/>
      <c r="AD153" s="39"/>
      <c r="AE153" s="38"/>
      <c r="AF153" s="40">
        <f t="shared" si="49"/>
        <v>0</v>
      </c>
      <c r="AG153" s="104">
        <f t="shared" si="49"/>
        <v>0</v>
      </c>
    </row>
    <row r="154" spans="2:33" ht="12.75" x14ac:dyDescent="0.3">
      <c r="B154" s="27"/>
      <c r="C154" s="28"/>
      <c r="D154" s="28"/>
      <c r="E154" s="41">
        <v>4252730</v>
      </c>
      <c r="F154" s="55" t="s">
        <v>139</v>
      </c>
      <c r="G154" s="37"/>
      <c r="H154" s="37"/>
      <c r="I154" s="37"/>
      <c r="J154" s="37"/>
      <c r="K154" s="37"/>
      <c r="L154" s="38"/>
      <c r="M154" s="38"/>
      <c r="N154" s="39"/>
      <c r="O154" s="37"/>
      <c r="P154" s="39"/>
      <c r="Q154" s="39"/>
      <c r="R154" s="38"/>
      <c r="S154" s="40">
        <f t="shared" si="48"/>
        <v>0</v>
      </c>
      <c r="T154" s="37"/>
      <c r="U154" s="37"/>
      <c r="V154" s="37"/>
      <c r="W154" s="37"/>
      <c r="X154" s="37"/>
      <c r="Y154" s="38"/>
      <c r="Z154" s="38"/>
      <c r="AA154" s="39"/>
      <c r="AB154" s="37"/>
      <c r="AC154" s="39"/>
      <c r="AD154" s="39"/>
      <c r="AE154" s="38"/>
      <c r="AF154" s="40">
        <f t="shared" si="49"/>
        <v>0</v>
      </c>
      <c r="AG154" s="104">
        <f t="shared" si="49"/>
        <v>0</v>
      </c>
    </row>
    <row r="155" spans="2:33" ht="12.75" x14ac:dyDescent="0.3">
      <c r="B155" s="27"/>
      <c r="C155" s="28"/>
      <c r="D155" s="28"/>
      <c r="E155" s="41">
        <v>4252740</v>
      </c>
      <c r="F155" s="55" t="s">
        <v>140</v>
      </c>
      <c r="G155" s="37"/>
      <c r="H155" s="37"/>
      <c r="I155" s="37"/>
      <c r="J155" s="37"/>
      <c r="K155" s="37"/>
      <c r="L155" s="38"/>
      <c r="M155" s="38"/>
      <c r="N155" s="39"/>
      <c r="O155" s="37"/>
      <c r="P155" s="39"/>
      <c r="Q155" s="39"/>
      <c r="R155" s="38"/>
      <c r="S155" s="40">
        <f t="shared" si="48"/>
        <v>0</v>
      </c>
      <c r="T155" s="37"/>
      <c r="U155" s="37"/>
      <c r="V155" s="37"/>
      <c r="W155" s="37"/>
      <c r="X155" s="37"/>
      <c r="Y155" s="38"/>
      <c r="Z155" s="38"/>
      <c r="AA155" s="39"/>
      <c r="AB155" s="37"/>
      <c r="AC155" s="39"/>
      <c r="AD155" s="39"/>
      <c r="AE155" s="38"/>
      <c r="AF155" s="40">
        <f t="shared" si="49"/>
        <v>0</v>
      </c>
      <c r="AG155" s="104">
        <f t="shared" si="49"/>
        <v>0</v>
      </c>
    </row>
    <row r="156" spans="2:33" ht="12.75" x14ac:dyDescent="0.3">
      <c r="B156" s="27"/>
      <c r="C156" s="28"/>
      <c r="D156" s="28"/>
      <c r="E156" s="41">
        <v>4252760</v>
      </c>
      <c r="F156" s="55" t="s">
        <v>141</v>
      </c>
      <c r="G156" s="37"/>
      <c r="H156" s="37"/>
      <c r="I156" s="37"/>
      <c r="J156" s="37"/>
      <c r="K156" s="37"/>
      <c r="L156" s="38"/>
      <c r="M156" s="38"/>
      <c r="N156" s="39"/>
      <c r="O156" s="37"/>
      <c r="P156" s="39"/>
      <c r="Q156" s="39"/>
      <c r="R156" s="38"/>
      <c r="S156" s="40">
        <f t="shared" si="48"/>
        <v>0</v>
      </c>
      <c r="T156" s="37"/>
      <c r="U156" s="37"/>
      <c r="V156" s="37"/>
      <c r="W156" s="37"/>
      <c r="X156" s="37"/>
      <c r="Y156" s="38"/>
      <c r="Z156" s="38"/>
      <c r="AA156" s="39"/>
      <c r="AB156" s="37"/>
      <c r="AC156" s="39"/>
      <c r="AD156" s="39"/>
      <c r="AE156" s="38"/>
      <c r="AF156" s="40">
        <f t="shared" si="49"/>
        <v>0</v>
      </c>
      <c r="AG156" s="104">
        <f t="shared" si="49"/>
        <v>0</v>
      </c>
    </row>
    <row r="157" spans="2:33" ht="12.75" x14ac:dyDescent="0.3">
      <c r="B157" s="27"/>
      <c r="C157" s="28"/>
      <c r="D157" s="28"/>
      <c r="E157" s="41">
        <v>4252750</v>
      </c>
      <c r="F157" s="55" t="s">
        <v>142</v>
      </c>
      <c r="G157" s="37"/>
      <c r="H157" s="37"/>
      <c r="I157" s="37"/>
      <c r="J157" s="37"/>
      <c r="K157" s="37"/>
      <c r="L157" s="38"/>
      <c r="M157" s="38"/>
      <c r="N157" s="39"/>
      <c r="O157" s="37"/>
      <c r="P157" s="39"/>
      <c r="Q157" s="39"/>
      <c r="R157" s="38"/>
      <c r="S157" s="40">
        <f t="shared" si="48"/>
        <v>0</v>
      </c>
      <c r="T157" s="37"/>
      <c r="U157" s="37"/>
      <c r="V157" s="37"/>
      <c r="W157" s="37"/>
      <c r="X157" s="37"/>
      <c r="Y157" s="38"/>
      <c r="Z157" s="38"/>
      <c r="AA157" s="39"/>
      <c r="AB157" s="37"/>
      <c r="AC157" s="39"/>
      <c r="AD157" s="39"/>
      <c r="AE157" s="38"/>
      <c r="AF157" s="40">
        <f t="shared" si="49"/>
        <v>0</v>
      </c>
      <c r="AG157" s="104">
        <f t="shared" si="49"/>
        <v>0</v>
      </c>
    </row>
    <row r="158" spans="2:33" ht="12.75" x14ac:dyDescent="0.3">
      <c r="B158" s="27"/>
      <c r="C158" s="28"/>
      <c r="D158" s="29" t="s">
        <v>143</v>
      </c>
      <c r="E158" s="42"/>
      <c r="F158" s="31"/>
      <c r="G158" s="32">
        <v>0</v>
      </c>
      <c r="H158" s="33">
        <v>0</v>
      </c>
      <c r="I158" s="33">
        <v>0</v>
      </c>
      <c r="J158" s="33">
        <v>0</v>
      </c>
      <c r="K158" s="33">
        <v>0</v>
      </c>
      <c r="L158" s="34">
        <v>0</v>
      </c>
      <c r="M158" s="34">
        <v>0</v>
      </c>
      <c r="N158" s="33">
        <v>0</v>
      </c>
      <c r="O158" s="32">
        <v>0</v>
      </c>
      <c r="P158" s="33">
        <f t="shared" ref="P158:R158" si="56">SUM(P159:P170)</f>
        <v>0</v>
      </c>
      <c r="Q158" s="33">
        <f t="shared" si="56"/>
        <v>0</v>
      </c>
      <c r="R158" s="34">
        <f t="shared" si="56"/>
        <v>0</v>
      </c>
      <c r="S158" s="26">
        <f t="shared" si="48"/>
        <v>0</v>
      </c>
      <c r="T158" s="32">
        <f t="shared" ref="T158:AE158" si="57">SUM(T159:T170)</f>
        <v>0</v>
      </c>
      <c r="U158" s="33">
        <f t="shared" si="57"/>
        <v>0</v>
      </c>
      <c r="V158" s="33">
        <f t="shared" si="57"/>
        <v>0</v>
      </c>
      <c r="W158" s="33">
        <f t="shared" si="57"/>
        <v>0</v>
      </c>
      <c r="X158" s="33">
        <f t="shared" si="57"/>
        <v>0</v>
      </c>
      <c r="Y158" s="34">
        <f t="shared" si="57"/>
        <v>0</v>
      </c>
      <c r="Z158" s="34">
        <f t="shared" si="57"/>
        <v>0</v>
      </c>
      <c r="AA158" s="33">
        <f t="shared" si="57"/>
        <v>0</v>
      </c>
      <c r="AB158" s="32">
        <f t="shared" si="57"/>
        <v>0</v>
      </c>
      <c r="AC158" s="33">
        <f t="shared" si="57"/>
        <v>0</v>
      </c>
      <c r="AD158" s="33">
        <f t="shared" si="57"/>
        <v>0</v>
      </c>
      <c r="AE158" s="34">
        <f t="shared" si="57"/>
        <v>0</v>
      </c>
      <c r="AF158" s="26">
        <f t="shared" si="49"/>
        <v>0</v>
      </c>
      <c r="AG158" s="103">
        <f t="shared" si="49"/>
        <v>0</v>
      </c>
    </row>
    <row r="159" spans="2:33" ht="12.75" x14ac:dyDescent="0.3">
      <c r="B159" s="27"/>
      <c r="C159" s="28"/>
      <c r="D159" s="28"/>
      <c r="E159" s="41">
        <v>4253200</v>
      </c>
      <c r="F159" s="55" t="s">
        <v>144</v>
      </c>
      <c r="G159" s="37"/>
      <c r="H159" s="37"/>
      <c r="I159" s="37"/>
      <c r="J159" s="37"/>
      <c r="K159" s="37"/>
      <c r="L159" s="38"/>
      <c r="M159" s="38"/>
      <c r="N159" s="39"/>
      <c r="O159" s="37"/>
      <c r="P159" s="37"/>
      <c r="Q159" s="37"/>
      <c r="R159" s="43"/>
      <c r="S159" s="40">
        <f t="shared" si="48"/>
        <v>0</v>
      </c>
      <c r="T159" s="37"/>
      <c r="U159" s="37"/>
      <c r="V159" s="37"/>
      <c r="W159" s="37"/>
      <c r="X159" s="37"/>
      <c r="Y159" s="38"/>
      <c r="Z159" s="38"/>
      <c r="AA159" s="39"/>
      <c r="AB159" s="37"/>
      <c r="AC159" s="37"/>
      <c r="AD159" s="37"/>
      <c r="AE159" s="43"/>
      <c r="AF159" s="40">
        <f t="shared" si="49"/>
        <v>0</v>
      </c>
      <c r="AG159" s="104">
        <f t="shared" si="49"/>
        <v>0</v>
      </c>
    </row>
    <row r="160" spans="2:33" ht="12.75" x14ac:dyDescent="0.3">
      <c r="B160" s="27"/>
      <c r="C160" s="28"/>
      <c r="D160" s="28"/>
      <c r="E160" s="41">
        <v>4253201</v>
      </c>
      <c r="F160" s="55" t="s">
        <v>145</v>
      </c>
      <c r="G160" s="37"/>
      <c r="H160" s="37"/>
      <c r="I160" s="37"/>
      <c r="J160" s="37"/>
      <c r="K160" s="37"/>
      <c r="L160" s="38"/>
      <c r="M160" s="38"/>
      <c r="N160" s="39"/>
      <c r="O160" s="37"/>
      <c r="P160" s="39"/>
      <c r="Q160" s="39"/>
      <c r="R160" s="38"/>
      <c r="S160" s="40">
        <f t="shared" si="48"/>
        <v>0</v>
      </c>
      <c r="T160" s="37"/>
      <c r="U160" s="37"/>
      <c r="V160" s="37"/>
      <c r="W160" s="37"/>
      <c r="X160" s="37"/>
      <c r="Y160" s="38"/>
      <c r="Z160" s="38"/>
      <c r="AA160" s="39"/>
      <c r="AB160" s="37"/>
      <c r="AC160" s="39"/>
      <c r="AD160" s="39"/>
      <c r="AE160" s="38"/>
      <c r="AF160" s="40">
        <f t="shared" si="49"/>
        <v>0</v>
      </c>
      <c r="AG160" s="104">
        <f t="shared" si="49"/>
        <v>0</v>
      </c>
    </row>
    <row r="161" spans="2:33" ht="12.75" x14ac:dyDescent="0.3">
      <c r="B161" s="27"/>
      <c r="C161" s="28"/>
      <c r="D161" s="28"/>
      <c r="E161" s="41">
        <v>4253210</v>
      </c>
      <c r="F161" s="55" t="s">
        <v>146</v>
      </c>
      <c r="G161" s="37"/>
      <c r="H161" s="37"/>
      <c r="I161" s="37"/>
      <c r="J161" s="37"/>
      <c r="K161" s="37"/>
      <c r="L161" s="38"/>
      <c r="M161" s="38"/>
      <c r="N161" s="39"/>
      <c r="O161" s="37"/>
      <c r="P161" s="39"/>
      <c r="Q161" s="39"/>
      <c r="R161" s="38"/>
      <c r="S161" s="40">
        <f t="shared" si="48"/>
        <v>0</v>
      </c>
      <c r="T161" s="37"/>
      <c r="U161" s="37"/>
      <c r="V161" s="37"/>
      <c r="W161" s="37"/>
      <c r="X161" s="37"/>
      <c r="Y161" s="38"/>
      <c r="Z161" s="38"/>
      <c r="AA161" s="39"/>
      <c r="AB161" s="37"/>
      <c r="AC161" s="39"/>
      <c r="AD161" s="39"/>
      <c r="AE161" s="38"/>
      <c r="AF161" s="40">
        <f t="shared" si="49"/>
        <v>0</v>
      </c>
      <c r="AG161" s="104">
        <f t="shared" si="49"/>
        <v>0</v>
      </c>
    </row>
    <row r="162" spans="2:33" ht="12.75" x14ac:dyDescent="0.3">
      <c r="B162" s="27"/>
      <c r="C162" s="28"/>
      <c r="D162" s="28"/>
      <c r="E162" s="41">
        <v>4253220</v>
      </c>
      <c r="F162" s="55" t="s">
        <v>147</v>
      </c>
      <c r="G162" s="37"/>
      <c r="H162" s="37"/>
      <c r="I162" s="37"/>
      <c r="J162" s="37"/>
      <c r="K162" s="37"/>
      <c r="L162" s="38"/>
      <c r="M162" s="38"/>
      <c r="N162" s="39"/>
      <c r="O162" s="37"/>
      <c r="P162" s="39"/>
      <c r="Q162" s="39"/>
      <c r="R162" s="38"/>
      <c r="S162" s="40">
        <f t="shared" si="48"/>
        <v>0</v>
      </c>
      <c r="T162" s="37"/>
      <c r="U162" s="37"/>
      <c r="V162" s="37"/>
      <c r="W162" s="37"/>
      <c r="X162" s="37"/>
      <c r="Y162" s="38"/>
      <c r="Z162" s="38"/>
      <c r="AA162" s="39"/>
      <c r="AB162" s="37"/>
      <c r="AC162" s="39"/>
      <c r="AD162" s="39"/>
      <c r="AE162" s="38"/>
      <c r="AF162" s="40">
        <f t="shared" si="49"/>
        <v>0</v>
      </c>
      <c r="AG162" s="104">
        <f t="shared" si="49"/>
        <v>0</v>
      </c>
    </row>
    <row r="163" spans="2:33" ht="12.75" x14ac:dyDescent="0.3">
      <c r="B163" s="27"/>
      <c r="C163" s="28"/>
      <c r="D163" s="28"/>
      <c r="E163" s="41">
        <v>4253230</v>
      </c>
      <c r="F163" s="55" t="s">
        <v>148</v>
      </c>
      <c r="G163" s="37"/>
      <c r="H163" s="37"/>
      <c r="I163" s="37"/>
      <c r="J163" s="37"/>
      <c r="K163" s="37"/>
      <c r="L163" s="38"/>
      <c r="M163" s="38"/>
      <c r="N163" s="39"/>
      <c r="O163" s="37"/>
      <c r="P163" s="39"/>
      <c r="Q163" s="39"/>
      <c r="R163" s="38"/>
      <c r="S163" s="40">
        <f t="shared" si="48"/>
        <v>0</v>
      </c>
      <c r="T163" s="37"/>
      <c r="U163" s="37"/>
      <c r="V163" s="37"/>
      <c r="W163" s="37"/>
      <c r="X163" s="37"/>
      <c r="Y163" s="38"/>
      <c r="Z163" s="38"/>
      <c r="AA163" s="39"/>
      <c r="AB163" s="37"/>
      <c r="AC163" s="39"/>
      <c r="AD163" s="39"/>
      <c r="AE163" s="38"/>
      <c r="AF163" s="40">
        <f t="shared" si="49"/>
        <v>0</v>
      </c>
      <c r="AG163" s="104">
        <f t="shared" si="49"/>
        <v>0</v>
      </c>
    </row>
    <row r="164" spans="2:33" ht="12.75" x14ac:dyDescent="0.3">
      <c r="B164" s="27"/>
      <c r="C164" s="28"/>
      <c r="D164" s="28"/>
      <c r="E164" s="41">
        <v>4253240</v>
      </c>
      <c r="F164" s="55" t="s">
        <v>149</v>
      </c>
      <c r="G164" s="37"/>
      <c r="H164" s="37"/>
      <c r="I164" s="37"/>
      <c r="J164" s="37"/>
      <c r="K164" s="37"/>
      <c r="L164" s="38"/>
      <c r="M164" s="38"/>
      <c r="N164" s="39"/>
      <c r="O164" s="37"/>
      <c r="P164" s="39"/>
      <c r="Q164" s="39"/>
      <c r="R164" s="38"/>
      <c r="S164" s="40">
        <f t="shared" si="48"/>
        <v>0</v>
      </c>
      <c r="T164" s="37"/>
      <c r="U164" s="37"/>
      <c r="V164" s="37"/>
      <c r="W164" s="37"/>
      <c r="X164" s="37"/>
      <c r="Y164" s="38"/>
      <c r="Z164" s="38"/>
      <c r="AA164" s="39"/>
      <c r="AB164" s="37"/>
      <c r="AC164" s="39"/>
      <c r="AD164" s="39"/>
      <c r="AE164" s="38"/>
      <c r="AF164" s="40">
        <f t="shared" si="49"/>
        <v>0</v>
      </c>
      <c r="AG164" s="104">
        <f t="shared" si="49"/>
        <v>0</v>
      </c>
    </row>
    <row r="165" spans="2:33" ht="12.75" x14ac:dyDescent="0.3">
      <c r="B165" s="27"/>
      <c r="C165" s="28"/>
      <c r="D165" s="28"/>
      <c r="E165" s="41">
        <v>4253250</v>
      </c>
      <c r="F165" s="55" t="s">
        <v>150</v>
      </c>
      <c r="G165" s="37"/>
      <c r="H165" s="37"/>
      <c r="I165" s="37"/>
      <c r="J165" s="37"/>
      <c r="K165" s="37"/>
      <c r="L165" s="38"/>
      <c r="M165" s="38"/>
      <c r="N165" s="39"/>
      <c r="O165" s="37"/>
      <c r="P165" s="39"/>
      <c r="Q165" s="39"/>
      <c r="R165" s="38"/>
      <c r="S165" s="40">
        <f t="shared" si="48"/>
        <v>0</v>
      </c>
      <c r="T165" s="37"/>
      <c r="U165" s="37"/>
      <c r="V165" s="37"/>
      <c r="W165" s="37"/>
      <c r="X165" s="37"/>
      <c r="Y165" s="38"/>
      <c r="Z165" s="38"/>
      <c r="AA165" s="39"/>
      <c r="AB165" s="37"/>
      <c r="AC165" s="39"/>
      <c r="AD165" s="39"/>
      <c r="AE165" s="38"/>
      <c r="AF165" s="40">
        <f t="shared" si="49"/>
        <v>0</v>
      </c>
      <c r="AG165" s="104">
        <f t="shared" si="49"/>
        <v>0</v>
      </c>
    </row>
    <row r="166" spans="2:33" ht="12.75" x14ac:dyDescent="0.3">
      <c r="B166" s="27"/>
      <c r="C166" s="28"/>
      <c r="D166" s="28"/>
      <c r="E166" s="41">
        <v>4253260</v>
      </c>
      <c r="F166" s="55" t="s">
        <v>151</v>
      </c>
      <c r="G166" s="37"/>
      <c r="H166" s="37"/>
      <c r="I166" s="37"/>
      <c r="J166" s="37"/>
      <c r="K166" s="37"/>
      <c r="L166" s="38"/>
      <c r="M166" s="38"/>
      <c r="N166" s="39"/>
      <c r="O166" s="37"/>
      <c r="P166" s="39"/>
      <c r="Q166" s="39"/>
      <c r="R166" s="38"/>
      <c r="S166" s="40">
        <f t="shared" si="48"/>
        <v>0</v>
      </c>
      <c r="T166" s="37"/>
      <c r="U166" s="37"/>
      <c r="V166" s="37"/>
      <c r="W166" s="37"/>
      <c r="X166" s="37"/>
      <c r="Y166" s="38"/>
      <c r="Z166" s="38"/>
      <c r="AA166" s="39"/>
      <c r="AB166" s="37"/>
      <c r="AC166" s="39"/>
      <c r="AD166" s="39"/>
      <c r="AE166" s="38"/>
      <c r="AF166" s="40">
        <f t="shared" si="49"/>
        <v>0</v>
      </c>
      <c r="AG166" s="104">
        <f t="shared" si="49"/>
        <v>0</v>
      </c>
    </row>
    <row r="167" spans="2:33" ht="12.75" x14ac:dyDescent="0.3">
      <c r="B167" s="27"/>
      <c r="C167" s="28"/>
      <c r="D167" s="28"/>
      <c r="E167" s="41">
        <v>4253400</v>
      </c>
      <c r="F167" s="55" t="s">
        <v>152</v>
      </c>
      <c r="G167" s="37"/>
      <c r="H167" s="37"/>
      <c r="I167" s="37"/>
      <c r="J167" s="37"/>
      <c r="K167" s="37"/>
      <c r="L167" s="38"/>
      <c r="M167" s="38"/>
      <c r="N167" s="39"/>
      <c r="O167" s="37"/>
      <c r="P167" s="39"/>
      <c r="Q167" s="39"/>
      <c r="R167" s="38"/>
      <c r="S167" s="40">
        <f t="shared" si="48"/>
        <v>0</v>
      </c>
      <c r="T167" s="37"/>
      <c r="U167" s="37"/>
      <c r="V167" s="37"/>
      <c r="W167" s="37"/>
      <c r="X167" s="37"/>
      <c r="Y167" s="38"/>
      <c r="Z167" s="38"/>
      <c r="AA167" s="39"/>
      <c r="AB167" s="37"/>
      <c r="AC167" s="39"/>
      <c r="AD167" s="39"/>
      <c r="AE167" s="38"/>
      <c r="AF167" s="40">
        <f t="shared" si="49"/>
        <v>0</v>
      </c>
      <c r="AG167" s="104">
        <f t="shared" si="49"/>
        <v>0</v>
      </c>
    </row>
    <row r="168" spans="2:33" ht="12.75" x14ac:dyDescent="0.3">
      <c r="B168" s="27"/>
      <c r="C168" s="28"/>
      <c r="D168" s="28"/>
      <c r="E168" s="41">
        <v>4253410</v>
      </c>
      <c r="F168" s="55" t="s">
        <v>153</v>
      </c>
      <c r="G168" s="37"/>
      <c r="H168" s="37"/>
      <c r="I168" s="37"/>
      <c r="J168" s="37"/>
      <c r="K168" s="37"/>
      <c r="L168" s="38"/>
      <c r="M168" s="38"/>
      <c r="N168" s="39"/>
      <c r="O168" s="37"/>
      <c r="P168" s="39"/>
      <c r="Q168" s="39"/>
      <c r="R168" s="38"/>
      <c r="S168" s="40">
        <f t="shared" si="48"/>
        <v>0</v>
      </c>
      <c r="T168" s="37"/>
      <c r="U168" s="37"/>
      <c r="V168" s="37"/>
      <c r="W168" s="37"/>
      <c r="X168" s="37"/>
      <c r="Y168" s="38"/>
      <c r="Z168" s="38"/>
      <c r="AA168" s="39"/>
      <c r="AB168" s="37"/>
      <c r="AC168" s="39"/>
      <c r="AD168" s="39"/>
      <c r="AE168" s="38"/>
      <c r="AF168" s="40">
        <f t="shared" si="49"/>
        <v>0</v>
      </c>
      <c r="AG168" s="104">
        <f t="shared" si="49"/>
        <v>0</v>
      </c>
    </row>
    <row r="169" spans="2:33" ht="12.75" x14ac:dyDescent="0.3">
      <c r="B169" s="27"/>
      <c r="C169" s="28"/>
      <c r="D169" s="28"/>
      <c r="E169" s="41">
        <v>4253420</v>
      </c>
      <c r="F169" s="55" t="s">
        <v>154</v>
      </c>
      <c r="G169" s="37"/>
      <c r="H169" s="37"/>
      <c r="I169" s="37"/>
      <c r="J169" s="37"/>
      <c r="K169" s="37"/>
      <c r="L169" s="38"/>
      <c r="M169" s="38"/>
      <c r="N169" s="39"/>
      <c r="O169" s="37"/>
      <c r="P169" s="39"/>
      <c r="Q169" s="39"/>
      <c r="R169" s="38"/>
      <c r="S169" s="40">
        <f t="shared" si="48"/>
        <v>0</v>
      </c>
      <c r="T169" s="37"/>
      <c r="U169" s="37"/>
      <c r="V169" s="37"/>
      <c r="W169" s="37"/>
      <c r="X169" s="37"/>
      <c r="Y169" s="38"/>
      <c r="Z169" s="38"/>
      <c r="AA169" s="39"/>
      <c r="AB169" s="37"/>
      <c r="AC169" s="39"/>
      <c r="AD169" s="39"/>
      <c r="AE169" s="38"/>
      <c r="AF169" s="40">
        <f t="shared" si="49"/>
        <v>0</v>
      </c>
      <c r="AG169" s="104">
        <f t="shared" si="49"/>
        <v>0</v>
      </c>
    </row>
    <row r="170" spans="2:33" ht="12.75" x14ac:dyDescent="0.3">
      <c r="B170" s="27"/>
      <c r="C170" s="28"/>
      <c r="D170" s="28"/>
      <c r="E170" s="41">
        <v>4253430</v>
      </c>
      <c r="F170" s="55" t="s">
        <v>155</v>
      </c>
      <c r="G170" s="37"/>
      <c r="H170" s="37"/>
      <c r="I170" s="37"/>
      <c r="J170" s="37"/>
      <c r="K170" s="37"/>
      <c r="L170" s="38"/>
      <c r="M170" s="38"/>
      <c r="N170" s="39"/>
      <c r="O170" s="37"/>
      <c r="P170" s="39"/>
      <c r="Q170" s="39"/>
      <c r="R170" s="38"/>
      <c r="S170" s="40">
        <f t="shared" si="48"/>
        <v>0</v>
      </c>
      <c r="T170" s="37"/>
      <c r="U170" s="37"/>
      <c r="V170" s="37"/>
      <c r="W170" s="37"/>
      <c r="X170" s="37"/>
      <c r="Y170" s="38"/>
      <c r="Z170" s="38"/>
      <c r="AA170" s="39"/>
      <c r="AB170" s="37"/>
      <c r="AC170" s="39"/>
      <c r="AD170" s="39"/>
      <c r="AE170" s="38"/>
      <c r="AF170" s="40">
        <f t="shared" si="49"/>
        <v>0</v>
      </c>
      <c r="AG170" s="104">
        <f t="shared" si="49"/>
        <v>0</v>
      </c>
    </row>
    <row r="171" spans="2:33" ht="12.75" x14ac:dyDescent="0.3">
      <c r="B171" s="27"/>
      <c r="C171" s="28"/>
      <c r="D171" s="29" t="s">
        <v>156</v>
      </c>
      <c r="E171" s="42"/>
      <c r="F171" s="31"/>
      <c r="G171" s="32">
        <v>0</v>
      </c>
      <c r="H171" s="33">
        <v>0</v>
      </c>
      <c r="I171" s="33">
        <v>0</v>
      </c>
      <c r="J171" s="33">
        <v>0</v>
      </c>
      <c r="K171" s="33">
        <v>0</v>
      </c>
      <c r="L171" s="34">
        <v>0</v>
      </c>
      <c r="M171" s="34">
        <v>0</v>
      </c>
      <c r="N171" s="33">
        <v>0</v>
      </c>
      <c r="O171" s="32">
        <v>0</v>
      </c>
      <c r="P171" s="33">
        <f t="shared" ref="P171:R171" si="58">SUM(P172:P175)</f>
        <v>0</v>
      </c>
      <c r="Q171" s="33">
        <f t="shared" si="58"/>
        <v>0</v>
      </c>
      <c r="R171" s="34">
        <f t="shared" si="58"/>
        <v>0</v>
      </c>
      <c r="S171" s="26">
        <f t="shared" si="48"/>
        <v>0</v>
      </c>
      <c r="T171" s="32">
        <f t="shared" ref="T171:AE171" si="59">SUM(T172:T175)</f>
        <v>0</v>
      </c>
      <c r="U171" s="33">
        <f t="shared" si="59"/>
        <v>0</v>
      </c>
      <c r="V171" s="33">
        <f t="shared" si="59"/>
        <v>0</v>
      </c>
      <c r="W171" s="33">
        <f t="shared" si="59"/>
        <v>0</v>
      </c>
      <c r="X171" s="33">
        <f t="shared" si="59"/>
        <v>0</v>
      </c>
      <c r="Y171" s="34">
        <f t="shared" si="59"/>
        <v>0</v>
      </c>
      <c r="Z171" s="34">
        <f t="shared" si="59"/>
        <v>0</v>
      </c>
      <c r="AA171" s="33">
        <f t="shared" si="59"/>
        <v>0</v>
      </c>
      <c r="AB171" s="32">
        <f t="shared" si="59"/>
        <v>0</v>
      </c>
      <c r="AC171" s="33">
        <f t="shared" si="59"/>
        <v>0</v>
      </c>
      <c r="AD171" s="33">
        <f t="shared" si="59"/>
        <v>0</v>
      </c>
      <c r="AE171" s="34">
        <f t="shared" si="59"/>
        <v>0</v>
      </c>
      <c r="AF171" s="26">
        <f t="shared" si="49"/>
        <v>0</v>
      </c>
      <c r="AG171" s="103">
        <f t="shared" si="49"/>
        <v>0</v>
      </c>
    </row>
    <row r="172" spans="2:33" ht="12.75" x14ac:dyDescent="0.3">
      <c r="B172" s="27"/>
      <c r="C172" s="28"/>
      <c r="D172" s="28"/>
      <c r="E172" s="41">
        <v>4253500</v>
      </c>
      <c r="F172" s="55" t="s">
        <v>157</v>
      </c>
      <c r="G172" s="37"/>
      <c r="H172" s="37"/>
      <c r="I172" s="37"/>
      <c r="J172" s="37"/>
      <c r="K172" s="37"/>
      <c r="L172" s="38"/>
      <c r="M172" s="38"/>
      <c r="N172" s="39"/>
      <c r="O172" s="37"/>
      <c r="P172" s="39"/>
      <c r="Q172" s="39"/>
      <c r="R172" s="38"/>
      <c r="S172" s="40">
        <f t="shared" si="48"/>
        <v>0</v>
      </c>
      <c r="T172" s="37"/>
      <c r="U172" s="37"/>
      <c r="V172" s="37"/>
      <c r="W172" s="37"/>
      <c r="X172" s="37"/>
      <c r="Y172" s="38"/>
      <c r="Z172" s="38"/>
      <c r="AA172" s="39"/>
      <c r="AB172" s="37"/>
      <c r="AC172" s="39"/>
      <c r="AD172" s="39"/>
      <c r="AE172" s="38"/>
      <c r="AF172" s="40">
        <f t="shared" si="49"/>
        <v>0</v>
      </c>
      <c r="AG172" s="104">
        <f t="shared" si="49"/>
        <v>0</v>
      </c>
    </row>
    <row r="173" spans="2:33" ht="12.75" x14ac:dyDescent="0.3">
      <c r="B173" s="27"/>
      <c r="C173" s="28"/>
      <c r="D173" s="28"/>
      <c r="E173" s="41">
        <v>4253530</v>
      </c>
      <c r="F173" s="55" t="s">
        <v>158</v>
      </c>
      <c r="G173" s="37"/>
      <c r="H173" s="37"/>
      <c r="I173" s="37"/>
      <c r="J173" s="37"/>
      <c r="K173" s="37"/>
      <c r="L173" s="38"/>
      <c r="M173" s="38"/>
      <c r="N173" s="39"/>
      <c r="O173" s="37"/>
      <c r="P173" s="39"/>
      <c r="Q173" s="39"/>
      <c r="R173" s="38"/>
      <c r="S173" s="40">
        <f t="shared" si="48"/>
        <v>0</v>
      </c>
      <c r="T173" s="37"/>
      <c r="U173" s="37"/>
      <c r="V173" s="37"/>
      <c r="W173" s="37"/>
      <c r="X173" s="37"/>
      <c r="Y173" s="38"/>
      <c r="Z173" s="38"/>
      <c r="AA173" s="39"/>
      <c r="AB173" s="37"/>
      <c r="AC173" s="39"/>
      <c r="AD173" s="39"/>
      <c r="AE173" s="38"/>
      <c r="AF173" s="40">
        <f t="shared" si="49"/>
        <v>0</v>
      </c>
      <c r="AG173" s="104">
        <f t="shared" si="49"/>
        <v>0</v>
      </c>
    </row>
    <row r="174" spans="2:33" ht="12.75" x14ac:dyDescent="0.3">
      <c r="B174" s="27"/>
      <c r="C174" s="28"/>
      <c r="D174" s="28"/>
      <c r="E174" s="41">
        <v>4253540</v>
      </c>
      <c r="F174" s="55" t="s">
        <v>159</v>
      </c>
      <c r="G174" s="37"/>
      <c r="H174" s="37"/>
      <c r="I174" s="37"/>
      <c r="J174" s="37"/>
      <c r="K174" s="37"/>
      <c r="L174" s="38"/>
      <c r="M174" s="38"/>
      <c r="N174" s="39"/>
      <c r="O174" s="37"/>
      <c r="P174" s="39"/>
      <c r="Q174" s="39"/>
      <c r="R174" s="38"/>
      <c r="S174" s="40">
        <f t="shared" si="48"/>
        <v>0</v>
      </c>
      <c r="T174" s="37"/>
      <c r="U174" s="37"/>
      <c r="V174" s="37"/>
      <c r="W174" s="37"/>
      <c r="X174" s="37"/>
      <c r="Y174" s="38"/>
      <c r="Z174" s="38"/>
      <c r="AA174" s="39"/>
      <c r="AB174" s="37"/>
      <c r="AC174" s="39"/>
      <c r="AD174" s="39"/>
      <c r="AE174" s="38"/>
      <c r="AF174" s="40">
        <f t="shared" si="49"/>
        <v>0</v>
      </c>
      <c r="AG174" s="104">
        <f t="shared" si="49"/>
        <v>0</v>
      </c>
    </row>
    <row r="175" spans="2:33" ht="12.75" x14ac:dyDescent="0.3">
      <c r="B175" s="27"/>
      <c r="C175" s="28"/>
      <c r="D175" s="28"/>
      <c r="E175" s="41">
        <v>4253550</v>
      </c>
      <c r="F175" s="55" t="s">
        <v>160</v>
      </c>
      <c r="G175" s="37"/>
      <c r="H175" s="37"/>
      <c r="I175" s="37"/>
      <c r="J175" s="37"/>
      <c r="K175" s="37"/>
      <c r="L175" s="38"/>
      <c r="M175" s="38"/>
      <c r="N175" s="39"/>
      <c r="O175" s="37"/>
      <c r="P175" s="39"/>
      <c r="Q175" s="39"/>
      <c r="R175" s="38"/>
      <c r="S175" s="40">
        <f t="shared" si="48"/>
        <v>0</v>
      </c>
      <c r="T175" s="37"/>
      <c r="U175" s="37"/>
      <c r="V175" s="37"/>
      <c r="W175" s="37"/>
      <c r="X175" s="37"/>
      <c r="Y175" s="38"/>
      <c r="Z175" s="38"/>
      <c r="AA175" s="39"/>
      <c r="AB175" s="37"/>
      <c r="AC175" s="39"/>
      <c r="AD175" s="39"/>
      <c r="AE175" s="38"/>
      <c r="AF175" s="40">
        <f t="shared" si="49"/>
        <v>0</v>
      </c>
      <c r="AG175" s="104">
        <f t="shared" si="49"/>
        <v>0</v>
      </c>
    </row>
    <row r="176" spans="2:33" ht="12.75" x14ac:dyDescent="0.3">
      <c r="B176" s="27"/>
      <c r="C176" s="28"/>
      <c r="D176" s="29" t="s">
        <v>161</v>
      </c>
      <c r="E176" s="42"/>
      <c r="F176" s="31"/>
      <c r="G176" s="32">
        <v>0</v>
      </c>
      <c r="H176" s="33">
        <v>0</v>
      </c>
      <c r="I176" s="33">
        <v>0</v>
      </c>
      <c r="J176" s="33">
        <v>0</v>
      </c>
      <c r="K176" s="33">
        <v>0</v>
      </c>
      <c r="L176" s="34">
        <v>0</v>
      </c>
      <c r="M176" s="34">
        <v>0</v>
      </c>
      <c r="N176" s="33">
        <v>0</v>
      </c>
      <c r="O176" s="32">
        <v>0</v>
      </c>
      <c r="P176" s="33">
        <f t="shared" ref="P176:R176" si="60">SUM(P177:P178)</f>
        <v>0</v>
      </c>
      <c r="Q176" s="33">
        <f t="shared" si="60"/>
        <v>0</v>
      </c>
      <c r="R176" s="34">
        <f t="shared" si="60"/>
        <v>0</v>
      </c>
      <c r="S176" s="26">
        <f t="shared" si="48"/>
        <v>0</v>
      </c>
      <c r="T176" s="32">
        <f t="shared" ref="T176:AE176" si="61">SUM(T177:T178)</f>
        <v>0</v>
      </c>
      <c r="U176" s="33">
        <f t="shared" si="61"/>
        <v>0</v>
      </c>
      <c r="V176" s="33">
        <f t="shared" si="61"/>
        <v>0</v>
      </c>
      <c r="W176" s="33">
        <f t="shared" si="61"/>
        <v>0</v>
      </c>
      <c r="X176" s="33">
        <f t="shared" si="61"/>
        <v>0</v>
      </c>
      <c r="Y176" s="34">
        <f t="shared" si="61"/>
        <v>0</v>
      </c>
      <c r="Z176" s="34">
        <f t="shared" si="61"/>
        <v>0</v>
      </c>
      <c r="AA176" s="33">
        <f t="shared" si="61"/>
        <v>0</v>
      </c>
      <c r="AB176" s="32">
        <f t="shared" si="61"/>
        <v>0</v>
      </c>
      <c r="AC176" s="33">
        <f t="shared" si="61"/>
        <v>0</v>
      </c>
      <c r="AD176" s="33">
        <f t="shared" si="61"/>
        <v>0</v>
      </c>
      <c r="AE176" s="34">
        <f t="shared" si="61"/>
        <v>0</v>
      </c>
      <c r="AF176" s="26">
        <f t="shared" si="49"/>
        <v>0</v>
      </c>
      <c r="AG176" s="103">
        <f t="shared" si="49"/>
        <v>0</v>
      </c>
    </row>
    <row r="177" spans="2:33" ht="12.75" x14ac:dyDescent="0.3">
      <c r="B177" s="27"/>
      <c r="C177" s="28"/>
      <c r="D177" s="28"/>
      <c r="E177" s="41">
        <v>4253600</v>
      </c>
      <c r="F177" s="55" t="s">
        <v>162</v>
      </c>
      <c r="G177" s="37"/>
      <c r="H177" s="37"/>
      <c r="I177" s="37"/>
      <c r="J177" s="37"/>
      <c r="K177" s="37"/>
      <c r="L177" s="38"/>
      <c r="M177" s="38"/>
      <c r="N177" s="39"/>
      <c r="O177" s="37"/>
      <c r="P177" s="37"/>
      <c r="Q177" s="37"/>
      <c r="R177" s="43"/>
      <c r="S177" s="40">
        <f t="shared" si="48"/>
        <v>0</v>
      </c>
      <c r="T177" s="37"/>
      <c r="U177" s="37"/>
      <c r="V177" s="37"/>
      <c r="W177" s="37"/>
      <c r="X177" s="37"/>
      <c r="Y177" s="38"/>
      <c r="Z177" s="38"/>
      <c r="AA177" s="39"/>
      <c r="AB177" s="37"/>
      <c r="AC177" s="37"/>
      <c r="AD177" s="37"/>
      <c r="AE177" s="43"/>
      <c r="AF177" s="40">
        <f t="shared" si="49"/>
        <v>0</v>
      </c>
      <c r="AG177" s="104">
        <f t="shared" si="49"/>
        <v>0</v>
      </c>
    </row>
    <row r="178" spans="2:33" ht="12.75" x14ac:dyDescent="0.3">
      <c r="B178" s="27"/>
      <c r="C178" s="28"/>
      <c r="D178" s="28"/>
      <c r="E178" s="41">
        <v>4253610</v>
      </c>
      <c r="F178" s="55" t="s">
        <v>163</v>
      </c>
      <c r="G178" s="37"/>
      <c r="H178" s="37"/>
      <c r="I178" s="37"/>
      <c r="J178" s="37"/>
      <c r="K178" s="37"/>
      <c r="L178" s="38"/>
      <c r="M178" s="38"/>
      <c r="N178" s="39"/>
      <c r="O178" s="37"/>
      <c r="P178" s="39"/>
      <c r="Q178" s="39"/>
      <c r="R178" s="38"/>
      <c r="S178" s="40">
        <f t="shared" si="48"/>
        <v>0</v>
      </c>
      <c r="T178" s="37"/>
      <c r="U178" s="37"/>
      <c r="V178" s="37"/>
      <c r="W178" s="37"/>
      <c r="X178" s="37"/>
      <c r="Y178" s="38"/>
      <c r="Z178" s="38"/>
      <c r="AA178" s="39"/>
      <c r="AB178" s="37"/>
      <c r="AC178" s="39"/>
      <c r="AD178" s="39"/>
      <c r="AE178" s="38"/>
      <c r="AF178" s="40">
        <f t="shared" si="49"/>
        <v>0</v>
      </c>
      <c r="AG178" s="104">
        <f t="shared" si="49"/>
        <v>0</v>
      </c>
    </row>
    <row r="179" spans="2:33" ht="12.75" x14ac:dyDescent="0.3">
      <c r="B179" s="27"/>
      <c r="C179" s="28"/>
      <c r="D179" s="29" t="s">
        <v>164</v>
      </c>
      <c r="E179" s="42"/>
      <c r="F179" s="31"/>
      <c r="G179" s="32">
        <v>0</v>
      </c>
      <c r="H179" s="33">
        <v>0</v>
      </c>
      <c r="I179" s="33">
        <v>0</v>
      </c>
      <c r="J179" s="33">
        <v>0</v>
      </c>
      <c r="K179" s="33">
        <v>0</v>
      </c>
      <c r="L179" s="34">
        <v>0</v>
      </c>
      <c r="M179" s="34">
        <v>0</v>
      </c>
      <c r="N179" s="33">
        <v>0</v>
      </c>
      <c r="O179" s="32">
        <v>0</v>
      </c>
      <c r="P179" s="33">
        <f t="shared" ref="P179:R179" si="62">SUM(P180:P182)</f>
        <v>0</v>
      </c>
      <c r="Q179" s="33">
        <f t="shared" si="62"/>
        <v>0</v>
      </c>
      <c r="R179" s="34">
        <f t="shared" si="62"/>
        <v>0</v>
      </c>
      <c r="S179" s="26">
        <f t="shared" si="48"/>
        <v>0</v>
      </c>
      <c r="T179" s="32">
        <f t="shared" ref="T179:AE179" si="63">SUM(T180:T182)</f>
        <v>0</v>
      </c>
      <c r="U179" s="33">
        <f t="shared" si="63"/>
        <v>0</v>
      </c>
      <c r="V179" s="33">
        <f t="shared" si="63"/>
        <v>0</v>
      </c>
      <c r="W179" s="33">
        <f t="shared" si="63"/>
        <v>0</v>
      </c>
      <c r="X179" s="33">
        <f t="shared" si="63"/>
        <v>0</v>
      </c>
      <c r="Y179" s="34">
        <f t="shared" si="63"/>
        <v>0</v>
      </c>
      <c r="Z179" s="34">
        <f t="shared" si="63"/>
        <v>0</v>
      </c>
      <c r="AA179" s="33">
        <f t="shared" si="63"/>
        <v>0</v>
      </c>
      <c r="AB179" s="32">
        <f t="shared" si="63"/>
        <v>0</v>
      </c>
      <c r="AC179" s="33">
        <f t="shared" si="63"/>
        <v>0</v>
      </c>
      <c r="AD179" s="33">
        <f t="shared" si="63"/>
        <v>0</v>
      </c>
      <c r="AE179" s="34">
        <f t="shared" si="63"/>
        <v>0</v>
      </c>
      <c r="AF179" s="26">
        <f t="shared" si="49"/>
        <v>0</v>
      </c>
      <c r="AG179" s="103">
        <f t="shared" si="49"/>
        <v>0</v>
      </c>
    </row>
    <row r="180" spans="2:33" ht="12.75" x14ac:dyDescent="0.3">
      <c r="B180" s="27"/>
      <c r="C180" s="28"/>
      <c r="D180" s="28"/>
      <c r="E180" s="41">
        <v>4253700</v>
      </c>
      <c r="F180" s="55" t="s">
        <v>165</v>
      </c>
      <c r="G180" s="37"/>
      <c r="H180" s="37"/>
      <c r="I180" s="37"/>
      <c r="J180" s="37"/>
      <c r="K180" s="37"/>
      <c r="L180" s="38"/>
      <c r="M180" s="38"/>
      <c r="N180" s="39"/>
      <c r="O180" s="37"/>
      <c r="P180" s="39"/>
      <c r="Q180" s="39"/>
      <c r="R180" s="38"/>
      <c r="S180" s="40">
        <f t="shared" si="48"/>
        <v>0</v>
      </c>
      <c r="T180" s="37"/>
      <c r="U180" s="37"/>
      <c r="V180" s="37"/>
      <c r="W180" s="37"/>
      <c r="X180" s="37"/>
      <c r="Y180" s="38"/>
      <c r="Z180" s="38"/>
      <c r="AA180" s="39"/>
      <c r="AB180" s="37"/>
      <c r="AC180" s="39"/>
      <c r="AD180" s="39"/>
      <c r="AE180" s="38"/>
      <c r="AF180" s="40">
        <f t="shared" si="49"/>
        <v>0</v>
      </c>
      <c r="AG180" s="104">
        <f t="shared" si="49"/>
        <v>0</v>
      </c>
    </row>
    <row r="181" spans="2:33" ht="12.75" x14ac:dyDescent="0.3">
      <c r="B181" s="27"/>
      <c r="C181" s="28"/>
      <c r="D181" s="28"/>
      <c r="E181" s="41">
        <v>4253710</v>
      </c>
      <c r="F181" s="55" t="s">
        <v>166</v>
      </c>
      <c r="G181" s="37"/>
      <c r="H181" s="37"/>
      <c r="I181" s="37"/>
      <c r="J181" s="37"/>
      <c r="K181" s="37"/>
      <c r="L181" s="38"/>
      <c r="M181" s="38"/>
      <c r="N181" s="39"/>
      <c r="O181" s="37"/>
      <c r="P181" s="39"/>
      <c r="Q181" s="39"/>
      <c r="R181" s="38"/>
      <c r="S181" s="40">
        <f t="shared" si="48"/>
        <v>0</v>
      </c>
      <c r="T181" s="37"/>
      <c r="U181" s="37"/>
      <c r="V181" s="37"/>
      <c r="W181" s="37"/>
      <c r="X181" s="37"/>
      <c r="Y181" s="38"/>
      <c r="Z181" s="38"/>
      <c r="AA181" s="39"/>
      <c r="AB181" s="37"/>
      <c r="AC181" s="39"/>
      <c r="AD181" s="39"/>
      <c r="AE181" s="38"/>
      <c r="AF181" s="40">
        <f t="shared" si="49"/>
        <v>0</v>
      </c>
      <c r="AG181" s="104">
        <f t="shared" si="49"/>
        <v>0</v>
      </c>
    </row>
    <row r="182" spans="2:33" ht="12.75" x14ac:dyDescent="0.3">
      <c r="B182" s="27"/>
      <c r="C182" s="28"/>
      <c r="D182" s="28"/>
      <c r="E182" s="41">
        <v>4253720</v>
      </c>
      <c r="F182" s="55" t="s">
        <v>167</v>
      </c>
      <c r="G182" s="37"/>
      <c r="H182" s="37"/>
      <c r="I182" s="37"/>
      <c r="J182" s="37"/>
      <c r="K182" s="37"/>
      <c r="L182" s="38"/>
      <c r="M182" s="38"/>
      <c r="N182" s="39"/>
      <c r="O182" s="37"/>
      <c r="P182" s="39"/>
      <c r="Q182" s="39"/>
      <c r="R182" s="38"/>
      <c r="S182" s="40">
        <f t="shared" ref="S182:S246" si="64">SUM(G182:R182)</f>
        <v>0</v>
      </c>
      <c r="T182" s="37"/>
      <c r="U182" s="37"/>
      <c r="V182" s="37"/>
      <c r="W182" s="37"/>
      <c r="X182" s="37"/>
      <c r="Y182" s="38"/>
      <c r="Z182" s="38"/>
      <c r="AA182" s="39"/>
      <c r="AB182" s="37"/>
      <c r="AC182" s="39"/>
      <c r="AD182" s="39"/>
      <c r="AE182" s="38"/>
      <c r="AF182" s="40">
        <f t="shared" ref="AF182:AG246" si="65">SUM(T182:AE182)</f>
        <v>0</v>
      </c>
      <c r="AG182" s="104">
        <f t="shared" si="65"/>
        <v>0</v>
      </c>
    </row>
    <row r="183" spans="2:33" ht="12.75" x14ac:dyDescent="0.3">
      <c r="B183" s="27"/>
      <c r="C183" s="28"/>
      <c r="D183" s="29" t="s">
        <v>168</v>
      </c>
      <c r="E183" s="42"/>
      <c r="F183" s="31"/>
      <c r="G183" s="32">
        <v>0</v>
      </c>
      <c r="H183" s="33">
        <v>0</v>
      </c>
      <c r="I183" s="33">
        <v>0</v>
      </c>
      <c r="J183" s="33">
        <v>0</v>
      </c>
      <c r="K183" s="33">
        <v>0</v>
      </c>
      <c r="L183" s="34">
        <v>0</v>
      </c>
      <c r="M183" s="34">
        <v>0</v>
      </c>
      <c r="N183" s="33">
        <v>0</v>
      </c>
      <c r="O183" s="32">
        <v>0</v>
      </c>
      <c r="P183" s="33">
        <f t="shared" ref="P183:R183" si="66">SUM(P184:P205)</f>
        <v>0</v>
      </c>
      <c r="Q183" s="33">
        <f t="shared" si="66"/>
        <v>0</v>
      </c>
      <c r="R183" s="34">
        <f t="shared" si="66"/>
        <v>0</v>
      </c>
      <c r="S183" s="26">
        <f t="shared" si="64"/>
        <v>0</v>
      </c>
      <c r="T183" s="32">
        <f t="shared" ref="T183:AE183" si="67">SUM(T184:T205)</f>
        <v>0</v>
      </c>
      <c r="U183" s="33">
        <f t="shared" si="67"/>
        <v>0</v>
      </c>
      <c r="V183" s="33">
        <f t="shared" si="67"/>
        <v>0</v>
      </c>
      <c r="W183" s="33">
        <f t="shared" si="67"/>
        <v>0</v>
      </c>
      <c r="X183" s="33">
        <f t="shared" si="67"/>
        <v>0</v>
      </c>
      <c r="Y183" s="34">
        <f t="shared" si="67"/>
        <v>0</v>
      </c>
      <c r="Z183" s="34">
        <f t="shared" si="67"/>
        <v>0</v>
      </c>
      <c r="AA183" s="33">
        <f t="shared" si="67"/>
        <v>0</v>
      </c>
      <c r="AB183" s="32">
        <f t="shared" si="67"/>
        <v>0</v>
      </c>
      <c r="AC183" s="33">
        <f t="shared" si="67"/>
        <v>0</v>
      </c>
      <c r="AD183" s="33">
        <f t="shared" si="67"/>
        <v>0</v>
      </c>
      <c r="AE183" s="34">
        <f t="shared" si="67"/>
        <v>0</v>
      </c>
      <c r="AF183" s="26">
        <f t="shared" si="65"/>
        <v>0</v>
      </c>
      <c r="AG183" s="103">
        <f t="shared" si="65"/>
        <v>0</v>
      </c>
    </row>
    <row r="184" spans="2:33" ht="12.75" x14ac:dyDescent="0.3">
      <c r="B184" s="27"/>
      <c r="C184" s="28"/>
      <c r="D184" s="28"/>
      <c r="E184" s="41">
        <v>4253800</v>
      </c>
      <c r="F184" s="55" t="s">
        <v>169</v>
      </c>
      <c r="G184" s="37"/>
      <c r="H184" s="37"/>
      <c r="I184" s="37"/>
      <c r="J184" s="37"/>
      <c r="K184" s="37"/>
      <c r="L184" s="38"/>
      <c r="M184" s="38"/>
      <c r="N184" s="39"/>
      <c r="O184" s="37"/>
      <c r="P184" s="39"/>
      <c r="Q184" s="39"/>
      <c r="R184" s="38"/>
      <c r="S184" s="40">
        <f t="shared" si="64"/>
        <v>0</v>
      </c>
      <c r="T184" s="37"/>
      <c r="U184" s="37"/>
      <c r="V184" s="37"/>
      <c r="W184" s="37"/>
      <c r="X184" s="37"/>
      <c r="Y184" s="38"/>
      <c r="Z184" s="38"/>
      <c r="AA184" s="39"/>
      <c r="AB184" s="37"/>
      <c r="AC184" s="39"/>
      <c r="AD184" s="39"/>
      <c r="AE184" s="38"/>
      <c r="AF184" s="40">
        <f t="shared" si="65"/>
        <v>0</v>
      </c>
      <c r="AG184" s="104">
        <f t="shared" si="65"/>
        <v>0</v>
      </c>
    </row>
    <row r="185" spans="2:33" ht="12.75" x14ac:dyDescent="0.3">
      <c r="B185" s="27"/>
      <c r="C185" s="28"/>
      <c r="D185" s="28"/>
      <c r="E185" s="41">
        <v>4253810</v>
      </c>
      <c r="F185" s="55" t="s">
        <v>170</v>
      </c>
      <c r="G185" s="37"/>
      <c r="H185" s="37"/>
      <c r="I185" s="37"/>
      <c r="J185" s="37"/>
      <c r="K185" s="37"/>
      <c r="L185" s="38"/>
      <c r="M185" s="38"/>
      <c r="N185" s="39"/>
      <c r="O185" s="37"/>
      <c r="P185" s="39"/>
      <c r="Q185" s="39"/>
      <c r="R185" s="38"/>
      <c r="S185" s="40">
        <f t="shared" si="64"/>
        <v>0</v>
      </c>
      <c r="T185" s="37"/>
      <c r="U185" s="37"/>
      <c r="V185" s="37"/>
      <c r="W185" s="37"/>
      <c r="X185" s="37"/>
      <c r="Y185" s="38"/>
      <c r="Z185" s="38"/>
      <c r="AA185" s="39"/>
      <c r="AB185" s="37"/>
      <c r="AC185" s="39"/>
      <c r="AD185" s="39"/>
      <c r="AE185" s="38"/>
      <c r="AF185" s="40">
        <f t="shared" si="65"/>
        <v>0</v>
      </c>
      <c r="AG185" s="104">
        <f t="shared" si="65"/>
        <v>0</v>
      </c>
    </row>
    <row r="186" spans="2:33" ht="12.75" x14ac:dyDescent="0.3">
      <c r="B186" s="27"/>
      <c r="C186" s="28"/>
      <c r="D186" s="28"/>
      <c r="E186" s="41">
        <v>4253820</v>
      </c>
      <c r="F186" s="55" t="s">
        <v>171</v>
      </c>
      <c r="G186" s="37"/>
      <c r="H186" s="37"/>
      <c r="I186" s="37"/>
      <c r="J186" s="37"/>
      <c r="K186" s="37"/>
      <c r="L186" s="38"/>
      <c r="M186" s="38"/>
      <c r="N186" s="39"/>
      <c r="O186" s="37"/>
      <c r="P186" s="39"/>
      <c r="Q186" s="39"/>
      <c r="R186" s="38"/>
      <c r="S186" s="40">
        <f t="shared" si="64"/>
        <v>0</v>
      </c>
      <c r="T186" s="37"/>
      <c r="U186" s="37"/>
      <c r="V186" s="37"/>
      <c r="W186" s="37"/>
      <c r="X186" s="37"/>
      <c r="Y186" s="38"/>
      <c r="Z186" s="38"/>
      <c r="AA186" s="39"/>
      <c r="AB186" s="37"/>
      <c r="AC186" s="39"/>
      <c r="AD186" s="39"/>
      <c r="AE186" s="38"/>
      <c r="AF186" s="40">
        <f t="shared" si="65"/>
        <v>0</v>
      </c>
      <c r="AG186" s="104">
        <f t="shared" si="65"/>
        <v>0</v>
      </c>
    </row>
    <row r="187" spans="2:33" ht="12.75" x14ac:dyDescent="0.3">
      <c r="B187" s="27"/>
      <c r="C187" s="28"/>
      <c r="D187" s="28"/>
      <c r="E187" s="41">
        <v>4253830</v>
      </c>
      <c r="F187" s="55" t="s">
        <v>172</v>
      </c>
      <c r="G187" s="37"/>
      <c r="H187" s="37"/>
      <c r="I187" s="37"/>
      <c r="J187" s="37"/>
      <c r="K187" s="37"/>
      <c r="L187" s="38"/>
      <c r="M187" s="38"/>
      <c r="N187" s="39"/>
      <c r="O187" s="37"/>
      <c r="P187" s="39"/>
      <c r="Q187" s="39"/>
      <c r="R187" s="38"/>
      <c r="S187" s="40">
        <f t="shared" si="64"/>
        <v>0</v>
      </c>
      <c r="T187" s="37"/>
      <c r="U187" s="37"/>
      <c r="V187" s="37"/>
      <c r="W187" s="37"/>
      <c r="X187" s="37"/>
      <c r="Y187" s="38"/>
      <c r="Z187" s="38"/>
      <c r="AA187" s="39"/>
      <c r="AB187" s="37"/>
      <c r="AC187" s="39"/>
      <c r="AD187" s="39"/>
      <c r="AE187" s="38"/>
      <c r="AF187" s="40">
        <f t="shared" si="65"/>
        <v>0</v>
      </c>
      <c r="AG187" s="104">
        <f t="shared" si="65"/>
        <v>0</v>
      </c>
    </row>
    <row r="188" spans="2:33" ht="12.75" x14ac:dyDescent="0.3">
      <c r="B188" s="27"/>
      <c r="C188" s="28"/>
      <c r="D188" s="28"/>
      <c r="E188" s="41">
        <v>4253840</v>
      </c>
      <c r="F188" s="55" t="s">
        <v>173</v>
      </c>
      <c r="G188" s="37"/>
      <c r="H188" s="37"/>
      <c r="I188" s="37"/>
      <c r="J188" s="37"/>
      <c r="K188" s="37"/>
      <c r="L188" s="38"/>
      <c r="M188" s="38"/>
      <c r="N188" s="39"/>
      <c r="O188" s="37"/>
      <c r="P188" s="39"/>
      <c r="Q188" s="39"/>
      <c r="R188" s="38"/>
      <c r="S188" s="40">
        <f t="shared" si="64"/>
        <v>0</v>
      </c>
      <c r="T188" s="37"/>
      <c r="U188" s="37"/>
      <c r="V188" s="37"/>
      <c r="W188" s="37"/>
      <c r="X188" s="37"/>
      <c r="Y188" s="38"/>
      <c r="Z188" s="38"/>
      <c r="AA188" s="39"/>
      <c r="AB188" s="37"/>
      <c r="AC188" s="39"/>
      <c r="AD188" s="39"/>
      <c r="AE188" s="38"/>
      <c r="AF188" s="40">
        <f t="shared" si="65"/>
        <v>0</v>
      </c>
      <c r="AG188" s="104">
        <f t="shared" si="65"/>
        <v>0</v>
      </c>
    </row>
    <row r="189" spans="2:33" ht="12.75" x14ac:dyDescent="0.3">
      <c r="B189" s="27"/>
      <c r="C189" s="28"/>
      <c r="D189" s="28"/>
      <c r="E189" s="41">
        <v>4253850</v>
      </c>
      <c r="F189" s="55" t="s">
        <v>174</v>
      </c>
      <c r="G189" s="37"/>
      <c r="H189" s="37"/>
      <c r="I189" s="37"/>
      <c r="J189" s="37"/>
      <c r="K189" s="37"/>
      <c r="L189" s="38"/>
      <c r="M189" s="38"/>
      <c r="N189" s="39"/>
      <c r="O189" s="37"/>
      <c r="P189" s="39"/>
      <c r="Q189" s="39"/>
      <c r="R189" s="38"/>
      <c r="S189" s="40">
        <f t="shared" si="64"/>
        <v>0</v>
      </c>
      <c r="T189" s="37"/>
      <c r="U189" s="37"/>
      <c r="V189" s="37"/>
      <c r="W189" s="37"/>
      <c r="X189" s="37"/>
      <c r="Y189" s="38"/>
      <c r="Z189" s="38"/>
      <c r="AA189" s="39"/>
      <c r="AB189" s="37"/>
      <c r="AC189" s="39"/>
      <c r="AD189" s="39"/>
      <c r="AE189" s="38"/>
      <c r="AF189" s="40">
        <f t="shared" si="65"/>
        <v>0</v>
      </c>
      <c r="AG189" s="104">
        <f t="shared" si="65"/>
        <v>0</v>
      </c>
    </row>
    <row r="190" spans="2:33" ht="12.75" x14ac:dyDescent="0.3">
      <c r="B190" s="27"/>
      <c r="C190" s="28"/>
      <c r="D190" s="28"/>
      <c r="E190" s="41">
        <v>4253860</v>
      </c>
      <c r="F190" s="55" t="s">
        <v>175</v>
      </c>
      <c r="G190" s="37"/>
      <c r="H190" s="37"/>
      <c r="I190" s="37"/>
      <c r="J190" s="37"/>
      <c r="K190" s="37"/>
      <c r="L190" s="38"/>
      <c r="M190" s="38"/>
      <c r="N190" s="39"/>
      <c r="O190" s="37"/>
      <c r="P190" s="39"/>
      <c r="Q190" s="39"/>
      <c r="R190" s="38"/>
      <c r="S190" s="40">
        <f t="shared" si="64"/>
        <v>0</v>
      </c>
      <c r="T190" s="37"/>
      <c r="U190" s="37"/>
      <c r="V190" s="37"/>
      <c r="W190" s="37"/>
      <c r="X190" s="37"/>
      <c r="Y190" s="38"/>
      <c r="Z190" s="38"/>
      <c r="AA190" s="39"/>
      <c r="AB190" s="37"/>
      <c r="AC190" s="39"/>
      <c r="AD190" s="39"/>
      <c r="AE190" s="38"/>
      <c r="AF190" s="40">
        <f t="shared" si="65"/>
        <v>0</v>
      </c>
      <c r="AG190" s="104">
        <f t="shared" si="65"/>
        <v>0</v>
      </c>
    </row>
    <row r="191" spans="2:33" ht="12.75" x14ac:dyDescent="0.3">
      <c r="B191" s="27"/>
      <c r="C191" s="28"/>
      <c r="D191" s="28"/>
      <c r="E191" s="41">
        <v>4253870</v>
      </c>
      <c r="F191" s="55" t="s">
        <v>176</v>
      </c>
      <c r="G191" s="37"/>
      <c r="H191" s="37"/>
      <c r="I191" s="37"/>
      <c r="J191" s="37"/>
      <c r="K191" s="37"/>
      <c r="L191" s="38"/>
      <c r="M191" s="38"/>
      <c r="N191" s="39"/>
      <c r="O191" s="37"/>
      <c r="P191" s="39"/>
      <c r="Q191" s="39"/>
      <c r="R191" s="38"/>
      <c r="S191" s="40">
        <f t="shared" si="64"/>
        <v>0</v>
      </c>
      <c r="T191" s="37"/>
      <c r="U191" s="37"/>
      <c r="V191" s="37"/>
      <c r="W191" s="37"/>
      <c r="X191" s="37"/>
      <c r="Y191" s="38"/>
      <c r="Z191" s="38"/>
      <c r="AA191" s="39"/>
      <c r="AB191" s="37"/>
      <c r="AC191" s="39"/>
      <c r="AD191" s="39"/>
      <c r="AE191" s="38"/>
      <c r="AF191" s="40">
        <f t="shared" si="65"/>
        <v>0</v>
      </c>
      <c r="AG191" s="104">
        <f t="shared" si="65"/>
        <v>0</v>
      </c>
    </row>
    <row r="192" spans="2:33" ht="12.75" x14ac:dyDescent="0.3">
      <c r="B192" s="27"/>
      <c r="C192" s="28"/>
      <c r="D192" s="28"/>
      <c r="E192" s="41">
        <v>4253880</v>
      </c>
      <c r="F192" s="55" t="s">
        <v>177</v>
      </c>
      <c r="G192" s="37"/>
      <c r="H192" s="37"/>
      <c r="I192" s="37"/>
      <c r="J192" s="37"/>
      <c r="K192" s="37"/>
      <c r="L192" s="38"/>
      <c r="M192" s="38"/>
      <c r="N192" s="39"/>
      <c r="O192" s="37"/>
      <c r="P192" s="39"/>
      <c r="Q192" s="39"/>
      <c r="R192" s="38"/>
      <c r="S192" s="40">
        <f t="shared" si="64"/>
        <v>0</v>
      </c>
      <c r="T192" s="37"/>
      <c r="U192" s="37"/>
      <c r="V192" s="37"/>
      <c r="W192" s="37"/>
      <c r="X192" s="37"/>
      <c r="Y192" s="38"/>
      <c r="Z192" s="38"/>
      <c r="AA192" s="39"/>
      <c r="AB192" s="37"/>
      <c r="AC192" s="39"/>
      <c r="AD192" s="39"/>
      <c r="AE192" s="38"/>
      <c r="AF192" s="40">
        <f t="shared" si="65"/>
        <v>0</v>
      </c>
      <c r="AG192" s="104">
        <f t="shared" si="65"/>
        <v>0</v>
      </c>
    </row>
    <row r="193" spans="2:33" ht="12.75" x14ac:dyDescent="0.3">
      <c r="B193" s="27"/>
      <c r="C193" s="28"/>
      <c r="D193" s="28"/>
      <c r="E193" s="41">
        <v>4253890</v>
      </c>
      <c r="F193" s="55" t="s">
        <v>178</v>
      </c>
      <c r="G193" s="37"/>
      <c r="H193" s="37"/>
      <c r="I193" s="37"/>
      <c r="J193" s="37"/>
      <c r="K193" s="37"/>
      <c r="L193" s="38"/>
      <c r="M193" s="38"/>
      <c r="N193" s="39"/>
      <c r="O193" s="37"/>
      <c r="P193" s="39"/>
      <c r="Q193" s="39"/>
      <c r="R193" s="38"/>
      <c r="S193" s="40">
        <f t="shared" si="64"/>
        <v>0</v>
      </c>
      <c r="T193" s="37"/>
      <c r="U193" s="37"/>
      <c r="V193" s="37"/>
      <c r="W193" s="37"/>
      <c r="X193" s="37"/>
      <c r="Y193" s="38"/>
      <c r="Z193" s="38"/>
      <c r="AA193" s="39"/>
      <c r="AB193" s="37"/>
      <c r="AC193" s="39"/>
      <c r="AD193" s="39"/>
      <c r="AE193" s="38"/>
      <c r="AF193" s="40">
        <f t="shared" si="65"/>
        <v>0</v>
      </c>
      <c r="AG193" s="104">
        <f t="shared" si="65"/>
        <v>0</v>
      </c>
    </row>
    <row r="194" spans="2:33" ht="12.75" x14ac:dyDescent="0.3">
      <c r="B194" s="27"/>
      <c r="C194" s="28"/>
      <c r="D194" s="28"/>
      <c r="E194" s="41">
        <v>4253900</v>
      </c>
      <c r="F194" s="55" t="s">
        <v>179</v>
      </c>
      <c r="G194" s="37"/>
      <c r="H194" s="37"/>
      <c r="I194" s="37"/>
      <c r="J194" s="37"/>
      <c r="K194" s="37"/>
      <c r="L194" s="38"/>
      <c r="M194" s="38"/>
      <c r="N194" s="39"/>
      <c r="O194" s="37"/>
      <c r="P194" s="39"/>
      <c r="Q194" s="39"/>
      <c r="R194" s="38"/>
      <c r="S194" s="40">
        <f t="shared" si="64"/>
        <v>0</v>
      </c>
      <c r="T194" s="37"/>
      <c r="U194" s="37"/>
      <c r="V194" s="37"/>
      <c r="W194" s="37"/>
      <c r="X194" s="37"/>
      <c r="Y194" s="38"/>
      <c r="Z194" s="38"/>
      <c r="AA194" s="39"/>
      <c r="AB194" s="37"/>
      <c r="AC194" s="39"/>
      <c r="AD194" s="39"/>
      <c r="AE194" s="38"/>
      <c r="AF194" s="40">
        <f t="shared" si="65"/>
        <v>0</v>
      </c>
      <c r="AG194" s="104">
        <f t="shared" si="65"/>
        <v>0</v>
      </c>
    </row>
    <row r="195" spans="2:33" ht="12.75" x14ac:dyDescent="0.3">
      <c r="B195" s="27"/>
      <c r="C195" s="28"/>
      <c r="D195" s="28"/>
      <c r="E195" s="41">
        <v>4253920</v>
      </c>
      <c r="F195" s="55" t="s">
        <v>180</v>
      </c>
      <c r="G195" s="37"/>
      <c r="H195" s="37"/>
      <c r="I195" s="37"/>
      <c r="J195" s="37"/>
      <c r="K195" s="37"/>
      <c r="L195" s="38"/>
      <c r="M195" s="38"/>
      <c r="N195" s="39"/>
      <c r="O195" s="37"/>
      <c r="P195" s="39"/>
      <c r="Q195" s="39"/>
      <c r="R195" s="38"/>
      <c r="S195" s="40">
        <f t="shared" si="64"/>
        <v>0</v>
      </c>
      <c r="T195" s="37"/>
      <c r="U195" s="37"/>
      <c r="V195" s="37"/>
      <c r="W195" s="37"/>
      <c r="X195" s="37"/>
      <c r="Y195" s="38"/>
      <c r="Z195" s="38"/>
      <c r="AA195" s="39"/>
      <c r="AB195" s="37"/>
      <c r="AC195" s="39"/>
      <c r="AD195" s="39"/>
      <c r="AE195" s="38"/>
      <c r="AF195" s="40">
        <f t="shared" si="65"/>
        <v>0</v>
      </c>
      <c r="AG195" s="104">
        <f t="shared" si="65"/>
        <v>0</v>
      </c>
    </row>
    <row r="196" spans="2:33" ht="12.75" x14ac:dyDescent="0.3">
      <c r="B196" s="27"/>
      <c r="C196" s="28"/>
      <c r="D196" s="28"/>
      <c r="E196" s="41">
        <v>4253930</v>
      </c>
      <c r="F196" s="55" t="s">
        <v>181</v>
      </c>
      <c r="G196" s="37"/>
      <c r="H196" s="37"/>
      <c r="I196" s="37"/>
      <c r="J196" s="37"/>
      <c r="K196" s="37"/>
      <c r="L196" s="38"/>
      <c r="M196" s="38"/>
      <c r="N196" s="39"/>
      <c r="O196" s="37"/>
      <c r="P196" s="39"/>
      <c r="Q196" s="39"/>
      <c r="R196" s="38"/>
      <c r="S196" s="40">
        <f t="shared" si="64"/>
        <v>0</v>
      </c>
      <c r="T196" s="37"/>
      <c r="U196" s="37"/>
      <c r="V196" s="37"/>
      <c r="W196" s="37"/>
      <c r="X196" s="37"/>
      <c r="Y196" s="38"/>
      <c r="Z196" s="38"/>
      <c r="AA196" s="39"/>
      <c r="AB196" s="37"/>
      <c r="AC196" s="39"/>
      <c r="AD196" s="39"/>
      <c r="AE196" s="38"/>
      <c r="AF196" s="40">
        <f t="shared" si="65"/>
        <v>0</v>
      </c>
      <c r="AG196" s="104">
        <f t="shared" si="65"/>
        <v>0</v>
      </c>
    </row>
    <row r="197" spans="2:33" ht="12.75" x14ac:dyDescent="0.3">
      <c r="B197" s="27"/>
      <c r="C197" s="28"/>
      <c r="D197" s="28"/>
      <c r="E197" s="41">
        <v>4253940</v>
      </c>
      <c r="F197" s="55" t="s">
        <v>182</v>
      </c>
      <c r="G197" s="37"/>
      <c r="H197" s="37"/>
      <c r="I197" s="37"/>
      <c r="J197" s="37"/>
      <c r="K197" s="37"/>
      <c r="L197" s="38"/>
      <c r="M197" s="38"/>
      <c r="N197" s="39"/>
      <c r="O197" s="37"/>
      <c r="P197" s="39"/>
      <c r="Q197" s="39"/>
      <c r="R197" s="38"/>
      <c r="S197" s="40">
        <f t="shared" si="64"/>
        <v>0</v>
      </c>
      <c r="T197" s="37"/>
      <c r="U197" s="37"/>
      <c r="V197" s="37"/>
      <c r="W197" s="37"/>
      <c r="X197" s="37"/>
      <c r="Y197" s="38"/>
      <c r="Z197" s="38"/>
      <c r="AA197" s="39"/>
      <c r="AB197" s="37"/>
      <c r="AC197" s="39"/>
      <c r="AD197" s="39"/>
      <c r="AE197" s="38"/>
      <c r="AF197" s="40">
        <f t="shared" si="65"/>
        <v>0</v>
      </c>
      <c r="AG197" s="104">
        <f t="shared" si="65"/>
        <v>0</v>
      </c>
    </row>
    <row r="198" spans="2:33" ht="12.75" x14ac:dyDescent="0.3">
      <c r="B198" s="27"/>
      <c r="C198" s="28"/>
      <c r="D198" s="28"/>
      <c r="E198" s="41">
        <v>4253990</v>
      </c>
      <c r="F198" s="55" t="s">
        <v>183</v>
      </c>
      <c r="G198" s="37"/>
      <c r="H198" s="37"/>
      <c r="I198" s="37"/>
      <c r="J198" s="37"/>
      <c r="K198" s="37"/>
      <c r="L198" s="38"/>
      <c r="M198" s="38"/>
      <c r="N198" s="39"/>
      <c r="O198" s="37"/>
      <c r="P198" s="39"/>
      <c r="Q198" s="39"/>
      <c r="R198" s="38"/>
      <c r="S198" s="40">
        <f t="shared" si="64"/>
        <v>0</v>
      </c>
      <c r="T198" s="37"/>
      <c r="U198" s="37"/>
      <c r="V198" s="37"/>
      <c r="W198" s="37"/>
      <c r="X198" s="37"/>
      <c r="Y198" s="38"/>
      <c r="Z198" s="38"/>
      <c r="AA198" s="39"/>
      <c r="AB198" s="37"/>
      <c r="AC198" s="39"/>
      <c r="AD198" s="39"/>
      <c r="AE198" s="38"/>
      <c r="AF198" s="40">
        <f t="shared" si="65"/>
        <v>0</v>
      </c>
      <c r="AG198" s="104">
        <f t="shared" si="65"/>
        <v>0</v>
      </c>
    </row>
    <row r="199" spans="2:33" ht="12.75" x14ac:dyDescent="0.3">
      <c r="B199" s="27"/>
      <c r="C199" s="28"/>
      <c r="D199" s="28"/>
      <c r="E199" s="41">
        <v>4254000</v>
      </c>
      <c r="F199" s="55" t="s">
        <v>184</v>
      </c>
      <c r="G199" s="37"/>
      <c r="H199" s="37"/>
      <c r="I199" s="37"/>
      <c r="J199" s="37"/>
      <c r="K199" s="37"/>
      <c r="L199" s="38"/>
      <c r="M199" s="38"/>
      <c r="N199" s="39"/>
      <c r="O199" s="37"/>
      <c r="P199" s="39"/>
      <c r="Q199" s="39"/>
      <c r="R199" s="38"/>
      <c r="S199" s="40">
        <f t="shared" si="64"/>
        <v>0</v>
      </c>
      <c r="T199" s="37"/>
      <c r="U199" s="37"/>
      <c r="V199" s="37"/>
      <c r="W199" s="37"/>
      <c r="X199" s="37"/>
      <c r="Y199" s="38"/>
      <c r="Z199" s="38"/>
      <c r="AA199" s="39"/>
      <c r="AB199" s="37"/>
      <c r="AC199" s="39"/>
      <c r="AD199" s="39"/>
      <c r="AE199" s="38"/>
      <c r="AF199" s="40">
        <f t="shared" si="65"/>
        <v>0</v>
      </c>
      <c r="AG199" s="104">
        <f t="shared" si="65"/>
        <v>0</v>
      </c>
    </row>
    <row r="200" spans="2:33" ht="12.75" x14ac:dyDescent="0.3">
      <c r="B200" s="27"/>
      <c r="C200" s="28"/>
      <c r="D200" s="28"/>
      <c r="E200" s="41">
        <v>4254040</v>
      </c>
      <c r="F200" s="55" t="s">
        <v>185</v>
      </c>
      <c r="G200" s="37"/>
      <c r="H200" s="37"/>
      <c r="I200" s="37"/>
      <c r="J200" s="37"/>
      <c r="K200" s="37"/>
      <c r="L200" s="38"/>
      <c r="M200" s="38"/>
      <c r="N200" s="39"/>
      <c r="O200" s="37"/>
      <c r="P200" s="39"/>
      <c r="Q200" s="39"/>
      <c r="R200" s="38"/>
      <c r="S200" s="40">
        <f t="shared" si="64"/>
        <v>0</v>
      </c>
      <c r="T200" s="37"/>
      <c r="U200" s="37"/>
      <c r="V200" s="37"/>
      <c r="W200" s="37"/>
      <c r="X200" s="37"/>
      <c r="Y200" s="38"/>
      <c r="Z200" s="38"/>
      <c r="AA200" s="39"/>
      <c r="AB200" s="37"/>
      <c r="AC200" s="39"/>
      <c r="AD200" s="39"/>
      <c r="AE200" s="38"/>
      <c r="AF200" s="40">
        <f t="shared" si="65"/>
        <v>0</v>
      </c>
      <c r="AG200" s="104">
        <f t="shared" si="65"/>
        <v>0</v>
      </c>
    </row>
    <row r="201" spans="2:33" ht="12.75" x14ac:dyDescent="0.3">
      <c r="B201" s="27"/>
      <c r="C201" s="28"/>
      <c r="D201" s="28"/>
      <c r="E201" s="41">
        <v>4254070</v>
      </c>
      <c r="F201" s="55" t="s">
        <v>186</v>
      </c>
      <c r="G201" s="37"/>
      <c r="H201" s="37"/>
      <c r="I201" s="37"/>
      <c r="J201" s="37"/>
      <c r="K201" s="37"/>
      <c r="L201" s="38"/>
      <c r="M201" s="38"/>
      <c r="N201" s="39"/>
      <c r="O201" s="37"/>
      <c r="P201" s="39"/>
      <c r="Q201" s="39"/>
      <c r="R201" s="38"/>
      <c r="S201" s="40">
        <f t="shared" si="64"/>
        <v>0</v>
      </c>
      <c r="T201" s="37"/>
      <c r="U201" s="37"/>
      <c r="V201" s="37"/>
      <c r="W201" s="37"/>
      <c r="X201" s="37"/>
      <c r="Y201" s="38"/>
      <c r="Z201" s="38"/>
      <c r="AA201" s="39"/>
      <c r="AB201" s="37"/>
      <c r="AC201" s="39"/>
      <c r="AD201" s="39"/>
      <c r="AE201" s="38"/>
      <c r="AF201" s="40">
        <f t="shared" si="65"/>
        <v>0</v>
      </c>
      <c r="AG201" s="104">
        <f t="shared" si="65"/>
        <v>0</v>
      </c>
    </row>
    <row r="202" spans="2:33" ht="12.75" x14ac:dyDescent="0.3">
      <c r="B202" s="27"/>
      <c r="C202" s="28"/>
      <c r="D202" s="28"/>
      <c r="E202" s="41">
        <v>4254080</v>
      </c>
      <c r="F202" s="55" t="s">
        <v>187</v>
      </c>
      <c r="G202" s="37"/>
      <c r="H202" s="37"/>
      <c r="I202" s="37"/>
      <c r="J202" s="37"/>
      <c r="K202" s="37"/>
      <c r="L202" s="38"/>
      <c r="M202" s="38"/>
      <c r="N202" s="39"/>
      <c r="O202" s="37"/>
      <c r="P202" s="39"/>
      <c r="Q202" s="39"/>
      <c r="R202" s="38"/>
      <c r="S202" s="40">
        <f t="shared" si="64"/>
        <v>0</v>
      </c>
      <c r="T202" s="37"/>
      <c r="U202" s="37"/>
      <c r="V202" s="37"/>
      <c r="W202" s="37"/>
      <c r="X202" s="37"/>
      <c r="Y202" s="38"/>
      <c r="Z202" s="38"/>
      <c r="AA202" s="39"/>
      <c r="AB202" s="37"/>
      <c r="AC202" s="39"/>
      <c r="AD202" s="39"/>
      <c r="AE202" s="38"/>
      <c r="AF202" s="40">
        <f t="shared" si="65"/>
        <v>0</v>
      </c>
      <c r="AG202" s="104">
        <f t="shared" si="65"/>
        <v>0</v>
      </c>
    </row>
    <row r="203" spans="2:33" ht="12.75" x14ac:dyDescent="0.3">
      <c r="B203" s="27"/>
      <c r="C203" s="28"/>
      <c r="D203" s="28"/>
      <c r="E203" s="41">
        <v>4254090</v>
      </c>
      <c r="F203" s="55" t="s">
        <v>188</v>
      </c>
      <c r="G203" s="37"/>
      <c r="H203" s="37"/>
      <c r="I203" s="37"/>
      <c r="J203" s="37"/>
      <c r="K203" s="37"/>
      <c r="L203" s="38"/>
      <c r="M203" s="38"/>
      <c r="N203" s="39"/>
      <c r="O203" s="37"/>
      <c r="P203" s="39"/>
      <c r="Q203" s="39"/>
      <c r="R203" s="38"/>
      <c r="S203" s="40">
        <f t="shared" si="64"/>
        <v>0</v>
      </c>
      <c r="T203" s="37"/>
      <c r="U203" s="37"/>
      <c r="V203" s="37"/>
      <c r="W203" s="37"/>
      <c r="X203" s="37"/>
      <c r="Y203" s="38"/>
      <c r="Z203" s="38"/>
      <c r="AA203" s="39"/>
      <c r="AB203" s="37"/>
      <c r="AC203" s="39"/>
      <c r="AD203" s="39"/>
      <c r="AE203" s="38"/>
      <c r="AF203" s="40">
        <f t="shared" si="65"/>
        <v>0</v>
      </c>
      <c r="AG203" s="104">
        <f t="shared" si="65"/>
        <v>0</v>
      </c>
    </row>
    <row r="204" spans="2:33" ht="12.75" x14ac:dyDescent="0.3">
      <c r="B204" s="27"/>
      <c r="C204" s="28"/>
      <c r="D204" s="28"/>
      <c r="E204" s="41">
        <v>4254810</v>
      </c>
      <c r="F204" s="55" t="s">
        <v>189</v>
      </c>
      <c r="G204" s="37"/>
      <c r="H204" s="37"/>
      <c r="I204" s="37"/>
      <c r="J204" s="37"/>
      <c r="K204" s="37"/>
      <c r="L204" s="38"/>
      <c r="M204" s="38"/>
      <c r="N204" s="39"/>
      <c r="O204" s="37"/>
      <c r="P204" s="39"/>
      <c r="Q204" s="39"/>
      <c r="R204" s="38"/>
      <c r="S204" s="40">
        <f t="shared" si="64"/>
        <v>0</v>
      </c>
      <c r="T204" s="37"/>
      <c r="U204" s="37"/>
      <c r="V204" s="37"/>
      <c r="W204" s="37"/>
      <c r="X204" s="37"/>
      <c r="Y204" s="38"/>
      <c r="Z204" s="38"/>
      <c r="AA204" s="39"/>
      <c r="AB204" s="37"/>
      <c r="AC204" s="39"/>
      <c r="AD204" s="39"/>
      <c r="AE204" s="38"/>
      <c r="AF204" s="40">
        <f t="shared" si="65"/>
        <v>0</v>
      </c>
      <c r="AG204" s="104">
        <f t="shared" si="65"/>
        <v>0</v>
      </c>
    </row>
    <row r="205" spans="2:33" ht="12.75" x14ac:dyDescent="0.3">
      <c r="B205" s="27"/>
      <c r="C205" s="28"/>
      <c r="D205" s="28"/>
      <c r="E205" s="41">
        <v>4261500</v>
      </c>
      <c r="F205" s="55" t="s">
        <v>190</v>
      </c>
      <c r="G205" s="37"/>
      <c r="H205" s="37"/>
      <c r="I205" s="37"/>
      <c r="J205" s="37"/>
      <c r="K205" s="37"/>
      <c r="L205" s="38"/>
      <c r="M205" s="38"/>
      <c r="N205" s="39"/>
      <c r="O205" s="37"/>
      <c r="P205" s="39"/>
      <c r="Q205" s="39"/>
      <c r="R205" s="38"/>
      <c r="S205" s="40">
        <f t="shared" si="64"/>
        <v>0</v>
      </c>
      <c r="T205" s="37"/>
      <c r="U205" s="37"/>
      <c r="V205" s="37"/>
      <c r="W205" s="37"/>
      <c r="X205" s="37"/>
      <c r="Y205" s="38"/>
      <c r="Z205" s="38"/>
      <c r="AA205" s="39"/>
      <c r="AB205" s="37"/>
      <c r="AC205" s="39"/>
      <c r="AD205" s="39"/>
      <c r="AE205" s="38"/>
      <c r="AF205" s="40">
        <f t="shared" si="65"/>
        <v>0</v>
      </c>
      <c r="AG205" s="104">
        <f t="shared" si="65"/>
        <v>0</v>
      </c>
    </row>
    <row r="206" spans="2:33" ht="12.75" x14ac:dyDescent="0.3">
      <c r="B206" s="27"/>
      <c r="C206" s="28"/>
      <c r="D206" s="29" t="s">
        <v>191</v>
      </c>
      <c r="E206" s="42"/>
      <c r="F206" s="31"/>
      <c r="G206" s="32">
        <v>0</v>
      </c>
      <c r="H206" s="33">
        <v>0</v>
      </c>
      <c r="I206" s="33">
        <v>0</v>
      </c>
      <c r="J206" s="33">
        <v>0</v>
      </c>
      <c r="K206" s="33">
        <v>0</v>
      </c>
      <c r="L206" s="34">
        <v>0</v>
      </c>
      <c r="M206" s="34">
        <v>0</v>
      </c>
      <c r="N206" s="33">
        <v>0</v>
      </c>
      <c r="O206" s="32">
        <v>0</v>
      </c>
      <c r="P206" s="33">
        <f t="shared" ref="P206:R206" si="68">SUM(P207:P209)</f>
        <v>0</v>
      </c>
      <c r="Q206" s="33">
        <f t="shared" si="68"/>
        <v>0</v>
      </c>
      <c r="R206" s="34">
        <f t="shared" si="68"/>
        <v>0</v>
      </c>
      <c r="S206" s="26">
        <f t="shared" si="64"/>
        <v>0</v>
      </c>
      <c r="T206" s="32">
        <f t="shared" ref="T206:AE206" si="69">SUM(T207:T209)</f>
        <v>0</v>
      </c>
      <c r="U206" s="33">
        <f t="shared" si="69"/>
        <v>0</v>
      </c>
      <c r="V206" s="33">
        <f t="shared" si="69"/>
        <v>0</v>
      </c>
      <c r="W206" s="33">
        <f t="shared" si="69"/>
        <v>0</v>
      </c>
      <c r="X206" s="33">
        <f t="shared" si="69"/>
        <v>0</v>
      </c>
      <c r="Y206" s="34">
        <f t="shared" si="69"/>
        <v>0</v>
      </c>
      <c r="Z206" s="34">
        <f t="shared" si="69"/>
        <v>0</v>
      </c>
      <c r="AA206" s="33">
        <f t="shared" si="69"/>
        <v>0</v>
      </c>
      <c r="AB206" s="32">
        <f t="shared" si="69"/>
        <v>0</v>
      </c>
      <c r="AC206" s="33">
        <f t="shared" si="69"/>
        <v>0</v>
      </c>
      <c r="AD206" s="33">
        <f t="shared" si="69"/>
        <v>0</v>
      </c>
      <c r="AE206" s="34">
        <f t="shared" si="69"/>
        <v>0</v>
      </c>
      <c r="AF206" s="26">
        <f t="shared" si="65"/>
        <v>0</v>
      </c>
      <c r="AG206" s="103">
        <f t="shared" si="65"/>
        <v>0</v>
      </c>
    </row>
    <row r="207" spans="2:33" ht="12.75" x14ac:dyDescent="0.3">
      <c r="B207" s="27"/>
      <c r="C207" s="28"/>
      <c r="D207" s="28"/>
      <c r="E207" s="41">
        <v>4254500</v>
      </c>
      <c r="F207" s="55" t="s">
        <v>192</v>
      </c>
      <c r="G207" s="37"/>
      <c r="H207" s="37"/>
      <c r="I207" s="37"/>
      <c r="J207" s="37"/>
      <c r="K207" s="37"/>
      <c r="L207" s="38"/>
      <c r="M207" s="38"/>
      <c r="N207" s="39"/>
      <c r="O207" s="37"/>
      <c r="P207" s="39"/>
      <c r="Q207" s="39"/>
      <c r="R207" s="38"/>
      <c r="S207" s="40">
        <f t="shared" si="64"/>
        <v>0</v>
      </c>
      <c r="T207" s="37"/>
      <c r="U207" s="37"/>
      <c r="V207" s="37"/>
      <c r="W207" s="37"/>
      <c r="X207" s="37"/>
      <c r="Y207" s="38"/>
      <c r="Z207" s="38"/>
      <c r="AA207" s="39"/>
      <c r="AB207" s="37"/>
      <c r="AC207" s="39"/>
      <c r="AD207" s="39"/>
      <c r="AE207" s="38"/>
      <c r="AF207" s="40">
        <f t="shared" si="65"/>
        <v>0</v>
      </c>
      <c r="AG207" s="104">
        <f t="shared" si="65"/>
        <v>0</v>
      </c>
    </row>
    <row r="208" spans="2:33" ht="12.75" x14ac:dyDescent="0.3">
      <c r="B208" s="27"/>
      <c r="C208" s="28"/>
      <c r="D208" s="28"/>
      <c r="E208" s="41">
        <v>4254520</v>
      </c>
      <c r="F208" s="55" t="s">
        <v>193</v>
      </c>
      <c r="G208" s="37"/>
      <c r="H208" s="37"/>
      <c r="I208" s="37"/>
      <c r="J208" s="37"/>
      <c r="K208" s="37"/>
      <c r="L208" s="38"/>
      <c r="M208" s="38"/>
      <c r="N208" s="39"/>
      <c r="O208" s="37"/>
      <c r="P208" s="39"/>
      <c r="Q208" s="39"/>
      <c r="R208" s="38"/>
      <c r="S208" s="40">
        <f t="shared" si="64"/>
        <v>0</v>
      </c>
      <c r="T208" s="37"/>
      <c r="U208" s="37"/>
      <c r="V208" s="37"/>
      <c r="W208" s="37"/>
      <c r="X208" s="37"/>
      <c r="Y208" s="38"/>
      <c r="Z208" s="38"/>
      <c r="AA208" s="39"/>
      <c r="AB208" s="37"/>
      <c r="AC208" s="39"/>
      <c r="AD208" s="39"/>
      <c r="AE208" s="38"/>
      <c r="AF208" s="40">
        <f t="shared" si="65"/>
        <v>0</v>
      </c>
      <c r="AG208" s="104">
        <f t="shared" si="65"/>
        <v>0</v>
      </c>
    </row>
    <row r="209" spans="2:33" ht="12.75" x14ac:dyDescent="0.3">
      <c r="B209" s="27"/>
      <c r="C209" s="28"/>
      <c r="D209" s="28"/>
      <c r="E209" s="41">
        <v>4254510</v>
      </c>
      <c r="F209" s="55" t="s">
        <v>194</v>
      </c>
      <c r="G209" s="37"/>
      <c r="H209" s="37"/>
      <c r="I209" s="37"/>
      <c r="J209" s="37"/>
      <c r="K209" s="37"/>
      <c r="L209" s="38"/>
      <c r="M209" s="38"/>
      <c r="N209" s="39"/>
      <c r="O209" s="37"/>
      <c r="P209" s="39"/>
      <c r="Q209" s="39"/>
      <c r="R209" s="38"/>
      <c r="S209" s="40">
        <f t="shared" si="64"/>
        <v>0</v>
      </c>
      <c r="T209" s="37"/>
      <c r="U209" s="37"/>
      <c r="V209" s="37"/>
      <c r="W209" s="37"/>
      <c r="X209" s="37"/>
      <c r="Y209" s="38"/>
      <c r="Z209" s="38"/>
      <c r="AA209" s="39"/>
      <c r="AB209" s="37"/>
      <c r="AC209" s="39"/>
      <c r="AD209" s="39"/>
      <c r="AE209" s="38"/>
      <c r="AF209" s="40">
        <f t="shared" si="65"/>
        <v>0</v>
      </c>
      <c r="AG209" s="104">
        <f t="shared" si="65"/>
        <v>0</v>
      </c>
    </row>
    <row r="210" spans="2:33" ht="12.75" x14ac:dyDescent="0.3">
      <c r="B210" s="27"/>
      <c r="C210" s="28"/>
      <c r="D210" s="29" t="s">
        <v>195</v>
      </c>
      <c r="E210" s="42"/>
      <c r="F210" s="31"/>
      <c r="G210" s="32">
        <v>0</v>
      </c>
      <c r="H210" s="33">
        <v>0</v>
      </c>
      <c r="I210" s="33">
        <v>0</v>
      </c>
      <c r="J210" s="33">
        <v>0</v>
      </c>
      <c r="K210" s="33">
        <v>0</v>
      </c>
      <c r="L210" s="34">
        <v>0</v>
      </c>
      <c r="M210" s="34">
        <v>0</v>
      </c>
      <c r="N210" s="33">
        <v>0</v>
      </c>
      <c r="O210" s="32">
        <v>0</v>
      </c>
      <c r="P210" s="33">
        <f t="shared" ref="P210:R210" si="70">SUM(P211:P214)</f>
        <v>0</v>
      </c>
      <c r="Q210" s="33">
        <f t="shared" si="70"/>
        <v>0</v>
      </c>
      <c r="R210" s="34">
        <f t="shared" si="70"/>
        <v>0</v>
      </c>
      <c r="S210" s="26">
        <f t="shared" si="64"/>
        <v>0</v>
      </c>
      <c r="T210" s="32">
        <f t="shared" ref="T210:AE210" si="71">SUM(T211:T214)</f>
        <v>0</v>
      </c>
      <c r="U210" s="33">
        <f t="shared" si="71"/>
        <v>0</v>
      </c>
      <c r="V210" s="33">
        <f t="shared" si="71"/>
        <v>0</v>
      </c>
      <c r="W210" s="33">
        <f t="shared" si="71"/>
        <v>0</v>
      </c>
      <c r="X210" s="33">
        <f t="shared" si="71"/>
        <v>0</v>
      </c>
      <c r="Y210" s="34">
        <f t="shared" si="71"/>
        <v>0</v>
      </c>
      <c r="Z210" s="34">
        <f t="shared" si="71"/>
        <v>0</v>
      </c>
      <c r="AA210" s="33">
        <f t="shared" si="71"/>
        <v>0</v>
      </c>
      <c r="AB210" s="32">
        <f t="shared" si="71"/>
        <v>0</v>
      </c>
      <c r="AC210" s="33">
        <f t="shared" si="71"/>
        <v>0</v>
      </c>
      <c r="AD210" s="33">
        <f t="shared" si="71"/>
        <v>0</v>
      </c>
      <c r="AE210" s="34">
        <f t="shared" si="71"/>
        <v>0</v>
      </c>
      <c r="AF210" s="26">
        <f t="shared" si="65"/>
        <v>0</v>
      </c>
      <c r="AG210" s="103">
        <f t="shared" si="65"/>
        <v>0</v>
      </c>
    </row>
    <row r="211" spans="2:33" ht="12.75" x14ac:dyDescent="0.3">
      <c r="B211" s="27"/>
      <c r="C211" s="28"/>
      <c r="D211" s="28"/>
      <c r="E211" s="41">
        <v>4254600</v>
      </c>
      <c r="F211" s="55" t="s">
        <v>196</v>
      </c>
      <c r="G211" s="37"/>
      <c r="H211" s="37"/>
      <c r="I211" s="37"/>
      <c r="J211" s="37"/>
      <c r="K211" s="37"/>
      <c r="L211" s="38"/>
      <c r="M211" s="38"/>
      <c r="N211" s="39"/>
      <c r="O211" s="37"/>
      <c r="P211" s="39"/>
      <c r="Q211" s="39"/>
      <c r="R211" s="38"/>
      <c r="S211" s="40">
        <f t="shared" si="64"/>
        <v>0</v>
      </c>
      <c r="T211" s="37"/>
      <c r="U211" s="37"/>
      <c r="V211" s="37"/>
      <c r="W211" s="37"/>
      <c r="X211" s="37"/>
      <c r="Y211" s="38"/>
      <c r="Z211" s="38"/>
      <c r="AA211" s="39"/>
      <c r="AB211" s="37"/>
      <c r="AC211" s="39"/>
      <c r="AD211" s="39"/>
      <c r="AE211" s="38"/>
      <c r="AF211" s="40">
        <f t="shared" si="65"/>
        <v>0</v>
      </c>
      <c r="AG211" s="104">
        <f t="shared" si="65"/>
        <v>0</v>
      </c>
    </row>
    <row r="212" spans="2:33" ht="12.75" x14ac:dyDescent="0.3">
      <c r="B212" s="27"/>
      <c r="C212" s="28"/>
      <c r="D212" s="28"/>
      <c r="E212" s="41">
        <v>4254610</v>
      </c>
      <c r="F212" s="55" t="s">
        <v>197</v>
      </c>
      <c r="G212" s="37"/>
      <c r="H212" s="37"/>
      <c r="I212" s="37"/>
      <c r="J212" s="37"/>
      <c r="K212" s="37"/>
      <c r="L212" s="38"/>
      <c r="M212" s="38"/>
      <c r="N212" s="39"/>
      <c r="O212" s="37"/>
      <c r="P212" s="39"/>
      <c r="Q212" s="39"/>
      <c r="R212" s="38"/>
      <c r="S212" s="40">
        <f t="shared" si="64"/>
        <v>0</v>
      </c>
      <c r="T212" s="37"/>
      <c r="U212" s="37"/>
      <c r="V212" s="37"/>
      <c r="W212" s="37"/>
      <c r="X212" s="37"/>
      <c r="Y212" s="38"/>
      <c r="Z212" s="38"/>
      <c r="AA212" s="39"/>
      <c r="AB212" s="37"/>
      <c r="AC212" s="39"/>
      <c r="AD212" s="39"/>
      <c r="AE212" s="38"/>
      <c r="AF212" s="40">
        <f t="shared" si="65"/>
        <v>0</v>
      </c>
      <c r="AG212" s="104">
        <f t="shared" si="65"/>
        <v>0</v>
      </c>
    </row>
    <row r="213" spans="2:33" ht="12.75" x14ac:dyDescent="0.3">
      <c r="B213" s="27"/>
      <c r="C213" s="28"/>
      <c r="D213" s="28"/>
      <c r="E213" s="41">
        <v>4254650</v>
      </c>
      <c r="F213" s="55" t="s">
        <v>198</v>
      </c>
      <c r="G213" s="37"/>
      <c r="H213" s="37"/>
      <c r="I213" s="37"/>
      <c r="J213" s="37"/>
      <c r="K213" s="37"/>
      <c r="L213" s="38"/>
      <c r="M213" s="38"/>
      <c r="N213" s="39"/>
      <c r="O213" s="37"/>
      <c r="P213" s="39"/>
      <c r="Q213" s="39"/>
      <c r="R213" s="38"/>
      <c r="S213" s="40">
        <f t="shared" si="64"/>
        <v>0</v>
      </c>
      <c r="T213" s="37"/>
      <c r="U213" s="37"/>
      <c r="V213" s="37"/>
      <c r="W213" s="37"/>
      <c r="X213" s="37"/>
      <c r="Y213" s="38"/>
      <c r="Z213" s="38"/>
      <c r="AA213" s="39"/>
      <c r="AB213" s="37"/>
      <c r="AC213" s="39"/>
      <c r="AD213" s="39"/>
      <c r="AE213" s="38"/>
      <c r="AF213" s="40">
        <f t="shared" si="65"/>
        <v>0</v>
      </c>
      <c r="AG213" s="104">
        <f t="shared" si="65"/>
        <v>0</v>
      </c>
    </row>
    <row r="214" spans="2:33" ht="12.75" x14ac:dyDescent="0.3">
      <c r="B214" s="27"/>
      <c r="C214" s="28"/>
      <c r="D214" s="28"/>
      <c r="E214" s="41">
        <v>4254690</v>
      </c>
      <c r="F214" s="55" t="s">
        <v>199</v>
      </c>
      <c r="G214" s="37"/>
      <c r="H214" s="37"/>
      <c r="I214" s="37"/>
      <c r="J214" s="37"/>
      <c r="K214" s="37"/>
      <c r="L214" s="38"/>
      <c r="M214" s="38"/>
      <c r="N214" s="39"/>
      <c r="O214" s="37"/>
      <c r="P214" s="39"/>
      <c r="Q214" s="39"/>
      <c r="R214" s="38"/>
      <c r="S214" s="40">
        <f t="shared" si="64"/>
        <v>0</v>
      </c>
      <c r="T214" s="37"/>
      <c r="U214" s="37"/>
      <c r="V214" s="37"/>
      <c r="W214" s="37"/>
      <c r="X214" s="37"/>
      <c r="Y214" s="38"/>
      <c r="Z214" s="38"/>
      <c r="AA214" s="39"/>
      <c r="AB214" s="37"/>
      <c r="AC214" s="39"/>
      <c r="AD214" s="39"/>
      <c r="AE214" s="38"/>
      <c r="AF214" s="40">
        <f t="shared" si="65"/>
        <v>0</v>
      </c>
      <c r="AG214" s="104">
        <f t="shared" si="65"/>
        <v>0</v>
      </c>
    </row>
    <row r="215" spans="2:33" ht="12.75" x14ac:dyDescent="0.3">
      <c r="B215" s="27"/>
      <c r="C215" s="28"/>
      <c r="D215" s="29" t="s">
        <v>200</v>
      </c>
      <c r="E215" s="42"/>
      <c r="F215" s="31"/>
      <c r="G215" s="32">
        <v>0</v>
      </c>
      <c r="H215" s="33">
        <v>0</v>
      </c>
      <c r="I215" s="33">
        <v>0</v>
      </c>
      <c r="J215" s="33">
        <v>0</v>
      </c>
      <c r="K215" s="33">
        <v>0</v>
      </c>
      <c r="L215" s="34">
        <v>0</v>
      </c>
      <c r="M215" s="34">
        <v>0</v>
      </c>
      <c r="N215" s="33">
        <v>0</v>
      </c>
      <c r="O215" s="32">
        <v>0</v>
      </c>
      <c r="P215" s="33">
        <f t="shared" ref="P215:R215" si="72">SUM(P216:P221)</f>
        <v>0</v>
      </c>
      <c r="Q215" s="33">
        <f t="shared" si="72"/>
        <v>0</v>
      </c>
      <c r="R215" s="34">
        <f t="shared" si="72"/>
        <v>0</v>
      </c>
      <c r="S215" s="26">
        <f t="shared" si="64"/>
        <v>0</v>
      </c>
      <c r="T215" s="32">
        <f t="shared" ref="T215:AE215" si="73">SUM(T216:T221)</f>
        <v>0</v>
      </c>
      <c r="U215" s="33">
        <f t="shared" si="73"/>
        <v>0</v>
      </c>
      <c r="V215" s="33">
        <f t="shared" si="73"/>
        <v>0</v>
      </c>
      <c r="W215" s="33">
        <f t="shared" si="73"/>
        <v>0</v>
      </c>
      <c r="X215" s="33">
        <f t="shared" si="73"/>
        <v>0</v>
      </c>
      <c r="Y215" s="34">
        <f t="shared" si="73"/>
        <v>0</v>
      </c>
      <c r="Z215" s="34">
        <f t="shared" si="73"/>
        <v>0</v>
      </c>
      <c r="AA215" s="33">
        <f t="shared" si="73"/>
        <v>0</v>
      </c>
      <c r="AB215" s="32">
        <f t="shared" si="73"/>
        <v>0</v>
      </c>
      <c r="AC215" s="33">
        <f t="shared" si="73"/>
        <v>0</v>
      </c>
      <c r="AD215" s="33">
        <f t="shared" si="73"/>
        <v>0</v>
      </c>
      <c r="AE215" s="34">
        <f t="shared" si="73"/>
        <v>0</v>
      </c>
      <c r="AF215" s="26">
        <f t="shared" si="65"/>
        <v>0</v>
      </c>
      <c r="AG215" s="103">
        <f t="shared" si="65"/>
        <v>0</v>
      </c>
    </row>
    <row r="216" spans="2:33" ht="12.75" x14ac:dyDescent="0.3">
      <c r="B216" s="27"/>
      <c r="C216" s="28"/>
      <c r="D216" s="28"/>
      <c r="E216" s="41">
        <v>4254820</v>
      </c>
      <c r="F216" s="55" t="s">
        <v>201</v>
      </c>
      <c r="G216" s="37"/>
      <c r="H216" s="37"/>
      <c r="I216" s="37"/>
      <c r="J216" s="37"/>
      <c r="K216" s="37"/>
      <c r="L216" s="38"/>
      <c r="M216" s="38"/>
      <c r="N216" s="39"/>
      <c r="O216" s="37"/>
      <c r="P216" s="39"/>
      <c r="Q216" s="39"/>
      <c r="R216" s="38"/>
      <c r="S216" s="40">
        <f t="shared" si="64"/>
        <v>0</v>
      </c>
      <c r="T216" s="37"/>
      <c r="U216" s="37"/>
      <c r="V216" s="37"/>
      <c r="W216" s="37"/>
      <c r="X216" s="37"/>
      <c r="Y216" s="38"/>
      <c r="Z216" s="38"/>
      <c r="AA216" s="39"/>
      <c r="AB216" s="37"/>
      <c r="AC216" s="39"/>
      <c r="AD216" s="39"/>
      <c r="AE216" s="38"/>
      <c r="AF216" s="40">
        <f t="shared" si="65"/>
        <v>0</v>
      </c>
      <c r="AG216" s="104">
        <f t="shared" si="65"/>
        <v>0</v>
      </c>
    </row>
    <row r="217" spans="2:33" ht="12.75" x14ac:dyDescent="0.3">
      <c r="B217" s="27"/>
      <c r="C217" s="28"/>
      <c r="D217" s="28"/>
      <c r="E217" s="41">
        <v>4254830</v>
      </c>
      <c r="F217" s="55" t="s">
        <v>202</v>
      </c>
      <c r="G217" s="37"/>
      <c r="H217" s="37"/>
      <c r="I217" s="37"/>
      <c r="J217" s="37"/>
      <c r="K217" s="37"/>
      <c r="L217" s="38"/>
      <c r="M217" s="38"/>
      <c r="N217" s="39"/>
      <c r="O217" s="37"/>
      <c r="P217" s="39"/>
      <c r="Q217" s="39"/>
      <c r="R217" s="38"/>
      <c r="S217" s="40">
        <f t="shared" si="64"/>
        <v>0</v>
      </c>
      <c r="T217" s="37"/>
      <c r="U217" s="37"/>
      <c r="V217" s="37"/>
      <c r="W217" s="37"/>
      <c r="X217" s="37"/>
      <c r="Y217" s="38"/>
      <c r="Z217" s="38"/>
      <c r="AA217" s="39"/>
      <c r="AB217" s="37"/>
      <c r="AC217" s="39"/>
      <c r="AD217" s="39"/>
      <c r="AE217" s="38"/>
      <c r="AF217" s="40">
        <f t="shared" si="65"/>
        <v>0</v>
      </c>
      <c r="AG217" s="104">
        <f t="shared" si="65"/>
        <v>0</v>
      </c>
    </row>
    <row r="218" spans="2:33" ht="12.75" x14ac:dyDescent="0.3">
      <c r="B218" s="27"/>
      <c r="C218" s="28"/>
      <c r="D218" s="28"/>
      <c r="E218" s="41">
        <v>4254840</v>
      </c>
      <c r="F218" s="55" t="s">
        <v>203</v>
      </c>
      <c r="G218" s="37"/>
      <c r="H218" s="37"/>
      <c r="I218" s="37"/>
      <c r="J218" s="37"/>
      <c r="K218" s="37"/>
      <c r="L218" s="38"/>
      <c r="M218" s="38"/>
      <c r="N218" s="39"/>
      <c r="O218" s="37"/>
      <c r="P218" s="39"/>
      <c r="Q218" s="39"/>
      <c r="R218" s="38"/>
      <c r="S218" s="40">
        <f t="shared" si="64"/>
        <v>0</v>
      </c>
      <c r="T218" s="37"/>
      <c r="U218" s="37"/>
      <c r="V218" s="37"/>
      <c r="W218" s="37"/>
      <c r="X218" s="37"/>
      <c r="Y218" s="38"/>
      <c r="Z218" s="38"/>
      <c r="AA218" s="39"/>
      <c r="AB218" s="37"/>
      <c r="AC218" s="39"/>
      <c r="AD218" s="39"/>
      <c r="AE218" s="38"/>
      <c r="AF218" s="40">
        <f t="shared" si="65"/>
        <v>0</v>
      </c>
      <c r="AG218" s="104">
        <f t="shared" si="65"/>
        <v>0</v>
      </c>
    </row>
    <row r="219" spans="2:33" ht="12.75" x14ac:dyDescent="0.3">
      <c r="B219" s="27"/>
      <c r="C219" s="28"/>
      <c r="D219" s="28"/>
      <c r="E219" s="41">
        <v>4254850</v>
      </c>
      <c r="F219" s="55" t="s">
        <v>204</v>
      </c>
      <c r="G219" s="37"/>
      <c r="H219" s="37"/>
      <c r="I219" s="37"/>
      <c r="J219" s="37"/>
      <c r="K219" s="37"/>
      <c r="L219" s="38"/>
      <c r="M219" s="38"/>
      <c r="N219" s="39"/>
      <c r="O219" s="37"/>
      <c r="P219" s="39"/>
      <c r="Q219" s="39"/>
      <c r="R219" s="38"/>
      <c r="S219" s="40">
        <f t="shared" si="64"/>
        <v>0</v>
      </c>
      <c r="T219" s="37"/>
      <c r="U219" s="37"/>
      <c r="V219" s="37"/>
      <c r="W219" s="37"/>
      <c r="X219" s="37"/>
      <c r="Y219" s="38"/>
      <c r="Z219" s="38"/>
      <c r="AA219" s="39"/>
      <c r="AB219" s="37"/>
      <c r="AC219" s="39"/>
      <c r="AD219" s="39"/>
      <c r="AE219" s="38"/>
      <c r="AF219" s="40">
        <f t="shared" si="65"/>
        <v>0</v>
      </c>
      <c r="AG219" s="104">
        <f t="shared" si="65"/>
        <v>0</v>
      </c>
    </row>
    <row r="220" spans="2:33" ht="12.75" x14ac:dyDescent="0.3">
      <c r="B220" s="27"/>
      <c r="C220" s="28"/>
      <c r="D220" s="28"/>
      <c r="E220" s="41">
        <v>4254860</v>
      </c>
      <c r="F220" s="55" t="s">
        <v>205</v>
      </c>
      <c r="G220" s="37"/>
      <c r="H220" s="37"/>
      <c r="I220" s="37"/>
      <c r="J220" s="37"/>
      <c r="K220" s="37"/>
      <c r="L220" s="38"/>
      <c r="M220" s="38"/>
      <c r="N220" s="39"/>
      <c r="O220" s="37"/>
      <c r="P220" s="39"/>
      <c r="Q220" s="39"/>
      <c r="R220" s="38"/>
      <c r="S220" s="40">
        <f t="shared" si="64"/>
        <v>0</v>
      </c>
      <c r="T220" s="37"/>
      <c r="U220" s="37"/>
      <c r="V220" s="37"/>
      <c r="W220" s="37"/>
      <c r="X220" s="37"/>
      <c r="Y220" s="38"/>
      <c r="Z220" s="38"/>
      <c r="AA220" s="39"/>
      <c r="AB220" s="37"/>
      <c r="AC220" s="39"/>
      <c r="AD220" s="39"/>
      <c r="AE220" s="38"/>
      <c r="AF220" s="40">
        <f t="shared" si="65"/>
        <v>0</v>
      </c>
      <c r="AG220" s="104">
        <f t="shared" si="65"/>
        <v>0</v>
      </c>
    </row>
    <row r="221" spans="2:33" ht="12.75" x14ac:dyDescent="0.3">
      <c r="B221" s="27"/>
      <c r="C221" s="28"/>
      <c r="D221" s="28"/>
      <c r="E221" s="41">
        <v>4254870</v>
      </c>
      <c r="F221" s="55" t="s">
        <v>206</v>
      </c>
      <c r="G221" s="37"/>
      <c r="H221" s="37"/>
      <c r="I221" s="37"/>
      <c r="J221" s="37"/>
      <c r="K221" s="37"/>
      <c r="L221" s="38"/>
      <c r="M221" s="38"/>
      <c r="N221" s="39"/>
      <c r="O221" s="37"/>
      <c r="P221" s="39"/>
      <c r="Q221" s="39"/>
      <c r="R221" s="38"/>
      <c r="S221" s="40">
        <f t="shared" si="64"/>
        <v>0</v>
      </c>
      <c r="T221" s="37"/>
      <c r="U221" s="37"/>
      <c r="V221" s="37"/>
      <c r="W221" s="37"/>
      <c r="X221" s="37"/>
      <c r="Y221" s="38"/>
      <c r="Z221" s="38"/>
      <c r="AA221" s="39"/>
      <c r="AB221" s="37"/>
      <c r="AC221" s="39"/>
      <c r="AD221" s="39"/>
      <c r="AE221" s="38"/>
      <c r="AF221" s="40">
        <f t="shared" si="65"/>
        <v>0</v>
      </c>
      <c r="AG221" s="104">
        <f t="shared" si="65"/>
        <v>0</v>
      </c>
    </row>
    <row r="222" spans="2:33" ht="12.75" x14ac:dyDescent="0.3">
      <c r="B222" s="27"/>
      <c r="C222" s="28"/>
      <c r="D222" s="29" t="s">
        <v>207</v>
      </c>
      <c r="E222" s="42"/>
      <c r="F222" s="31"/>
      <c r="G222" s="32">
        <v>0</v>
      </c>
      <c r="H222" s="33">
        <v>0</v>
      </c>
      <c r="I222" s="33">
        <v>0</v>
      </c>
      <c r="J222" s="33">
        <v>0</v>
      </c>
      <c r="K222" s="33">
        <v>0</v>
      </c>
      <c r="L222" s="34">
        <v>0</v>
      </c>
      <c r="M222" s="34">
        <v>0</v>
      </c>
      <c r="N222" s="33">
        <v>0</v>
      </c>
      <c r="O222" s="32">
        <v>0</v>
      </c>
      <c r="P222" s="33">
        <f t="shared" ref="P222:R222" si="74">SUM(P223:P226)</f>
        <v>0</v>
      </c>
      <c r="Q222" s="33">
        <f t="shared" si="74"/>
        <v>0</v>
      </c>
      <c r="R222" s="34">
        <f t="shared" si="74"/>
        <v>0</v>
      </c>
      <c r="S222" s="26">
        <f t="shared" si="64"/>
        <v>0</v>
      </c>
      <c r="T222" s="32">
        <f t="shared" ref="T222:AE222" si="75">SUM(T223:T226)</f>
        <v>0</v>
      </c>
      <c r="U222" s="33">
        <f t="shared" si="75"/>
        <v>0</v>
      </c>
      <c r="V222" s="33">
        <f t="shared" si="75"/>
        <v>0</v>
      </c>
      <c r="W222" s="33">
        <f t="shared" si="75"/>
        <v>0</v>
      </c>
      <c r="X222" s="33">
        <f t="shared" si="75"/>
        <v>0</v>
      </c>
      <c r="Y222" s="34">
        <f t="shared" si="75"/>
        <v>0</v>
      </c>
      <c r="Z222" s="34">
        <f t="shared" si="75"/>
        <v>0</v>
      </c>
      <c r="AA222" s="33">
        <f t="shared" si="75"/>
        <v>0</v>
      </c>
      <c r="AB222" s="32">
        <f t="shared" si="75"/>
        <v>0</v>
      </c>
      <c r="AC222" s="33">
        <f t="shared" si="75"/>
        <v>0</v>
      </c>
      <c r="AD222" s="33">
        <f t="shared" si="75"/>
        <v>0</v>
      </c>
      <c r="AE222" s="34">
        <f t="shared" si="75"/>
        <v>0</v>
      </c>
      <c r="AF222" s="26">
        <f t="shared" si="65"/>
        <v>0</v>
      </c>
      <c r="AG222" s="103">
        <f t="shared" si="65"/>
        <v>0</v>
      </c>
    </row>
    <row r="223" spans="2:33" ht="12.75" x14ac:dyDescent="0.3">
      <c r="B223" s="27"/>
      <c r="C223" s="28"/>
      <c r="D223" s="28"/>
      <c r="E223" s="41">
        <v>4254900</v>
      </c>
      <c r="F223" s="55" t="s">
        <v>208</v>
      </c>
      <c r="G223" s="37"/>
      <c r="H223" s="37"/>
      <c r="I223" s="37"/>
      <c r="J223" s="37"/>
      <c r="K223" s="37"/>
      <c r="L223" s="38"/>
      <c r="M223" s="38"/>
      <c r="N223" s="39"/>
      <c r="O223" s="37"/>
      <c r="P223" s="39"/>
      <c r="Q223" s="39"/>
      <c r="R223" s="38"/>
      <c r="S223" s="40">
        <f t="shared" si="64"/>
        <v>0</v>
      </c>
      <c r="T223" s="37"/>
      <c r="U223" s="37"/>
      <c r="V223" s="37"/>
      <c r="W223" s="37"/>
      <c r="X223" s="37"/>
      <c r="Y223" s="38"/>
      <c r="Z223" s="38"/>
      <c r="AA223" s="39"/>
      <c r="AB223" s="37"/>
      <c r="AC223" s="39"/>
      <c r="AD223" s="39"/>
      <c r="AE223" s="38"/>
      <c r="AF223" s="40">
        <f t="shared" si="65"/>
        <v>0</v>
      </c>
      <c r="AG223" s="104">
        <f t="shared" si="65"/>
        <v>0</v>
      </c>
    </row>
    <row r="224" spans="2:33" ht="12.75" x14ac:dyDescent="0.3">
      <c r="B224" s="27"/>
      <c r="C224" s="28"/>
      <c r="D224" s="28"/>
      <c r="E224" s="41">
        <v>4254910</v>
      </c>
      <c r="F224" s="55" t="s">
        <v>209</v>
      </c>
      <c r="G224" s="37"/>
      <c r="H224" s="37"/>
      <c r="I224" s="37"/>
      <c r="J224" s="37"/>
      <c r="K224" s="37"/>
      <c r="L224" s="38"/>
      <c r="M224" s="38"/>
      <c r="N224" s="39"/>
      <c r="O224" s="37"/>
      <c r="P224" s="39"/>
      <c r="Q224" s="39"/>
      <c r="R224" s="38"/>
      <c r="S224" s="40">
        <f t="shared" si="64"/>
        <v>0</v>
      </c>
      <c r="T224" s="37"/>
      <c r="U224" s="37"/>
      <c r="V224" s="37"/>
      <c r="W224" s="37"/>
      <c r="X224" s="37"/>
      <c r="Y224" s="38"/>
      <c r="Z224" s="38"/>
      <c r="AA224" s="39"/>
      <c r="AB224" s="37"/>
      <c r="AC224" s="39"/>
      <c r="AD224" s="39"/>
      <c r="AE224" s="38"/>
      <c r="AF224" s="40">
        <f t="shared" si="65"/>
        <v>0</v>
      </c>
      <c r="AG224" s="104">
        <f t="shared" si="65"/>
        <v>0</v>
      </c>
    </row>
    <row r="225" spans="2:33" ht="12.75" x14ac:dyDescent="0.3">
      <c r="B225" s="27"/>
      <c r="C225" s="28"/>
      <c r="D225" s="28"/>
      <c r="E225" s="41">
        <v>4254911</v>
      </c>
      <c r="F225" s="55" t="s">
        <v>210</v>
      </c>
      <c r="G225" s="37"/>
      <c r="H225" s="37"/>
      <c r="I225" s="37"/>
      <c r="J225" s="37"/>
      <c r="K225" s="37"/>
      <c r="L225" s="38"/>
      <c r="M225" s="38"/>
      <c r="N225" s="39"/>
      <c r="O225" s="37"/>
      <c r="P225" s="39"/>
      <c r="Q225" s="39"/>
      <c r="R225" s="38"/>
      <c r="S225" s="40">
        <f t="shared" si="64"/>
        <v>0</v>
      </c>
      <c r="T225" s="37"/>
      <c r="U225" s="37"/>
      <c r="V225" s="37"/>
      <c r="W225" s="37"/>
      <c r="X225" s="37"/>
      <c r="Y225" s="38"/>
      <c r="Z225" s="38"/>
      <c r="AA225" s="39"/>
      <c r="AB225" s="37"/>
      <c r="AC225" s="39"/>
      <c r="AD225" s="39"/>
      <c r="AE225" s="38"/>
      <c r="AF225" s="40">
        <f t="shared" si="65"/>
        <v>0</v>
      </c>
      <c r="AG225" s="104">
        <f t="shared" si="65"/>
        <v>0</v>
      </c>
    </row>
    <row r="226" spans="2:33" ht="12.75" x14ac:dyDescent="0.3">
      <c r="B226" s="27"/>
      <c r="C226" s="28"/>
      <c r="D226" s="28"/>
      <c r="E226" s="41">
        <v>4254930</v>
      </c>
      <c r="F226" s="55" t="s">
        <v>211</v>
      </c>
      <c r="G226" s="37"/>
      <c r="H226" s="37"/>
      <c r="I226" s="37"/>
      <c r="J226" s="37"/>
      <c r="K226" s="37"/>
      <c r="L226" s="38"/>
      <c r="M226" s="38"/>
      <c r="N226" s="39"/>
      <c r="O226" s="37"/>
      <c r="P226" s="39"/>
      <c r="Q226" s="39"/>
      <c r="R226" s="38"/>
      <c r="S226" s="40">
        <f t="shared" si="64"/>
        <v>0</v>
      </c>
      <c r="T226" s="37"/>
      <c r="U226" s="37"/>
      <c r="V226" s="37"/>
      <c r="W226" s="37"/>
      <c r="X226" s="37"/>
      <c r="Y226" s="38"/>
      <c r="Z226" s="38"/>
      <c r="AA226" s="39"/>
      <c r="AB226" s="37"/>
      <c r="AC226" s="39"/>
      <c r="AD226" s="39"/>
      <c r="AE226" s="38"/>
      <c r="AF226" s="40">
        <f t="shared" si="65"/>
        <v>0</v>
      </c>
      <c r="AG226" s="104">
        <f t="shared" si="65"/>
        <v>0</v>
      </c>
    </row>
    <row r="227" spans="2:33" ht="12.75" x14ac:dyDescent="0.3">
      <c r="B227" s="27"/>
      <c r="C227" s="28"/>
      <c r="D227" s="29" t="s">
        <v>212</v>
      </c>
      <c r="E227" s="42"/>
      <c r="F227" s="31"/>
      <c r="G227" s="32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3">
        <v>0</v>
      </c>
      <c r="P227" s="33">
        <f t="shared" ref="P227:R227" si="76">SUM(P228:P230)</f>
        <v>0</v>
      </c>
      <c r="Q227" s="33">
        <f t="shared" si="76"/>
        <v>0</v>
      </c>
      <c r="R227" s="34">
        <f t="shared" si="76"/>
        <v>0</v>
      </c>
      <c r="S227" s="26">
        <f t="shared" si="64"/>
        <v>0</v>
      </c>
      <c r="T227" s="32">
        <f>SUM(T228:T230)</f>
        <v>0</v>
      </c>
      <c r="U227" s="33">
        <f t="shared" ref="U227:AE227" si="77">SUM(U228:U230)</f>
        <v>0</v>
      </c>
      <c r="V227" s="33">
        <f t="shared" si="77"/>
        <v>0</v>
      </c>
      <c r="W227" s="33">
        <f t="shared" si="77"/>
        <v>0</v>
      </c>
      <c r="X227" s="33">
        <f t="shared" si="77"/>
        <v>0</v>
      </c>
      <c r="Y227" s="33">
        <f t="shared" si="77"/>
        <v>0</v>
      </c>
      <c r="Z227" s="33">
        <f t="shared" si="77"/>
        <v>0</v>
      </c>
      <c r="AA227" s="33">
        <f t="shared" si="77"/>
        <v>0</v>
      </c>
      <c r="AB227" s="33">
        <f t="shared" si="77"/>
        <v>0</v>
      </c>
      <c r="AC227" s="33">
        <f t="shared" si="77"/>
        <v>0</v>
      </c>
      <c r="AD227" s="33">
        <f t="shared" si="77"/>
        <v>0</v>
      </c>
      <c r="AE227" s="34">
        <f t="shared" si="77"/>
        <v>0</v>
      </c>
      <c r="AF227" s="26">
        <f t="shared" si="65"/>
        <v>0</v>
      </c>
      <c r="AG227" s="103">
        <f t="shared" si="65"/>
        <v>0</v>
      </c>
    </row>
    <row r="228" spans="2:33" ht="12.75" x14ac:dyDescent="0.3">
      <c r="B228" s="27"/>
      <c r="C228" s="28"/>
      <c r="D228" s="28"/>
      <c r="E228" s="41">
        <v>4255100</v>
      </c>
      <c r="F228" s="55" t="s">
        <v>213</v>
      </c>
      <c r="G228" s="37"/>
      <c r="H228" s="37"/>
      <c r="I228" s="37"/>
      <c r="J228" s="37"/>
      <c r="K228" s="37"/>
      <c r="L228" s="39"/>
      <c r="M228" s="39"/>
      <c r="N228" s="39"/>
      <c r="O228" s="39"/>
      <c r="P228" s="39"/>
      <c r="Q228" s="39"/>
      <c r="R228" s="38"/>
      <c r="S228" s="40">
        <f t="shared" si="64"/>
        <v>0</v>
      </c>
      <c r="T228" s="37"/>
      <c r="U228" s="37"/>
      <c r="V228" s="37"/>
      <c r="W228" s="37"/>
      <c r="X228" s="37"/>
      <c r="Y228" s="39"/>
      <c r="Z228" s="39"/>
      <c r="AA228" s="39"/>
      <c r="AB228" s="39"/>
      <c r="AC228" s="39"/>
      <c r="AD228" s="39"/>
      <c r="AE228" s="38"/>
      <c r="AF228" s="40">
        <f t="shared" si="65"/>
        <v>0</v>
      </c>
      <c r="AG228" s="104">
        <f t="shared" si="65"/>
        <v>0</v>
      </c>
    </row>
    <row r="229" spans="2:33" ht="12.75" x14ac:dyDescent="0.3">
      <c r="B229" s="27"/>
      <c r="C229" s="28"/>
      <c r="D229" s="28"/>
      <c r="E229" s="41">
        <v>4255190</v>
      </c>
      <c r="F229" s="55" t="s">
        <v>214</v>
      </c>
      <c r="G229" s="37"/>
      <c r="H229" s="37"/>
      <c r="I229" s="37"/>
      <c r="J229" s="37"/>
      <c r="K229" s="37"/>
      <c r="L229" s="39"/>
      <c r="M229" s="39"/>
      <c r="N229" s="39"/>
      <c r="O229" s="39"/>
      <c r="P229" s="39"/>
      <c r="Q229" s="39"/>
      <c r="R229" s="38"/>
      <c r="S229" s="40">
        <f t="shared" si="64"/>
        <v>0</v>
      </c>
      <c r="T229" s="37"/>
      <c r="U229" s="37"/>
      <c r="V229" s="37"/>
      <c r="W229" s="37"/>
      <c r="X229" s="37"/>
      <c r="Y229" s="39"/>
      <c r="Z229" s="39"/>
      <c r="AA229" s="39"/>
      <c r="AB229" s="39"/>
      <c r="AC229" s="39"/>
      <c r="AD229" s="39"/>
      <c r="AE229" s="38"/>
      <c r="AF229" s="40">
        <f t="shared" si="65"/>
        <v>0</v>
      </c>
      <c r="AG229" s="104">
        <f t="shared" si="65"/>
        <v>0</v>
      </c>
    </row>
    <row r="230" spans="2:33" ht="12.75" x14ac:dyDescent="0.3">
      <c r="B230" s="27"/>
      <c r="C230" s="28"/>
      <c r="D230" s="27"/>
      <c r="E230" s="41">
        <v>4255120</v>
      </c>
      <c r="F230" s="55" t="s">
        <v>215</v>
      </c>
      <c r="G230" s="37"/>
      <c r="H230" s="37"/>
      <c r="I230" s="37"/>
      <c r="J230" s="37"/>
      <c r="K230" s="37"/>
      <c r="L230" s="38"/>
      <c r="M230" s="38"/>
      <c r="N230" s="39"/>
      <c r="O230" s="37"/>
      <c r="P230" s="39"/>
      <c r="Q230" s="39"/>
      <c r="R230" s="38"/>
      <c r="S230" s="40">
        <f t="shared" si="64"/>
        <v>0</v>
      </c>
      <c r="T230" s="37"/>
      <c r="U230" s="37"/>
      <c r="V230" s="37"/>
      <c r="W230" s="37"/>
      <c r="X230" s="37"/>
      <c r="Y230" s="38"/>
      <c r="Z230" s="38"/>
      <c r="AA230" s="39"/>
      <c r="AB230" s="37"/>
      <c r="AC230" s="39"/>
      <c r="AD230" s="39"/>
      <c r="AE230" s="38"/>
      <c r="AF230" s="40">
        <f t="shared" si="65"/>
        <v>0</v>
      </c>
      <c r="AG230" s="104">
        <f t="shared" si="65"/>
        <v>0</v>
      </c>
    </row>
    <row r="231" spans="2:33" ht="12.75" x14ac:dyDescent="0.3">
      <c r="B231" s="27"/>
      <c r="C231" s="28"/>
      <c r="D231" s="29" t="s">
        <v>216</v>
      </c>
      <c r="E231" s="42"/>
      <c r="F231" s="31"/>
      <c r="G231" s="32">
        <v>0</v>
      </c>
      <c r="H231" s="33">
        <v>0</v>
      </c>
      <c r="I231" s="33">
        <v>0</v>
      </c>
      <c r="J231" s="33">
        <v>0</v>
      </c>
      <c r="K231" s="33">
        <v>0</v>
      </c>
      <c r="L231" s="34">
        <v>0</v>
      </c>
      <c r="M231" s="34">
        <v>0</v>
      </c>
      <c r="N231" s="33">
        <v>0</v>
      </c>
      <c r="O231" s="32">
        <v>0</v>
      </c>
      <c r="P231" s="33">
        <f t="shared" ref="P231:R231" si="78">P232</f>
        <v>0</v>
      </c>
      <c r="Q231" s="33">
        <f t="shared" si="78"/>
        <v>0</v>
      </c>
      <c r="R231" s="34">
        <f t="shared" si="78"/>
        <v>0</v>
      </c>
      <c r="S231" s="26">
        <f t="shared" si="64"/>
        <v>0</v>
      </c>
      <c r="T231" s="32">
        <f t="shared" ref="T231:AE231" si="79">T232</f>
        <v>0</v>
      </c>
      <c r="U231" s="33">
        <f t="shared" si="79"/>
        <v>0</v>
      </c>
      <c r="V231" s="33">
        <f t="shared" si="79"/>
        <v>0</v>
      </c>
      <c r="W231" s="33">
        <f t="shared" si="79"/>
        <v>0</v>
      </c>
      <c r="X231" s="33">
        <f t="shared" si="79"/>
        <v>0</v>
      </c>
      <c r="Y231" s="34">
        <f t="shared" si="79"/>
        <v>0</v>
      </c>
      <c r="Z231" s="34">
        <f t="shared" si="79"/>
        <v>0</v>
      </c>
      <c r="AA231" s="33">
        <f t="shared" si="79"/>
        <v>0</v>
      </c>
      <c r="AB231" s="32">
        <f t="shared" si="79"/>
        <v>0</v>
      </c>
      <c r="AC231" s="33">
        <f t="shared" si="79"/>
        <v>0</v>
      </c>
      <c r="AD231" s="33">
        <f t="shared" si="79"/>
        <v>0</v>
      </c>
      <c r="AE231" s="34">
        <f t="shared" si="79"/>
        <v>0</v>
      </c>
      <c r="AF231" s="26">
        <f t="shared" si="65"/>
        <v>0</v>
      </c>
      <c r="AG231" s="103">
        <f t="shared" si="65"/>
        <v>0</v>
      </c>
    </row>
    <row r="232" spans="2:33" ht="12.75" x14ac:dyDescent="0.3">
      <c r="B232" s="27"/>
      <c r="C232" s="28"/>
      <c r="D232" s="28"/>
      <c r="E232" s="41">
        <v>4256000</v>
      </c>
      <c r="F232" s="55" t="s">
        <v>216</v>
      </c>
      <c r="G232" s="37"/>
      <c r="H232" s="37"/>
      <c r="I232" s="37"/>
      <c r="J232" s="37"/>
      <c r="K232" s="37"/>
      <c r="L232" s="38"/>
      <c r="M232" s="38"/>
      <c r="N232" s="39"/>
      <c r="O232" s="37"/>
      <c r="P232" s="39"/>
      <c r="Q232" s="39"/>
      <c r="R232" s="38"/>
      <c r="S232" s="40">
        <f t="shared" si="64"/>
        <v>0</v>
      </c>
      <c r="T232" s="37"/>
      <c r="U232" s="37"/>
      <c r="V232" s="37"/>
      <c r="W232" s="37"/>
      <c r="X232" s="37"/>
      <c r="Y232" s="38"/>
      <c r="Z232" s="38"/>
      <c r="AA232" s="39"/>
      <c r="AB232" s="37"/>
      <c r="AC232" s="39"/>
      <c r="AD232" s="39"/>
      <c r="AE232" s="38"/>
      <c r="AF232" s="40">
        <f t="shared" si="65"/>
        <v>0</v>
      </c>
      <c r="AG232" s="104">
        <f t="shared" si="65"/>
        <v>0</v>
      </c>
    </row>
    <row r="233" spans="2:33" ht="12.75" x14ac:dyDescent="0.3">
      <c r="B233" s="27"/>
      <c r="C233" s="28"/>
      <c r="D233" s="29" t="s">
        <v>217</v>
      </c>
      <c r="E233" s="42"/>
      <c r="F233" s="31"/>
      <c r="G233" s="32">
        <v>0</v>
      </c>
      <c r="H233" s="33">
        <v>0</v>
      </c>
      <c r="I233" s="33">
        <v>0</v>
      </c>
      <c r="J233" s="33">
        <v>0</v>
      </c>
      <c r="K233" s="33">
        <v>0</v>
      </c>
      <c r="L233" s="34">
        <v>0</v>
      </c>
      <c r="M233" s="34">
        <v>0</v>
      </c>
      <c r="N233" s="33">
        <v>0</v>
      </c>
      <c r="O233" s="32">
        <v>0</v>
      </c>
      <c r="P233" s="33">
        <f t="shared" ref="P233:R233" si="80">SUM(P234:P238)</f>
        <v>0</v>
      </c>
      <c r="Q233" s="33">
        <f t="shared" si="80"/>
        <v>0</v>
      </c>
      <c r="R233" s="34">
        <f t="shared" si="80"/>
        <v>0</v>
      </c>
      <c r="S233" s="26">
        <f t="shared" si="64"/>
        <v>0</v>
      </c>
      <c r="T233" s="32">
        <f t="shared" ref="T233:AE233" si="81">SUM(T234:T238)</f>
        <v>0</v>
      </c>
      <c r="U233" s="33">
        <f t="shared" si="81"/>
        <v>0</v>
      </c>
      <c r="V233" s="33">
        <f t="shared" si="81"/>
        <v>0</v>
      </c>
      <c r="W233" s="33">
        <f t="shared" si="81"/>
        <v>0</v>
      </c>
      <c r="X233" s="33">
        <f t="shared" si="81"/>
        <v>0</v>
      </c>
      <c r="Y233" s="34">
        <f t="shared" si="81"/>
        <v>0</v>
      </c>
      <c r="Z233" s="34">
        <f t="shared" si="81"/>
        <v>0</v>
      </c>
      <c r="AA233" s="33">
        <f t="shared" si="81"/>
        <v>0</v>
      </c>
      <c r="AB233" s="32">
        <f t="shared" si="81"/>
        <v>0</v>
      </c>
      <c r="AC233" s="33">
        <f t="shared" si="81"/>
        <v>0</v>
      </c>
      <c r="AD233" s="33">
        <f t="shared" si="81"/>
        <v>0</v>
      </c>
      <c r="AE233" s="34">
        <f t="shared" si="81"/>
        <v>0</v>
      </c>
      <c r="AF233" s="26">
        <f t="shared" si="65"/>
        <v>0</v>
      </c>
      <c r="AG233" s="103">
        <f t="shared" si="65"/>
        <v>0</v>
      </c>
    </row>
    <row r="234" spans="2:33" ht="12.75" x14ac:dyDescent="0.3">
      <c r="B234" s="27"/>
      <c r="C234" s="28"/>
      <c r="D234" s="28"/>
      <c r="E234" s="41">
        <v>4257000</v>
      </c>
      <c r="F234" s="55" t="s">
        <v>218</v>
      </c>
      <c r="G234" s="37"/>
      <c r="H234" s="37"/>
      <c r="I234" s="37"/>
      <c r="J234" s="37"/>
      <c r="K234" s="37"/>
      <c r="L234" s="38"/>
      <c r="M234" s="38"/>
      <c r="N234" s="39"/>
      <c r="O234" s="37"/>
      <c r="P234" s="39"/>
      <c r="Q234" s="39"/>
      <c r="R234" s="38"/>
      <c r="S234" s="40">
        <f t="shared" si="64"/>
        <v>0</v>
      </c>
      <c r="T234" s="37"/>
      <c r="U234" s="37"/>
      <c r="V234" s="37"/>
      <c r="W234" s="37"/>
      <c r="X234" s="37"/>
      <c r="Y234" s="38"/>
      <c r="Z234" s="38"/>
      <c r="AA234" s="39"/>
      <c r="AB234" s="37"/>
      <c r="AC234" s="39"/>
      <c r="AD234" s="39"/>
      <c r="AE234" s="38"/>
      <c r="AF234" s="40">
        <f t="shared" si="65"/>
        <v>0</v>
      </c>
      <c r="AG234" s="104">
        <f t="shared" si="65"/>
        <v>0</v>
      </c>
    </row>
    <row r="235" spans="2:33" ht="12.75" x14ac:dyDescent="0.3">
      <c r="B235" s="27"/>
      <c r="C235" s="28"/>
      <c r="D235" s="28"/>
      <c r="E235" s="41">
        <v>4257110</v>
      </c>
      <c r="F235" s="55" t="s">
        <v>219</v>
      </c>
      <c r="G235" s="37"/>
      <c r="H235" s="37"/>
      <c r="I235" s="37"/>
      <c r="J235" s="37"/>
      <c r="K235" s="37"/>
      <c r="L235" s="38"/>
      <c r="M235" s="38"/>
      <c r="N235" s="39"/>
      <c r="O235" s="37"/>
      <c r="P235" s="39"/>
      <c r="Q235" s="39"/>
      <c r="R235" s="38"/>
      <c r="S235" s="40">
        <f t="shared" si="64"/>
        <v>0</v>
      </c>
      <c r="T235" s="37"/>
      <c r="U235" s="37"/>
      <c r="V235" s="37"/>
      <c r="W235" s="37"/>
      <c r="X235" s="37"/>
      <c r="Y235" s="38"/>
      <c r="Z235" s="38"/>
      <c r="AA235" s="39"/>
      <c r="AB235" s="37"/>
      <c r="AC235" s="39"/>
      <c r="AD235" s="39"/>
      <c r="AE235" s="38"/>
      <c r="AF235" s="40">
        <f t="shared" si="65"/>
        <v>0</v>
      </c>
      <c r="AG235" s="104">
        <f t="shared" si="65"/>
        <v>0</v>
      </c>
    </row>
    <row r="236" spans="2:33" ht="12.75" x14ac:dyDescent="0.3">
      <c r="B236" s="27"/>
      <c r="C236" s="28"/>
      <c r="D236" s="28"/>
      <c r="E236" s="41">
        <v>4257120</v>
      </c>
      <c r="F236" s="55" t="s">
        <v>220</v>
      </c>
      <c r="G236" s="37"/>
      <c r="H236" s="37"/>
      <c r="I236" s="37"/>
      <c r="J236" s="37"/>
      <c r="K236" s="37"/>
      <c r="L236" s="38"/>
      <c r="M236" s="38"/>
      <c r="N236" s="39"/>
      <c r="O236" s="37"/>
      <c r="P236" s="39"/>
      <c r="Q236" s="39"/>
      <c r="R236" s="38"/>
      <c r="S236" s="40">
        <f t="shared" si="64"/>
        <v>0</v>
      </c>
      <c r="T236" s="37"/>
      <c r="U236" s="37"/>
      <c r="V236" s="37"/>
      <c r="W236" s="37"/>
      <c r="X236" s="37"/>
      <c r="Y236" s="38"/>
      <c r="Z236" s="38"/>
      <c r="AA236" s="39"/>
      <c r="AB236" s="37"/>
      <c r="AC236" s="39"/>
      <c r="AD236" s="39"/>
      <c r="AE236" s="38"/>
      <c r="AF236" s="40">
        <f t="shared" si="65"/>
        <v>0</v>
      </c>
      <c r="AG236" s="104">
        <f t="shared" si="65"/>
        <v>0</v>
      </c>
    </row>
    <row r="237" spans="2:33" ht="12.75" x14ac:dyDescent="0.3">
      <c r="B237" s="27"/>
      <c r="C237" s="28"/>
      <c r="D237" s="28"/>
      <c r="E237" s="41">
        <v>4257130</v>
      </c>
      <c r="F237" s="55" t="s">
        <v>221</v>
      </c>
      <c r="G237" s="37"/>
      <c r="H237" s="37"/>
      <c r="I237" s="37"/>
      <c r="J237" s="37"/>
      <c r="K237" s="37"/>
      <c r="L237" s="38"/>
      <c r="M237" s="38"/>
      <c r="N237" s="39"/>
      <c r="O237" s="37"/>
      <c r="P237" s="39"/>
      <c r="Q237" s="39"/>
      <c r="R237" s="38"/>
      <c r="S237" s="40">
        <f t="shared" si="64"/>
        <v>0</v>
      </c>
      <c r="T237" s="37"/>
      <c r="U237" s="37"/>
      <c r="V237" s="37"/>
      <c r="W237" s="37"/>
      <c r="X237" s="37"/>
      <c r="Y237" s="38"/>
      <c r="Z237" s="38"/>
      <c r="AA237" s="39"/>
      <c r="AB237" s="37"/>
      <c r="AC237" s="39"/>
      <c r="AD237" s="39"/>
      <c r="AE237" s="38"/>
      <c r="AF237" s="40">
        <f t="shared" si="65"/>
        <v>0</v>
      </c>
      <c r="AG237" s="104">
        <f t="shared" si="65"/>
        <v>0</v>
      </c>
    </row>
    <row r="238" spans="2:33" ht="12.75" x14ac:dyDescent="0.3">
      <c r="B238" s="27"/>
      <c r="C238" s="28"/>
      <c r="D238" s="28"/>
      <c r="E238" s="41">
        <v>4257150</v>
      </c>
      <c r="F238" s="55" t="s">
        <v>222</v>
      </c>
      <c r="G238" s="37"/>
      <c r="H238" s="37"/>
      <c r="I238" s="37"/>
      <c r="J238" s="37"/>
      <c r="K238" s="37"/>
      <c r="L238" s="38"/>
      <c r="M238" s="38"/>
      <c r="N238" s="39"/>
      <c r="O238" s="37"/>
      <c r="P238" s="39"/>
      <c r="Q238" s="39"/>
      <c r="R238" s="38"/>
      <c r="S238" s="40">
        <f t="shared" si="64"/>
        <v>0</v>
      </c>
      <c r="T238" s="37"/>
      <c r="U238" s="37"/>
      <c r="V238" s="37"/>
      <c r="W238" s="37"/>
      <c r="X238" s="37"/>
      <c r="Y238" s="38"/>
      <c r="Z238" s="38"/>
      <c r="AA238" s="39"/>
      <c r="AB238" s="37"/>
      <c r="AC238" s="39"/>
      <c r="AD238" s="39"/>
      <c r="AE238" s="38"/>
      <c r="AF238" s="40">
        <f t="shared" si="65"/>
        <v>0</v>
      </c>
      <c r="AG238" s="104">
        <f t="shared" si="65"/>
        <v>0</v>
      </c>
    </row>
    <row r="239" spans="2:33" ht="12.75" x14ac:dyDescent="0.3">
      <c r="B239" s="27"/>
      <c r="C239" s="28"/>
      <c r="D239" s="29" t="s">
        <v>223</v>
      </c>
      <c r="E239" s="42"/>
      <c r="F239" s="31"/>
      <c r="G239" s="32">
        <v>0</v>
      </c>
      <c r="H239" s="33">
        <v>0</v>
      </c>
      <c r="I239" s="33">
        <v>0</v>
      </c>
      <c r="J239" s="33">
        <v>0</v>
      </c>
      <c r="K239" s="33">
        <v>0</v>
      </c>
      <c r="L239" s="34">
        <v>0</v>
      </c>
      <c r="M239" s="34">
        <v>0</v>
      </c>
      <c r="N239" s="33">
        <v>0</v>
      </c>
      <c r="O239" s="32">
        <v>0</v>
      </c>
      <c r="P239" s="33">
        <f t="shared" ref="P239:R239" si="82">SUM(P240:P248)</f>
        <v>0</v>
      </c>
      <c r="Q239" s="33">
        <f t="shared" si="82"/>
        <v>0</v>
      </c>
      <c r="R239" s="34">
        <f t="shared" si="82"/>
        <v>0</v>
      </c>
      <c r="S239" s="26">
        <f t="shared" si="64"/>
        <v>0</v>
      </c>
      <c r="T239" s="32">
        <f t="shared" ref="T239:AE239" si="83">SUM(T240:T248)</f>
        <v>0</v>
      </c>
      <c r="U239" s="33">
        <f t="shared" si="83"/>
        <v>0</v>
      </c>
      <c r="V239" s="33">
        <f t="shared" si="83"/>
        <v>0</v>
      </c>
      <c r="W239" s="33">
        <f t="shared" si="83"/>
        <v>0</v>
      </c>
      <c r="X239" s="33">
        <f t="shared" si="83"/>
        <v>0</v>
      </c>
      <c r="Y239" s="34">
        <f t="shared" si="83"/>
        <v>0</v>
      </c>
      <c r="Z239" s="34">
        <f t="shared" si="83"/>
        <v>0</v>
      </c>
      <c r="AA239" s="33">
        <f t="shared" si="83"/>
        <v>0</v>
      </c>
      <c r="AB239" s="32">
        <f t="shared" si="83"/>
        <v>0</v>
      </c>
      <c r="AC239" s="33">
        <f t="shared" si="83"/>
        <v>0</v>
      </c>
      <c r="AD239" s="33">
        <f t="shared" si="83"/>
        <v>0</v>
      </c>
      <c r="AE239" s="34">
        <f t="shared" si="83"/>
        <v>0</v>
      </c>
      <c r="AF239" s="26">
        <f t="shared" si="65"/>
        <v>0</v>
      </c>
      <c r="AG239" s="103">
        <f t="shared" si="65"/>
        <v>0</v>
      </c>
    </row>
    <row r="240" spans="2:33" ht="12.75" x14ac:dyDescent="0.3">
      <c r="B240" s="27"/>
      <c r="C240" s="28"/>
      <c r="D240" s="28"/>
      <c r="E240" s="41">
        <v>4258000</v>
      </c>
      <c r="F240" s="55" t="s">
        <v>224</v>
      </c>
      <c r="G240" s="37"/>
      <c r="H240" s="37"/>
      <c r="I240" s="37"/>
      <c r="J240" s="37"/>
      <c r="K240" s="37"/>
      <c r="L240" s="38"/>
      <c r="M240" s="38"/>
      <c r="N240" s="39"/>
      <c r="O240" s="37"/>
      <c r="P240" s="39"/>
      <c r="Q240" s="39"/>
      <c r="R240" s="38"/>
      <c r="S240" s="40">
        <f t="shared" si="64"/>
        <v>0</v>
      </c>
      <c r="T240" s="37"/>
      <c r="U240" s="37"/>
      <c r="V240" s="37"/>
      <c r="W240" s="37"/>
      <c r="X240" s="37"/>
      <c r="Y240" s="38"/>
      <c r="Z240" s="38"/>
      <c r="AA240" s="39"/>
      <c r="AB240" s="37"/>
      <c r="AC240" s="39"/>
      <c r="AD240" s="39"/>
      <c r="AE240" s="38"/>
      <c r="AF240" s="40">
        <f t="shared" si="65"/>
        <v>0</v>
      </c>
      <c r="AG240" s="104">
        <f t="shared" si="65"/>
        <v>0</v>
      </c>
    </row>
    <row r="241" spans="2:33" ht="12.75" x14ac:dyDescent="0.3">
      <c r="B241" s="27"/>
      <c r="C241" s="28"/>
      <c r="D241" s="28"/>
      <c r="E241" s="41">
        <v>4258100</v>
      </c>
      <c r="F241" s="55" t="s">
        <v>225</v>
      </c>
      <c r="G241" s="37"/>
      <c r="H241" s="37"/>
      <c r="I241" s="37"/>
      <c r="J241" s="37"/>
      <c r="K241" s="37"/>
      <c r="L241" s="38"/>
      <c r="M241" s="38"/>
      <c r="N241" s="39"/>
      <c r="O241" s="37"/>
      <c r="P241" s="39"/>
      <c r="Q241" s="39"/>
      <c r="R241" s="38"/>
      <c r="S241" s="40">
        <f t="shared" si="64"/>
        <v>0</v>
      </c>
      <c r="T241" s="37"/>
      <c r="U241" s="37"/>
      <c r="V241" s="37"/>
      <c r="W241" s="37"/>
      <c r="X241" s="37"/>
      <c r="Y241" s="38"/>
      <c r="Z241" s="38"/>
      <c r="AA241" s="39"/>
      <c r="AB241" s="37"/>
      <c r="AC241" s="39"/>
      <c r="AD241" s="39"/>
      <c r="AE241" s="38"/>
      <c r="AF241" s="40">
        <f t="shared" si="65"/>
        <v>0</v>
      </c>
      <c r="AG241" s="104">
        <f t="shared" si="65"/>
        <v>0</v>
      </c>
    </row>
    <row r="242" spans="2:33" ht="12.75" x14ac:dyDescent="0.3">
      <c r="B242" s="27"/>
      <c r="C242" s="28"/>
      <c r="D242" s="28"/>
      <c r="E242" s="41">
        <v>4258110</v>
      </c>
      <c r="F242" s="55" t="s">
        <v>226</v>
      </c>
      <c r="G242" s="37"/>
      <c r="H242" s="37"/>
      <c r="I242" s="37"/>
      <c r="J242" s="37"/>
      <c r="K242" s="37"/>
      <c r="L242" s="38"/>
      <c r="M242" s="38"/>
      <c r="N242" s="39"/>
      <c r="O242" s="37"/>
      <c r="P242" s="39"/>
      <c r="Q242" s="39"/>
      <c r="R242" s="38"/>
      <c r="S242" s="40">
        <f t="shared" si="64"/>
        <v>0</v>
      </c>
      <c r="T242" s="37"/>
      <c r="U242" s="37"/>
      <c r="V242" s="37"/>
      <c r="W242" s="37"/>
      <c r="X242" s="37"/>
      <c r="Y242" s="38"/>
      <c r="Z242" s="38"/>
      <c r="AA242" s="39"/>
      <c r="AB242" s="37"/>
      <c r="AC242" s="39"/>
      <c r="AD242" s="39"/>
      <c r="AE242" s="38"/>
      <c r="AF242" s="40">
        <f t="shared" si="65"/>
        <v>0</v>
      </c>
      <c r="AG242" s="104">
        <f t="shared" si="65"/>
        <v>0</v>
      </c>
    </row>
    <row r="243" spans="2:33" ht="12.75" x14ac:dyDescent="0.3">
      <c r="B243" s="27"/>
      <c r="C243" s="28"/>
      <c r="D243" s="28"/>
      <c r="E243" s="41">
        <v>4258120</v>
      </c>
      <c r="F243" s="55" t="s">
        <v>227</v>
      </c>
      <c r="G243" s="37"/>
      <c r="H243" s="37"/>
      <c r="I243" s="37"/>
      <c r="J243" s="37"/>
      <c r="K243" s="37"/>
      <c r="L243" s="38"/>
      <c r="M243" s="38"/>
      <c r="N243" s="39"/>
      <c r="O243" s="37"/>
      <c r="P243" s="39"/>
      <c r="Q243" s="39"/>
      <c r="R243" s="38"/>
      <c r="S243" s="40">
        <f t="shared" si="64"/>
        <v>0</v>
      </c>
      <c r="T243" s="37"/>
      <c r="U243" s="37"/>
      <c r="V243" s="37"/>
      <c r="W243" s="37"/>
      <c r="X243" s="37"/>
      <c r="Y243" s="38"/>
      <c r="Z243" s="38"/>
      <c r="AA243" s="39"/>
      <c r="AB243" s="37"/>
      <c r="AC243" s="39"/>
      <c r="AD243" s="39"/>
      <c r="AE243" s="38"/>
      <c r="AF243" s="40">
        <f t="shared" si="65"/>
        <v>0</v>
      </c>
      <c r="AG243" s="104">
        <f t="shared" si="65"/>
        <v>0</v>
      </c>
    </row>
    <row r="244" spans="2:33" ht="12.75" x14ac:dyDescent="0.3">
      <c r="B244" s="27"/>
      <c r="C244" s="28"/>
      <c r="D244" s="28"/>
      <c r="E244" s="41">
        <v>4258150</v>
      </c>
      <c r="F244" s="55" t="s">
        <v>228</v>
      </c>
      <c r="G244" s="37"/>
      <c r="H244" s="37"/>
      <c r="I244" s="37"/>
      <c r="J244" s="37"/>
      <c r="K244" s="37"/>
      <c r="L244" s="38"/>
      <c r="M244" s="38"/>
      <c r="N244" s="39"/>
      <c r="O244" s="37"/>
      <c r="P244" s="39"/>
      <c r="Q244" s="39"/>
      <c r="R244" s="38"/>
      <c r="S244" s="40">
        <f t="shared" si="64"/>
        <v>0</v>
      </c>
      <c r="T244" s="37"/>
      <c r="U244" s="37"/>
      <c r="V244" s="37"/>
      <c r="W244" s="37"/>
      <c r="X244" s="37"/>
      <c r="Y244" s="38"/>
      <c r="Z244" s="38"/>
      <c r="AA244" s="39"/>
      <c r="AB244" s="37"/>
      <c r="AC244" s="39"/>
      <c r="AD244" s="39"/>
      <c r="AE244" s="38"/>
      <c r="AF244" s="40">
        <f t="shared" si="65"/>
        <v>0</v>
      </c>
      <c r="AG244" s="104">
        <f t="shared" si="65"/>
        <v>0</v>
      </c>
    </row>
    <row r="245" spans="2:33" ht="12.75" x14ac:dyDescent="0.3">
      <c r="B245" s="27"/>
      <c r="C245" s="28"/>
      <c r="D245" s="28"/>
      <c r="E245" s="41">
        <v>4258160</v>
      </c>
      <c r="F245" s="55" t="s">
        <v>229</v>
      </c>
      <c r="G245" s="37"/>
      <c r="H245" s="37"/>
      <c r="I245" s="37"/>
      <c r="J245" s="37"/>
      <c r="K245" s="37"/>
      <c r="L245" s="38"/>
      <c r="M245" s="38"/>
      <c r="N245" s="39"/>
      <c r="O245" s="37"/>
      <c r="P245" s="39"/>
      <c r="Q245" s="39"/>
      <c r="R245" s="38"/>
      <c r="S245" s="40">
        <f t="shared" si="64"/>
        <v>0</v>
      </c>
      <c r="T245" s="37"/>
      <c r="U245" s="37"/>
      <c r="V245" s="37"/>
      <c r="W245" s="37"/>
      <c r="X245" s="37"/>
      <c r="Y245" s="38"/>
      <c r="Z245" s="38"/>
      <c r="AA245" s="39"/>
      <c r="AB245" s="37"/>
      <c r="AC245" s="39"/>
      <c r="AD245" s="39"/>
      <c r="AE245" s="38"/>
      <c r="AF245" s="40">
        <f t="shared" si="65"/>
        <v>0</v>
      </c>
      <c r="AG245" s="104">
        <f t="shared" si="65"/>
        <v>0</v>
      </c>
    </row>
    <row r="246" spans="2:33" ht="12.75" x14ac:dyDescent="0.3">
      <c r="B246" s="27"/>
      <c r="C246" s="28"/>
      <c r="D246" s="28"/>
      <c r="E246" s="41">
        <v>4258130</v>
      </c>
      <c r="F246" s="55" t="s">
        <v>230</v>
      </c>
      <c r="G246" s="37"/>
      <c r="H246" s="37"/>
      <c r="I246" s="37"/>
      <c r="J246" s="37"/>
      <c r="K246" s="37"/>
      <c r="L246" s="38"/>
      <c r="M246" s="38"/>
      <c r="N246" s="39"/>
      <c r="O246" s="37"/>
      <c r="P246" s="39"/>
      <c r="Q246" s="39"/>
      <c r="R246" s="38"/>
      <c r="S246" s="40">
        <f t="shared" si="64"/>
        <v>0</v>
      </c>
      <c r="T246" s="37"/>
      <c r="U246" s="37"/>
      <c r="V246" s="37"/>
      <c r="W246" s="37"/>
      <c r="X246" s="37"/>
      <c r="Y246" s="38"/>
      <c r="Z246" s="38"/>
      <c r="AA246" s="39"/>
      <c r="AB246" s="37"/>
      <c r="AC246" s="39"/>
      <c r="AD246" s="39"/>
      <c r="AE246" s="38"/>
      <c r="AF246" s="40">
        <f t="shared" si="65"/>
        <v>0</v>
      </c>
      <c r="AG246" s="104">
        <f t="shared" si="65"/>
        <v>0</v>
      </c>
    </row>
    <row r="247" spans="2:33" ht="12.75" x14ac:dyDescent="0.3">
      <c r="B247" s="27"/>
      <c r="C247" s="28"/>
      <c r="D247" s="28"/>
      <c r="E247" s="41">
        <v>4258140</v>
      </c>
      <c r="F247" s="55" t="s">
        <v>231</v>
      </c>
      <c r="G247" s="37"/>
      <c r="H247" s="37"/>
      <c r="I247" s="37"/>
      <c r="J247" s="37"/>
      <c r="K247" s="37"/>
      <c r="L247" s="38"/>
      <c r="M247" s="38"/>
      <c r="N247" s="39"/>
      <c r="O247" s="37"/>
      <c r="P247" s="39"/>
      <c r="Q247" s="39"/>
      <c r="R247" s="38"/>
      <c r="S247" s="40">
        <f t="shared" ref="S247:S312" si="84">SUM(G247:R247)</f>
        <v>0</v>
      </c>
      <c r="T247" s="37"/>
      <c r="U247" s="37"/>
      <c r="V247" s="37"/>
      <c r="W247" s="37"/>
      <c r="X247" s="37"/>
      <c r="Y247" s="38"/>
      <c r="Z247" s="38"/>
      <c r="AA247" s="39"/>
      <c r="AB247" s="37"/>
      <c r="AC247" s="39"/>
      <c r="AD247" s="39"/>
      <c r="AE247" s="38"/>
      <c r="AF247" s="40">
        <f t="shared" ref="AF247:AG312" si="85">SUM(T247:AE247)</f>
        <v>0</v>
      </c>
      <c r="AG247" s="104">
        <f t="shared" si="85"/>
        <v>0</v>
      </c>
    </row>
    <row r="248" spans="2:33" ht="12.75" x14ac:dyDescent="0.3">
      <c r="B248" s="27"/>
      <c r="C248" s="28"/>
      <c r="D248" s="28"/>
      <c r="E248" s="41">
        <v>4258190</v>
      </c>
      <c r="F248" s="55" t="s">
        <v>232</v>
      </c>
      <c r="G248" s="37"/>
      <c r="H248" s="37"/>
      <c r="I248" s="37"/>
      <c r="J248" s="37"/>
      <c r="K248" s="37"/>
      <c r="L248" s="38"/>
      <c r="M248" s="38"/>
      <c r="N248" s="39"/>
      <c r="O248" s="37"/>
      <c r="P248" s="39"/>
      <c r="Q248" s="39"/>
      <c r="R248" s="38"/>
      <c r="S248" s="40">
        <f t="shared" si="84"/>
        <v>0</v>
      </c>
      <c r="T248" s="37"/>
      <c r="U248" s="37"/>
      <c r="V248" s="37"/>
      <c r="W248" s="37"/>
      <c r="X248" s="37"/>
      <c r="Y248" s="38"/>
      <c r="Z248" s="38"/>
      <c r="AA248" s="39"/>
      <c r="AB248" s="37"/>
      <c r="AC248" s="39"/>
      <c r="AD248" s="39"/>
      <c r="AE248" s="38"/>
      <c r="AF248" s="40">
        <f t="shared" si="85"/>
        <v>0</v>
      </c>
      <c r="AG248" s="104">
        <f t="shared" si="85"/>
        <v>0</v>
      </c>
    </row>
    <row r="249" spans="2:33" ht="12.75" x14ac:dyDescent="0.3">
      <c r="B249" s="27"/>
      <c r="C249" s="28"/>
      <c r="D249" s="29" t="s">
        <v>233</v>
      </c>
      <c r="E249" s="42"/>
      <c r="F249" s="31"/>
      <c r="G249" s="32">
        <v>0</v>
      </c>
      <c r="H249" s="33">
        <v>0</v>
      </c>
      <c r="I249" s="33">
        <v>0</v>
      </c>
      <c r="J249" s="33">
        <v>0</v>
      </c>
      <c r="K249" s="33">
        <v>0</v>
      </c>
      <c r="L249" s="34">
        <v>0</v>
      </c>
      <c r="M249" s="34">
        <v>0</v>
      </c>
      <c r="N249" s="33">
        <v>0</v>
      </c>
      <c r="O249" s="32">
        <v>0</v>
      </c>
      <c r="P249" s="33">
        <f t="shared" ref="P249:R249" si="86">SUM(P250:P255)</f>
        <v>0</v>
      </c>
      <c r="Q249" s="33">
        <f t="shared" si="86"/>
        <v>0</v>
      </c>
      <c r="R249" s="34">
        <f t="shared" si="86"/>
        <v>0</v>
      </c>
      <c r="S249" s="26">
        <f t="shared" si="84"/>
        <v>0</v>
      </c>
      <c r="T249" s="32">
        <f t="shared" ref="T249:AE249" si="87">SUM(T250:T255)</f>
        <v>0</v>
      </c>
      <c r="U249" s="33">
        <f t="shared" si="87"/>
        <v>0</v>
      </c>
      <c r="V249" s="33">
        <f t="shared" si="87"/>
        <v>0</v>
      </c>
      <c r="W249" s="33">
        <f t="shared" si="87"/>
        <v>0</v>
      </c>
      <c r="X249" s="33">
        <f t="shared" si="87"/>
        <v>0</v>
      </c>
      <c r="Y249" s="34">
        <f t="shared" si="87"/>
        <v>0</v>
      </c>
      <c r="Z249" s="34">
        <f t="shared" si="87"/>
        <v>0</v>
      </c>
      <c r="AA249" s="33">
        <f t="shared" si="87"/>
        <v>0</v>
      </c>
      <c r="AB249" s="32">
        <f t="shared" si="87"/>
        <v>0</v>
      </c>
      <c r="AC249" s="33">
        <f t="shared" si="87"/>
        <v>0</v>
      </c>
      <c r="AD249" s="33">
        <f t="shared" si="87"/>
        <v>0</v>
      </c>
      <c r="AE249" s="34">
        <f t="shared" si="87"/>
        <v>0</v>
      </c>
      <c r="AF249" s="26">
        <f t="shared" si="85"/>
        <v>0</v>
      </c>
      <c r="AG249" s="103">
        <f t="shared" si="85"/>
        <v>0</v>
      </c>
    </row>
    <row r="250" spans="2:33" ht="12.75" x14ac:dyDescent="0.3">
      <c r="B250" s="27"/>
      <c r="C250" s="28"/>
      <c r="D250" s="28"/>
      <c r="E250" s="41">
        <v>4259000</v>
      </c>
      <c r="F250" s="55" t="s">
        <v>234</v>
      </c>
      <c r="G250" s="37"/>
      <c r="H250" s="37"/>
      <c r="I250" s="37"/>
      <c r="J250" s="37"/>
      <c r="K250" s="37"/>
      <c r="L250" s="38"/>
      <c r="M250" s="38"/>
      <c r="N250" s="39"/>
      <c r="O250" s="37"/>
      <c r="P250" s="39"/>
      <c r="Q250" s="39"/>
      <c r="R250" s="38"/>
      <c r="S250" s="40">
        <f t="shared" si="84"/>
        <v>0</v>
      </c>
      <c r="T250" s="37"/>
      <c r="U250" s="37"/>
      <c r="V250" s="37"/>
      <c r="W250" s="37"/>
      <c r="X250" s="37"/>
      <c r="Y250" s="38"/>
      <c r="Z250" s="38"/>
      <c r="AA250" s="39"/>
      <c r="AB250" s="37"/>
      <c r="AC250" s="39"/>
      <c r="AD250" s="39"/>
      <c r="AE250" s="38"/>
      <c r="AF250" s="40">
        <f t="shared" si="85"/>
        <v>0</v>
      </c>
      <c r="AG250" s="104">
        <f t="shared" si="85"/>
        <v>0</v>
      </c>
    </row>
    <row r="251" spans="2:33" ht="12.75" x14ac:dyDescent="0.3">
      <c r="B251" s="27"/>
      <c r="C251" s="28"/>
      <c r="D251" s="28"/>
      <c r="E251" s="41">
        <v>4259120</v>
      </c>
      <c r="F251" s="55" t="s">
        <v>235</v>
      </c>
      <c r="G251" s="37"/>
      <c r="H251" s="37"/>
      <c r="I251" s="37"/>
      <c r="J251" s="37"/>
      <c r="K251" s="37"/>
      <c r="L251" s="38"/>
      <c r="M251" s="38"/>
      <c r="N251" s="39"/>
      <c r="O251" s="37"/>
      <c r="P251" s="39"/>
      <c r="Q251" s="39"/>
      <c r="R251" s="38"/>
      <c r="S251" s="40">
        <f t="shared" si="84"/>
        <v>0</v>
      </c>
      <c r="T251" s="37"/>
      <c r="U251" s="37"/>
      <c r="V251" s="37"/>
      <c r="W251" s="37"/>
      <c r="X251" s="37"/>
      <c r="Y251" s="38"/>
      <c r="Z251" s="38"/>
      <c r="AA251" s="39"/>
      <c r="AB251" s="37"/>
      <c r="AC251" s="39"/>
      <c r="AD251" s="39"/>
      <c r="AE251" s="38"/>
      <c r="AF251" s="40">
        <f t="shared" si="85"/>
        <v>0</v>
      </c>
      <c r="AG251" s="104">
        <f t="shared" si="85"/>
        <v>0</v>
      </c>
    </row>
    <row r="252" spans="2:33" ht="12.75" x14ac:dyDescent="0.3">
      <c r="B252" s="27"/>
      <c r="C252" s="28"/>
      <c r="D252" s="28"/>
      <c r="E252" s="41">
        <v>4259130</v>
      </c>
      <c r="F252" s="55" t="s">
        <v>236</v>
      </c>
      <c r="G252" s="37"/>
      <c r="H252" s="37"/>
      <c r="I252" s="37"/>
      <c r="J252" s="37"/>
      <c r="K252" s="37"/>
      <c r="L252" s="38"/>
      <c r="M252" s="38"/>
      <c r="N252" s="39"/>
      <c r="O252" s="37"/>
      <c r="P252" s="39"/>
      <c r="Q252" s="39"/>
      <c r="R252" s="38"/>
      <c r="S252" s="40">
        <f t="shared" si="84"/>
        <v>0</v>
      </c>
      <c r="T252" s="37"/>
      <c r="U252" s="37"/>
      <c r="V252" s="37"/>
      <c r="W252" s="37"/>
      <c r="X252" s="37"/>
      <c r="Y252" s="38"/>
      <c r="Z252" s="38"/>
      <c r="AA252" s="39"/>
      <c r="AB252" s="37"/>
      <c r="AC252" s="39"/>
      <c r="AD252" s="39"/>
      <c r="AE252" s="38"/>
      <c r="AF252" s="40">
        <f t="shared" si="85"/>
        <v>0</v>
      </c>
      <c r="AG252" s="104">
        <f t="shared" si="85"/>
        <v>0</v>
      </c>
    </row>
    <row r="253" spans="2:33" ht="12.75" x14ac:dyDescent="0.3">
      <c r="B253" s="27"/>
      <c r="C253" s="28"/>
      <c r="D253" s="28"/>
      <c r="E253" s="41">
        <v>4259140</v>
      </c>
      <c r="F253" s="55" t="s">
        <v>237</v>
      </c>
      <c r="G253" s="37"/>
      <c r="H253" s="37"/>
      <c r="I253" s="37"/>
      <c r="J253" s="37"/>
      <c r="K253" s="37"/>
      <c r="L253" s="38"/>
      <c r="M253" s="38"/>
      <c r="N253" s="39"/>
      <c r="O253" s="37"/>
      <c r="P253" s="39"/>
      <c r="Q253" s="39"/>
      <c r="R253" s="38"/>
      <c r="S253" s="40">
        <f t="shared" si="84"/>
        <v>0</v>
      </c>
      <c r="T253" s="37"/>
      <c r="U253" s="37"/>
      <c r="V253" s="37"/>
      <c r="W253" s="37"/>
      <c r="X253" s="37"/>
      <c r="Y253" s="38"/>
      <c r="Z253" s="38"/>
      <c r="AA253" s="39"/>
      <c r="AB253" s="37"/>
      <c r="AC253" s="39"/>
      <c r="AD253" s="39"/>
      <c r="AE253" s="38"/>
      <c r="AF253" s="40">
        <f t="shared" si="85"/>
        <v>0</v>
      </c>
      <c r="AG253" s="104">
        <f t="shared" si="85"/>
        <v>0</v>
      </c>
    </row>
    <row r="254" spans="2:33" ht="12.75" x14ac:dyDescent="0.3">
      <c r="B254" s="27"/>
      <c r="C254" s="28"/>
      <c r="D254" s="28"/>
      <c r="E254" s="41">
        <v>4259160</v>
      </c>
      <c r="F254" s="55" t="s">
        <v>238</v>
      </c>
      <c r="G254" s="37"/>
      <c r="H254" s="37"/>
      <c r="I254" s="37"/>
      <c r="J254" s="37"/>
      <c r="K254" s="37"/>
      <c r="L254" s="38"/>
      <c r="M254" s="38"/>
      <c r="N254" s="39"/>
      <c r="O254" s="37"/>
      <c r="P254" s="39"/>
      <c r="Q254" s="39"/>
      <c r="R254" s="38"/>
      <c r="S254" s="40">
        <f t="shared" si="84"/>
        <v>0</v>
      </c>
      <c r="T254" s="37"/>
      <c r="U254" s="37"/>
      <c r="V254" s="37"/>
      <c r="W254" s="37"/>
      <c r="X254" s="37"/>
      <c r="Y254" s="38"/>
      <c r="Z254" s="38"/>
      <c r="AA254" s="39"/>
      <c r="AB254" s="37"/>
      <c r="AC254" s="39"/>
      <c r="AD254" s="39"/>
      <c r="AE254" s="38"/>
      <c r="AF254" s="40">
        <f t="shared" si="85"/>
        <v>0</v>
      </c>
      <c r="AG254" s="104">
        <f t="shared" si="85"/>
        <v>0</v>
      </c>
    </row>
    <row r="255" spans="2:33" ht="12.75" x14ac:dyDescent="0.3">
      <c r="B255" s="27"/>
      <c r="C255" s="28"/>
      <c r="D255" s="28"/>
      <c r="E255" s="41">
        <v>4259180</v>
      </c>
      <c r="F255" s="55" t="s">
        <v>239</v>
      </c>
      <c r="G255" s="37"/>
      <c r="H255" s="37"/>
      <c r="I255" s="37"/>
      <c r="J255" s="37"/>
      <c r="K255" s="37"/>
      <c r="L255" s="38"/>
      <c r="M255" s="38"/>
      <c r="N255" s="39"/>
      <c r="O255" s="37"/>
      <c r="P255" s="39"/>
      <c r="Q255" s="39"/>
      <c r="R255" s="38"/>
      <c r="S255" s="40">
        <f t="shared" si="84"/>
        <v>0</v>
      </c>
      <c r="T255" s="37"/>
      <c r="U255" s="37"/>
      <c r="V255" s="37"/>
      <c r="W255" s="37"/>
      <c r="X255" s="37"/>
      <c r="Y255" s="38"/>
      <c r="Z255" s="38"/>
      <c r="AA255" s="39"/>
      <c r="AB255" s="37"/>
      <c r="AC255" s="39"/>
      <c r="AD255" s="39"/>
      <c r="AE255" s="38"/>
      <c r="AF255" s="40">
        <f t="shared" si="85"/>
        <v>0</v>
      </c>
      <c r="AG255" s="104">
        <f t="shared" si="85"/>
        <v>0</v>
      </c>
    </row>
    <row r="256" spans="2:33" ht="12.75" x14ac:dyDescent="0.3">
      <c r="B256" s="27"/>
      <c r="C256" s="28"/>
      <c r="D256" s="29" t="s">
        <v>240</v>
      </c>
      <c r="E256" s="42"/>
      <c r="F256" s="31"/>
      <c r="G256" s="32">
        <v>0</v>
      </c>
      <c r="H256" s="33">
        <v>0</v>
      </c>
      <c r="I256" s="33">
        <v>0</v>
      </c>
      <c r="J256" s="33">
        <v>0</v>
      </c>
      <c r="K256" s="33">
        <v>0</v>
      </c>
      <c r="L256" s="34">
        <v>0</v>
      </c>
      <c r="M256" s="34">
        <v>0</v>
      </c>
      <c r="N256" s="33">
        <v>0</v>
      </c>
      <c r="O256" s="32">
        <v>0</v>
      </c>
      <c r="P256" s="33">
        <f t="shared" ref="P256:R256" si="88">SUM(P257:P260)</f>
        <v>0</v>
      </c>
      <c r="Q256" s="33">
        <f t="shared" si="88"/>
        <v>0</v>
      </c>
      <c r="R256" s="34">
        <f t="shared" si="88"/>
        <v>0</v>
      </c>
      <c r="S256" s="26">
        <f t="shared" si="84"/>
        <v>0</v>
      </c>
      <c r="T256" s="32">
        <f t="shared" ref="T256:AE256" si="89">SUM(T257:T260)</f>
        <v>0</v>
      </c>
      <c r="U256" s="33">
        <f t="shared" si="89"/>
        <v>0</v>
      </c>
      <c r="V256" s="33">
        <f t="shared" si="89"/>
        <v>0</v>
      </c>
      <c r="W256" s="33">
        <f t="shared" si="89"/>
        <v>0</v>
      </c>
      <c r="X256" s="33">
        <f t="shared" si="89"/>
        <v>0</v>
      </c>
      <c r="Y256" s="34">
        <f t="shared" si="89"/>
        <v>0</v>
      </c>
      <c r="Z256" s="34">
        <f t="shared" si="89"/>
        <v>0</v>
      </c>
      <c r="AA256" s="33">
        <f t="shared" si="89"/>
        <v>0</v>
      </c>
      <c r="AB256" s="32">
        <f t="shared" si="89"/>
        <v>0</v>
      </c>
      <c r="AC256" s="33">
        <f t="shared" si="89"/>
        <v>0</v>
      </c>
      <c r="AD256" s="33">
        <f t="shared" si="89"/>
        <v>0</v>
      </c>
      <c r="AE256" s="34">
        <f t="shared" si="89"/>
        <v>0</v>
      </c>
      <c r="AF256" s="26">
        <f t="shared" si="85"/>
        <v>0</v>
      </c>
      <c r="AG256" s="103">
        <f t="shared" si="85"/>
        <v>0</v>
      </c>
    </row>
    <row r="257" spans="2:33" ht="12.75" x14ac:dyDescent="0.3">
      <c r="B257" s="27"/>
      <c r="C257" s="28"/>
      <c r="D257" s="28"/>
      <c r="E257" s="41">
        <v>4260000</v>
      </c>
      <c r="F257" s="55" t="s">
        <v>241</v>
      </c>
      <c r="G257" s="37"/>
      <c r="H257" s="37"/>
      <c r="I257" s="37"/>
      <c r="J257" s="37"/>
      <c r="K257" s="37"/>
      <c r="L257" s="38"/>
      <c r="M257" s="38"/>
      <c r="N257" s="39"/>
      <c r="O257" s="37"/>
      <c r="P257" s="39"/>
      <c r="Q257" s="39"/>
      <c r="R257" s="38"/>
      <c r="S257" s="40">
        <f t="shared" si="84"/>
        <v>0</v>
      </c>
      <c r="T257" s="37"/>
      <c r="U257" s="37"/>
      <c r="V257" s="37"/>
      <c r="W257" s="37"/>
      <c r="X257" s="37"/>
      <c r="Y257" s="38"/>
      <c r="Z257" s="38"/>
      <c r="AA257" s="39"/>
      <c r="AB257" s="37"/>
      <c r="AC257" s="39"/>
      <c r="AD257" s="39"/>
      <c r="AE257" s="38"/>
      <c r="AF257" s="40">
        <f t="shared" si="85"/>
        <v>0</v>
      </c>
      <c r="AG257" s="104">
        <f t="shared" si="85"/>
        <v>0</v>
      </c>
    </row>
    <row r="258" spans="2:33" ht="12.75" x14ac:dyDescent="0.3">
      <c r="B258" s="27"/>
      <c r="C258" s="28"/>
      <c r="D258" s="28"/>
      <c r="E258" s="41">
        <v>4260100</v>
      </c>
      <c r="F258" s="55" t="s">
        <v>242</v>
      </c>
      <c r="G258" s="37"/>
      <c r="H258" s="37"/>
      <c r="I258" s="37"/>
      <c r="J258" s="37"/>
      <c r="K258" s="37"/>
      <c r="L258" s="38"/>
      <c r="M258" s="38"/>
      <c r="N258" s="39"/>
      <c r="O258" s="37"/>
      <c r="P258" s="39"/>
      <c r="Q258" s="39"/>
      <c r="R258" s="38"/>
      <c r="S258" s="40">
        <f t="shared" si="84"/>
        <v>0</v>
      </c>
      <c r="T258" s="37"/>
      <c r="U258" s="37"/>
      <c r="V258" s="37"/>
      <c r="W258" s="37"/>
      <c r="X258" s="37"/>
      <c r="Y258" s="38"/>
      <c r="Z258" s="38"/>
      <c r="AA258" s="39"/>
      <c r="AB258" s="37"/>
      <c r="AC258" s="39"/>
      <c r="AD258" s="39"/>
      <c r="AE258" s="38"/>
      <c r="AF258" s="40">
        <f t="shared" si="85"/>
        <v>0</v>
      </c>
      <c r="AG258" s="104">
        <f t="shared" si="85"/>
        <v>0</v>
      </c>
    </row>
    <row r="259" spans="2:33" ht="12.75" x14ac:dyDescent="0.3">
      <c r="B259" s="27"/>
      <c r="C259" s="28"/>
      <c r="D259" s="28"/>
      <c r="E259" s="41">
        <v>4260140</v>
      </c>
      <c r="F259" s="55" t="s">
        <v>243</v>
      </c>
      <c r="G259" s="37"/>
      <c r="H259" s="37"/>
      <c r="I259" s="37"/>
      <c r="J259" s="37"/>
      <c r="K259" s="37"/>
      <c r="L259" s="38"/>
      <c r="M259" s="38"/>
      <c r="N259" s="39"/>
      <c r="O259" s="37"/>
      <c r="P259" s="39"/>
      <c r="Q259" s="39"/>
      <c r="R259" s="38"/>
      <c r="S259" s="40">
        <f t="shared" si="84"/>
        <v>0</v>
      </c>
      <c r="T259" s="37"/>
      <c r="U259" s="37"/>
      <c r="V259" s="37"/>
      <c r="W259" s="37"/>
      <c r="X259" s="37"/>
      <c r="Y259" s="38"/>
      <c r="Z259" s="38"/>
      <c r="AA259" s="39"/>
      <c r="AB259" s="37"/>
      <c r="AC259" s="39"/>
      <c r="AD259" s="39"/>
      <c r="AE259" s="38"/>
      <c r="AF259" s="40">
        <f t="shared" si="85"/>
        <v>0</v>
      </c>
      <c r="AG259" s="104">
        <f t="shared" si="85"/>
        <v>0</v>
      </c>
    </row>
    <row r="260" spans="2:33" ht="12.75" x14ac:dyDescent="0.3">
      <c r="B260" s="27"/>
      <c r="C260" s="28"/>
      <c r="D260" s="28"/>
      <c r="E260" s="41">
        <v>4260300</v>
      </c>
      <c r="F260" s="55" t="s">
        <v>244</v>
      </c>
      <c r="G260" s="37"/>
      <c r="H260" s="37"/>
      <c r="I260" s="37"/>
      <c r="J260" s="37"/>
      <c r="K260" s="37"/>
      <c r="L260" s="38"/>
      <c r="M260" s="38"/>
      <c r="N260" s="39"/>
      <c r="O260" s="37"/>
      <c r="P260" s="39"/>
      <c r="Q260" s="39"/>
      <c r="R260" s="38"/>
      <c r="S260" s="40">
        <f t="shared" si="84"/>
        <v>0</v>
      </c>
      <c r="T260" s="37"/>
      <c r="U260" s="37"/>
      <c r="V260" s="37"/>
      <c r="W260" s="37"/>
      <c r="X260" s="37"/>
      <c r="Y260" s="38"/>
      <c r="Z260" s="38"/>
      <c r="AA260" s="39"/>
      <c r="AB260" s="37"/>
      <c r="AC260" s="39"/>
      <c r="AD260" s="39"/>
      <c r="AE260" s="38"/>
      <c r="AF260" s="40">
        <f t="shared" si="85"/>
        <v>0</v>
      </c>
      <c r="AG260" s="104">
        <f t="shared" si="85"/>
        <v>0</v>
      </c>
    </row>
    <row r="261" spans="2:33" ht="12.75" x14ac:dyDescent="0.3">
      <c r="B261" s="27"/>
      <c r="C261" s="28"/>
      <c r="D261" s="29" t="s">
        <v>245</v>
      </c>
      <c r="E261" s="42"/>
      <c r="F261" s="31"/>
      <c r="G261" s="32">
        <v>0</v>
      </c>
      <c r="H261" s="33">
        <v>0</v>
      </c>
      <c r="I261" s="33">
        <v>0</v>
      </c>
      <c r="J261" s="33">
        <v>0</v>
      </c>
      <c r="K261" s="33">
        <v>0</v>
      </c>
      <c r="L261" s="34">
        <v>0</v>
      </c>
      <c r="M261" s="34">
        <v>0</v>
      </c>
      <c r="N261" s="33">
        <v>0</v>
      </c>
      <c r="O261" s="32">
        <v>0</v>
      </c>
      <c r="P261" s="33">
        <f t="shared" ref="P261:R261" si="90">SUM(P262:P267)</f>
        <v>0</v>
      </c>
      <c r="Q261" s="33">
        <f t="shared" si="90"/>
        <v>0</v>
      </c>
      <c r="R261" s="34">
        <f t="shared" si="90"/>
        <v>0</v>
      </c>
      <c r="S261" s="26">
        <f t="shared" si="84"/>
        <v>0</v>
      </c>
      <c r="T261" s="32">
        <f t="shared" ref="T261:AE261" si="91">SUM(T262:T267)</f>
        <v>0</v>
      </c>
      <c r="U261" s="33">
        <f t="shared" si="91"/>
        <v>0</v>
      </c>
      <c r="V261" s="33">
        <f t="shared" si="91"/>
        <v>0</v>
      </c>
      <c r="W261" s="33">
        <f t="shared" si="91"/>
        <v>0</v>
      </c>
      <c r="X261" s="33">
        <f t="shared" si="91"/>
        <v>0</v>
      </c>
      <c r="Y261" s="34">
        <f t="shared" si="91"/>
        <v>0</v>
      </c>
      <c r="Z261" s="34">
        <f t="shared" si="91"/>
        <v>0</v>
      </c>
      <c r="AA261" s="33">
        <f t="shared" si="91"/>
        <v>0</v>
      </c>
      <c r="AB261" s="32">
        <f t="shared" si="91"/>
        <v>0</v>
      </c>
      <c r="AC261" s="33">
        <f t="shared" si="91"/>
        <v>0</v>
      </c>
      <c r="AD261" s="33">
        <f t="shared" si="91"/>
        <v>0</v>
      </c>
      <c r="AE261" s="34">
        <f t="shared" si="91"/>
        <v>0</v>
      </c>
      <c r="AF261" s="26">
        <f t="shared" si="85"/>
        <v>0</v>
      </c>
      <c r="AG261" s="103">
        <f t="shared" si="85"/>
        <v>0</v>
      </c>
    </row>
    <row r="262" spans="2:33" ht="12.75" x14ac:dyDescent="0.3">
      <c r="B262" s="27"/>
      <c r="C262" s="28"/>
      <c r="D262" s="28"/>
      <c r="E262" s="41">
        <v>4261000</v>
      </c>
      <c r="F262" s="55" t="s">
        <v>246</v>
      </c>
      <c r="G262" s="37"/>
      <c r="H262" s="37"/>
      <c r="I262" s="37"/>
      <c r="J262" s="37"/>
      <c r="K262" s="37"/>
      <c r="L262" s="38"/>
      <c r="M262" s="38"/>
      <c r="N262" s="39"/>
      <c r="O262" s="37"/>
      <c r="P262" s="39"/>
      <c r="Q262" s="39"/>
      <c r="R262" s="38"/>
      <c r="S262" s="40">
        <f t="shared" si="84"/>
        <v>0</v>
      </c>
      <c r="T262" s="37"/>
      <c r="U262" s="37"/>
      <c r="V262" s="37"/>
      <c r="W262" s="37"/>
      <c r="X262" s="37"/>
      <c r="Y262" s="38"/>
      <c r="Z262" s="38"/>
      <c r="AA262" s="39"/>
      <c r="AB262" s="37"/>
      <c r="AC262" s="39"/>
      <c r="AD262" s="39"/>
      <c r="AE262" s="38"/>
      <c r="AF262" s="40">
        <f t="shared" si="85"/>
        <v>0</v>
      </c>
      <c r="AG262" s="104">
        <f t="shared" si="85"/>
        <v>0</v>
      </c>
    </row>
    <row r="263" spans="2:33" ht="12.75" x14ac:dyDescent="0.3">
      <c r="B263" s="27"/>
      <c r="C263" s="28"/>
      <c r="D263" s="28"/>
      <c r="E263" s="41">
        <v>4261100</v>
      </c>
      <c r="F263" s="55" t="s">
        <v>247</v>
      </c>
      <c r="G263" s="37"/>
      <c r="H263" s="37"/>
      <c r="I263" s="37"/>
      <c r="J263" s="37"/>
      <c r="K263" s="37"/>
      <c r="L263" s="38"/>
      <c r="M263" s="38"/>
      <c r="N263" s="39"/>
      <c r="O263" s="37"/>
      <c r="P263" s="39"/>
      <c r="Q263" s="39"/>
      <c r="R263" s="38"/>
      <c r="S263" s="40">
        <f t="shared" si="84"/>
        <v>0</v>
      </c>
      <c r="T263" s="37"/>
      <c r="U263" s="37"/>
      <c r="V263" s="37"/>
      <c r="W263" s="37"/>
      <c r="X263" s="37"/>
      <c r="Y263" s="38"/>
      <c r="Z263" s="38"/>
      <c r="AA263" s="39"/>
      <c r="AB263" s="37"/>
      <c r="AC263" s="39"/>
      <c r="AD263" s="39"/>
      <c r="AE263" s="38"/>
      <c r="AF263" s="40">
        <f t="shared" si="85"/>
        <v>0</v>
      </c>
      <c r="AG263" s="104">
        <f t="shared" si="85"/>
        <v>0</v>
      </c>
    </row>
    <row r="264" spans="2:33" ht="12.75" x14ac:dyDescent="0.3">
      <c r="B264" s="27"/>
      <c r="C264" s="28"/>
      <c r="D264" s="28"/>
      <c r="E264" s="41">
        <v>4261110</v>
      </c>
      <c r="F264" s="55" t="s">
        <v>248</v>
      </c>
      <c r="G264" s="37"/>
      <c r="H264" s="37"/>
      <c r="I264" s="37"/>
      <c r="J264" s="37"/>
      <c r="K264" s="37"/>
      <c r="L264" s="38"/>
      <c r="M264" s="38"/>
      <c r="N264" s="39"/>
      <c r="O264" s="37"/>
      <c r="P264" s="39"/>
      <c r="Q264" s="39"/>
      <c r="R264" s="38"/>
      <c r="S264" s="40">
        <f t="shared" si="84"/>
        <v>0</v>
      </c>
      <c r="T264" s="37"/>
      <c r="U264" s="37"/>
      <c r="V264" s="37"/>
      <c r="W264" s="37"/>
      <c r="X264" s="37"/>
      <c r="Y264" s="38"/>
      <c r="Z264" s="38"/>
      <c r="AA264" s="39"/>
      <c r="AB264" s="37"/>
      <c r="AC264" s="39"/>
      <c r="AD264" s="39"/>
      <c r="AE264" s="38"/>
      <c r="AF264" s="40">
        <f t="shared" si="85"/>
        <v>0</v>
      </c>
      <c r="AG264" s="104">
        <f t="shared" si="85"/>
        <v>0</v>
      </c>
    </row>
    <row r="265" spans="2:33" ht="12.75" x14ac:dyDescent="0.3">
      <c r="B265" s="27"/>
      <c r="C265" s="28"/>
      <c r="D265" s="28"/>
      <c r="E265" s="41">
        <v>4261120</v>
      </c>
      <c r="F265" s="55" t="s">
        <v>249</v>
      </c>
      <c r="G265" s="37"/>
      <c r="H265" s="37"/>
      <c r="I265" s="37"/>
      <c r="J265" s="37"/>
      <c r="K265" s="37"/>
      <c r="L265" s="38"/>
      <c r="M265" s="38"/>
      <c r="N265" s="39"/>
      <c r="O265" s="37"/>
      <c r="P265" s="39"/>
      <c r="Q265" s="39"/>
      <c r="R265" s="38"/>
      <c r="S265" s="40">
        <f t="shared" si="84"/>
        <v>0</v>
      </c>
      <c r="T265" s="37"/>
      <c r="U265" s="37"/>
      <c r="V265" s="37"/>
      <c r="W265" s="37"/>
      <c r="X265" s="37"/>
      <c r="Y265" s="38"/>
      <c r="Z265" s="38"/>
      <c r="AA265" s="39"/>
      <c r="AB265" s="37"/>
      <c r="AC265" s="39"/>
      <c r="AD265" s="39"/>
      <c r="AE265" s="38"/>
      <c r="AF265" s="40">
        <f t="shared" si="85"/>
        <v>0</v>
      </c>
      <c r="AG265" s="104">
        <f t="shared" si="85"/>
        <v>0</v>
      </c>
    </row>
    <row r="266" spans="2:33" ht="12.75" x14ac:dyDescent="0.3">
      <c r="B266" s="27"/>
      <c r="C266" s="28"/>
      <c r="D266" s="28"/>
      <c r="E266" s="41">
        <v>4261130</v>
      </c>
      <c r="F266" s="55" t="s">
        <v>250</v>
      </c>
      <c r="G266" s="37"/>
      <c r="H266" s="37"/>
      <c r="I266" s="37"/>
      <c r="J266" s="37"/>
      <c r="K266" s="37"/>
      <c r="L266" s="38"/>
      <c r="M266" s="38"/>
      <c r="N266" s="39"/>
      <c r="O266" s="37"/>
      <c r="P266" s="39"/>
      <c r="Q266" s="39"/>
      <c r="R266" s="38"/>
      <c r="S266" s="40">
        <f t="shared" si="84"/>
        <v>0</v>
      </c>
      <c r="T266" s="37"/>
      <c r="U266" s="37"/>
      <c r="V266" s="37"/>
      <c r="W266" s="37"/>
      <c r="X266" s="37"/>
      <c r="Y266" s="38"/>
      <c r="Z266" s="38"/>
      <c r="AA266" s="39"/>
      <c r="AB266" s="37"/>
      <c r="AC266" s="39"/>
      <c r="AD266" s="39"/>
      <c r="AE266" s="38"/>
      <c r="AF266" s="40">
        <f t="shared" si="85"/>
        <v>0</v>
      </c>
      <c r="AG266" s="104">
        <f t="shared" si="85"/>
        <v>0</v>
      </c>
    </row>
    <row r="267" spans="2:33" ht="12.75" x14ac:dyDescent="0.3">
      <c r="B267" s="27"/>
      <c r="C267" s="28"/>
      <c r="D267" s="28"/>
      <c r="E267" s="41">
        <v>4261140</v>
      </c>
      <c r="F267" s="55" t="s">
        <v>251</v>
      </c>
      <c r="G267" s="37"/>
      <c r="H267" s="37"/>
      <c r="I267" s="37"/>
      <c r="J267" s="37"/>
      <c r="K267" s="37"/>
      <c r="L267" s="38"/>
      <c r="M267" s="38"/>
      <c r="N267" s="39"/>
      <c r="O267" s="37"/>
      <c r="P267" s="39"/>
      <c r="Q267" s="39"/>
      <c r="R267" s="38"/>
      <c r="S267" s="40">
        <f t="shared" si="84"/>
        <v>0</v>
      </c>
      <c r="T267" s="37"/>
      <c r="U267" s="37"/>
      <c r="V267" s="37"/>
      <c r="W267" s="37"/>
      <c r="X267" s="37"/>
      <c r="Y267" s="38"/>
      <c r="Z267" s="38"/>
      <c r="AA267" s="39"/>
      <c r="AB267" s="37"/>
      <c r="AC267" s="39"/>
      <c r="AD267" s="39"/>
      <c r="AE267" s="38"/>
      <c r="AF267" s="40">
        <f t="shared" si="85"/>
        <v>0</v>
      </c>
      <c r="AG267" s="104">
        <f t="shared" si="85"/>
        <v>0</v>
      </c>
    </row>
    <row r="268" spans="2:33" ht="12.75" x14ac:dyDescent="0.3">
      <c r="B268" s="27"/>
      <c r="C268" s="28"/>
      <c r="D268" s="29" t="s">
        <v>252</v>
      </c>
      <c r="E268" s="42"/>
      <c r="F268" s="31"/>
      <c r="G268" s="32">
        <v>0</v>
      </c>
      <c r="H268" s="33">
        <v>0</v>
      </c>
      <c r="I268" s="33">
        <v>0</v>
      </c>
      <c r="J268" s="33">
        <v>0</v>
      </c>
      <c r="K268" s="33">
        <v>0</v>
      </c>
      <c r="L268" s="34">
        <v>0</v>
      </c>
      <c r="M268" s="34">
        <v>0</v>
      </c>
      <c r="N268" s="33">
        <v>0</v>
      </c>
      <c r="O268" s="32">
        <v>0</v>
      </c>
      <c r="P268" s="33">
        <f t="shared" ref="P268:R268" si="92">P269</f>
        <v>0</v>
      </c>
      <c r="Q268" s="33">
        <f t="shared" si="92"/>
        <v>0</v>
      </c>
      <c r="R268" s="34">
        <f t="shared" si="92"/>
        <v>0</v>
      </c>
      <c r="S268" s="26">
        <f t="shared" si="84"/>
        <v>0</v>
      </c>
      <c r="T268" s="32">
        <f t="shared" ref="T268:AE268" si="93">T269</f>
        <v>0</v>
      </c>
      <c r="U268" s="33">
        <f t="shared" si="93"/>
        <v>0</v>
      </c>
      <c r="V268" s="33">
        <f t="shared" si="93"/>
        <v>0</v>
      </c>
      <c r="W268" s="33">
        <f t="shared" si="93"/>
        <v>0</v>
      </c>
      <c r="X268" s="33">
        <f t="shared" si="93"/>
        <v>0</v>
      </c>
      <c r="Y268" s="34">
        <f t="shared" si="93"/>
        <v>0</v>
      </c>
      <c r="Z268" s="34">
        <f t="shared" si="93"/>
        <v>0</v>
      </c>
      <c r="AA268" s="33">
        <f t="shared" si="93"/>
        <v>0</v>
      </c>
      <c r="AB268" s="32">
        <f t="shared" si="93"/>
        <v>0</v>
      </c>
      <c r="AC268" s="33">
        <f t="shared" si="93"/>
        <v>0</v>
      </c>
      <c r="AD268" s="33">
        <f t="shared" si="93"/>
        <v>0</v>
      </c>
      <c r="AE268" s="34">
        <f t="shared" si="93"/>
        <v>0</v>
      </c>
      <c r="AF268" s="26">
        <f t="shared" si="85"/>
        <v>0</v>
      </c>
      <c r="AG268" s="103">
        <f t="shared" si="85"/>
        <v>0</v>
      </c>
    </row>
    <row r="269" spans="2:33" ht="12.75" x14ac:dyDescent="0.3">
      <c r="B269" s="27"/>
      <c r="C269" s="28"/>
      <c r="D269" s="28"/>
      <c r="E269" s="41">
        <v>4262000</v>
      </c>
      <c r="F269" s="55" t="s">
        <v>253</v>
      </c>
      <c r="G269" s="37"/>
      <c r="H269" s="37"/>
      <c r="I269" s="37"/>
      <c r="J269" s="37"/>
      <c r="K269" s="37"/>
      <c r="L269" s="38"/>
      <c r="M269" s="38"/>
      <c r="N269" s="39"/>
      <c r="O269" s="37"/>
      <c r="P269" s="39"/>
      <c r="Q269" s="39"/>
      <c r="R269" s="38"/>
      <c r="S269" s="40">
        <f t="shared" si="84"/>
        <v>0</v>
      </c>
      <c r="T269" s="37"/>
      <c r="U269" s="37"/>
      <c r="V269" s="37"/>
      <c r="W269" s="37"/>
      <c r="X269" s="37"/>
      <c r="Y269" s="38"/>
      <c r="Z269" s="38"/>
      <c r="AA269" s="39"/>
      <c r="AB269" s="37"/>
      <c r="AC269" s="39"/>
      <c r="AD269" s="39"/>
      <c r="AE269" s="38"/>
      <c r="AF269" s="40">
        <f t="shared" si="85"/>
        <v>0</v>
      </c>
      <c r="AG269" s="104">
        <f t="shared" si="85"/>
        <v>0</v>
      </c>
    </row>
    <row r="270" spans="2:33" ht="12.75" x14ac:dyDescent="0.3">
      <c r="B270" s="27"/>
      <c r="C270" s="28"/>
      <c r="D270" s="29" t="s">
        <v>254</v>
      </c>
      <c r="E270" s="42"/>
      <c r="F270" s="31"/>
      <c r="G270" s="32">
        <v>0</v>
      </c>
      <c r="H270" s="33">
        <v>0</v>
      </c>
      <c r="I270" s="33">
        <v>0</v>
      </c>
      <c r="J270" s="33">
        <v>0</v>
      </c>
      <c r="K270" s="33">
        <v>0</v>
      </c>
      <c r="L270" s="34">
        <v>0</v>
      </c>
      <c r="M270" s="34">
        <v>0</v>
      </c>
      <c r="N270" s="33">
        <v>0</v>
      </c>
      <c r="O270" s="32">
        <v>0</v>
      </c>
      <c r="P270" s="33">
        <f t="shared" ref="P270:R270" si="94">P271</f>
        <v>0</v>
      </c>
      <c r="Q270" s="33">
        <f t="shared" si="94"/>
        <v>0</v>
      </c>
      <c r="R270" s="34">
        <f t="shared" si="94"/>
        <v>0</v>
      </c>
      <c r="S270" s="26">
        <f t="shared" si="84"/>
        <v>0</v>
      </c>
      <c r="T270" s="32">
        <f t="shared" ref="T270:AE270" si="95">T271</f>
        <v>0</v>
      </c>
      <c r="U270" s="33">
        <f t="shared" si="95"/>
        <v>0</v>
      </c>
      <c r="V270" s="33">
        <f t="shared" si="95"/>
        <v>0</v>
      </c>
      <c r="W270" s="33">
        <f t="shared" si="95"/>
        <v>0</v>
      </c>
      <c r="X270" s="33">
        <f t="shared" si="95"/>
        <v>0</v>
      </c>
      <c r="Y270" s="34">
        <f t="shared" si="95"/>
        <v>0</v>
      </c>
      <c r="Z270" s="34">
        <f t="shared" si="95"/>
        <v>0</v>
      </c>
      <c r="AA270" s="33">
        <f t="shared" si="95"/>
        <v>0</v>
      </c>
      <c r="AB270" s="32">
        <f t="shared" si="95"/>
        <v>0</v>
      </c>
      <c r="AC270" s="33">
        <f t="shared" si="95"/>
        <v>0</v>
      </c>
      <c r="AD270" s="33">
        <f t="shared" si="95"/>
        <v>0</v>
      </c>
      <c r="AE270" s="34">
        <f t="shared" si="95"/>
        <v>0</v>
      </c>
      <c r="AF270" s="26">
        <f t="shared" si="85"/>
        <v>0</v>
      </c>
      <c r="AG270" s="103">
        <f t="shared" si="85"/>
        <v>0</v>
      </c>
    </row>
    <row r="271" spans="2:33" ht="12.75" x14ac:dyDescent="0.3">
      <c r="B271" s="27"/>
      <c r="C271" s="28"/>
      <c r="D271" s="28"/>
      <c r="E271" s="41">
        <v>4263000</v>
      </c>
      <c r="F271" s="55" t="s">
        <v>255</v>
      </c>
      <c r="G271" s="37"/>
      <c r="H271" s="37"/>
      <c r="I271" s="37"/>
      <c r="J271" s="37"/>
      <c r="K271" s="37"/>
      <c r="L271" s="38"/>
      <c r="M271" s="38"/>
      <c r="N271" s="39"/>
      <c r="O271" s="37"/>
      <c r="P271" s="39"/>
      <c r="Q271" s="39"/>
      <c r="R271" s="38"/>
      <c r="S271" s="40">
        <f t="shared" si="84"/>
        <v>0</v>
      </c>
      <c r="T271" s="37"/>
      <c r="U271" s="37"/>
      <c r="V271" s="37"/>
      <c r="W271" s="37"/>
      <c r="X271" s="37"/>
      <c r="Y271" s="38"/>
      <c r="Z271" s="38"/>
      <c r="AA271" s="39"/>
      <c r="AB271" s="37"/>
      <c r="AC271" s="39"/>
      <c r="AD271" s="39"/>
      <c r="AE271" s="38"/>
      <c r="AF271" s="40">
        <f t="shared" si="85"/>
        <v>0</v>
      </c>
      <c r="AG271" s="104">
        <f t="shared" si="85"/>
        <v>0</v>
      </c>
    </row>
    <row r="272" spans="2:33" ht="12.75" x14ac:dyDescent="0.3">
      <c r="B272" s="27"/>
      <c r="C272" s="28"/>
      <c r="D272" s="29" t="s">
        <v>256</v>
      </c>
      <c r="E272" s="42"/>
      <c r="F272" s="31"/>
      <c r="G272" s="32">
        <v>0</v>
      </c>
      <c r="H272" s="33">
        <v>0</v>
      </c>
      <c r="I272" s="33">
        <v>0</v>
      </c>
      <c r="J272" s="33">
        <v>0</v>
      </c>
      <c r="K272" s="33">
        <v>0</v>
      </c>
      <c r="L272" s="34">
        <v>0</v>
      </c>
      <c r="M272" s="34">
        <v>0</v>
      </c>
      <c r="N272" s="33">
        <v>0</v>
      </c>
      <c r="O272" s="32">
        <v>0</v>
      </c>
      <c r="P272" s="33">
        <f t="shared" ref="P272:R272" si="96">SUM(P273:P276)</f>
        <v>0</v>
      </c>
      <c r="Q272" s="33">
        <f t="shared" si="96"/>
        <v>0</v>
      </c>
      <c r="R272" s="34">
        <f t="shared" si="96"/>
        <v>0</v>
      </c>
      <c r="S272" s="26">
        <f t="shared" si="84"/>
        <v>0</v>
      </c>
      <c r="T272" s="32">
        <f t="shared" ref="T272:AE272" si="97">SUM(T273:T276)</f>
        <v>0</v>
      </c>
      <c r="U272" s="33">
        <f t="shared" si="97"/>
        <v>0</v>
      </c>
      <c r="V272" s="33">
        <f t="shared" si="97"/>
        <v>0</v>
      </c>
      <c r="W272" s="33">
        <f t="shared" si="97"/>
        <v>0</v>
      </c>
      <c r="X272" s="33">
        <f t="shared" si="97"/>
        <v>0</v>
      </c>
      <c r="Y272" s="34">
        <f t="shared" si="97"/>
        <v>0</v>
      </c>
      <c r="Z272" s="34">
        <f t="shared" si="97"/>
        <v>0</v>
      </c>
      <c r="AA272" s="33">
        <f t="shared" si="97"/>
        <v>0</v>
      </c>
      <c r="AB272" s="32">
        <f t="shared" si="97"/>
        <v>0</v>
      </c>
      <c r="AC272" s="33">
        <f t="shared" si="97"/>
        <v>0</v>
      </c>
      <c r="AD272" s="33">
        <f t="shared" si="97"/>
        <v>0</v>
      </c>
      <c r="AE272" s="34">
        <f t="shared" si="97"/>
        <v>0</v>
      </c>
      <c r="AF272" s="26">
        <f t="shared" si="85"/>
        <v>0</v>
      </c>
      <c r="AG272" s="103">
        <f t="shared" si="85"/>
        <v>0</v>
      </c>
    </row>
    <row r="273" spans="2:33" ht="12.75" x14ac:dyDescent="0.3">
      <c r="B273" s="27"/>
      <c r="C273" s="28"/>
      <c r="D273" s="28"/>
      <c r="E273" s="41">
        <v>4250010</v>
      </c>
      <c r="F273" s="55" t="s">
        <v>257</v>
      </c>
      <c r="G273" s="37"/>
      <c r="H273" s="37"/>
      <c r="I273" s="37"/>
      <c r="J273" s="37"/>
      <c r="K273" s="37"/>
      <c r="L273" s="38"/>
      <c r="M273" s="38"/>
      <c r="N273" s="39"/>
      <c r="O273" s="37"/>
      <c r="P273" s="39"/>
      <c r="Q273" s="39"/>
      <c r="R273" s="38"/>
      <c r="S273" s="40">
        <f t="shared" si="84"/>
        <v>0</v>
      </c>
      <c r="T273" s="37"/>
      <c r="U273" s="37"/>
      <c r="V273" s="37"/>
      <c r="W273" s="37"/>
      <c r="X273" s="37"/>
      <c r="Y273" s="38"/>
      <c r="Z273" s="38"/>
      <c r="AA273" s="39"/>
      <c r="AB273" s="37"/>
      <c r="AC273" s="39"/>
      <c r="AD273" s="39"/>
      <c r="AE273" s="38"/>
      <c r="AF273" s="40">
        <f t="shared" si="85"/>
        <v>0</v>
      </c>
      <c r="AG273" s="104">
        <f t="shared" si="85"/>
        <v>0</v>
      </c>
    </row>
    <row r="274" spans="2:33" ht="12.75" x14ac:dyDescent="0.3">
      <c r="B274" s="27"/>
      <c r="C274" s="28"/>
      <c r="D274" s="28"/>
      <c r="E274" s="41">
        <v>4250100</v>
      </c>
      <c r="F274" s="55" t="s">
        <v>258</v>
      </c>
      <c r="G274" s="37"/>
      <c r="H274" s="37"/>
      <c r="I274" s="37"/>
      <c r="J274" s="37"/>
      <c r="K274" s="37"/>
      <c r="L274" s="38"/>
      <c r="M274" s="38"/>
      <c r="N274" s="39"/>
      <c r="O274" s="37"/>
      <c r="P274" s="39"/>
      <c r="Q274" s="39"/>
      <c r="R274" s="38"/>
      <c r="S274" s="40">
        <f t="shared" si="84"/>
        <v>0</v>
      </c>
      <c r="T274" s="37"/>
      <c r="U274" s="37"/>
      <c r="V274" s="37"/>
      <c r="W274" s="37"/>
      <c r="X274" s="37"/>
      <c r="Y274" s="38"/>
      <c r="Z274" s="38"/>
      <c r="AA274" s="39"/>
      <c r="AB274" s="37"/>
      <c r="AC274" s="39"/>
      <c r="AD274" s="39"/>
      <c r="AE274" s="38"/>
      <c r="AF274" s="40">
        <f t="shared" si="85"/>
        <v>0</v>
      </c>
      <c r="AG274" s="104">
        <f t="shared" si="85"/>
        <v>0</v>
      </c>
    </row>
    <row r="275" spans="2:33" ht="12.75" x14ac:dyDescent="0.3">
      <c r="B275" s="27"/>
      <c r="C275" s="28"/>
      <c r="D275" s="28"/>
      <c r="E275" s="41">
        <v>4250110</v>
      </c>
      <c r="F275" s="55" t="s">
        <v>259</v>
      </c>
      <c r="G275" s="37"/>
      <c r="H275" s="37"/>
      <c r="I275" s="37"/>
      <c r="J275" s="37"/>
      <c r="K275" s="37"/>
      <c r="L275" s="38"/>
      <c r="M275" s="38"/>
      <c r="N275" s="39"/>
      <c r="O275" s="37"/>
      <c r="P275" s="39"/>
      <c r="Q275" s="39"/>
      <c r="R275" s="38"/>
      <c r="S275" s="40">
        <f t="shared" si="84"/>
        <v>0</v>
      </c>
      <c r="T275" s="37"/>
      <c r="U275" s="37"/>
      <c r="V275" s="37"/>
      <c r="W275" s="37"/>
      <c r="X275" s="37"/>
      <c r="Y275" s="38"/>
      <c r="Z275" s="38"/>
      <c r="AA275" s="39"/>
      <c r="AB275" s="37"/>
      <c r="AC275" s="39"/>
      <c r="AD275" s="39"/>
      <c r="AE275" s="38"/>
      <c r="AF275" s="40">
        <f t="shared" si="85"/>
        <v>0</v>
      </c>
      <c r="AG275" s="104">
        <f t="shared" si="85"/>
        <v>0</v>
      </c>
    </row>
    <row r="276" spans="2:33" ht="12.75" x14ac:dyDescent="0.3">
      <c r="B276" s="27"/>
      <c r="C276" s="28"/>
      <c r="D276" s="28"/>
      <c r="E276" s="41">
        <v>4250120</v>
      </c>
      <c r="F276" s="55" t="s">
        <v>260</v>
      </c>
      <c r="G276" s="37"/>
      <c r="H276" s="37"/>
      <c r="I276" s="37"/>
      <c r="J276" s="37"/>
      <c r="K276" s="37"/>
      <c r="L276" s="38"/>
      <c r="M276" s="38"/>
      <c r="N276" s="39"/>
      <c r="O276" s="37"/>
      <c r="P276" s="39"/>
      <c r="Q276" s="39"/>
      <c r="R276" s="38"/>
      <c r="S276" s="40">
        <f t="shared" si="84"/>
        <v>0</v>
      </c>
      <c r="T276" s="37"/>
      <c r="U276" s="37"/>
      <c r="V276" s="37"/>
      <c r="W276" s="37"/>
      <c r="X276" s="37"/>
      <c r="Y276" s="38"/>
      <c r="Z276" s="38"/>
      <c r="AA276" s="39"/>
      <c r="AB276" s="37"/>
      <c r="AC276" s="39"/>
      <c r="AD276" s="39"/>
      <c r="AE276" s="38"/>
      <c r="AF276" s="40">
        <f t="shared" si="85"/>
        <v>0</v>
      </c>
      <c r="AG276" s="104">
        <f t="shared" si="85"/>
        <v>0</v>
      </c>
    </row>
    <row r="277" spans="2:33" ht="12.75" x14ac:dyDescent="0.3">
      <c r="B277" s="27"/>
      <c r="C277" s="28"/>
      <c r="D277" s="29" t="s">
        <v>261</v>
      </c>
      <c r="E277" s="42"/>
      <c r="F277" s="31"/>
      <c r="G277" s="32">
        <v>0</v>
      </c>
      <c r="H277" s="33">
        <v>0</v>
      </c>
      <c r="I277" s="33">
        <v>0</v>
      </c>
      <c r="J277" s="33">
        <v>0</v>
      </c>
      <c r="K277" s="33">
        <v>0</v>
      </c>
      <c r="L277" s="34">
        <v>0</v>
      </c>
      <c r="M277" s="34">
        <v>0</v>
      </c>
      <c r="N277" s="33">
        <v>0</v>
      </c>
      <c r="O277" s="32">
        <v>0</v>
      </c>
      <c r="P277" s="33">
        <f t="shared" ref="P277:R279" si="98">P278</f>
        <v>0</v>
      </c>
      <c r="Q277" s="33">
        <f t="shared" si="98"/>
        <v>0</v>
      </c>
      <c r="R277" s="34">
        <f t="shared" si="98"/>
        <v>0</v>
      </c>
      <c r="S277" s="26">
        <f t="shared" si="84"/>
        <v>0</v>
      </c>
      <c r="T277" s="32">
        <f t="shared" ref="T277:AE279" si="99">T278</f>
        <v>0</v>
      </c>
      <c r="U277" s="33">
        <f t="shared" si="99"/>
        <v>0</v>
      </c>
      <c r="V277" s="33">
        <f t="shared" si="99"/>
        <v>0</v>
      </c>
      <c r="W277" s="33">
        <f t="shared" si="99"/>
        <v>0</v>
      </c>
      <c r="X277" s="33">
        <f t="shared" si="99"/>
        <v>0</v>
      </c>
      <c r="Y277" s="34">
        <f t="shared" si="99"/>
        <v>0</v>
      </c>
      <c r="Z277" s="34">
        <f t="shared" si="99"/>
        <v>0</v>
      </c>
      <c r="AA277" s="33">
        <f t="shared" si="99"/>
        <v>0</v>
      </c>
      <c r="AB277" s="32">
        <f t="shared" si="99"/>
        <v>0</v>
      </c>
      <c r="AC277" s="33">
        <f t="shared" si="99"/>
        <v>0</v>
      </c>
      <c r="AD277" s="33">
        <f t="shared" si="99"/>
        <v>0</v>
      </c>
      <c r="AE277" s="34">
        <f t="shared" si="99"/>
        <v>0</v>
      </c>
      <c r="AF277" s="26">
        <f t="shared" si="85"/>
        <v>0</v>
      </c>
      <c r="AG277" s="103">
        <f t="shared" si="85"/>
        <v>0</v>
      </c>
    </row>
    <row r="278" spans="2:33" ht="12.75" x14ac:dyDescent="0.3">
      <c r="B278" s="27"/>
      <c r="C278" s="28"/>
      <c r="D278" s="28"/>
      <c r="E278" s="41">
        <v>4202520</v>
      </c>
      <c r="F278" s="55" t="s">
        <v>261</v>
      </c>
      <c r="G278" s="37"/>
      <c r="H278" s="37"/>
      <c r="I278" s="37"/>
      <c r="J278" s="37"/>
      <c r="K278" s="37"/>
      <c r="L278" s="38"/>
      <c r="M278" s="38"/>
      <c r="N278" s="39"/>
      <c r="O278" s="37"/>
      <c r="P278" s="39"/>
      <c r="Q278" s="39"/>
      <c r="R278" s="38"/>
      <c r="S278" s="40">
        <f t="shared" si="84"/>
        <v>0</v>
      </c>
      <c r="T278" s="37"/>
      <c r="U278" s="37"/>
      <c r="V278" s="37"/>
      <c r="W278" s="37"/>
      <c r="X278" s="37"/>
      <c r="Y278" s="38"/>
      <c r="Z278" s="38"/>
      <c r="AA278" s="39"/>
      <c r="AB278" s="37"/>
      <c r="AC278" s="39"/>
      <c r="AD278" s="39"/>
      <c r="AE278" s="38"/>
      <c r="AF278" s="40">
        <f t="shared" si="85"/>
        <v>0</v>
      </c>
      <c r="AG278" s="104">
        <f t="shared" si="85"/>
        <v>0</v>
      </c>
    </row>
    <row r="279" spans="2:33" ht="12.75" x14ac:dyDescent="0.3">
      <c r="B279" s="27"/>
      <c r="C279" s="28"/>
      <c r="D279" s="29" t="s">
        <v>262</v>
      </c>
      <c r="E279" s="42"/>
      <c r="F279" s="31"/>
      <c r="G279" s="32">
        <v>0</v>
      </c>
      <c r="H279" s="33">
        <v>0</v>
      </c>
      <c r="I279" s="33">
        <v>0</v>
      </c>
      <c r="J279" s="33">
        <v>0</v>
      </c>
      <c r="K279" s="33">
        <v>0</v>
      </c>
      <c r="L279" s="34">
        <v>0</v>
      </c>
      <c r="M279" s="34">
        <v>0</v>
      </c>
      <c r="N279" s="33">
        <v>0</v>
      </c>
      <c r="O279" s="32">
        <v>0</v>
      </c>
      <c r="P279" s="33">
        <f t="shared" si="98"/>
        <v>0</v>
      </c>
      <c r="Q279" s="33">
        <f t="shared" si="98"/>
        <v>0</v>
      </c>
      <c r="R279" s="34">
        <f t="shared" si="98"/>
        <v>0</v>
      </c>
      <c r="S279" s="26">
        <f t="shared" si="84"/>
        <v>0</v>
      </c>
      <c r="T279" s="32">
        <f t="shared" si="99"/>
        <v>0</v>
      </c>
      <c r="U279" s="33">
        <f t="shared" si="99"/>
        <v>0</v>
      </c>
      <c r="V279" s="33">
        <f t="shared" si="99"/>
        <v>0</v>
      </c>
      <c r="W279" s="33">
        <f t="shared" si="99"/>
        <v>0</v>
      </c>
      <c r="X279" s="33">
        <f t="shared" si="99"/>
        <v>0</v>
      </c>
      <c r="Y279" s="34">
        <f t="shared" si="99"/>
        <v>0</v>
      </c>
      <c r="Z279" s="34">
        <f t="shared" si="99"/>
        <v>0</v>
      </c>
      <c r="AA279" s="33">
        <f t="shared" si="99"/>
        <v>0</v>
      </c>
      <c r="AB279" s="32">
        <f t="shared" si="99"/>
        <v>0</v>
      </c>
      <c r="AC279" s="33">
        <f t="shared" si="99"/>
        <v>0</v>
      </c>
      <c r="AD279" s="33">
        <f t="shared" si="99"/>
        <v>0</v>
      </c>
      <c r="AE279" s="34">
        <f t="shared" si="99"/>
        <v>0</v>
      </c>
      <c r="AF279" s="26">
        <f t="shared" si="85"/>
        <v>0</v>
      </c>
      <c r="AG279" s="103">
        <f t="shared" si="85"/>
        <v>0</v>
      </c>
    </row>
    <row r="280" spans="2:33" ht="12.75" x14ac:dyDescent="0.3">
      <c r="B280" s="27"/>
      <c r="C280" s="28"/>
      <c r="D280" s="28"/>
      <c r="E280" s="41">
        <v>4258900</v>
      </c>
      <c r="F280" s="55" t="s">
        <v>262</v>
      </c>
      <c r="G280" s="37"/>
      <c r="H280" s="37"/>
      <c r="I280" s="37"/>
      <c r="J280" s="37"/>
      <c r="K280" s="37"/>
      <c r="L280" s="38"/>
      <c r="M280" s="38"/>
      <c r="N280" s="39"/>
      <c r="O280" s="37"/>
      <c r="P280" s="39"/>
      <c r="Q280" s="39"/>
      <c r="R280" s="38"/>
      <c r="S280" s="40">
        <f t="shared" si="84"/>
        <v>0</v>
      </c>
      <c r="T280" s="37"/>
      <c r="U280" s="37"/>
      <c r="V280" s="37"/>
      <c r="W280" s="37"/>
      <c r="X280" s="37"/>
      <c r="Y280" s="38"/>
      <c r="Z280" s="38"/>
      <c r="AA280" s="39"/>
      <c r="AB280" s="37"/>
      <c r="AC280" s="39"/>
      <c r="AD280" s="39"/>
      <c r="AE280" s="38"/>
      <c r="AF280" s="40">
        <f t="shared" si="85"/>
        <v>0</v>
      </c>
      <c r="AG280" s="104">
        <f t="shared" si="85"/>
        <v>0</v>
      </c>
    </row>
    <row r="281" spans="2:33" ht="12.75" x14ac:dyDescent="0.3">
      <c r="B281" s="27"/>
      <c r="C281" s="28"/>
      <c r="D281" s="29" t="s">
        <v>263</v>
      </c>
      <c r="E281" s="42"/>
      <c r="F281" s="31"/>
      <c r="G281" s="32">
        <v>0</v>
      </c>
      <c r="H281" s="33">
        <v>0</v>
      </c>
      <c r="I281" s="33">
        <v>0</v>
      </c>
      <c r="J281" s="33">
        <v>0</v>
      </c>
      <c r="K281" s="33">
        <v>0</v>
      </c>
      <c r="L281" s="34">
        <v>0</v>
      </c>
      <c r="M281" s="34">
        <v>0</v>
      </c>
      <c r="N281" s="33">
        <v>0</v>
      </c>
      <c r="O281" s="32">
        <v>0</v>
      </c>
      <c r="P281" s="33">
        <f t="shared" ref="P281:R281" si="100">P282</f>
        <v>0</v>
      </c>
      <c r="Q281" s="33">
        <f t="shared" si="100"/>
        <v>0</v>
      </c>
      <c r="R281" s="34">
        <f t="shared" si="100"/>
        <v>0</v>
      </c>
      <c r="S281" s="26">
        <f t="shared" si="84"/>
        <v>0</v>
      </c>
      <c r="T281" s="32">
        <f t="shared" ref="T281:AE281" si="101">T282</f>
        <v>0</v>
      </c>
      <c r="U281" s="33">
        <f t="shared" si="101"/>
        <v>0</v>
      </c>
      <c r="V281" s="33">
        <f t="shared" si="101"/>
        <v>0</v>
      </c>
      <c r="W281" s="33">
        <f t="shared" si="101"/>
        <v>0</v>
      </c>
      <c r="X281" s="33">
        <f t="shared" si="101"/>
        <v>0</v>
      </c>
      <c r="Y281" s="34">
        <f t="shared" si="101"/>
        <v>0</v>
      </c>
      <c r="Z281" s="34">
        <f t="shared" si="101"/>
        <v>0</v>
      </c>
      <c r="AA281" s="33">
        <f t="shared" si="101"/>
        <v>0</v>
      </c>
      <c r="AB281" s="32">
        <f t="shared" si="101"/>
        <v>0</v>
      </c>
      <c r="AC281" s="33">
        <f t="shared" si="101"/>
        <v>0</v>
      </c>
      <c r="AD281" s="33">
        <f t="shared" si="101"/>
        <v>0</v>
      </c>
      <c r="AE281" s="34">
        <f t="shared" si="101"/>
        <v>0</v>
      </c>
      <c r="AF281" s="26">
        <f t="shared" si="85"/>
        <v>0</v>
      </c>
      <c r="AG281" s="103">
        <f t="shared" si="85"/>
        <v>0</v>
      </c>
    </row>
    <row r="282" spans="2:33" ht="12.75" x14ac:dyDescent="0.3">
      <c r="B282" s="27"/>
      <c r="C282" s="28"/>
      <c r="D282" s="28"/>
      <c r="E282" s="41">
        <v>4258920</v>
      </c>
      <c r="F282" s="55" t="s">
        <v>263</v>
      </c>
      <c r="G282" s="37"/>
      <c r="H282" s="37"/>
      <c r="I282" s="37"/>
      <c r="J282" s="37"/>
      <c r="K282" s="37"/>
      <c r="L282" s="38"/>
      <c r="M282" s="38"/>
      <c r="N282" s="39"/>
      <c r="O282" s="37"/>
      <c r="P282" s="39"/>
      <c r="Q282" s="39"/>
      <c r="R282" s="38"/>
      <c r="S282" s="40">
        <f t="shared" si="84"/>
        <v>0</v>
      </c>
      <c r="T282" s="37"/>
      <c r="U282" s="37"/>
      <c r="V282" s="37"/>
      <c r="W282" s="37"/>
      <c r="X282" s="37"/>
      <c r="Y282" s="38"/>
      <c r="Z282" s="38"/>
      <c r="AA282" s="39"/>
      <c r="AB282" s="37"/>
      <c r="AC282" s="39"/>
      <c r="AD282" s="39"/>
      <c r="AE282" s="38"/>
      <c r="AF282" s="40">
        <f t="shared" si="85"/>
        <v>0</v>
      </c>
      <c r="AG282" s="104">
        <f t="shared" si="85"/>
        <v>0</v>
      </c>
    </row>
    <row r="283" spans="2:33" ht="12.75" x14ac:dyDescent="0.3">
      <c r="B283" s="27"/>
      <c r="C283" s="28"/>
      <c r="D283" s="29" t="s">
        <v>264</v>
      </c>
      <c r="E283" s="42"/>
      <c r="F283" s="31"/>
      <c r="G283" s="32">
        <v>0</v>
      </c>
      <c r="H283" s="33">
        <v>0</v>
      </c>
      <c r="I283" s="33">
        <v>0</v>
      </c>
      <c r="J283" s="33">
        <v>0</v>
      </c>
      <c r="K283" s="33">
        <v>0</v>
      </c>
      <c r="L283" s="34">
        <v>0</v>
      </c>
      <c r="M283" s="34">
        <v>0</v>
      </c>
      <c r="N283" s="33">
        <v>0</v>
      </c>
      <c r="O283" s="32">
        <v>0</v>
      </c>
      <c r="P283" s="33">
        <f t="shared" ref="P283:R285" si="102">P284</f>
        <v>0</v>
      </c>
      <c r="Q283" s="33">
        <f t="shared" si="102"/>
        <v>0</v>
      </c>
      <c r="R283" s="34">
        <f t="shared" si="102"/>
        <v>0</v>
      </c>
      <c r="S283" s="26">
        <f t="shared" si="84"/>
        <v>0</v>
      </c>
      <c r="T283" s="32">
        <f t="shared" ref="T283:AE285" si="103">T284</f>
        <v>0</v>
      </c>
      <c r="U283" s="33">
        <f t="shared" si="103"/>
        <v>0</v>
      </c>
      <c r="V283" s="33">
        <f t="shared" si="103"/>
        <v>0</v>
      </c>
      <c r="W283" s="33">
        <f t="shared" si="103"/>
        <v>0</v>
      </c>
      <c r="X283" s="33">
        <f t="shared" si="103"/>
        <v>0</v>
      </c>
      <c r="Y283" s="34">
        <f t="shared" si="103"/>
        <v>0</v>
      </c>
      <c r="Z283" s="34">
        <f t="shared" si="103"/>
        <v>0</v>
      </c>
      <c r="AA283" s="33">
        <f t="shared" si="103"/>
        <v>0</v>
      </c>
      <c r="AB283" s="32">
        <f t="shared" si="103"/>
        <v>0</v>
      </c>
      <c r="AC283" s="33">
        <f t="shared" si="103"/>
        <v>0</v>
      </c>
      <c r="AD283" s="33">
        <f t="shared" si="103"/>
        <v>0</v>
      </c>
      <c r="AE283" s="34">
        <f t="shared" si="103"/>
        <v>0</v>
      </c>
      <c r="AF283" s="26">
        <f t="shared" ref="AF283:AG284" si="104">SUM(T283:AE283)</f>
        <v>0</v>
      </c>
      <c r="AG283" s="103">
        <f t="shared" si="104"/>
        <v>0</v>
      </c>
    </row>
    <row r="284" spans="2:33" ht="12.75" x14ac:dyDescent="0.3">
      <c r="B284" s="27"/>
      <c r="C284" s="28"/>
      <c r="D284" s="45"/>
      <c r="E284" s="44">
        <v>9103040</v>
      </c>
      <c r="F284" s="57" t="s">
        <v>264</v>
      </c>
      <c r="G284" s="37"/>
      <c r="H284" s="37"/>
      <c r="I284" s="37"/>
      <c r="J284" s="37"/>
      <c r="K284" s="37"/>
      <c r="L284" s="39"/>
      <c r="M284" s="39"/>
      <c r="N284" s="39"/>
      <c r="O284" s="39"/>
      <c r="P284" s="39"/>
      <c r="Q284" s="39"/>
      <c r="R284" s="38"/>
      <c r="S284" s="40">
        <f t="shared" si="84"/>
        <v>0</v>
      </c>
      <c r="T284" s="37"/>
      <c r="U284" s="37"/>
      <c r="V284" s="37"/>
      <c r="W284" s="37"/>
      <c r="X284" s="37"/>
      <c r="Y284" s="39"/>
      <c r="Z284" s="39"/>
      <c r="AA284" s="39"/>
      <c r="AB284" s="39"/>
      <c r="AC284" s="39"/>
      <c r="AD284" s="39"/>
      <c r="AE284" s="38"/>
      <c r="AF284" s="40">
        <f t="shared" si="104"/>
        <v>0</v>
      </c>
      <c r="AG284" s="104">
        <f t="shared" si="104"/>
        <v>0</v>
      </c>
    </row>
    <row r="285" spans="2:33" ht="12.75" x14ac:dyDescent="0.3">
      <c r="B285" s="27"/>
      <c r="C285" s="28"/>
      <c r="D285" s="29" t="s">
        <v>606</v>
      </c>
      <c r="E285" s="42"/>
      <c r="F285" s="31"/>
      <c r="G285" s="32">
        <v>0</v>
      </c>
      <c r="H285" s="33">
        <v>0</v>
      </c>
      <c r="I285" s="33">
        <v>0</v>
      </c>
      <c r="J285" s="33">
        <v>0</v>
      </c>
      <c r="K285" s="33">
        <v>0</v>
      </c>
      <c r="L285" s="34">
        <v>0</v>
      </c>
      <c r="M285" s="34">
        <v>0</v>
      </c>
      <c r="N285" s="33">
        <v>0</v>
      </c>
      <c r="O285" s="32">
        <v>0</v>
      </c>
      <c r="P285" s="33">
        <f t="shared" si="102"/>
        <v>0</v>
      </c>
      <c r="Q285" s="33">
        <f t="shared" si="102"/>
        <v>0</v>
      </c>
      <c r="R285" s="34">
        <f t="shared" si="102"/>
        <v>0</v>
      </c>
      <c r="S285" s="26">
        <f t="shared" si="84"/>
        <v>0</v>
      </c>
      <c r="T285" s="32">
        <f t="shared" si="103"/>
        <v>0</v>
      </c>
      <c r="U285" s="33">
        <f t="shared" si="103"/>
        <v>0</v>
      </c>
      <c r="V285" s="33">
        <f t="shared" si="103"/>
        <v>0</v>
      </c>
      <c r="W285" s="33">
        <f t="shared" si="103"/>
        <v>0</v>
      </c>
      <c r="X285" s="33">
        <f t="shared" si="103"/>
        <v>0</v>
      </c>
      <c r="Y285" s="34">
        <f t="shared" si="103"/>
        <v>0</v>
      </c>
      <c r="Z285" s="34">
        <f t="shared" si="103"/>
        <v>0</v>
      </c>
      <c r="AA285" s="33">
        <f t="shared" si="103"/>
        <v>0</v>
      </c>
      <c r="AB285" s="32">
        <f t="shared" si="103"/>
        <v>0</v>
      </c>
      <c r="AC285" s="33">
        <f t="shared" si="103"/>
        <v>0</v>
      </c>
      <c r="AD285" s="33">
        <f t="shared" si="103"/>
        <v>0</v>
      </c>
      <c r="AE285" s="34">
        <f t="shared" si="103"/>
        <v>0</v>
      </c>
      <c r="AF285" s="26">
        <f t="shared" si="85"/>
        <v>0</v>
      </c>
      <c r="AG285" s="103">
        <f t="shared" si="85"/>
        <v>0</v>
      </c>
    </row>
    <row r="286" spans="2:33" ht="12.75" x14ac:dyDescent="0.3">
      <c r="B286" s="27"/>
      <c r="C286" s="28"/>
      <c r="D286" s="45"/>
      <c r="E286" s="72">
        <v>9103070</v>
      </c>
      <c r="F286" s="56" t="s">
        <v>606</v>
      </c>
      <c r="G286" s="37"/>
      <c r="H286" s="37"/>
      <c r="I286" s="37"/>
      <c r="J286" s="37"/>
      <c r="K286" s="37"/>
      <c r="L286" s="39"/>
      <c r="M286" s="39"/>
      <c r="N286" s="39"/>
      <c r="O286" s="39"/>
      <c r="P286" s="39"/>
      <c r="Q286" s="39"/>
      <c r="R286" s="38"/>
      <c r="S286" s="40">
        <f t="shared" si="84"/>
        <v>0</v>
      </c>
      <c r="T286" s="37"/>
      <c r="U286" s="37"/>
      <c r="V286" s="37"/>
      <c r="W286" s="37"/>
      <c r="X286" s="37"/>
      <c r="Y286" s="39"/>
      <c r="Z286" s="39"/>
      <c r="AA286" s="39"/>
      <c r="AB286" s="39"/>
      <c r="AC286" s="39"/>
      <c r="AD286" s="39"/>
      <c r="AE286" s="38"/>
      <c r="AF286" s="40">
        <f t="shared" si="85"/>
        <v>0</v>
      </c>
      <c r="AG286" s="104">
        <f t="shared" si="85"/>
        <v>0</v>
      </c>
    </row>
    <row r="287" spans="2:33" ht="12.75" x14ac:dyDescent="0.3">
      <c r="B287" s="20" t="s">
        <v>265</v>
      </c>
      <c r="C287" s="21"/>
      <c r="D287" s="21"/>
      <c r="E287" s="52"/>
      <c r="F287" s="31"/>
      <c r="G287" s="23">
        <v>0</v>
      </c>
      <c r="H287" s="24">
        <v>0</v>
      </c>
      <c r="I287" s="24">
        <v>0</v>
      </c>
      <c r="J287" s="24">
        <v>0</v>
      </c>
      <c r="K287" s="24">
        <v>0</v>
      </c>
      <c r="L287" s="25">
        <v>0</v>
      </c>
      <c r="M287" s="25">
        <v>0</v>
      </c>
      <c r="N287" s="24">
        <v>0</v>
      </c>
      <c r="O287" s="23">
        <v>0</v>
      </c>
      <c r="P287" s="24">
        <f t="shared" ref="P287:R287" si="105">P11-P32</f>
        <v>0</v>
      </c>
      <c r="Q287" s="24">
        <f t="shared" si="105"/>
        <v>0</v>
      </c>
      <c r="R287" s="25">
        <f t="shared" si="105"/>
        <v>0</v>
      </c>
      <c r="S287" s="26">
        <f t="shared" si="84"/>
        <v>0</v>
      </c>
      <c r="T287" s="23">
        <f t="shared" ref="T287:AE287" si="106">T11-T32</f>
        <v>0</v>
      </c>
      <c r="U287" s="24">
        <f t="shared" si="106"/>
        <v>0</v>
      </c>
      <c r="V287" s="24">
        <f t="shared" si="106"/>
        <v>0</v>
      </c>
      <c r="W287" s="24">
        <f t="shared" si="106"/>
        <v>0</v>
      </c>
      <c r="X287" s="24">
        <f t="shared" si="106"/>
        <v>0</v>
      </c>
      <c r="Y287" s="25">
        <f t="shared" si="106"/>
        <v>0</v>
      </c>
      <c r="Z287" s="25">
        <f t="shared" si="106"/>
        <v>0</v>
      </c>
      <c r="AA287" s="24">
        <f t="shared" si="106"/>
        <v>0</v>
      </c>
      <c r="AB287" s="23">
        <f t="shared" si="106"/>
        <v>0</v>
      </c>
      <c r="AC287" s="24">
        <f t="shared" si="106"/>
        <v>0</v>
      </c>
      <c r="AD287" s="24">
        <f t="shared" si="106"/>
        <v>0</v>
      </c>
      <c r="AE287" s="25">
        <f t="shared" si="106"/>
        <v>0</v>
      </c>
      <c r="AF287" s="26">
        <f t="shared" si="85"/>
        <v>0</v>
      </c>
      <c r="AG287" s="103">
        <f t="shared" si="85"/>
        <v>0</v>
      </c>
    </row>
    <row r="288" spans="2:33" ht="12.75" x14ac:dyDescent="0.3">
      <c r="B288" s="58"/>
      <c r="C288" s="29" t="s">
        <v>266</v>
      </c>
      <c r="D288" s="30"/>
      <c r="E288" s="42"/>
      <c r="F288" s="31"/>
      <c r="G288" s="32">
        <v>0</v>
      </c>
      <c r="H288" s="33">
        <v>0</v>
      </c>
      <c r="I288" s="33">
        <v>0</v>
      </c>
      <c r="J288" s="33">
        <v>0</v>
      </c>
      <c r="K288" s="33">
        <v>0</v>
      </c>
      <c r="L288" s="34">
        <v>0</v>
      </c>
      <c r="M288" s="34">
        <v>0</v>
      </c>
      <c r="N288" s="33">
        <v>0</v>
      </c>
      <c r="O288" s="32">
        <v>0</v>
      </c>
      <c r="P288" s="33">
        <f t="shared" ref="P288:R288" si="107">SUM(P289:P291)</f>
        <v>0</v>
      </c>
      <c r="Q288" s="33">
        <f t="shared" si="107"/>
        <v>0</v>
      </c>
      <c r="R288" s="34">
        <f t="shared" si="107"/>
        <v>0</v>
      </c>
      <c r="S288" s="26">
        <f t="shared" si="84"/>
        <v>0</v>
      </c>
      <c r="T288" s="32">
        <f t="shared" ref="T288:AE288" si="108">SUM(T289:T291)</f>
        <v>0</v>
      </c>
      <c r="U288" s="33">
        <f t="shared" si="108"/>
        <v>0</v>
      </c>
      <c r="V288" s="33">
        <f t="shared" si="108"/>
        <v>0</v>
      </c>
      <c r="W288" s="33">
        <f t="shared" si="108"/>
        <v>0</v>
      </c>
      <c r="X288" s="33">
        <f t="shared" si="108"/>
        <v>0</v>
      </c>
      <c r="Y288" s="34">
        <f t="shared" si="108"/>
        <v>0</v>
      </c>
      <c r="Z288" s="34">
        <f t="shared" si="108"/>
        <v>0</v>
      </c>
      <c r="AA288" s="33">
        <f t="shared" si="108"/>
        <v>0</v>
      </c>
      <c r="AB288" s="32">
        <f t="shared" si="108"/>
        <v>0</v>
      </c>
      <c r="AC288" s="33">
        <f t="shared" si="108"/>
        <v>0</v>
      </c>
      <c r="AD288" s="33">
        <f t="shared" si="108"/>
        <v>0</v>
      </c>
      <c r="AE288" s="34">
        <f t="shared" si="108"/>
        <v>0</v>
      </c>
      <c r="AF288" s="26">
        <f t="shared" si="85"/>
        <v>0</v>
      </c>
      <c r="AG288" s="103">
        <f t="shared" si="85"/>
        <v>0</v>
      </c>
    </row>
    <row r="289" spans="2:33" s="60" customFormat="1" x14ac:dyDescent="0.3">
      <c r="B289" s="27"/>
      <c r="C289" s="28"/>
      <c r="D289" s="28"/>
      <c r="E289" s="59">
        <v>9100008</v>
      </c>
      <c r="F289" s="36" t="s">
        <v>608</v>
      </c>
      <c r="G289" s="37"/>
      <c r="H289" s="37"/>
      <c r="I289" s="37"/>
      <c r="J289" s="37"/>
      <c r="K289" s="37"/>
      <c r="L289" s="38"/>
      <c r="M289" s="38"/>
      <c r="N289" s="39"/>
      <c r="O289" s="37"/>
      <c r="P289" s="39"/>
      <c r="Q289" s="39"/>
      <c r="R289" s="38"/>
      <c r="S289" s="40">
        <f t="shared" si="84"/>
        <v>0</v>
      </c>
      <c r="T289" s="37"/>
      <c r="U289" s="37"/>
      <c r="V289" s="37"/>
      <c r="W289" s="37"/>
      <c r="X289" s="37"/>
      <c r="Y289" s="38"/>
      <c r="Z289" s="38"/>
      <c r="AA289" s="39"/>
      <c r="AB289" s="37"/>
      <c r="AC289" s="39"/>
      <c r="AD289" s="39"/>
      <c r="AE289" s="38"/>
      <c r="AF289" s="40">
        <f t="shared" si="85"/>
        <v>0</v>
      </c>
      <c r="AG289" s="104">
        <f t="shared" si="85"/>
        <v>0</v>
      </c>
    </row>
    <row r="290" spans="2:33" s="60" customFormat="1" x14ac:dyDescent="0.3">
      <c r="B290" s="27"/>
      <c r="C290" s="28"/>
      <c r="D290" s="28"/>
      <c r="E290" s="59">
        <v>9100006</v>
      </c>
      <c r="F290" s="36" t="s">
        <v>267</v>
      </c>
      <c r="G290" s="37"/>
      <c r="H290" s="37"/>
      <c r="I290" s="37"/>
      <c r="J290" s="37"/>
      <c r="K290" s="37"/>
      <c r="L290" s="38"/>
      <c r="M290" s="38"/>
      <c r="N290" s="39"/>
      <c r="O290" s="37"/>
      <c r="P290" s="39"/>
      <c r="Q290" s="39"/>
      <c r="R290" s="38"/>
      <c r="S290" s="40">
        <f t="shared" si="84"/>
        <v>0</v>
      </c>
      <c r="T290" s="37"/>
      <c r="U290" s="37"/>
      <c r="V290" s="37"/>
      <c r="W290" s="37"/>
      <c r="X290" s="37"/>
      <c r="Y290" s="38"/>
      <c r="Z290" s="38"/>
      <c r="AA290" s="39"/>
      <c r="AB290" s="37"/>
      <c r="AC290" s="39"/>
      <c r="AD290" s="39"/>
      <c r="AE290" s="38"/>
      <c r="AF290" s="40">
        <f t="shared" si="85"/>
        <v>0</v>
      </c>
      <c r="AG290" s="104">
        <f t="shared" si="85"/>
        <v>0</v>
      </c>
    </row>
    <row r="291" spans="2:33" s="60" customFormat="1" x14ac:dyDescent="0.3">
      <c r="B291" s="27"/>
      <c r="C291" s="28"/>
      <c r="D291" s="28"/>
      <c r="E291" s="59">
        <v>9100007</v>
      </c>
      <c r="F291" s="36" t="s">
        <v>268</v>
      </c>
      <c r="G291" s="37"/>
      <c r="H291" s="37"/>
      <c r="I291" s="37"/>
      <c r="J291" s="37"/>
      <c r="K291" s="37"/>
      <c r="L291" s="38"/>
      <c r="M291" s="38"/>
      <c r="N291" s="39"/>
      <c r="O291" s="37"/>
      <c r="P291" s="39"/>
      <c r="Q291" s="39"/>
      <c r="R291" s="38"/>
      <c r="S291" s="40">
        <f t="shared" si="84"/>
        <v>0</v>
      </c>
      <c r="T291" s="37"/>
      <c r="U291" s="37"/>
      <c r="V291" s="37"/>
      <c r="W291" s="37"/>
      <c r="X291" s="37"/>
      <c r="Y291" s="38"/>
      <c r="Z291" s="38"/>
      <c r="AA291" s="39"/>
      <c r="AB291" s="37"/>
      <c r="AC291" s="39"/>
      <c r="AD291" s="39"/>
      <c r="AE291" s="38"/>
      <c r="AF291" s="40">
        <f t="shared" si="85"/>
        <v>0</v>
      </c>
      <c r="AG291" s="104">
        <f t="shared" si="85"/>
        <v>0</v>
      </c>
    </row>
    <row r="292" spans="2:33" ht="12.75" x14ac:dyDescent="0.3">
      <c r="B292" s="20" t="s">
        <v>269</v>
      </c>
      <c r="C292" s="30"/>
      <c r="D292" s="30"/>
      <c r="E292" s="42"/>
      <c r="F292" s="31"/>
      <c r="G292" s="32">
        <v>0</v>
      </c>
      <c r="H292" s="33">
        <v>0</v>
      </c>
      <c r="I292" s="33">
        <v>0</v>
      </c>
      <c r="J292" s="33">
        <v>0</v>
      </c>
      <c r="K292" s="33">
        <v>0</v>
      </c>
      <c r="L292" s="34">
        <v>0</v>
      </c>
      <c r="M292" s="34">
        <v>0</v>
      </c>
      <c r="N292" s="33">
        <v>0</v>
      </c>
      <c r="O292" s="32">
        <v>0</v>
      </c>
      <c r="P292" s="33">
        <f t="shared" ref="P292:R292" si="109">P287-P288</f>
        <v>0</v>
      </c>
      <c r="Q292" s="33">
        <f t="shared" si="109"/>
        <v>0</v>
      </c>
      <c r="R292" s="34">
        <f t="shared" si="109"/>
        <v>0</v>
      </c>
      <c r="S292" s="26">
        <f t="shared" si="84"/>
        <v>0</v>
      </c>
      <c r="T292" s="32">
        <f t="shared" ref="T292:AE292" si="110">T287-T288</f>
        <v>0</v>
      </c>
      <c r="U292" s="33">
        <f t="shared" si="110"/>
        <v>0</v>
      </c>
      <c r="V292" s="33">
        <f t="shared" si="110"/>
        <v>0</v>
      </c>
      <c r="W292" s="33">
        <f t="shared" si="110"/>
        <v>0</v>
      </c>
      <c r="X292" s="33">
        <f t="shared" si="110"/>
        <v>0</v>
      </c>
      <c r="Y292" s="34">
        <f t="shared" si="110"/>
        <v>0</v>
      </c>
      <c r="Z292" s="34">
        <f t="shared" si="110"/>
        <v>0</v>
      </c>
      <c r="AA292" s="33">
        <f t="shared" si="110"/>
        <v>0</v>
      </c>
      <c r="AB292" s="32">
        <f t="shared" si="110"/>
        <v>0</v>
      </c>
      <c r="AC292" s="33">
        <f t="shared" si="110"/>
        <v>0</v>
      </c>
      <c r="AD292" s="33">
        <f t="shared" si="110"/>
        <v>0</v>
      </c>
      <c r="AE292" s="34">
        <f t="shared" si="110"/>
        <v>0</v>
      </c>
      <c r="AF292" s="26">
        <f t="shared" si="85"/>
        <v>0</v>
      </c>
      <c r="AG292" s="103">
        <f t="shared" si="85"/>
        <v>0</v>
      </c>
    </row>
    <row r="293" spans="2:33" ht="12.75" x14ac:dyDescent="0.3">
      <c r="B293" s="20" t="s">
        <v>270</v>
      </c>
      <c r="C293" s="30"/>
      <c r="D293" s="30"/>
      <c r="E293" s="42"/>
      <c r="F293" s="31"/>
      <c r="G293" s="33">
        <v>120905054</v>
      </c>
      <c r="H293" s="33">
        <v>121260796</v>
      </c>
      <c r="I293" s="33">
        <v>110261543</v>
      </c>
      <c r="J293" s="33">
        <v>99615685</v>
      </c>
      <c r="K293" s="33">
        <v>114317037</v>
      </c>
      <c r="L293" s="33">
        <v>90662324</v>
      </c>
      <c r="M293" s="33">
        <v>90892626</v>
      </c>
      <c r="N293" s="33">
        <v>97937217</v>
      </c>
      <c r="O293" s="33">
        <v>107877837</v>
      </c>
      <c r="P293" s="33">
        <f t="shared" ref="P293:R293" si="111">P294+P340</f>
        <v>127728740</v>
      </c>
      <c r="Q293" s="33">
        <f t="shared" si="111"/>
        <v>130833490</v>
      </c>
      <c r="R293" s="34">
        <f t="shared" si="111"/>
        <v>137159161.23893803</v>
      </c>
      <c r="S293" s="26">
        <f t="shared" si="84"/>
        <v>1349451510.2389381</v>
      </c>
      <c r="T293" s="32">
        <f t="shared" ref="T293:AE293" si="112">T294+T340</f>
        <v>130911823.33333333</v>
      </c>
      <c r="U293" s="33">
        <f t="shared" si="112"/>
        <v>147373073.33333331</v>
      </c>
      <c r="V293" s="33">
        <f t="shared" si="112"/>
        <v>186317073.33333334</v>
      </c>
      <c r="W293" s="33">
        <f t="shared" si="112"/>
        <v>143907073.33333331</v>
      </c>
      <c r="X293" s="33">
        <f t="shared" si="112"/>
        <v>174907073.33333331</v>
      </c>
      <c r="Y293" s="34">
        <f t="shared" si="112"/>
        <v>136437073.33333331</v>
      </c>
      <c r="Z293" s="34">
        <f t="shared" si="112"/>
        <v>181611823.33333334</v>
      </c>
      <c r="AA293" s="33">
        <f t="shared" si="112"/>
        <v>147167073.33333331</v>
      </c>
      <c r="AB293" s="32">
        <f t="shared" si="112"/>
        <v>207557073.33333331</v>
      </c>
      <c r="AC293" s="33">
        <f t="shared" si="112"/>
        <v>193687073.33333331</v>
      </c>
      <c r="AD293" s="33">
        <f t="shared" si="112"/>
        <v>135957073.33333331</v>
      </c>
      <c r="AE293" s="34">
        <f t="shared" si="112"/>
        <v>144550326.43067846</v>
      </c>
      <c r="AF293" s="26">
        <f t="shared" si="85"/>
        <v>1930383633.0973444</v>
      </c>
      <c r="AG293" s="103"/>
    </row>
    <row r="294" spans="2:33" ht="12.75" x14ac:dyDescent="0.3">
      <c r="B294" s="28"/>
      <c r="C294" s="29" t="s">
        <v>271</v>
      </c>
      <c r="D294" s="30"/>
      <c r="E294" s="42"/>
      <c r="F294" s="31"/>
      <c r="G294" s="32">
        <v>101190882</v>
      </c>
      <c r="H294" s="33">
        <v>100387584</v>
      </c>
      <c r="I294" s="33">
        <v>86534497</v>
      </c>
      <c r="J294" s="33">
        <v>79921563</v>
      </c>
      <c r="K294" s="33">
        <v>91756594</v>
      </c>
      <c r="L294" s="34">
        <v>69791663</v>
      </c>
      <c r="M294" s="34">
        <v>70449258</v>
      </c>
      <c r="N294" s="33">
        <v>79123957</v>
      </c>
      <c r="O294" s="32">
        <v>90600650</v>
      </c>
      <c r="P294" s="33">
        <f t="shared" ref="P294:R294" si="113">P295+P300+P306+P310</f>
        <v>92918040</v>
      </c>
      <c r="Q294" s="33">
        <f t="shared" si="113"/>
        <v>93568040</v>
      </c>
      <c r="R294" s="34">
        <f t="shared" si="113"/>
        <v>102293261.23893805</v>
      </c>
      <c r="S294" s="26">
        <f t="shared" si="84"/>
        <v>1058535989.2389381</v>
      </c>
      <c r="T294" s="32">
        <f t="shared" ref="T294:AE294" si="114">T295+T300+T306+T310</f>
        <v>92918040</v>
      </c>
      <c r="U294" s="33">
        <f t="shared" si="114"/>
        <v>100918040</v>
      </c>
      <c r="V294" s="33">
        <f t="shared" si="114"/>
        <v>106168040</v>
      </c>
      <c r="W294" s="33">
        <f t="shared" si="114"/>
        <v>98168040</v>
      </c>
      <c r="X294" s="33">
        <f t="shared" si="114"/>
        <v>98168040</v>
      </c>
      <c r="Y294" s="34">
        <f t="shared" si="114"/>
        <v>98168040</v>
      </c>
      <c r="Z294" s="34">
        <f t="shared" si="114"/>
        <v>101168040</v>
      </c>
      <c r="AA294" s="33">
        <f t="shared" si="114"/>
        <v>111168040</v>
      </c>
      <c r="AB294" s="32">
        <f t="shared" si="114"/>
        <v>98168040</v>
      </c>
      <c r="AC294" s="33">
        <f t="shared" si="114"/>
        <v>98168040</v>
      </c>
      <c r="AD294" s="33">
        <f t="shared" si="114"/>
        <v>98818040</v>
      </c>
      <c r="AE294" s="34">
        <f t="shared" si="114"/>
        <v>108106093.09734513</v>
      </c>
      <c r="AF294" s="26">
        <f t="shared" si="85"/>
        <v>1210104533.0973451</v>
      </c>
      <c r="AG294" s="103"/>
    </row>
    <row r="295" spans="2:33" ht="12.75" x14ac:dyDescent="0.3">
      <c r="B295" s="27"/>
      <c r="C295" s="27"/>
      <c r="D295" s="61" t="s">
        <v>272</v>
      </c>
      <c r="E295" s="62"/>
      <c r="F295" s="31"/>
      <c r="G295" s="32">
        <v>61317807</v>
      </c>
      <c r="H295" s="33">
        <v>59789000</v>
      </c>
      <c r="I295" s="33">
        <v>54582000</v>
      </c>
      <c r="J295" s="33">
        <v>51590239</v>
      </c>
      <c r="K295" s="33">
        <v>48776606</v>
      </c>
      <c r="L295" s="34">
        <v>43626870</v>
      </c>
      <c r="M295" s="34">
        <v>45465455</v>
      </c>
      <c r="N295" s="33">
        <v>48655235</v>
      </c>
      <c r="O295" s="33">
        <v>52972328</v>
      </c>
      <c r="P295" s="33">
        <f t="shared" ref="P295:R295" si="115">SUM(P296:P299)</f>
        <v>52970000</v>
      </c>
      <c r="Q295" s="33">
        <f t="shared" si="115"/>
        <v>52970000</v>
      </c>
      <c r="R295" s="34">
        <f t="shared" si="115"/>
        <v>52970000</v>
      </c>
      <c r="S295" s="26">
        <f t="shared" si="84"/>
        <v>625685540</v>
      </c>
      <c r="T295" s="32">
        <f t="shared" ref="T295:AE295" si="116">SUM(T296:T299)</f>
        <v>52970000</v>
      </c>
      <c r="U295" s="33">
        <f t="shared" si="116"/>
        <v>52970000</v>
      </c>
      <c r="V295" s="33">
        <f t="shared" si="116"/>
        <v>56150000</v>
      </c>
      <c r="W295" s="33">
        <f t="shared" si="116"/>
        <v>56150000</v>
      </c>
      <c r="X295" s="33">
        <f t="shared" si="116"/>
        <v>56150000</v>
      </c>
      <c r="Y295" s="34">
        <f t="shared" si="116"/>
        <v>56150000</v>
      </c>
      <c r="Z295" s="34">
        <f t="shared" si="116"/>
        <v>56150000</v>
      </c>
      <c r="AA295" s="33">
        <f t="shared" si="116"/>
        <v>56150000</v>
      </c>
      <c r="AB295" s="33">
        <f t="shared" si="116"/>
        <v>56150000</v>
      </c>
      <c r="AC295" s="33">
        <f t="shared" si="116"/>
        <v>56150000</v>
      </c>
      <c r="AD295" s="33">
        <f t="shared" si="116"/>
        <v>56150000</v>
      </c>
      <c r="AE295" s="34">
        <f t="shared" si="116"/>
        <v>56150000</v>
      </c>
      <c r="AF295" s="26">
        <f t="shared" si="85"/>
        <v>667440000</v>
      </c>
      <c r="AG295" s="103"/>
    </row>
    <row r="296" spans="2:33" ht="12.75" x14ac:dyDescent="0.3">
      <c r="B296" s="27"/>
      <c r="C296" s="27"/>
      <c r="D296" s="27"/>
      <c r="E296" s="41">
        <v>5101110</v>
      </c>
      <c r="F296" s="36" t="s">
        <v>273</v>
      </c>
      <c r="G296" s="37">
        <v>0</v>
      </c>
      <c r="H296" s="37">
        <v>0</v>
      </c>
      <c r="I296" s="37">
        <v>0</v>
      </c>
      <c r="J296" s="37">
        <v>0</v>
      </c>
      <c r="K296" s="37">
        <v>0</v>
      </c>
      <c r="L296" s="37">
        <v>0</v>
      </c>
      <c r="M296" s="37">
        <v>0</v>
      </c>
      <c r="N296" s="37">
        <v>0</v>
      </c>
      <c r="O296" s="37">
        <v>0</v>
      </c>
      <c r="P296" s="39">
        <v>0</v>
      </c>
      <c r="Q296" s="39">
        <v>0</v>
      </c>
      <c r="R296" s="38">
        <v>0</v>
      </c>
      <c r="S296" s="40">
        <f t="shared" si="84"/>
        <v>0</v>
      </c>
      <c r="T296" s="37">
        <v>0</v>
      </c>
      <c r="U296" s="37">
        <v>0</v>
      </c>
      <c r="V296" s="37">
        <v>0</v>
      </c>
      <c r="W296" s="37">
        <v>0</v>
      </c>
      <c r="X296" s="37">
        <v>0</v>
      </c>
      <c r="Y296" s="37">
        <v>0</v>
      </c>
      <c r="Z296" s="37">
        <v>0</v>
      </c>
      <c r="AA296" s="37">
        <v>0</v>
      </c>
      <c r="AB296" s="37">
        <v>0</v>
      </c>
      <c r="AC296" s="39"/>
      <c r="AD296" s="39"/>
      <c r="AE296" s="38"/>
      <c r="AF296" s="40">
        <f t="shared" si="85"/>
        <v>0</v>
      </c>
      <c r="AG296" s="104"/>
    </row>
    <row r="297" spans="2:33" ht="12.75" x14ac:dyDescent="0.3">
      <c r="B297" s="27"/>
      <c r="C297" s="27"/>
      <c r="D297" s="27"/>
      <c r="E297" s="41">
        <v>5101120</v>
      </c>
      <c r="F297" s="36" t="s">
        <v>274</v>
      </c>
      <c r="G297" s="37">
        <v>61317807</v>
      </c>
      <c r="H297" s="37">
        <v>59789000</v>
      </c>
      <c r="I297" s="37">
        <v>54582000</v>
      </c>
      <c r="J297" s="37">
        <v>51590239</v>
      </c>
      <c r="K297" s="37">
        <v>48776606</v>
      </c>
      <c r="L297" s="37">
        <v>43626870</v>
      </c>
      <c r="M297" s="37">
        <v>45465455</v>
      </c>
      <c r="N297" s="37">
        <v>48655235</v>
      </c>
      <c r="O297" s="37">
        <v>52972328</v>
      </c>
      <c r="P297" s="39">
        <v>52970000</v>
      </c>
      <c r="Q297" s="39">
        <v>52970000</v>
      </c>
      <c r="R297" s="38">
        <v>52970000</v>
      </c>
      <c r="S297" s="40">
        <f t="shared" si="84"/>
        <v>625685540</v>
      </c>
      <c r="T297" s="37">
        <v>52970000</v>
      </c>
      <c r="U297" s="37">
        <v>52970000</v>
      </c>
      <c r="V297" s="37">
        <v>56150000</v>
      </c>
      <c r="W297" s="37">
        <v>56150000</v>
      </c>
      <c r="X297" s="37">
        <v>56150000</v>
      </c>
      <c r="Y297" s="37">
        <v>56150000</v>
      </c>
      <c r="Z297" s="37">
        <v>56150000</v>
      </c>
      <c r="AA297" s="37">
        <v>56150000</v>
      </c>
      <c r="AB297" s="37">
        <v>56150000</v>
      </c>
      <c r="AC297" s="37">
        <v>56150000</v>
      </c>
      <c r="AD297" s="37">
        <v>56150000</v>
      </c>
      <c r="AE297" s="37">
        <v>56150000</v>
      </c>
      <c r="AF297" s="40">
        <f t="shared" si="85"/>
        <v>667440000</v>
      </c>
      <c r="AG297" s="106" t="s">
        <v>721</v>
      </c>
    </row>
    <row r="298" spans="2:33" ht="12.75" x14ac:dyDescent="0.3">
      <c r="B298" s="27"/>
      <c r="C298" s="27"/>
      <c r="D298" s="27"/>
      <c r="E298" s="41">
        <v>5101130</v>
      </c>
      <c r="F298" s="36" t="s">
        <v>275</v>
      </c>
      <c r="G298" s="37">
        <v>0</v>
      </c>
      <c r="H298" s="37">
        <v>0</v>
      </c>
      <c r="I298" s="37">
        <v>0</v>
      </c>
      <c r="J298" s="37">
        <v>0</v>
      </c>
      <c r="K298" s="37">
        <v>0</v>
      </c>
      <c r="L298" s="37">
        <v>0</v>
      </c>
      <c r="M298" s="37">
        <v>0</v>
      </c>
      <c r="N298" s="37">
        <v>0</v>
      </c>
      <c r="O298" s="37">
        <v>0</v>
      </c>
      <c r="P298" s="39">
        <v>0</v>
      </c>
      <c r="Q298" s="39">
        <v>0</v>
      </c>
      <c r="R298" s="38">
        <v>0</v>
      </c>
      <c r="S298" s="40">
        <f t="shared" si="84"/>
        <v>0</v>
      </c>
      <c r="T298" s="37">
        <v>0</v>
      </c>
      <c r="U298" s="37">
        <v>0</v>
      </c>
      <c r="V298" s="37">
        <v>0</v>
      </c>
      <c r="W298" s="37">
        <v>0</v>
      </c>
      <c r="X298" s="37">
        <v>0</v>
      </c>
      <c r="Y298" s="38">
        <v>0</v>
      </c>
      <c r="Z298" s="38">
        <v>0</v>
      </c>
      <c r="AA298" s="39">
        <v>0</v>
      </c>
      <c r="AB298" s="37">
        <v>0</v>
      </c>
      <c r="AC298" s="39"/>
      <c r="AD298" s="39"/>
      <c r="AE298" s="38"/>
      <c r="AF298" s="40">
        <f t="shared" si="85"/>
        <v>0</v>
      </c>
      <c r="AG298" s="104"/>
    </row>
    <row r="299" spans="2:33" ht="12.75" x14ac:dyDescent="0.3">
      <c r="B299" s="27"/>
      <c r="C299" s="27"/>
      <c r="D299" s="27"/>
      <c r="E299" s="41">
        <v>5101140</v>
      </c>
      <c r="F299" s="36" t="s">
        <v>276</v>
      </c>
      <c r="G299" s="37">
        <v>0</v>
      </c>
      <c r="H299" s="37">
        <v>0</v>
      </c>
      <c r="I299" s="37">
        <v>0</v>
      </c>
      <c r="J299" s="37">
        <v>0</v>
      </c>
      <c r="K299" s="37">
        <v>0</v>
      </c>
      <c r="L299" s="37">
        <v>0</v>
      </c>
      <c r="M299" s="37">
        <v>0</v>
      </c>
      <c r="N299" s="37">
        <v>0</v>
      </c>
      <c r="O299" s="37">
        <v>0</v>
      </c>
      <c r="P299" s="39">
        <v>0</v>
      </c>
      <c r="Q299" s="39">
        <v>0</v>
      </c>
      <c r="R299" s="38">
        <v>0</v>
      </c>
      <c r="S299" s="40">
        <f t="shared" si="84"/>
        <v>0</v>
      </c>
      <c r="T299" s="37">
        <v>0</v>
      </c>
      <c r="U299" s="37">
        <v>0</v>
      </c>
      <c r="V299" s="37">
        <v>0</v>
      </c>
      <c r="W299" s="37">
        <v>0</v>
      </c>
      <c r="X299" s="37">
        <v>0</v>
      </c>
      <c r="Y299" s="38">
        <v>0</v>
      </c>
      <c r="Z299" s="38">
        <v>0</v>
      </c>
      <c r="AA299" s="39">
        <v>0</v>
      </c>
      <c r="AB299" s="37">
        <v>0</v>
      </c>
      <c r="AC299" s="39"/>
      <c r="AD299" s="39"/>
      <c r="AE299" s="38"/>
      <c r="AF299" s="40">
        <f t="shared" si="85"/>
        <v>0</v>
      </c>
      <c r="AG299" s="104"/>
    </row>
    <row r="300" spans="2:33" ht="12.75" x14ac:dyDescent="0.3">
      <c r="B300" s="27"/>
      <c r="C300" s="27"/>
      <c r="D300" s="29" t="s">
        <v>277</v>
      </c>
      <c r="E300" s="42"/>
      <c r="F300" s="31"/>
      <c r="G300" s="33">
        <v>20387054</v>
      </c>
      <c r="H300" s="33">
        <v>19367164</v>
      </c>
      <c r="I300" s="33">
        <v>18559467</v>
      </c>
      <c r="J300" s="33">
        <v>16941293</v>
      </c>
      <c r="K300" s="33">
        <v>15884551</v>
      </c>
      <c r="L300" s="33">
        <v>14375341</v>
      </c>
      <c r="M300" s="33">
        <v>15654031</v>
      </c>
      <c r="N300" s="33">
        <v>17068277</v>
      </c>
      <c r="O300" s="33">
        <v>17221994</v>
      </c>
      <c r="P300" s="33">
        <f t="shared" ref="P300:R300" si="117">SUM(P301:P305)</f>
        <v>17200000</v>
      </c>
      <c r="Q300" s="33">
        <f t="shared" si="117"/>
        <v>17200000</v>
      </c>
      <c r="R300" s="34">
        <f t="shared" si="117"/>
        <v>17200000</v>
      </c>
      <c r="S300" s="26">
        <f t="shared" si="84"/>
        <v>207059172</v>
      </c>
      <c r="T300" s="33">
        <f t="shared" ref="T300:AE300" si="118">SUM(T301:T305)</f>
        <v>17200000</v>
      </c>
      <c r="U300" s="33">
        <f t="shared" si="118"/>
        <v>17200000</v>
      </c>
      <c r="V300" s="33">
        <f t="shared" si="118"/>
        <v>18240000</v>
      </c>
      <c r="W300" s="33">
        <f t="shared" si="118"/>
        <v>18240000</v>
      </c>
      <c r="X300" s="33">
        <f t="shared" si="118"/>
        <v>18240000</v>
      </c>
      <c r="Y300" s="33">
        <f t="shared" si="118"/>
        <v>18240000</v>
      </c>
      <c r="Z300" s="33">
        <f t="shared" si="118"/>
        <v>18240000</v>
      </c>
      <c r="AA300" s="33">
        <f t="shared" si="118"/>
        <v>18240000</v>
      </c>
      <c r="AB300" s="33">
        <f t="shared" si="118"/>
        <v>18240000</v>
      </c>
      <c r="AC300" s="33">
        <f t="shared" si="118"/>
        <v>18240000</v>
      </c>
      <c r="AD300" s="33">
        <f t="shared" si="118"/>
        <v>18240000</v>
      </c>
      <c r="AE300" s="34">
        <f t="shared" si="118"/>
        <v>18240000</v>
      </c>
      <c r="AF300" s="26">
        <f t="shared" si="85"/>
        <v>216800000</v>
      </c>
      <c r="AG300" s="103"/>
    </row>
    <row r="301" spans="2:33" ht="12.75" x14ac:dyDescent="0.3">
      <c r="B301" s="27"/>
      <c r="C301" s="27"/>
      <c r="D301" s="27"/>
      <c r="E301" s="41">
        <v>5101210</v>
      </c>
      <c r="F301" s="36" t="s">
        <v>278</v>
      </c>
      <c r="G301" s="37">
        <v>9848167</v>
      </c>
      <c r="H301" s="37">
        <v>9848167</v>
      </c>
      <c r="I301" s="37">
        <v>8965334</v>
      </c>
      <c r="J301" s="37">
        <v>10187002</v>
      </c>
      <c r="K301" s="37">
        <v>6945834</v>
      </c>
      <c r="L301" s="37">
        <v>6945830</v>
      </c>
      <c r="M301" s="37">
        <v>7561833</v>
      </c>
      <c r="N301" s="37">
        <v>8561833</v>
      </c>
      <c r="O301" s="37">
        <v>8460333</v>
      </c>
      <c r="P301" s="39">
        <v>8450000</v>
      </c>
      <c r="Q301" s="39">
        <v>8450000</v>
      </c>
      <c r="R301" s="38">
        <v>8450000</v>
      </c>
      <c r="S301" s="40">
        <f t="shared" si="84"/>
        <v>102674333</v>
      </c>
      <c r="T301" s="37">
        <v>8450000</v>
      </c>
      <c r="U301" s="37">
        <v>8450000</v>
      </c>
      <c r="V301" s="37">
        <v>8960000</v>
      </c>
      <c r="W301" s="37">
        <v>8960000</v>
      </c>
      <c r="X301" s="37">
        <v>8960000</v>
      </c>
      <c r="Y301" s="37">
        <v>8960000</v>
      </c>
      <c r="Z301" s="37">
        <v>8960000</v>
      </c>
      <c r="AA301" s="37">
        <v>8960000</v>
      </c>
      <c r="AB301" s="37">
        <v>8960000</v>
      </c>
      <c r="AC301" s="37">
        <v>8960000</v>
      </c>
      <c r="AD301" s="37">
        <v>8960000</v>
      </c>
      <c r="AE301" s="37">
        <v>8960000</v>
      </c>
      <c r="AF301" s="40">
        <f t="shared" si="85"/>
        <v>106500000</v>
      </c>
      <c r="AG301" s="106" t="s">
        <v>610</v>
      </c>
    </row>
    <row r="302" spans="2:33" ht="12.75" x14ac:dyDescent="0.3">
      <c r="B302" s="27"/>
      <c r="C302" s="27"/>
      <c r="D302" s="27"/>
      <c r="E302" s="41">
        <v>5101240</v>
      </c>
      <c r="F302" s="36" t="s">
        <v>279</v>
      </c>
      <c r="G302" s="37">
        <v>0</v>
      </c>
      <c r="H302" s="37">
        <v>0</v>
      </c>
      <c r="I302" s="37">
        <v>0</v>
      </c>
      <c r="J302" s="37">
        <v>0</v>
      </c>
      <c r="K302" s="37">
        <v>0</v>
      </c>
      <c r="L302" s="37">
        <v>0</v>
      </c>
      <c r="M302" s="37">
        <v>0</v>
      </c>
      <c r="N302" s="37">
        <v>0</v>
      </c>
      <c r="O302" s="37">
        <v>0</v>
      </c>
      <c r="P302" s="39">
        <v>0</v>
      </c>
      <c r="Q302" s="39">
        <v>0</v>
      </c>
      <c r="R302" s="38">
        <v>0</v>
      </c>
      <c r="S302" s="40">
        <f t="shared" si="84"/>
        <v>0</v>
      </c>
      <c r="T302" s="37">
        <v>0</v>
      </c>
      <c r="U302" s="37">
        <v>0</v>
      </c>
      <c r="V302" s="37">
        <v>0</v>
      </c>
      <c r="W302" s="37">
        <v>0</v>
      </c>
      <c r="X302" s="37">
        <v>0</v>
      </c>
      <c r="Y302" s="38">
        <v>0</v>
      </c>
      <c r="Z302" s="38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40">
        <f t="shared" si="85"/>
        <v>0</v>
      </c>
      <c r="AG302" s="104"/>
    </row>
    <row r="303" spans="2:33" ht="12.75" x14ac:dyDescent="0.3">
      <c r="B303" s="27"/>
      <c r="C303" s="27"/>
      <c r="D303" s="27"/>
      <c r="E303" s="41">
        <v>5101220</v>
      </c>
      <c r="F303" s="36" t="s">
        <v>280</v>
      </c>
      <c r="G303" s="37">
        <v>10538887</v>
      </c>
      <c r="H303" s="37">
        <v>9518997</v>
      </c>
      <c r="I303" s="37">
        <v>9594133</v>
      </c>
      <c r="J303" s="37">
        <v>6754291</v>
      </c>
      <c r="K303" s="37">
        <v>8938717</v>
      </c>
      <c r="L303" s="37">
        <v>7429511</v>
      </c>
      <c r="M303" s="37">
        <v>8092198</v>
      </c>
      <c r="N303" s="37">
        <v>8506444</v>
      </c>
      <c r="O303" s="37">
        <v>8761661</v>
      </c>
      <c r="P303" s="39">
        <v>8750000</v>
      </c>
      <c r="Q303" s="39">
        <v>8750000</v>
      </c>
      <c r="R303" s="38">
        <v>8750000</v>
      </c>
      <c r="S303" s="40">
        <f t="shared" si="84"/>
        <v>104384839</v>
      </c>
      <c r="T303" s="37">
        <v>8750000</v>
      </c>
      <c r="U303" s="37">
        <v>8750000</v>
      </c>
      <c r="V303" s="37">
        <v>9280000</v>
      </c>
      <c r="W303" s="37">
        <v>9280000</v>
      </c>
      <c r="X303" s="37">
        <v>9280000</v>
      </c>
      <c r="Y303" s="37">
        <v>9280000</v>
      </c>
      <c r="Z303" s="37">
        <v>9280000</v>
      </c>
      <c r="AA303" s="37">
        <v>9280000</v>
      </c>
      <c r="AB303" s="37">
        <v>9280000</v>
      </c>
      <c r="AC303" s="37">
        <v>9280000</v>
      </c>
      <c r="AD303" s="37">
        <v>9280000</v>
      </c>
      <c r="AE303" s="37">
        <v>9280000</v>
      </c>
      <c r="AF303" s="40">
        <f t="shared" si="85"/>
        <v>110300000</v>
      </c>
      <c r="AG303" s="106" t="s">
        <v>610</v>
      </c>
    </row>
    <row r="304" spans="2:33" ht="12.75" x14ac:dyDescent="0.3">
      <c r="B304" s="27"/>
      <c r="C304" s="27"/>
      <c r="D304" s="27"/>
      <c r="E304" s="41">
        <v>5101250</v>
      </c>
      <c r="F304" s="36" t="s">
        <v>281</v>
      </c>
      <c r="G304" s="37">
        <v>0</v>
      </c>
      <c r="H304" s="37">
        <v>0</v>
      </c>
      <c r="I304" s="37">
        <v>0</v>
      </c>
      <c r="J304" s="37">
        <v>0</v>
      </c>
      <c r="K304" s="37">
        <v>0</v>
      </c>
      <c r="L304" s="37">
        <v>0</v>
      </c>
      <c r="M304" s="37">
        <v>0</v>
      </c>
      <c r="N304" s="37">
        <v>0</v>
      </c>
      <c r="O304" s="37">
        <v>0</v>
      </c>
      <c r="P304" s="39">
        <v>0</v>
      </c>
      <c r="Q304" s="39">
        <v>0</v>
      </c>
      <c r="R304" s="38">
        <v>0</v>
      </c>
      <c r="S304" s="40">
        <f t="shared" si="84"/>
        <v>0</v>
      </c>
      <c r="T304" s="37">
        <v>0</v>
      </c>
      <c r="U304" s="37">
        <v>0</v>
      </c>
      <c r="V304" s="37">
        <v>0</v>
      </c>
      <c r="W304" s="37">
        <v>0</v>
      </c>
      <c r="X304" s="37">
        <v>0</v>
      </c>
      <c r="Y304" s="38">
        <v>0</v>
      </c>
      <c r="Z304" s="38">
        <v>0</v>
      </c>
      <c r="AA304" s="39">
        <v>0</v>
      </c>
      <c r="AB304" s="39">
        <v>0</v>
      </c>
      <c r="AC304" s="39">
        <v>0</v>
      </c>
      <c r="AD304" s="39">
        <v>0</v>
      </c>
      <c r="AE304" s="39">
        <v>0</v>
      </c>
      <c r="AF304" s="40">
        <f t="shared" si="85"/>
        <v>0</v>
      </c>
      <c r="AG304" s="104"/>
    </row>
    <row r="305" spans="2:33" ht="12.75" x14ac:dyDescent="0.3">
      <c r="B305" s="27"/>
      <c r="C305" s="27"/>
      <c r="D305" s="28"/>
      <c r="E305" s="41">
        <v>5101230</v>
      </c>
      <c r="F305" s="36" t="s">
        <v>282</v>
      </c>
      <c r="G305" s="37">
        <v>0</v>
      </c>
      <c r="H305" s="37">
        <v>0</v>
      </c>
      <c r="I305" s="37">
        <v>0</v>
      </c>
      <c r="J305" s="37">
        <v>0</v>
      </c>
      <c r="K305" s="37">
        <v>0</v>
      </c>
      <c r="L305" s="37">
        <v>0</v>
      </c>
      <c r="M305" s="37">
        <v>0</v>
      </c>
      <c r="N305" s="37">
        <v>0</v>
      </c>
      <c r="O305" s="37">
        <v>0</v>
      </c>
      <c r="P305" s="39">
        <v>0</v>
      </c>
      <c r="Q305" s="39">
        <v>0</v>
      </c>
      <c r="R305" s="38">
        <v>0</v>
      </c>
      <c r="S305" s="40">
        <f t="shared" si="84"/>
        <v>0</v>
      </c>
      <c r="T305" s="37">
        <v>0</v>
      </c>
      <c r="U305" s="37">
        <v>0</v>
      </c>
      <c r="V305" s="37">
        <v>0</v>
      </c>
      <c r="W305" s="37">
        <v>0</v>
      </c>
      <c r="X305" s="37">
        <v>0</v>
      </c>
      <c r="Y305" s="38">
        <v>0</v>
      </c>
      <c r="Z305" s="38">
        <v>0</v>
      </c>
      <c r="AA305" s="39">
        <v>0</v>
      </c>
      <c r="AB305" s="37">
        <v>0</v>
      </c>
      <c r="AC305" s="37">
        <v>0</v>
      </c>
      <c r="AD305" s="37">
        <v>0</v>
      </c>
      <c r="AE305" s="37">
        <v>0</v>
      </c>
      <c r="AF305" s="40">
        <f t="shared" si="85"/>
        <v>0</v>
      </c>
      <c r="AG305" s="104"/>
    </row>
    <row r="306" spans="2:33" ht="12.75" x14ac:dyDescent="0.3">
      <c r="B306" s="27"/>
      <c r="C306" s="27"/>
      <c r="D306" s="29" t="s">
        <v>283</v>
      </c>
      <c r="E306" s="42"/>
      <c r="F306" s="31"/>
      <c r="G306" s="33">
        <v>10983549</v>
      </c>
      <c r="H306" s="33">
        <v>4924149</v>
      </c>
      <c r="I306" s="33">
        <v>3843237</v>
      </c>
      <c r="J306" s="33">
        <v>2656125</v>
      </c>
      <c r="K306" s="33">
        <v>21572206</v>
      </c>
      <c r="L306" s="33">
        <v>6064931</v>
      </c>
      <c r="M306" s="33">
        <v>3613428</v>
      </c>
      <c r="N306" s="33">
        <v>3661358</v>
      </c>
      <c r="O306" s="33">
        <v>12620701</v>
      </c>
      <c r="P306" s="33">
        <f t="shared" ref="P306:R306" si="119">SUM(P307:P309)</f>
        <v>12610000</v>
      </c>
      <c r="Q306" s="33">
        <f t="shared" si="119"/>
        <v>12610000</v>
      </c>
      <c r="R306" s="34">
        <f t="shared" si="119"/>
        <v>12610000</v>
      </c>
      <c r="S306" s="26">
        <f t="shared" si="84"/>
        <v>107769684</v>
      </c>
      <c r="T306" s="33">
        <f t="shared" ref="T306:AE306" si="120">SUM(T307:T309)</f>
        <v>12610000</v>
      </c>
      <c r="U306" s="33">
        <f t="shared" si="120"/>
        <v>12610000</v>
      </c>
      <c r="V306" s="33">
        <f t="shared" si="120"/>
        <v>13370000</v>
      </c>
      <c r="W306" s="33">
        <f t="shared" si="120"/>
        <v>13370000</v>
      </c>
      <c r="X306" s="33">
        <f t="shared" si="120"/>
        <v>13370000</v>
      </c>
      <c r="Y306" s="33">
        <f t="shared" si="120"/>
        <v>13370000</v>
      </c>
      <c r="Z306" s="33">
        <f t="shared" si="120"/>
        <v>13370000</v>
      </c>
      <c r="AA306" s="33">
        <f t="shared" si="120"/>
        <v>13370000</v>
      </c>
      <c r="AB306" s="33">
        <f t="shared" si="120"/>
        <v>13370000</v>
      </c>
      <c r="AC306" s="33">
        <f t="shared" si="120"/>
        <v>13370000</v>
      </c>
      <c r="AD306" s="33">
        <f t="shared" si="120"/>
        <v>13370000</v>
      </c>
      <c r="AE306" s="34">
        <f t="shared" si="120"/>
        <v>13370000</v>
      </c>
      <c r="AF306" s="26">
        <f t="shared" si="85"/>
        <v>158920000</v>
      </c>
      <c r="AG306" s="103"/>
    </row>
    <row r="307" spans="2:33" ht="12.75" x14ac:dyDescent="0.3">
      <c r="B307" s="27"/>
      <c r="C307" s="27"/>
      <c r="D307" s="27"/>
      <c r="E307" s="41">
        <v>5102000</v>
      </c>
      <c r="F307" s="36" t="s">
        <v>284</v>
      </c>
      <c r="G307" s="37">
        <v>10983549</v>
      </c>
      <c r="H307" s="37">
        <v>4924149</v>
      </c>
      <c r="I307" s="37">
        <v>3843237</v>
      </c>
      <c r="J307" s="37">
        <v>2656125</v>
      </c>
      <c r="K307" s="37">
        <v>21572206</v>
      </c>
      <c r="L307" s="37">
        <v>6064931</v>
      </c>
      <c r="M307" s="37">
        <v>3613428</v>
      </c>
      <c r="N307" s="37">
        <v>3661358</v>
      </c>
      <c r="O307" s="37">
        <v>12620701</v>
      </c>
      <c r="P307" s="39">
        <v>12610000</v>
      </c>
      <c r="Q307" s="39">
        <v>12610000</v>
      </c>
      <c r="R307" s="38">
        <v>12610000</v>
      </c>
      <c r="S307" s="40">
        <f t="shared" si="84"/>
        <v>107769684</v>
      </c>
      <c r="T307" s="37">
        <v>12610000</v>
      </c>
      <c r="U307" s="37">
        <v>12610000</v>
      </c>
      <c r="V307" s="37">
        <v>13370000</v>
      </c>
      <c r="W307" s="37">
        <v>13370000</v>
      </c>
      <c r="X307" s="37">
        <v>13370000</v>
      </c>
      <c r="Y307" s="37">
        <v>13370000</v>
      </c>
      <c r="Z307" s="37">
        <v>13370000</v>
      </c>
      <c r="AA307" s="37">
        <v>13370000</v>
      </c>
      <c r="AB307" s="37">
        <v>13370000</v>
      </c>
      <c r="AC307" s="37">
        <v>13370000</v>
      </c>
      <c r="AD307" s="37">
        <v>13370000</v>
      </c>
      <c r="AE307" s="37">
        <v>13370000</v>
      </c>
      <c r="AF307" s="40">
        <f t="shared" si="85"/>
        <v>158920000</v>
      </c>
      <c r="AG307" s="106" t="s">
        <v>610</v>
      </c>
    </row>
    <row r="308" spans="2:33" ht="12.75" x14ac:dyDescent="0.3">
      <c r="B308" s="27"/>
      <c r="C308" s="27"/>
      <c r="D308" s="27"/>
      <c r="E308" s="41">
        <v>5102100</v>
      </c>
      <c r="F308" s="36" t="s">
        <v>285</v>
      </c>
      <c r="G308" s="37">
        <v>0</v>
      </c>
      <c r="H308" s="37">
        <v>0</v>
      </c>
      <c r="I308" s="37">
        <v>0</v>
      </c>
      <c r="J308" s="37">
        <v>0</v>
      </c>
      <c r="K308" s="37">
        <v>0</v>
      </c>
      <c r="L308" s="37">
        <v>0</v>
      </c>
      <c r="M308" s="37">
        <v>0</v>
      </c>
      <c r="N308" s="37">
        <v>0</v>
      </c>
      <c r="O308" s="37">
        <v>0</v>
      </c>
      <c r="P308" s="39">
        <v>0</v>
      </c>
      <c r="Q308" s="39">
        <v>0</v>
      </c>
      <c r="R308" s="38">
        <v>0</v>
      </c>
      <c r="S308" s="40">
        <f t="shared" si="84"/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8">
        <v>0</v>
      </c>
      <c r="Z308" s="38">
        <v>0</v>
      </c>
      <c r="AA308" s="39">
        <v>0</v>
      </c>
      <c r="AB308" s="37">
        <v>0</v>
      </c>
      <c r="AC308" s="37">
        <v>0</v>
      </c>
      <c r="AD308" s="37">
        <v>0</v>
      </c>
      <c r="AE308" s="37">
        <v>0</v>
      </c>
      <c r="AF308" s="40">
        <f t="shared" si="85"/>
        <v>0</v>
      </c>
      <c r="AG308" s="104"/>
    </row>
    <row r="309" spans="2:33" ht="12.75" x14ac:dyDescent="0.3">
      <c r="B309" s="27"/>
      <c r="C309" s="27"/>
      <c r="D309" s="27"/>
      <c r="E309" s="41">
        <v>5102200</v>
      </c>
      <c r="F309" s="36" t="s">
        <v>286</v>
      </c>
      <c r="G309" s="37">
        <v>0</v>
      </c>
      <c r="H309" s="37">
        <v>0</v>
      </c>
      <c r="I309" s="37">
        <v>0</v>
      </c>
      <c r="J309" s="37">
        <v>0</v>
      </c>
      <c r="K309" s="37">
        <v>0</v>
      </c>
      <c r="L309" s="37">
        <v>0</v>
      </c>
      <c r="M309" s="37">
        <v>0</v>
      </c>
      <c r="N309" s="37">
        <v>0</v>
      </c>
      <c r="O309" s="37">
        <v>0</v>
      </c>
      <c r="P309" s="39">
        <v>0</v>
      </c>
      <c r="Q309" s="39">
        <v>0</v>
      </c>
      <c r="R309" s="38">
        <v>0</v>
      </c>
      <c r="S309" s="40">
        <f t="shared" si="84"/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8">
        <v>0</v>
      </c>
      <c r="Z309" s="38">
        <v>0</v>
      </c>
      <c r="AA309" s="39">
        <v>0</v>
      </c>
      <c r="AB309" s="37">
        <v>0</v>
      </c>
      <c r="AC309" s="37">
        <v>0</v>
      </c>
      <c r="AD309" s="37">
        <v>0</v>
      </c>
      <c r="AE309" s="37">
        <v>0</v>
      </c>
      <c r="AF309" s="40">
        <f t="shared" si="85"/>
        <v>0</v>
      </c>
      <c r="AG309" s="104"/>
    </row>
    <row r="310" spans="2:33" ht="12.75" x14ac:dyDescent="0.3">
      <c r="B310" s="27"/>
      <c r="C310" s="27"/>
      <c r="D310" s="29" t="s">
        <v>287</v>
      </c>
      <c r="E310" s="42"/>
      <c r="F310" s="31"/>
      <c r="G310" s="33">
        <v>8502472</v>
      </c>
      <c r="H310" s="33">
        <v>16307271</v>
      </c>
      <c r="I310" s="33">
        <v>9549793</v>
      </c>
      <c r="J310" s="33">
        <v>8733906</v>
      </c>
      <c r="K310" s="33">
        <v>5523231</v>
      </c>
      <c r="L310" s="33">
        <v>5724521</v>
      </c>
      <c r="M310" s="33">
        <v>5716344</v>
      </c>
      <c r="N310" s="33">
        <v>9739087</v>
      </c>
      <c r="O310" s="33">
        <v>7785627</v>
      </c>
      <c r="P310" s="33">
        <f t="shared" ref="P310:R310" si="121">SUM(P311:P339)</f>
        <v>10138040</v>
      </c>
      <c r="Q310" s="33">
        <f t="shared" si="121"/>
        <v>10788040</v>
      </c>
      <c r="R310" s="34">
        <f t="shared" si="121"/>
        <v>19513261.238938052</v>
      </c>
      <c r="S310" s="26">
        <f t="shared" si="84"/>
        <v>118021593.23893805</v>
      </c>
      <c r="T310" s="33">
        <f t="shared" ref="T310:AE310" si="122">SUM(T311:T339)</f>
        <v>10138040</v>
      </c>
      <c r="U310" s="33">
        <f t="shared" si="122"/>
        <v>18138040</v>
      </c>
      <c r="V310" s="33">
        <f t="shared" si="122"/>
        <v>18408040</v>
      </c>
      <c r="W310" s="33">
        <f t="shared" si="122"/>
        <v>10408040</v>
      </c>
      <c r="X310" s="33">
        <f t="shared" si="122"/>
        <v>10408040</v>
      </c>
      <c r="Y310" s="33">
        <f t="shared" si="122"/>
        <v>10408040</v>
      </c>
      <c r="Z310" s="33">
        <f t="shared" si="122"/>
        <v>13408040</v>
      </c>
      <c r="AA310" s="33">
        <f t="shared" si="122"/>
        <v>23408040</v>
      </c>
      <c r="AB310" s="33">
        <f t="shared" si="122"/>
        <v>10408040</v>
      </c>
      <c r="AC310" s="33">
        <f t="shared" si="122"/>
        <v>10408040</v>
      </c>
      <c r="AD310" s="33">
        <f t="shared" si="122"/>
        <v>11058040</v>
      </c>
      <c r="AE310" s="34">
        <f t="shared" si="122"/>
        <v>20346093.097345132</v>
      </c>
      <c r="AF310" s="26">
        <f t="shared" si="85"/>
        <v>166944533.09734514</v>
      </c>
      <c r="AG310" s="103"/>
    </row>
    <row r="311" spans="2:33" ht="12.75" x14ac:dyDescent="0.3">
      <c r="B311" s="27"/>
      <c r="C311" s="28"/>
      <c r="D311" s="28"/>
      <c r="E311" s="41">
        <v>5104100</v>
      </c>
      <c r="F311" s="36" t="s">
        <v>288</v>
      </c>
      <c r="G311" s="37">
        <v>1549608</v>
      </c>
      <c r="H311" s="37">
        <v>1542172</v>
      </c>
      <c r="I311" s="37">
        <v>1411423</v>
      </c>
      <c r="J311" s="37">
        <v>2152356</v>
      </c>
      <c r="K311" s="37">
        <v>1007736</v>
      </c>
      <c r="L311" s="37">
        <v>1076205</v>
      </c>
      <c r="M311" s="37">
        <v>1212320</v>
      </c>
      <c r="N311" s="37">
        <v>1325378</v>
      </c>
      <c r="O311" s="37">
        <v>1232778</v>
      </c>
      <c r="P311" s="39">
        <v>1500000</v>
      </c>
      <c r="Q311" s="39">
        <v>1500000</v>
      </c>
      <c r="R311" s="38">
        <v>1500000</v>
      </c>
      <c r="S311" s="40">
        <f t="shared" si="84"/>
        <v>17009976</v>
      </c>
      <c r="T311" s="37">
        <v>1500000</v>
      </c>
      <c r="U311" s="37">
        <v>1500000</v>
      </c>
      <c r="V311" s="37">
        <v>1500000</v>
      </c>
      <c r="W311" s="37">
        <v>1500000</v>
      </c>
      <c r="X311" s="37">
        <v>1500000</v>
      </c>
      <c r="Y311" s="37">
        <v>1500000</v>
      </c>
      <c r="Z311" s="37">
        <v>1500000</v>
      </c>
      <c r="AA311" s="37">
        <v>1500000</v>
      </c>
      <c r="AB311" s="37">
        <v>1500000</v>
      </c>
      <c r="AC311" s="37">
        <v>1500000</v>
      </c>
      <c r="AD311" s="37">
        <v>1500000</v>
      </c>
      <c r="AE311" s="37">
        <v>1500000</v>
      </c>
      <c r="AF311" s="40">
        <f t="shared" si="85"/>
        <v>18000000</v>
      </c>
      <c r="AG311" s="104" t="s">
        <v>722</v>
      </c>
    </row>
    <row r="312" spans="2:33" ht="12.75" x14ac:dyDescent="0.3">
      <c r="B312" s="27"/>
      <c r="C312" s="28"/>
      <c r="D312" s="28"/>
      <c r="E312" s="41">
        <v>5104110</v>
      </c>
      <c r="F312" s="36" t="s">
        <v>289</v>
      </c>
      <c r="G312" s="37">
        <v>0</v>
      </c>
      <c r="H312" s="37">
        <v>2782000</v>
      </c>
      <c r="I312" s="37">
        <v>0</v>
      </c>
      <c r="J312" s="37">
        <v>0</v>
      </c>
      <c r="K312" s="37">
        <v>0</v>
      </c>
      <c r="L312" s="37">
        <v>0</v>
      </c>
      <c r="M312" s="37">
        <v>0</v>
      </c>
      <c r="N312" s="37">
        <v>2782000</v>
      </c>
      <c r="O312" s="37">
        <v>0</v>
      </c>
      <c r="P312" s="39">
        <v>0</v>
      </c>
      <c r="Q312" s="39">
        <v>0</v>
      </c>
      <c r="R312" s="38">
        <v>0</v>
      </c>
      <c r="S312" s="40">
        <f t="shared" si="84"/>
        <v>5564000</v>
      </c>
      <c r="T312" s="37">
        <v>0</v>
      </c>
      <c r="U312" s="37">
        <v>8000000</v>
      </c>
      <c r="V312" s="37">
        <v>0</v>
      </c>
      <c r="W312" s="37">
        <v>0</v>
      </c>
      <c r="X312" s="37">
        <v>0</v>
      </c>
      <c r="Y312" s="38">
        <v>0</v>
      </c>
      <c r="Z312" s="38">
        <v>0</v>
      </c>
      <c r="AA312" s="39">
        <v>8000000</v>
      </c>
      <c r="AB312" s="37">
        <v>0</v>
      </c>
      <c r="AC312" s="39"/>
      <c r="AD312" s="39"/>
      <c r="AE312" s="38"/>
      <c r="AF312" s="40">
        <f t="shared" si="85"/>
        <v>16000000</v>
      </c>
      <c r="AG312" s="104" t="s">
        <v>741</v>
      </c>
    </row>
    <row r="313" spans="2:33" ht="12.75" x14ac:dyDescent="0.3">
      <c r="B313" s="27"/>
      <c r="C313" s="28"/>
      <c r="D313" s="28"/>
      <c r="E313" s="41">
        <v>5104120</v>
      </c>
      <c r="F313" s="36" t="s">
        <v>290</v>
      </c>
      <c r="G313" s="37">
        <v>3310120</v>
      </c>
      <c r="H313" s="37">
        <v>3310120</v>
      </c>
      <c r="I313" s="37">
        <v>3006420</v>
      </c>
      <c r="J313" s="37">
        <v>4199520</v>
      </c>
      <c r="K313" s="37">
        <v>2349130</v>
      </c>
      <c r="L313" s="37">
        <v>2349130</v>
      </c>
      <c r="M313" s="37">
        <v>2447220</v>
      </c>
      <c r="N313" s="37">
        <v>2447220</v>
      </c>
      <c r="O313" s="37">
        <v>2697400</v>
      </c>
      <c r="P313" s="39">
        <v>2690000</v>
      </c>
      <c r="Q313" s="39">
        <v>2690000</v>
      </c>
      <c r="R313" s="38">
        <v>2690000</v>
      </c>
      <c r="S313" s="40">
        <f t="shared" ref="S313:S377" si="123">SUM(G313:R313)</f>
        <v>34186280</v>
      </c>
      <c r="T313" s="37">
        <v>2690000</v>
      </c>
      <c r="U313" s="37">
        <v>2690000</v>
      </c>
      <c r="V313" s="37">
        <v>2850000</v>
      </c>
      <c r="W313" s="37">
        <v>2850000</v>
      </c>
      <c r="X313" s="37">
        <v>2850000</v>
      </c>
      <c r="Y313" s="37">
        <v>2850000</v>
      </c>
      <c r="Z313" s="37">
        <v>2850000</v>
      </c>
      <c r="AA313" s="37">
        <v>2850000</v>
      </c>
      <c r="AB313" s="37">
        <v>2850000</v>
      </c>
      <c r="AC313" s="37">
        <v>2850000</v>
      </c>
      <c r="AD313" s="37">
        <v>2850000</v>
      </c>
      <c r="AE313" s="37">
        <v>2850000</v>
      </c>
      <c r="AF313" s="40">
        <f t="shared" ref="AF313:AF377" si="124">SUM(T313:AE313)</f>
        <v>33880000</v>
      </c>
      <c r="AG313" s="106" t="s">
        <v>610</v>
      </c>
    </row>
    <row r="314" spans="2:33" ht="12.75" x14ac:dyDescent="0.3">
      <c r="B314" s="27"/>
      <c r="C314" s="28"/>
      <c r="D314" s="28"/>
      <c r="E314" s="41">
        <v>5104130</v>
      </c>
      <c r="F314" s="36" t="s">
        <v>291</v>
      </c>
      <c r="G314" s="37">
        <v>0</v>
      </c>
      <c r="H314" s="37">
        <v>0</v>
      </c>
      <c r="I314" s="37">
        <v>0</v>
      </c>
      <c r="J314" s="37">
        <v>0</v>
      </c>
      <c r="K314" s="37">
        <v>0</v>
      </c>
      <c r="L314" s="37">
        <v>0</v>
      </c>
      <c r="M314" s="37">
        <v>0</v>
      </c>
      <c r="N314" s="37">
        <v>0</v>
      </c>
      <c r="O314" s="37">
        <v>0</v>
      </c>
      <c r="P314" s="39">
        <v>0</v>
      </c>
      <c r="Q314" s="39">
        <v>0</v>
      </c>
      <c r="R314" s="38">
        <v>0</v>
      </c>
      <c r="S314" s="40">
        <f t="shared" si="123"/>
        <v>0</v>
      </c>
      <c r="T314" s="37">
        <v>0</v>
      </c>
      <c r="U314" s="37">
        <v>0</v>
      </c>
      <c r="V314" s="37">
        <v>0</v>
      </c>
      <c r="W314" s="37">
        <v>0</v>
      </c>
      <c r="X314" s="37">
        <v>0</v>
      </c>
      <c r="Y314" s="38">
        <v>0</v>
      </c>
      <c r="Z314" s="38">
        <v>0</v>
      </c>
      <c r="AA314" s="39">
        <v>0</v>
      </c>
      <c r="AB314" s="37">
        <v>0</v>
      </c>
      <c r="AC314" s="39"/>
      <c r="AD314" s="39"/>
      <c r="AE314" s="38"/>
      <c r="AF314" s="40">
        <f t="shared" si="124"/>
        <v>0</v>
      </c>
      <c r="AG314" s="104"/>
    </row>
    <row r="315" spans="2:33" ht="12.75" x14ac:dyDescent="0.3">
      <c r="B315" s="27"/>
      <c r="C315" s="28"/>
      <c r="D315" s="28"/>
      <c r="E315" s="41">
        <v>5104140</v>
      </c>
      <c r="F315" s="36" t="s">
        <v>292</v>
      </c>
      <c r="G315" s="37">
        <v>0</v>
      </c>
      <c r="H315" s="37">
        <v>0</v>
      </c>
      <c r="I315" s="37">
        <v>0</v>
      </c>
      <c r="J315" s="37">
        <v>0</v>
      </c>
      <c r="K315" s="37">
        <v>0</v>
      </c>
      <c r="L315" s="37">
        <v>0</v>
      </c>
      <c r="M315" s="37">
        <v>0</v>
      </c>
      <c r="N315" s="37">
        <v>0</v>
      </c>
      <c r="O315" s="37">
        <v>0</v>
      </c>
      <c r="P315" s="39">
        <v>0</v>
      </c>
      <c r="Q315" s="39">
        <v>0</v>
      </c>
      <c r="R315" s="38">
        <f>R297/226*8*5</f>
        <v>9375221.2389380522</v>
      </c>
      <c r="S315" s="40">
        <f t="shared" si="123"/>
        <v>9375221.2389380522</v>
      </c>
      <c r="T315" s="37">
        <v>0</v>
      </c>
      <c r="U315" s="37">
        <v>0</v>
      </c>
      <c r="V315" s="37">
        <v>0</v>
      </c>
      <c r="W315" s="37">
        <v>0</v>
      </c>
      <c r="X315" s="37">
        <v>0</v>
      </c>
      <c r="Y315" s="38">
        <v>0</v>
      </c>
      <c r="Z315" s="38">
        <v>0</v>
      </c>
      <c r="AA315" s="39">
        <v>0</v>
      </c>
      <c r="AB315" s="37">
        <v>0</v>
      </c>
      <c r="AC315" s="39"/>
      <c r="AD315" s="39"/>
      <c r="AE315" s="38">
        <f>AE297/226*8*5</f>
        <v>9938053.0973451324</v>
      </c>
      <c r="AF315" s="40">
        <f t="shared" si="124"/>
        <v>9938053.0973451324</v>
      </c>
      <c r="AG315" s="104" t="s">
        <v>723</v>
      </c>
    </row>
    <row r="316" spans="2:33" ht="12.75" x14ac:dyDescent="0.3">
      <c r="B316" s="27"/>
      <c r="C316" s="28"/>
      <c r="D316" s="28"/>
      <c r="E316" s="41">
        <v>5104150</v>
      </c>
      <c r="F316" s="36" t="s">
        <v>293</v>
      </c>
      <c r="G316" s="37">
        <v>0</v>
      </c>
      <c r="H316" s="37">
        <v>0</v>
      </c>
      <c r="I316" s="37">
        <v>0</v>
      </c>
      <c r="J316" s="37">
        <v>0</v>
      </c>
      <c r="K316" s="37">
        <v>0</v>
      </c>
      <c r="L316" s="37">
        <v>0</v>
      </c>
      <c r="M316" s="37">
        <v>0</v>
      </c>
      <c r="N316" s="37">
        <v>0</v>
      </c>
      <c r="O316" s="37">
        <v>0</v>
      </c>
      <c r="P316" s="39">
        <v>0</v>
      </c>
      <c r="Q316" s="39">
        <v>0</v>
      </c>
      <c r="R316" s="38">
        <v>0</v>
      </c>
      <c r="S316" s="40">
        <f t="shared" si="123"/>
        <v>0</v>
      </c>
      <c r="T316" s="37">
        <v>0</v>
      </c>
      <c r="U316" s="37">
        <v>0</v>
      </c>
      <c r="V316" s="37">
        <v>0</v>
      </c>
      <c r="W316" s="37">
        <v>0</v>
      </c>
      <c r="X316" s="37">
        <v>0</v>
      </c>
      <c r="Y316" s="38">
        <v>0</v>
      </c>
      <c r="Z316" s="38">
        <v>0</v>
      </c>
      <c r="AA316" s="39">
        <v>0</v>
      </c>
      <c r="AB316" s="37">
        <v>0</v>
      </c>
      <c r="AC316" s="39"/>
      <c r="AD316" s="39"/>
      <c r="AE316" s="38"/>
      <c r="AF316" s="40">
        <f t="shared" si="124"/>
        <v>0</v>
      </c>
      <c r="AG316" s="104"/>
    </row>
    <row r="317" spans="2:33" ht="12.75" x14ac:dyDescent="0.3">
      <c r="B317" s="27"/>
      <c r="C317" s="28"/>
      <c r="D317" s="28"/>
      <c r="E317" s="41">
        <v>5104170</v>
      </c>
      <c r="F317" s="36" t="s">
        <v>294</v>
      </c>
      <c r="G317" s="37">
        <v>1134120</v>
      </c>
      <c r="H317" s="37">
        <v>1093575</v>
      </c>
      <c r="I317" s="37">
        <v>1067400</v>
      </c>
      <c r="J317" s="37">
        <v>1284840</v>
      </c>
      <c r="K317" s="37">
        <v>771225</v>
      </c>
      <c r="L317" s="37">
        <v>896310</v>
      </c>
      <c r="M317" s="37">
        <v>1075755</v>
      </c>
      <c r="N317" s="37">
        <v>1337490</v>
      </c>
      <c r="O317" s="37">
        <v>1575306</v>
      </c>
      <c r="P317" s="39">
        <f t="shared" ref="P317:R317" si="125">15*20*8000</f>
        <v>2400000</v>
      </c>
      <c r="Q317" s="39">
        <f t="shared" si="125"/>
        <v>2400000</v>
      </c>
      <c r="R317" s="38">
        <f t="shared" si="125"/>
        <v>2400000</v>
      </c>
      <c r="S317" s="40">
        <f t="shared" si="123"/>
        <v>17436021</v>
      </c>
      <c r="T317" s="37">
        <f>15*20*8000</f>
        <v>2400000</v>
      </c>
      <c r="U317" s="37">
        <f t="shared" ref="U317:AE317" si="126">15*20*8000</f>
        <v>2400000</v>
      </c>
      <c r="V317" s="37">
        <f t="shared" si="126"/>
        <v>2400000</v>
      </c>
      <c r="W317" s="37">
        <f t="shared" si="126"/>
        <v>2400000</v>
      </c>
      <c r="X317" s="37">
        <f t="shared" si="126"/>
        <v>2400000</v>
      </c>
      <c r="Y317" s="37">
        <f t="shared" si="126"/>
        <v>2400000</v>
      </c>
      <c r="Z317" s="37">
        <f t="shared" si="126"/>
        <v>2400000</v>
      </c>
      <c r="AA317" s="37">
        <f t="shared" si="126"/>
        <v>2400000</v>
      </c>
      <c r="AB317" s="37">
        <f t="shared" si="126"/>
        <v>2400000</v>
      </c>
      <c r="AC317" s="37">
        <f t="shared" si="126"/>
        <v>2400000</v>
      </c>
      <c r="AD317" s="37">
        <f t="shared" si="126"/>
        <v>2400000</v>
      </c>
      <c r="AE317" s="37">
        <f t="shared" si="126"/>
        <v>2400000</v>
      </c>
      <c r="AF317" s="40">
        <f t="shared" si="124"/>
        <v>28800000</v>
      </c>
      <c r="AG317" s="104" t="s">
        <v>742</v>
      </c>
    </row>
    <row r="318" spans="2:33" ht="12.75" x14ac:dyDescent="0.3">
      <c r="B318" s="27"/>
      <c r="C318" s="28"/>
      <c r="D318" s="28"/>
      <c r="E318" s="41">
        <v>5104180</v>
      </c>
      <c r="F318" s="36" t="s">
        <v>295</v>
      </c>
      <c r="G318" s="37">
        <v>0</v>
      </c>
      <c r="H318" s="37">
        <v>0</v>
      </c>
      <c r="I318" s="37">
        <v>0</v>
      </c>
      <c r="J318" s="37">
        <v>0</v>
      </c>
      <c r="K318" s="37">
        <v>0</v>
      </c>
      <c r="L318" s="37">
        <v>0</v>
      </c>
      <c r="M318" s="37">
        <v>0</v>
      </c>
      <c r="N318" s="37">
        <v>0</v>
      </c>
      <c r="O318" s="37">
        <v>0</v>
      </c>
      <c r="P318" s="39">
        <v>0</v>
      </c>
      <c r="Q318" s="39">
        <v>0</v>
      </c>
      <c r="R318" s="38">
        <v>0</v>
      </c>
      <c r="S318" s="40">
        <f t="shared" si="123"/>
        <v>0</v>
      </c>
      <c r="T318" s="37">
        <v>0</v>
      </c>
      <c r="U318" s="37">
        <v>0</v>
      </c>
      <c r="V318" s="37">
        <v>0</v>
      </c>
      <c r="W318" s="37">
        <v>0</v>
      </c>
      <c r="X318" s="37">
        <v>0</v>
      </c>
      <c r="Y318" s="38">
        <v>0</v>
      </c>
      <c r="Z318" s="38">
        <v>0</v>
      </c>
      <c r="AA318" s="39">
        <v>0</v>
      </c>
      <c r="AB318" s="37">
        <v>0</v>
      </c>
      <c r="AC318" s="39"/>
      <c r="AD318" s="39"/>
      <c r="AE318" s="38"/>
      <c r="AF318" s="40">
        <f t="shared" si="124"/>
        <v>0</v>
      </c>
      <c r="AG318" s="104"/>
    </row>
    <row r="319" spans="2:33" ht="12.75" x14ac:dyDescent="0.3">
      <c r="B319" s="27"/>
      <c r="C319" s="28"/>
      <c r="D319" s="28"/>
      <c r="E319" s="41">
        <v>5104190</v>
      </c>
      <c r="F319" s="36" t="s">
        <v>296</v>
      </c>
      <c r="G319" s="37">
        <v>0</v>
      </c>
      <c r="H319" s="37">
        <v>0</v>
      </c>
      <c r="I319" s="37">
        <v>0</v>
      </c>
      <c r="J319" s="37">
        <v>0</v>
      </c>
      <c r="K319" s="37">
        <v>0</v>
      </c>
      <c r="L319" s="37">
        <v>0</v>
      </c>
      <c r="M319" s="37">
        <v>0</v>
      </c>
      <c r="N319" s="37">
        <v>0</v>
      </c>
      <c r="O319" s="37">
        <v>0</v>
      </c>
      <c r="P319" s="39">
        <v>0</v>
      </c>
      <c r="Q319" s="39">
        <v>0</v>
      </c>
      <c r="R319" s="38">
        <v>0</v>
      </c>
      <c r="S319" s="40">
        <f t="shared" si="123"/>
        <v>0</v>
      </c>
      <c r="T319" s="37">
        <v>0</v>
      </c>
      <c r="U319" s="37">
        <v>0</v>
      </c>
      <c r="V319" s="37">
        <v>0</v>
      </c>
      <c r="W319" s="37">
        <v>0</v>
      </c>
      <c r="X319" s="37">
        <v>0</v>
      </c>
      <c r="Y319" s="38">
        <v>0</v>
      </c>
      <c r="Z319" s="38">
        <v>0</v>
      </c>
      <c r="AA319" s="39">
        <v>0</v>
      </c>
      <c r="AB319" s="37">
        <v>0</v>
      </c>
      <c r="AC319" s="39"/>
      <c r="AD319" s="39"/>
      <c r="AE319" s="38"/>
      <c r="AF319" s="40">
        <f t="shared" si="124"/>
        <v>0</v>
      </c>
      <c r="AG319" s="104"/>
    </row>
    <row r="320" spans="2:33" ht="12.75" x14ac:dyDescent="0.3">
      <c r="B320" s="27"/>
      <c r="C320" s="28"/>
      <c r="D320" s="28"/>
      <c r="E320" s="41">
        <v>5104200</v>
      </c>
      <c r="F320" s="36" t="s">
        <v>297</v>
      </c>
      <c r="G320" s="37">
        <v>0</v>
      </c>
      <c r="H320" s="37">
        <v>0</v>
      </c>
      <c r="I320" s="37">
        <v>0</v>
      </c>
      <c r="J320" s="37">
        <v>0</v>
      </c>
      <c r="K320" s="37">
        <v>0</v>
      </c>
      <c r="L320" s="37">
        <v>0</v>
      </c>
      <c r="M320" s="37">
        <v>0</v>
      </c>
      <c r="N320" s="37">
        <v>0</v>
      </c>
      <c r="O320" s="37">
        <v>0</v>
      </c>
      <c r="P320" s="39">
        <v>0</v>
      </c>
      <c r="Q320" s="39">
        <v>0</v>
      </c>
      <c r="R320" s="38">
        <v>0</v>
      </c>
      <c r="S320" s="40">
        <f t="shared" si="123"/>
        <v>0</v>
      </c>
      <c r="T320" s="37">
        <v>0</v>
      </c>
      <c r="U320" s="37">
        <v>0</v>
      </c>
      <c r="V320" s="37">
        <v>0</v>
      </c>
      <c r="W320" s="37">
        <v>0</v>
      </c>
      <c r="X320" s="37">
        <v>0</v>
      </c>
      <c r="Y320" s="38">
        <v>0</v>
      </c>
      <c r="Z320" s="38">
        <v>0</v>
      </c>
      <c r="AA320" s="39">
        <v>0</v>
      </c>
      <c r="AB320" s="37">
        <v>0</v>
      </c>
      <c r="AC320" s="39"/>
      <c r="AD320" s="39"/>
      <c r="AE320" s="38"/>
      <c r="AF320" s="40">
        <f t="shared" si="124"/>
        <v>0</v>
      </c>
      <c r="AG320" s="104"/>
    </row>
    <row r="321" spans="2:33" ht="12.75" x14ac:dyDescent="0.3">
      <c r="B321" s="27"/>
      <c r="C321" s="28"/>
      <c r="D321" s="28"/>
      <c r="E321" s="41">
        <v>5104210</v>
      </c>
      <c r="F321" s="36" t="s">
        <v>298</v>
      </c>
      <c r="G321" s="37">
        <v>2000430</v>
      </c>
      <c r="H321" s="37">
        <v>3094720</v>
      </c>
      <c r="I321" s="37">
        <v>996340</v>
      </c>
      <c r="J321" s="37">
        <v>929990</v>
      </c>
      <c r="K321" s="37">
        <v>795210</v>
      </c>
      <c r="L321" s="37">
        <v>734740</v>
      </c>
      <c r="M321" s="37">
        <v>800100</v>
      </c>
      <c r="N321" s="37">
        <v>870080</v>
      </c>
      <c r="O321" s="37">
        <v>1874820</v>
      </c>
      <c r="P321" s="39">
        <v>1870000</v>
      </c>
      <c r="Q321" s="39">
        <v>1870000</v>
      </c>
      <c r="R321" s="38">
        <v>1870000</v>
      </c>
      <c r="S321" s="40">
        <f t="shared" si="123"/>
        <v>17706430</v>
      </c>
      <c r="T321" s="37">
        <v>1870000</v>
      </c>
      <c r="U321" s="37">
        <v>1870000</v>
      </c>
      <c r="V321" s="37">
        <v>1980000</v>
      </c>
      <c r="W321" s="37">
        <v>1980000</v>
      </c>
      <c r="X321" s="37">
        <v>1980000</v>
      </c>
      <c r="Y321" s="37">
        <v>1980000</v>
      </c>
      <c r="Z321" s="37">
        <v>1980000</v>
      </c>
      <c r="AA321" s="37">
        <v>1980000</v>
      </c>
      <c r="AB321" s="37">
        <v>1980000</v>
      </c>
      <c r="AC321" s="37">
        <v>1980000</v>
      </c>
      <c r="AD321" s="37">
        <v>1980000</v>
      </c>
      <c r="AE321" s="37">
        <v>1980000</v>
      </c>
      <c r="AF321" s="40">
        <f t="shared" si="124"/>
        <v>23540000</v>
      </c>
      <c r="AG321" s="106" t="s">
        <v>610</v>
      </c>
    </row>
    <row r="322" spans="2:33" ht="12.75" x14ac:dyDescent="0.3">
      <c r="B322" s="27"/>
      <c r="C322" s="28"/>
      <c r="D322" s="28"/>
      <c r="E322" s="41">
        <v>5104220</v>
      </c>
      <c r="F322" s="36" t="s">
        <v>299</v>
      </c>
      <c r="G322" s="37">
        <v>0</v>
      </c>
      <c r="H322" s="37">
        <v>0</v>
      </c>
      <c r="I322" s="37">
        <v>0</v>
      </c>
      <c r="J322" s="37">
        <v>0</v>
      </c>
      <c r="K322" s="37">
        <v>0</v>
      </c>
      <c r="L322" s="37">
        <v>0</v>
      </c>
      <c r="M322" s="37">
        <v>0</v>
      </c>
      <c r="N322" s="37">
        <v>0</v>
      </c>
      <c r="O322" s="37">
        <v>0</v>
      </c>
      <c r="P322" s="39">
        <v>0</v>
      </c>
      <c r="Q322" s="39">
        <v>0</v>
      </c>
      <c r="R322" s="38">
        <v>0</v>
      </c>
      <c r="S322" s="40">
        <f t="shared" si="123"/>
        <v>0</v>
      </c>
      <c r="T322" s="37">
        <v>0</v>
      </c>
      <c r="U322" s="37">
        <v>0</v>
      </c>
      <c r="V322" s="37">
        <v>0</v>
      </c>
      <c r="W322" s="37">
        <v>0</v>
      </c>
      <c r="X322" s="37">
        <v>0</v>
      </c>
      <c r="Y322" s="38">
        <v>0</v>
      </c>
      <c r="Z322" s="38">
        <v>0</v>
      </c>
      <c r="AA322" s="39">
        <v>0</v>
      </c>
      <c r="AB322" s="37">
        <v>0</v>
      </c>
      <c r="AC322" s="39"/>
      <c r="AD322" s="39"/>
      <c r="AE322" s="38"/>
      <c r="AF322" s="40">
        <f t="shared" si="124"/>
        <v>0</v>
      </c>
      <c r="AG322" s="104"/>
    </row>
    <row r="323" spans="2:33" ht="12.75" x14ac:dyDescent="0.3">
      <c r="B323" s="27"/>
      <c r="C323" s="28"/>
      <c r="D323" s="28"/>
      <c r="E323" s="41">
        <v>5104230</v>
      </c>
      <c r="F323" s="36" t="s">
        <v>300</v>
      </c>
      <c r="G323" s="37">
        <v>0</v>
      </c>
      <c r="H323" s="37">
        <v>0</v>
      </c>
      <c r="I323" s="37">
        <v>66997</v>
      </c>
      <c r="J323" s="37">
        <v>0</v>
      </c>
      <c r="K323" s="37">
        <v>0</v>
      </c>
      <c r="L323" s="37">
        <v>283000</v>
      </c>
      <c r="M323" s="37">
        <v>0</v>
      </c>
      <c r="N323" s="37">
        <v>0</v>
      </c>
      <c r="O323" s="37">
        <v>182900</v>
      </c>
      <c r="P323" s="39">
        <f t="shared" ref="P323:R323" si="127">15*20000</f>
        <v>300000</v>
      </c>
      <c r="Q323" s="39">
        <f t="shared" si="127"/>
        <v>300000</v>
      </c>
      <c r="R323" s="38">
        <f t="shared" si="127"/>
        <v>300000</v>
      </c>
      <c r="S323" s="40">
        <f t="shared" si="123"/>
        <v>1432897</v>
      </c>
      <c r="T323" s="37">
        <f>15*20000</f>
        <v>300000</v>
      </c>
      <c r="U323" s="37">
        <f t="shared" ref="U323:AE323" si="128">15*20000</f>
        <v>300000</v>
      </c>
      <c r="V323" s="37">
        <f t="shared" si="128"/>
        <v>300000</v>
      </c>
      <c r="W323" s="37">
        <f t="shared" si="128"/>
        <v>300000</v>
      </c>
      <c r="X323" s="37">
        <f t="shared" si="128"/>
        <v>300000</v>
      </c>
      <c r="Y323" s="37">
        <f t="shared" si="128"/>
        <v>300000</v>
      </c>
      <c r="Z323" s="37">
        <f t="shared" si="128"/>
        <v>300000</v>
      </c>
      <c r="AA323" s="37">
        <f t="shared" si="128"/>
        <v>300000</v>
      </c>
      <c r="AB323" s="37">
        <f t="shared" si="128"/>
        <v>300000</v>
      </c>
      <c r="AC323" s="37">
        <f t="shared" si="128"/>
        <v>300000</v>
      </c>
      <c r="AD323" s="37">
        <f t="shared" si="128"/>
        <v>300000</v>
      </c>
      <c r="AE323" s="37">
        <f t="shared" si="128"/>
        <v>300000</v>
      </c>
      <c r="AF323" s="40">
        <f t="shared" si="124"/>
        <v>3600000</v>
      </c>
      <c r="AG323" s="104" t="s">
        <v>724</v>
      </c>
    </row>
    <row r="324" spans="2:33" ht="12.75" x14ac:dyDescent="0.3">
      <c r="B324" s="27"/>
      <c r="C324" s="28"/>
      <c r="D324" s="28"/>
      <c r="E324" s="41">
        <v>5104240</v>
      </c>
      <c r="F324" s="36" t="s">
        <v>301</v>
      </c>
      <c r="G324" s="37">
        <v>460994</v>
      </c>
      <c r="H324" s="37">
        <v>3621034</v>
      </c>
      <c r="I324" s="37">
        <v>2974093</v>
      </c>
      <c r="J324" s="37">
        <v>136910</v>
      </c>
      <c r="K324" s="37">
        <v>571600</v>
      </c>
      <c r="L324" s="37">
        <v>334396</v>
      </c>
      <c r="M324" s="37">
        <v>131159</v>
      </c>
      <c r="N324" s="37">
        <v>872529</v>
      </c>
      <c r="O324" s="37">
        <v>94383</v>
      </c>
      <c r="P324" s="39">
        <f t="shared" ref="P324:R324" si="129">15000000/12</f>
        <v>1250000</v>
      </c>
      <c r="Q324" s="39">
        <f t="shared" si="129"/>
        <v>1250000</v>
      </c>
      <c r="R324" s="38">
        <f t="shared" si="129"/>
        <v>1250000</v>
      </c>
      <c r="S324" s="40">
        <f t="shared" si="123"/>
        <v>12947098</v>
      </c>
      <c r="T324" s="37">
        <f>15000000/12</f>
        <v>1250000</v>
      </c>
      <c r="U324" s="37">
        <f t="shared" ref="U324:AE324" si="130">15000000/12</f>
        <v>1250000</v>
      </c>
      <c r="V324" s="37">
        <f t="shared" si="130"/>
        <v>1250000</v>
      </c>
      <c r="W324" s="37">
        <f t="shared" si="130"/>
        <v>1250000</v>
      </c>
      <c r="X324" s="37">
        <f t="shared" si="130"/>
        <v>1250000</v>
      </c>
      <c r="Y324" s="37">
        <f t="shared" si="130"/>
        <v>1250000</v>
      </c>
      <c r="Z324" s="37">
        <f t="shared" si="130"/>
        <v>1250000</v>
      </c>
      <c r="AA324" s="37">
        <f t="shared" si="130"/>
        <v>1250000</v>
      </c>
      <c r="AB324" s="37">
        <f t="shared" si="130"/>
        <v>1250000</v>
      </c>
      <c r="AC324" s="37">
        <f t="shared" si="130"/>
        <v>1250000</v>
      </c>
      <c r="AD324" s="37">
        <f t="shared" si="130"/>
        <v>1250000</v>
      </c>
      <c r="AE324" s="37">
        <f t="shared" si="130"/>
        <v>1250000</v>
      </c>
      <c r="AF324" s="40">
        <f t="shared" si="124"/>
        <v>15000000</v>
      </c>
      <c r="AG324" s="104" t="s">
        <v>725</v>
      </c>
    </row>
    <row r="325" spans="2:33" ht="12.75" x14ac:dyDescent="0.3">
      <c r="B325" s="27"/>
      <c r="C325" s="28"/>
      <c r="D325" s="28"/>
      <c r="E325" s="41">
        <v>5104260</v>
      </c>
      <c r="F325" s="36" t="s">
        <v>302</v>
      </c>
      <c r="G325" s="37">
        <v>0</v>
      </c>
      <c r="H325" s="37">
        <v>0</v>
      </c>
      <c r="I325" s="37">
        <v>0</v>
      </c>
      <c r="J325" s="37">
        <v>0</v>
      </c>
      <c r="K325" s="37">
        <v>0</v>
      </c>
      <c r="L325" s="37">
        <v>0</v>
      </c>
      <c r="M325" s="37">
        <v>0</v>
      </c>
      <c r="N325" s="37">
        <v>0</v>
      </c>
      <c r="O325" s="37">
        <v>0</v>
      </c>
      <c r="P325" s="39"/>
      <c r="Q325" s="39">
        <v>650000</v>
      </c>
      <c r="R325" s="38"/>
      <c r="S325" s="40">
        <f t="shared" si="123"/>
        <v>650000</v>
      </c>
      <c r="T325" s="37"/>
      <c r="U325" s="37">
        <v>0</v>
      </c>
      <c r="V325" s="37">
        <v>3000000</v>
      </c>
      <c r="W325" s="37">
        <v>0</v>
      </c>
      <c r="X325" s="37">
        <v>0</v>
      </c>
      <c r="Y325" s="38">
        <v>0</v>
      </c>
      <c r="Z325" s="38">
        <v>3000000</v>
      </c>
      <c r="AA325" s="39">
        <v>0</v>
      </c>
      <c r="AB325" s="37">
        <v>0</v>
      </c>
      <c r="AC325" s="39"/>
      <c r="AD325" s="39">
        <v>650000</v>
      </c>
      <c r="AE325" s="38"/>
      <c r="AF325" s="40">
        <f t="shared" si="124"/>
        <v>6650000</v>
      </c>
      <c r="AG325" s="104" t="s">
        <v>611</v>
      </c>
    </row>
    <row r="326" spans="2:33" ht="12.75" x14ac:dyDescent="0.3">
      <c r="B326" s="27"/>
      <c r="C326" s="28"/>
      <c r="D326" s="28"/>
      <c r="E326" s="41">
        <v>5104270</v>
      </c>
      <c r="F326" s="36" t="s">
        <v>303</v>
      </c>
      <c r="G326" s="37">
        <v>0</v>
      </c>
      <c r="H326" s="37">
        <v>0</v>
      </c>
      <c r="I326" s="37">
        <v>0</v>
      </c>
      <c r="J326" s="37">
        <v>0</v>
      </c>
      <c r="K326" s="37">
        <v>0</v>
      </c>
      <c r="L326" s="37">
        <v>0</v>
      </c>
      <c r="M326" s="37">
        <v>0</v>
      </c>
      <c r="N326" s="37">
        <v>0</v>
      </c>
      <c r="O326" s="37">
        <v>0</v>
      </c>
      <c r="P326" s="39"/>
      <c r="Q326" s="39"/>
      <c r="R326" s="38"/>
      <c r="S326" s="40">
        <f t="shared" si="123"/>
        <v>0</v>
      </c>
      <c r="T326" s="37"/>
      <c r="U326" s="37"/>
      <c r="V326" s="37"/>
      <c r="W326" s="37"/>
      <c r="X326" s="37"/>
      <c r="Y326" s="38"/>
      <c r="Z326" s="38"/>
      <c r="AA326" s="39"/>
      <c r="AB326" s="37"/>
      <c r="AC326" s="39"/>
      <c r="AD326" s="39"/>
      <c r="AE326" s="38"/>
      <c r="AF326" s="40">
        <f t="shared" si="124"/>
        <v>0</v>
      </c>
      <c r="AG326" s="104"/>
    </row>
    <row r="327" spans="2:33" ht="12.75" x14ac:dyDescent="0.3">
      <c r="B327" s="27"/>
      <c r="C327" s="28"/>
      <c r="D327" s="28"/>
      <c r="E327" s="41">
        <v>5104280</v>
      </c>
      <c r="F327" s="36" t="s">
        <v>304</v>
      </c>
      <c r="G327" s="37">
        <v>0</v>
      </c>
      <c r="H327" s="37">
        <v>0</v>
      </c>
      <c r="I327" s="37">
        <v>0</v>
      </c>
      <c r="J327" s="37">
        <v>0</v>
      </c>
      <c r="K327" s="37">
        <v>0</v>
      </c>
      <c r="L327" s="37">
        <v>0</v>
      </c>
      <c r="M327" s="37">
        <v>0</v>
      </c>
      <c r="N327" s="37">
        <v>0</v>
      </c>
      <c r="O327" s="37">
        <v>0</v>
      </c>
      <c r="P327" s="39"/>
      <c r="Q327" s="39"/>
      <c r="R327" s="38"/>
      <c r="S327" s="40">
        <f t="shared" si="123"/>
        <v>0</v>
      </c>
      <c r="T327" s="37"/>
      <c r="U327" s="37"/>
      <c r="V327" s="37"/>
      <c r="W327" s="37"/>
      <c r="X327" s="37"/>
      <c r="Y327" s="38"/>
      <c r="Z327" s="38"/>
      <c r="AA327" s="39"/>
      <c r="AB327" s="37"/>
      <c r="AC327" s="39"/>
      <c r="AD327" s="39"/>
      <c r="AE327" s="38"/>
      <c r="AF327" s="40">
        <f t="shared" si="124"/>
        <v>0</v>
      </c>
      <c r="AG327" s="104"/>
    </row>
    <row r="328" spans="2:33" ht="12.75" x14ac:dyDescent="0.3">
      <c r="B328" s="27"/>
      <c r="C328" s="28"/>
      <c r="D328" s="28"/>
      <c r="E328" s="41">
        <v>5104290</v>
      </c>
      <c r="F328" s="36" t="s">
        <v>305</v>
      </c>
      <c r="G328" s="37">
        <v>0</v>
      </c>
      <c r="H328" s="37">
        <v>800000</v>
      </c>
      <c r="I328" s="37">
        <v>0</v>
      </c>
      <c r="J328" s="37">
        <v>0</v>
      </c>
      <c r="K328" s="37">
        <v>0</v>
      </c>
      <c r="L328" s="37">
        <v>0</v>
      </c>
      <c r="M328" s="37">
        <v>0</v>
      </c>
      <c r="N328" s="37">
        <v>0</v>
      </c>
      <c r="O328" s="37">
        <v>0</v>
      </c>
      <c r="P328" s="39"/>
      <c r="Q328" s="39"/>
      <c r="R328" s="38"/>
      <c r="S328" s="40">
        <f t="shared" si="123"/>
        <v>800000</v>
      </c>
      <c r="T328" s="37"/>
      <c r="U328" s="37"/>
      <c r="V328" s="37">
        <v>5000000</v>
      </c>
      <c r="W328" s="37"/>
      <c r="X328" s="37"/>
      <c r="Y328" s="38"/>
      <c r="Z328" s="38"/>
      <c r="AA328" s="39">
        <v>5000000</v>
      </c>
      <c r="AB328" s="37"/>
      <c r="AC328" s="39"/>
      <c r="AD328" s="39"/>
      <c r="AE328" s="38"/>
      <c r="AF328" s="40">
        <f t="shared" si="124"/>
        <v>10000000</v>
      </c>
      <c r="AG328" s="104" t="s">
        <v>740</v>
      </c>
    </row>
    <row r="329" spans="2:33" ht="12.75" x14ac:dyDescent="0.3">
      <c r="B329" s="27"/>
      <c r="C329" s="28"/>
      <c r="D329" s="28"/>
      <c r="E329" s="41">
        <v>5104300</v>
      </c>
      <c r="F329" s="36" t="s">
        <v>306</v>
      </c>
      <c r="G329" s="37">
        <v>0</v>
      </c>
      <c r="H329" s="37">
        <v>0</v>
      </c>
      <c r="I329" s="37">
        <v>0</v>
      </c>
      <c r="J329" s="37">
        <v>0</v>
      </c>
      <c r="K329" s="37">
        <v>0</v>
      </c>
      <c r="L329" s="37">
        <v>0</v>
      </c>
      <c r="M329" s="37">
        <v>0</v>
      </c>
      <c r="N329" s="37">
        <v>0</v>
      </c>
      <c r="O329" s="37">
        <v>0</v>
      </c>
      <c r="P329" s="39"/>
      <c r="Q329" s="39"/>
      <c r="R329" s="38"/>
      <c r="S329" s="40">
        <f t="shared" si="123"/>
        <v>0</v>
      </c>
      <c r="T329" s="37"/>
      <c r="U329" s="37"/>
      <c r="V329" s="37"/>
      <c r="W329" s="37"/>
      <c r="X329" s="37"/>
      <c r="Y329" s="38"/>
      <c r="Z329" s="38"/>
      <c r="AA329" s="39"/>
      <c r="AB329" s="37"/>
      <c r="AC329" s="39"/>
      <c r="AD329" s="39"/>
      <c r="AE329" s="38"/>
      <c r="AF329" s="40">
        <f t="shared" si="124"/>
        <v>0</v>
      </c>
      <c r="AG329" s="104"/>
    </row>
    <row r="330" spans="2:33" ht="12.75" x14ac:dyDescent="0.3">
      <c r="B330" s="27"/>
      <c r="C330" s="28"/>
      <c r="D330" s="28"/>
      <c r="E330" s="41">
        <v>5104310</v>
      </c>
      <c r="F330" s="36" t="s">
        <v>307</v>
      </c>
      <c r="G330" s="37">
        <v>0</v>
      </c>
      <c r="H330" s="37">
        <v>0</v>
      </c>
      <c r="I330" s="37">
        <v>0</v>
      </c>
      <c r="J330" s="37">
        <v>0</v>
      </c>
      <c r="K330" s="37">
        <v>0</v>
      </c>
      <c r="L330" s="37">
        <v>0</v>
      </c>
      <c r="M330" s="37">
        <v>0</v>
      </c>
      <c r="N330" s="37">
        <v>0</v>
      </c>
      <c r="O330" s="37">
        <v>0</v>
      </c>
      <c r="P330" s="39"/>
      <c r="Q330" s="39"/>
      <c r="R330" s="38"/>
      <c r="S330" s="40">
        <f t="shared" si="123"/>
        <v>0</v>
      </c>
      <c r="T330" s="37"/>
      <c r="U330" s="37"/>
      <c r="V330" s="37"/>
      <c r="W330" s="37"/>
      <c r="X330" s="37"/>
      <c r="Y330" s="38"/>
      <c r="Z330" s="38"/>
      <c r="AA330" s="39"/>
      <c r="AB330" s="37"/>
      <c r="AC330" s="39"/>
      <c r="AD330" s="39"/>
      <c r="AE330" s="38"/>
      <c r="AF330" s="40">
        <f t="shared" si="124"/>
        <v>0</v>
      </c>
      <c r="AG330" s="104"/>
    </row>
    <row r="331" spans="2:33" ht="12.75" x14ac:dyDescent="0.3">
      <c r="B331" s="27"/>
      <c r="C331" s="28"/>
      <c r="D331" s="28"/>
      <c r="E331" s="41">
        <v>5104321</v>
      </c>
      <c r="F331" s="36" t="s">
        <v>308</v>
      </c>
      <c r="G331" s="37">
        <v>0</v>
      </c>
      <c r="H331" s="37">
        <v>0</v>
      </c>
      <c r="I331" s="37">
        <v>0</v>
      </c>
      <c r="J331" s="37">
        <v>0</v>
      </c>
      <c r="K331" s="37">
        <v>0</v>
      </c>
      <c r="L331" s="37">
        <v>0</v>
      </c>
      <c r="M331" s="37">
        <v>0</v>
      </c>
      <c r="N331" s="37">
        <v>0</v>
      </c>
      <c r="O331" s="37">
        <v>0</v>
      </c>
      <c r="P331" s="39"/>
      <c r="Q331" s="39"/>
      <c r="R331" s="38"/>
      <c r="S331" s="40">
        <f t="shared" si="123"/>
        <v>0</v>
      </c>
      <c r="T331" s="37"/>
      <c r="U331" s="37"/>
      <c r="V331" s="37"/>
      <c r="W331" s="37"/>
      <c r="X331" s="37"/>
      <c r="Y331" s="38"/>
      <c r="Z331" s="38"/>
      <c r="AA331" s="39"/>
      <c r="AB331" s="37"/>
      <c r="AC331" s="39"/>
      <c r="AD331" s="39"/>
      <c r="AE331" s="38"/>
      <c r="AF331" s="40">
        <f t="shared" si="124"/>
        <v>0</v>
      </c>
      <c r="AG331" s="104"/>
    </row>
    <row r="332" spans="2:33" ht="12.75" x14ac:dyDescent="0.3">
      <c r="B332" s="27"/>
      <c r="C332" s="28"/>
      <c r="D332" s="27"/>
      <c r="E332" s="41">
        <v>5104351</v>
      </c>
      <c r="F332" s="36" t="s">
        <v>309</v>
      </c>
      <c r="G332" s="37">
        <v>0</v>
      </c>
      <c r="H332" s="37">
        <v>0</v>
      </c>
      <c r="I332" s="37">
        <v>0</v>
      </c>
      <c r="J332" s="37">
        <v>0</v>
      </c>
      <c r="K332" s="37">
        <v>0</v>
      </c>
      <c r="L332" s="37">
        <v>0</v>
      </c>
      <c r="M332" s="37">
        <v>0</v>
      </c>
      <c r="N332" s="37">
        <v>0</v>
      </c>
      <c r="O332" s="37">
        <v>0</v>
      </c>
      <c r="P332" s="39"/>
      <c r="Q332" s="39"/>
      <c r="R332" s="38"/>
      <c r="S332" s="40">
        <f t="shared" si="123"/>
        <v>0</v>
      </c>
      <c r="T332" s="37"/>
      <c r="U332" s="37"/>
      <c r="V332" s="37"/>
      <c r="W332" s="37"/>
      <c r="X332" s="37"/>
      <c r="Y332" s="38"/>
      <c r="Z332" s="38"/>
      <c r="AA332" s="39"/>
      <c r="AB332" s="37"/>
      <c r="AC332" s="39"/>
      <c r="AD332" s="39"/>
      <c r="AE332" s="38"/>
      <c r="AF332" s="40">
        <f t="shared" si="124"/>
        <v>0</v>
      </c>
      <c r="AG332" s="104"/>
    </row>
    <row r="333" spans="2:33" ht="12.75" x14ac:dyDescent="0.3">
      <c r="B333" s="27"/>
      <c r="C333" s="28"/>
      <c r="D333" s="28"/>
      <c r="E333" s="41">
        <v>5104360</v>
      </c>
      <c r="F333" s="36" t="s">
        <v>310</v>
      </c>
      <c r="G333" s="37">
        <v>0</v>
      </c>
      <c r="H333" s="37">
        <v>0</v>
      </c>
      <c r="I333" s="37">
        <v>0</v>
      </c>
      <c r="J333" s="37">
        <v>0</v>
      </c>
      <c r="K333" s="37">
        <v>0</v>
      </c>
      <c r="L333" s="37">
        <v>0</v>
      </c>
      <c r="M333" s="37">
        <v>0</v>
      </c>
      <c r="N333" s="37">
        <v>0</v>
      </c>
      <c r="O333" s="37">
        <v>0</v>
      </c>
      <c r="P333" s="39"/>
      <c r="Q333" s="39"/>
      <c r="R333" s="38"/>
      <c r="S333" s="40">
        <f t="shared" si="123"/>
        <v>0</v>
      </c>
      <c r="T333" s="37"/>
      <c r="U333" s="37"/>
      <c r="V333" s="37"/>
      <c r="W333" s="37"/>
      <c r="X333" s="37"/>
      <c r="Y333" s="38"/>
      <c r="Z333" s="38"/>
      <c r="AA333" s="39"/>
      <c r="AB333" s="37"/>
      <c r="AC333" s="39"/>
      <c r="AD333" s="39"/>
      <c r="AE333" s="38"/>
      <c r="AF333" s="40">
        <f t="shared" si="124"/>
        <v>0</v>
      </c>
      <c r="AG333" s="104"/>
    </row>
    <row r="334" spans="2:33" ht="12.75" x14ac:dyDescent="0.3">
      <c r="B334" s="27"/>
      <c r="C334" s="28"/>
      <c r="D334" s="28"/>
      <c r="E334" s="41">
        <v>5104370</v>
      </c>
      <c r="F334" s="36" t="s">
        <v>311</v>
      </c>
      <c r="G334" s="37">
        <v>0</v>
      </c>
      <c r="H334" s="37">
        <v>0</v>
      </c>
      <c r="I334" s="37">
        <v>0</v>
      </c>
      <c r="J334" s="37">
        <v>0</v>
      </c>
      <c r="K334" s="37">
        <v>0</v>
      </c>
      <c r="L334" s="37">
        <v>0</v>
      </c>
      <c r="M334" s="37">
        <v>0</v>
      </c>
      <c r="N334" s="37">
        <v>0</v>
      </c>
      <c r="O334" s="37">
        <v>0</v>
      </c>
      <c r="P334" s="39"/>
      <c r="Q334" s="39"/>
      <c r="R334" s="38"/>
      <c r="S334" s="40">
        <f t="shared" si="123"/>
        <v>0</v>
      </c>
      <c r="T334" s="37"/>
      <c r="U334" s="37"/>
      <c r="V334" s="37"/>
      <c r="W334" s="37"/>
      <c r="X334" s="37"/>
      <c r="Y334" s="38"/>
      <c r="Z334" s="38"/>
      <c r="AA334" s="39"/>
      <c r="AB334" s="37"/>
      <c r="AC334" s="39"/>
      <c r="AD334" s="39"/>
      <c r="AE334" s="38"/>
      <c r="AF334" s="40">
        <f t="shared" si="124"/>
        <v>0</v>
      </c>
      <c r="AG334" s="104"/>
    </row>
    <row r="335" spans="2:33" ht="12.75" x14ac:dyDescent="0.3">
      <c r="B335" s="27"/>
      <c r="C335" s="28"/>
      <c r="D335" s="28"/>
      <c r="E335" s="41">
        <v>5104382</v>
      </c>
      <c r="F335" s="36" t="s">
        <v>312</v>
      </c>
      <c r="G335" s="37">
        <v>47200</v>
      </c>
      <c r="H335" s="37">
        <v>63650</v>
      </c>
      <c r="I335" s="37">
        <v>27120</v>
      </c>
      <c r="J335" s="37">
        <v>30290</v>
      </c>
      <c r="K335" s="37">
        <v>28330</v>
      </c>
      <c r="L335" s="37">
        <v>50740</v>
      </c>
      <c r="M335" s="37">
        <v>49790</v>
      </c>
      <c r="N335" s="37">
        <v>104390</v>
      </c>
      <c r="O335" s="37">
        <v>128040</v>
      </c>
      <c r="P335" s="39">
        <v>128040</v>
      </c>
      <c r="Q335" s="39">
        <v>128040</v>
      </c>
      <c r="R335" s="38">
        <v>128040</v>
      </c>
      <c r="S335" s="40">
        <f t="shared" si="123"/>
        <v>913670</v>
      </c>
      <c r="T335" s="37">
        <v>128040</v>
      </c>
      <c r="U335" s="37">
        <v>128040</v>
      </c>
      <c r="V335" s="37">
        <v>128040</v>
      </c>
      <c r="W335" s="37">
        <v>128040</v>
      </c>
      <c r="X335" s="37">
        <v>128040</v>
      </c>
      <c r="Y335" s="38">
        <v>128040</v>
      </c>
      <c r="Z335" s="38">
        <v>128040</v>
      </c>
      <c r="AA335" s="39">
        <v>128040</v>
      </c>
      <c r="AB335" s="37">
        <v>128040</v>
      </c>
      <c r="AC335" s="39">
        <v>128040</v>
      </c>
      <c r="AD335" s="39">
        <v>128040</v>
      </c>
      <c r="AE335" s="38">
        <v>128040</v>
      </c>
      <c r="AF335" s="40">
        <f t="shared" si="124"/>
        <v>1536480</v>
      </c>
      <c r="AG335" s="106" t="s">
        <v>726</v>
      </c>
    </row>
    <row r="336" spans="2:33" ht="12.75" x14ac:dyDescent="0.3">
      <c r="B336" s="27"/>
      <c r="C336" s="28"/>
      <c r="D336" s="28"/>
      <c r="E336" s="41">
        <v>5104380</v>
      </c>
      <c r="F336" s="36" t="s">
        <v>313</v>
      </c>
      <c r="G336" s="37">
        <v>0</v>
      </c>
      <c r="H336" s="37">
        <v>0</v>
      </c>
      <c r="I336" s="37">
        <v>0</v>
      </c>
      <c r="J336" s="37">
        <v>0</v>
      </c>
      <c r="K336" s="37">
        <v>0</v>
      </c>
      <c r="L336" s="37">
        <v>0</v>
      </c>
      <c r="M336" s="37">
        <v>0</v>
      </c>
      <c r="N336" s="37">
        <v>0</v>
      </c>
      <c r="O336" s="37">
        <v>0</v>
      </c>
      <c r="P336" s="37"/>
      <c r="Q336" s="37"/>
      <c r="R336" s="37"/>
      <c r="S336" s="40">
        <f t="shared" si="123"/>
        <v>0</v>
      </c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0">
        <f t="shared" si="124"/>
        <v>0</v>
      </c>
      <c r="AG336" s="104"/>
    </row>
    <row r="337" spans="1:33" ht="12.75" x14ac:dyDescent="0.3">
      <c r="B337" s="27"/>
      <c r="C337" s="28"/>
      <c r="D337" s="28"/>
      <c r="E337" s="41">
        <v>5104390</v>
      </c>
      <c r="F337" s="36" t="s">
        <v>314</v>
      </c>
      <c r="G337" s="37">
        <v>0</v>
      </c>
      <c r="H337" s="37">
        <v>0</v>
      </c>
      <c r="I337" s="37">
        <v>0</v>
      </c>
      <c r="J337" s="37">
        <v>0</v>
      </c>
      <c r="K337" s="37">
        <v>0</v>
      </c>
      <c r="L337" s="37">
        <v>0</v>
      </c>
      <c r="M337" s="37">
        <v>0</v>
      </c>
      <c r="N337" s="37">
        <v>0</v>
      </c>
      <c r="O337" s="37">
        <v>0</v>
      </c>
      <c r="P337" s="39"/>
      <c r="Q337" s="39"/>
      <c r="R337" s="38"/>
      <c r="S337" s="40">
        <f t="shared" si="123"/>
        <v>0</v>
      </c>
      <c r="T337" s="37"/>
      <c r="U337" s="37"/>
      <c r="V337" s="37"/>
      <c r="W337" s="37"/>
      <c r="X337" s="37"/>
      <c r="Y337" s="38"/>
      <c r="Z337" s="38"/>
      <c r="AA337" s="39"/>
      <c r="AB337" s="37"/>
      <c r="AC337" s="39"/>
      <c r="AD337" s="39"/>
      <c r="AE337" s="38"/>
      <c r="AF337" s="40">
        <f t="shared" si="124"/>
        <v>0</v>
      </c>
      <c r="AG337" s="104"/>
    </row>
    <row r="338" spans="1:33" ht="12.75" x14ac:dyDescent="0.3">
      <c r="B338" s="27"/>
      <c r="C338" s="28"/>
      <c r="D338" s="28"/>
      <c r="E338" s="41">
        <v>5104400</v>
      </c>
      <c r="F338" s="36" t="s">
        <v>315</v>
      </c>
      <c r="G338" s="37">
        <v>0</v>
      </c>
      <c r="H338" s="37">
        <v>0</v>
      </c>
      <c r="I338" s="37">
        <v>0</v>
      </c>
      <c r="J338" s="37">
        <v>0</v>
      </c>
      <c r="K338" s="37">
        <v>0</v>
      </c>
      <c r="L338" s="37">
        <v>0</v>
      </c>
      <c r="M338" s="37">
        <v>0</v>
      </c>
      <c r="N338" s="37">
        <v>0</v>
      </c>
      <c r="O338" s="37">
        <v>0</v>
      </c>
      <c r="P338" s="39"/>
      <c r="Q338" s="39"/>
      <c r="R338" s="38"/>
      <c r="S338" s="40">
        <f t="shared" si="123"/>
        <v>0</v>
      </c>
      <c r="T338" s="37"/>
      <c r="U338" s="37"/>
      <c r="V338" s="37"/>
      <c r="W338" s="37"/>
      <c r="X338" s="37"/>
      <c r="Y338" s="38"/>
      <c r="Z338" s="38"/>
      <c r="AA338" s="39"/>
      <c r="AB338" s="37"/>
      <c r="AC338" s="39"/>
      <c r="AD338" s="39"/>
      <c r="AE338" s="38"/>
      <c r="AF338" s="40">
        <f t="shared" si="124"/>
        <v>0</v>
      </c>
      <c r="AG338" s="104"/>
    </row>
    <row r="339" spans="1:33" ht="12.75" x14ac:dyDescent="0.3">
      <c r="B339" s="27"/>
      <c r="C339" s="28"/>
      <c r="D339" s="27"/>
      <c r="E339" s="44">
        <v>5104410</v>
      </c>
      <c r="F339" s="36" t="s">
        <v>316</v>
      </c>
      <c r="G339" s="37">
        <v>0</v>
      </c>
      <c r="H339" s="37">
        <v>0</v>
      </c>
      <c r="I339" s="37">
        <v>0</v>
      </c>
      <c r="J339" s="37">
        <v>0</v>
      </c>
      <c r="K339" s="37">
        <v>0</v>
      </c>
      <c r="L339" s="37">
        <v>0</v>
      </c>
      <c r="M339" s="37">
        <v>0</v>
      </c>
      <c r="N339" s="37">
        <v>0</v>
      </c>
      <c r="O339" s="37">
        <v>0</v>
      </c>
      <c r="P339" s="39"/>
      <c r="Q339" s="39"/>
      <c r="R339" s="38"/>
      <c r="S339" s="40">
        <f t="shared" si="123"/>
        <v>0</v>
      </c>
      <c r="T339" s="37"/>
      <c r="U339" s="37"/>
      <c r="V339" s="37"/>
      <c r="W339" s="37"/>
      <c r="X339" s="37"/>
      <c r="Y339" s="38"/>
      <c r="Z339" s="38"/>
      <c r="AA339" s="39"/>
      <c r="AB339" s="37"/>
      <c r="AC339" s="39"/>
      <c r="AD339" s="39"/>
      <c r="AE339" s="38"/>
      <c r="AF339" s="40">
        <f t="shared" si="124"/>
        <v>0</v>
      </c>
      <c r="AG339" s="104"/>
    </row>
    <row r="340" spans="1:33" ht="12.75" x14ac:dyDescent="0.3">
      <c r="B340" s="27"/>
      <c r="C340" s="29" t="s">
        <v>317</v>
      </c>
      <c r="D340" s="30"/>
      <c r="E340" s="42"/>
      <c r="F340" s="31"/>
      <c r="G340" s="32">
        <v>19714172</v>
      </c>
      <c r="H340" s="32">
        <v>20873212</v>
      </c>
      <c r="I340" s="32">
        <v>23727046</v>
      </c>
      <c r="J340" s="32">
        <v>19694122</v>
      </c>
      <c r="K340" s="32">
        <v>22560443</v>
      </c>
      <c r="L340" s="32">
        <v>20870661</v>
      </c>
      <c r="M340" s="32">
        <v>20443368</v>
      </c>
      <c r="N340" s="32">
        <v>18813260</v>
      </c>
      <c r="O340" s="32">
        <v>17277187</v>
      </c>
      <c r="P340" s="32">
        <f t="shared" ref="P340" si="131">P341+P344+P355+P359+P372+P379+P386+P393+P398+P406+P410+P423+P428+P434+P438+P442+P447+P453+P457+P468+P472+P475+P478+P481+P483+P495+P497+P486+P488+P404</f>
        <v>34810700</v>
      </c>
      <c r="Q340" s="32">
        <f t="shared" ref="Q340" si="132">Q341+Q344+Q355+Q359+Q372+Q379+Q386+Q393+Q398+Q406+Q410+Q423+Q428+Q434+Q438+Q442+Q447+Q453+Q457+Q468+Q472+Q475+Q478+Q481+Q483+Q495+Q497+Q486+Q488+Q404</f>
        <v>37265450</v>
      </c>
      <c r="R340" s="32">
        <f t="shared" ref="R340" si="133">R341+R344+R355+R359+R372+R379+R386+R393+R398+R406+R410+R423+R428+R434+R438+R442+R447+R453+R457+R468+R472+R475+R478+R481+R483+R495+R497+R486+R488+R404</f>
        <v>34865900</v>
      </c>
      <c r="S340" s="26">
        <f t="shared" si="123"/>
        <v>290915521</v>
      </c>
      <c r="T340" s="32">
        <f t="shared" ref="T340:AE340" si="134">T341+T344+T355+T359+T372+T379+T386+T393+T398+T406+T410+T423+T428+T434+T438+T442+T447+T453+T457+T468+T472+T475+T478+T481+T483+T495+T497+T486+T488+T404</f>
        <v>37993783.333333328</v>
      </c>
      <c r="U340" s="32">
        <f t="shared" si="134"/>
        <v>46455033.333333328</v>
      </c>
      <c r="V340" s="32">
        <f t="shared" si="134"/>
        <v>80149033.333333343</v>
      </c>
      <c r="W340" s="32">
        <f t="shared" si="134"/>
        <v>45739033.333333328</v>
      </c>
      <c r="X340" s="32">
        <f t="shared" si="134"/>
        <v>76739033.333333328</v>
      </c>
      <c r="Y340" s="32">
        <f t="shared" si="134"/>
        <v>38269033.333333328</v>
      </c>
      <c r="Z340" s="32">
        <f t="shared" si="134"/>
        <v>80443783.333333343</v>
      </c>
      <c r="AA340" s="32">
        <f t="shared" si="134"/>
        <v>35999033.333333328</v>
      </c>
      <c r="AB340" s="32">
        <f t="shared" si="134"/>
        <v>109389033.33333333</v>
      </c>
      <c r="AC340" s="32">
        <f t="shared" si="134"/>
        <v>95519033.333333328</v>
      </c>
      <c r="AD340" s="32">
        <f t="shared" si="134"/>
        <v>37139033.333333328</v>
      </c>
      <c r="AE340" s="32">
        <f t="shared" si="134"/>
        <v>36444233.333333328</v>
      </c>
      <c r="AF340" s="26">
        <f t="shared" si="124"/>
        <v>720279100</v>
      </c>
      <c r="AG340" s="103"/>
    </row>
    <row r="341" spans="1:33" ht="12.75" x14ac:dyDescent="0.3">
      <c r="B341" s="27"/>
      <c r="C341" s="27"/>
      <c r="D341" s="29" t="s">
        <v>318</v>
      </c>
      <c r="E341" s="42"/>
      <c r="F341" s="31"/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f t="shared" ref="P341:R341" si="135">SUM(P342:P343)</f>
        <v>0</v>
      </c>
      <c r="Q341" s="33">
        <f t="shared" si="135"/>
        <v>0</v>
      </c>
      <c r="R341" s="34">
        <f t="shared" si="135"/>
        <v>0</v>
      </c>
      <c r="S341" s="26">
        <f t="shared" si="123"/>
        <v>0</v>
      </c>
      <c r="T341" s="33">
        <f t="shared" ref="T341:AE341" si="136">SUM(T342:T343)</f>
        <v>0</v>
      </c>
      <c r="U341" s="33">
        <f t="shared" si="136"/>
        <v>0</v>
      </c>
      <c r="V341" s="33">
        <f t="shared" si="136"/>
        <v>0</v>
      </c>
      <c r="W341" s="33">
        <f t="shared" si="136"/>
        <v>0</v>
      </c>
      <c r="X341" s="33">
        <f t="shared" si="136"/>
        <v>0</v>
      </c>
      <c r="Y341" s="33">
        <f t="shared" si="136"/>
        <v>0</v>
      </c>
      <c r="Z341" s="33">
        <f t="shared" si="136"/>
        <v>0</v>
      </c>
      <c r="AA341" s="33">
        <f t="shared" si="136"/>
        <v>0</v>
      </c>
      <c r="AB341" s="33">
        <f t="shared" si="136"/>
        <v>0</v>
      </c>
      <c r="AC341" s="33">
        <f t="shared" si="136"/>
        <v>0</v>
      </c>
      <c r="AD341" s="33">
        <f t="shared" si="136"/>
        <v>0</v>
      </c>
      <c r="AE341" s="34">
        <f t="shared" si="136"/>
        <v>0</v>
      </c>
      <c r="AF341" s="26">
        <f t="shared" si="124"/>
        <v>0</v>
      </c>
      <c r="AG341" s="103"/>
    </row>
    <row r="342" spans="1:33" ht="12.75" x14ac:dyDescent="0.3">
      <c r="B342" s="27"/>
      <c r="C342" s="27"/>
      <c r="D342" s="27"/>
      <c r="E342" s="41">
        <v>5105100</v>
      </c>
      <c r="F342" s="36" t="s">
        <v>319</v>
      </c>
      <c r="G342" s="37">
        <v>0</v>
      </c>
      <c r="H342" s="37">
        <v>0</v>
      </c>
      <c r="I342" s="37">
        <v>0</v>
      </c>
      <c r="J342" s="37">
        <v>0</v>
      </c>
      <c r="K342" s="37">
        <v>0</v>
      </c>
      <c r="L342" s="37">
        <v>0</v>
      </c>
      <c r="M342" s="37">
        <v>0</v>
      </c>
      <c r="N342" s="37">
        <v>0</v>
      </c>
      <c r="O342" s="37">
        <v>0</v>
      </c>
      <c r="P342" s="39"/>
      <c r="Q342" s="39"/>
      <c r="R342" s="38"/>
      <c r="S342" s="40">
        <f t="shared" si="123"/>
        <v>0</v>
      </c>
      <c r="T342" s="37"/>
      <c r="U342" s="37"/>
      <c r="V342" s="37"/>
      <c r="W342" s="37"/>
      <c r="X342" s="37"/>
      <c r="Y342" s="38"/>
      <c r="Z342" s="38"/>
      <c r="AA342" s="39"/>
      <c r="AB342" s="37"/>
      <c r="AC342" s="39"/>
      <c r="AD342" s="39"/>
      <c r="AE342" s="38"/>
      <c r="AF342" s="40">
        <f t="shared" si="124"/>
        <v>0</v>
      </c>
      <c r="AG342" s="104"/>
    </row>
    <row r="343" spans="1:33" ht="12.75" x14ac:dyDescent="0.3">
      <c r="B343" s="27"/>
      <c r="C343" s="27"/>
      <c r="D343" s="27"/>
      <c r="E343" s="41">
        <v>5105110</v>
      </c>
      <c r="F343" s="36" t="s">
        <v>320</v>
      </c>
      <c r="G343" s="37">
        <v>0</v>
      </c>
      <c r="H343" s="37">
        <v>0</v>
      </c>
      <c r="I343" s="37">
        <v>0</v>
      </c>
      <c r="J343" s="37">
        <v>0</v>
      </c>
      <c r="K343" s="37">
        <v>0</v>
      </c>
      <c r="L343" s="37">
        <v>0</v>
      </c>
      <c r="M343" s="37">
        <v>0</v>
      </c>
      <c r="N343" s="37">
        <v>0</v>
      </c>
      <c r="O343" s="37">
        <v>0</v>
      </c>
      <c r="P343" s="39"/>
      <c r="Q343" s="39"/>
      <c r="R343" s="38"/>
      <c r="S343" s="40">
        <f t="shared" si="123"/>
        <v>0</v>
      </c>
      <c r="T343" s="37"/>
      <c r="U343" s="37"/>
      <c r="V343" s="37"/>
      <c r="W343" s="37"/>
      <c r="X343" s="37"/>
      <c r="Y343" s="38"/>
      <c r="Z343" s="38"/>
      <c r="AA343" s="39"/>
      <c r="AB343" s="37"/>
      <c r="AC343" s="39"/>
      <c r="AD343" s="39"/>
      <c r="AE343" s="38"/>
      <c r="AF343" s="40">
        <f t="shared" si="124"/>
        <v>0</v>
      </c>
      <c r="AG343" s="104"/>
    </row>
    <row r="344" spans="1:33" ht="12.75" x14ac:dyDescent="0.3">
      <c r="B344" s="27"/>
      <c r="C344" s="27"/>
      <c r="D344" s="29" t="s">
        <v>321</v>
      </c>
      <c r="E344" s="42"/>
      <c r="F344" s="31"/>
      <c r="G344" s="33">
        <v>3671244</v>
      </c>
      <c r="H344" s="33">
        <v>3823065</v>
      </c>
      <c r="I344" s="33">
        <v>3843925</v>
      </c>
      <c r="J344" s="33">
        <v>3790249</v>
      </c>
      <c r="K344" s="33">
        <v>3740830</v>
      </c>
      <c r="L344" s="33">
        <v>3823981</v>
      </c>
      <c r="M344" s="33">
        <v>3838226</v>
      </c>
      <c r="N344" s="33">
        <v>3816271</v>
      </c>
      <c r="O344" s="33">
        <v>1329273</v>
      </c>
      <c r="P344" s="33">
        <f t="shared" ref="P344:R344" si="137">SUM(P345:P354)</f>
        <v>1350000</v>
      </c>
      <c r="Q344" s="33">
        <f t="shared" si="137"/>
        <v>1350000</v>
      </c>
      <c r="R344" s="34">
        <f t="shared" si="137"/>
        <v>1350000</v>
      </c>
      <c r="S344" s="26">
        <f t="shared" si="123"/>
        <v>35727064</v>
      </c>
      <c r="T344" s="33">
        <f t="shared" ref="T344:AE344" si="138">SUM(T345:T354)</f>
        <v>1350000</v>
      </c>
      <c r="U344" s="33">
        <f t="shared" si="138"/>
        <v>1350000</v>
      </c>
      <c r="V344" s="33">
        <f t="shared" si="138"/>
        <v>1350000</v>
      </c>
      <c r="W344" s="33">
        <f t="shared" si="138"/>
        <v>1350000</v>
      </c>
      <c r="X344" s="33">
        <f t="shared" si="138"/>
        <v>1350000</v>
      </c>
      <c r="Y344" s="33">
        <f t="shared" si="138"/>
        <v>1350000</v>
      </c>
      <c r="Z344" s="33">
        <f t="shared" si="138"/>
        <v>1350000</v>
      </c>
      <c r="AA344" s="33">
        <f t="shared" si="138"/>
        <v>1350000</v>
      </c>
      <c r="AB344" s="33">
        <f t="shared" si="138"/>
        <v>1350000</v>
      </c>
      <c r="AC344" s="33">
        <f t="shared" si="138"/>
        <v>1350000</v>
      </c>
      <c r="AD344" s="33">
        <f t="shared" si="138"/>
        <v>1350000</v>
      </c>
      <c r="AE344" s="34">
        <f t="shared" si="138"/>
        <v>1350000</v>
      </c>
      <c r="AF344" s="26">
        <f t="shared" si="124"/>
        <v>16200000</v>
      </c>
      <c r="AG344" s="103"/>
    </row>
    <row r="345" spans="1:33" ht="12.75" x14ac:dyDescent="0.3">
      <c r="B345" s="27"/>
      <c r="C345" s="27"/>
      <c r="D345" s="27"/>
      <c r="E345" s="41">
        <v>5106000</v>
      </c>
      <c r="F345" s="36" t="s">
        <v>322</v>
      </c>
      <c r="G345" s="37">
        <v>0</v>
      </c>
      <c r="H345" s="37">
        <v>0</v>
      </c>
      <c r="I345" s="37">
        <v>0</v>
      </c>
      <c r="J345" s="37">
        <v>0</v>
      </c>
      <c r="K345" s="37">
        <v>0</v>
      </c>
      <c r="L345" s="37">
        <v>0</v>
      </c>
      <c r="M345" s="37">
        <v>0</v>
      </c>
      <c r="N345" s="37">
        <v>0</v>
      </c>
      <c r="O345" s="37">
        <v>0</v>
      </c>
      <c r="P345" s="39"/>
      <c r="Q345" s="39"/>
      <c r="R345" s="38"/>
      <c r="S345" s="40">
        <f t="shared" si="123"/>
        <v>0</v>
      </c>
      <c r="T345" s="37"/>
      <c r="U345" s="37"/>
      <c r="V345" s="37"/>
      <c r="W345" s="37"/>
      <c r="X345" s="37"/>
      <c r="Y345" s="38"/>
      <c r="Z345" s="38"/>
      <c r="AA345" s="39"/>
      <c r="AB345" s="37"/>
      <c r="AC345" s="39"/>
      <c r="AD345" s="39"/>
      <c r="AE345" s="38"/>
      <c r="AF345" s="40">
        <f t="shared" si="124"/>
        <v>0</v>
      </c>
      <c r="AG345" s="104"/>
    </row>
    <row r="346" spans="1:33" ht="12.75" x14ac:dyDescent="0.3">
      <c r="B346" s="27"/>
      <c r="C346" s="27"/>
      <c r="D346" s="27"/>
      <c r="E346" s="41">
        <v>5106010</v>
      </c>
      <c r="F346" s="36" t="s">
        <v>323</v>
      </c>
      <c r="G346" s="37">
        <v>0</v>
      </c>
      <c r="H346" s="37">
        <v>0</v>
      </c>
      <c r="I346" s="37">
        <v>0</v>
      </c>
      <c r="J346" s="37">
        <v>0</v>
      </c>
      <c r="K346" s="37">
        <v>0</v>
      </c>
      <c r="L346" s="37">
        <v>0</v>
      </c>
      <c r="M346" s="37">
        <v>0</v>
      </c>
      <c r="N346" s="37">
        <v>0</v>
      </c>
      <c r="O346" s="37">
        <v>0</v>
      </c>
      <c r="P346" s="39"/>
      <c r="Q346" s="39"/>
      <c r="R346" s="38"/>
      <c r="S346" s="40">
        <f t="shared" si="123"/>
        <v>0</v>
      </c>
      <c r="T346" s="37"/>
      <c r="U346" s="37"/>
      <c r="V346" s="37"/>
      <c r="W346" s="37"/>
      <c r="X346" s="37"/>
      <c r="Y346" s="38"/>
      <c r="Z346" s="38"/>
      <c r="AA346" s="39"/>
      <c r="AB346" s="37"/>
      <c r="AC346" s="39"/>
      <c r="AD346" s="39"/>
      <c r="AE346" s="38"/>
      <c r="AF346" s="40">
        <f t="shared" si="124"/>
        <v>0</v>
      </c>
      <c r="AG346" s="104"/>
    </row>
    <row r="347" spans="1:33" ht="12.75" x14ac:dyDescent="0.3">
      <c r="B347" s="27"/>
      <c r="C347" s="27"/>
      <c r="D347" s="27"/>
      <c r="E347" s="41">
        <v>5106100</v>
      </c>
      <c r="F347" s="36" t="s">
        <v>324</v>
      </c>
      <c r="G347" s="37">
        <v>0</v>
      </c>
      <c r="H347" s="37">
        <v>0</v>
      </c>
      <c r="I347" s="37">
        <v>0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9"/>
      <c r="Q347" s="39"/>
      <c r="R347" s="38"/>
      <c r="S347" s="40">
        <f t="shared" si="123"/>
        <v>0</v>
      </c>
      <c r="T347" s="37"/>
      <c r="U347" s="37"/>
      <c r="V347" s="37"/>
      <c r="W347" s="37"/>
      <c r="X347" s="37"/>
      <c r="Y347" s="38"/>
      <c r="Z347" s="38"/>
      <c r="AA347" s="39"/>
      <c r="AB347" s="37"/>
      <c r="AC347" s="39"/>
      <c r="AD347" s="39"/>
      <c r="AE347" s="38"/>
      <c r="AF347" s="40">
        <f t="shared" si="124"/>
        <v>0</v>
      </c>
      <c r="AG347" s="104"/>
    </row>
    <row r="348" spans="1:33" x14ac:dyDescent="0.3">
      <c r="A348" s="63"/>
      <c r="B348" s="27"/>
      <c r="C348" s="27"/>
      <c r="D348" s="27"/>
      <c r="E348" s="41">
        <v>5106110</v>
      </c>
      <c r="F348" s="36" t="s">
        <v>325</v>
      </c>
      <c r="G348" s="37">
        <v>0</v>
      </c>
      <c r="H348" s="37">
        <v>0</v>
      </c>
      <c r="I348" s="37">
        <v>0</v>
      </c>
      <c r="J348" s="37">
        <v>0</v>
      </c>
      <c r="K348" s="37">
        <v>0</v>
      </c>
      <c r="L348" s="37">
        <v>0</v>
      </c>
      <c r="M348" s="37">
        <v>0</v>
      </c>
      <c r="N348" s="37">
        <v>0</v>
      </c>
      <c r="O348" s="37">
        <v>0</v>
      </c>
      <c r="P348" s="39"/>
      <c r="Q348" s="39"/>
      <c r="R348" s="38"/>
      <c r="S348" s="40">
        <f t="shared" si="123"/>
        <v>0</v>
      </c>
      <c r="T348" s="37"/>
      <c r="U348" s="37"/>
      <c r="V348" s="37"/>
      <c r="W348" s="37"/>
      <c r="X348" s="37"/>
      <c r="Y348" s="38"/>
      <c r="Z348" s="38"/>
      <c r="AA348" s="39"/>
      <c r="AB348" s="37"/>
      <c r="AC348" s="39"/>
      <c r="AD348" s="39"/>
      <c r="AE348" s="38"/>
      <c r="AF348" s="40">
        <f t="shared" si="124"/>
        <v>0</v>
      </c>
      <c r="AG348" s="104"/>
    </row>
    <row r="349" spans="1:33" x14ac:dyDescent="0.3">
      <c r="A349" s="63"/>
      <c r="B349" s="27"/>
      <c r="C349" s="27"/>
      <c r="D349" s="27"/>
      <c r="E349" s="41">
        <v>5106120</v>
      </c>
      <c r="F349" s="36" t="s">
        <v>326</v>
      </c>
      <c r="G349" s="37">
        <v>0</v>
      </c>
      <c r="H349" s="37">
        <v>0</v>
      </c>
      <c r="I349" s="37">
        <v>0</v>
      </c>
      <c r="J349" s="37">
        <v>0</v>
      </c>
      <c r="K349" s="37">
        <v>0</v>
      </c>
      <c r="L349" s="37">
        <v>0</v>
      </c>
      <c r="M349" s="37">
        <v>0</v>
      </c>
      <c r="N349" s="37">
        <v>0</v>
      </c>
      <c r="O349" s="37">
        <v>0</v>
      </c>
      <c r="P349" s="39"/>
      <c r="Q349" s="39"/>
      <c r="R349" s="38"/>
      <c r="S349" s="40">
        <f t="shared" si="123"/>
        <v>0</v>
      </c>
      <c r="T349" s="37"/>
      <c r="U349" s="37"/>
      <c r="V349" s="37"/>
      <c r="W349" s="37"/>
      <c r="X349" s="37"/>
      <c r="Y349" s="38"/>
      <c r="Z349" s="38"/>
      <c r="AA349" s="39"/>
      <c r="AB349" s="37"/>
      <c r="AC349" s="39"/>
      <c r="AD349" s="39"/>
      <c r="AE349" s="38"/>
      <c r="AF349" s="40">
        <f t="shared" si="124"/>
        <v>0</v>
      </c>
      <c r="AG349" s="104"/>
    </row>
    <row r="350" spans="1:33" x14ac:dyDescent="0.3">
      <c r="A350" s="63"/>
      <c r="B350" s="27"/>
      <c r="C350" s="27"/>
      <c r="D350" s="27"/>
      <c r="E350" s="41">
        <v>5106130</v>
      </c>
      <c r="F350" s="36" t="s">
        <v>327</v>
      </c>
      <c r="G350" s="37">
        <v>0</v>
      </c>
      <c r="H350" s="37">
        <v>0</v>
      </c>
      <c r="I350" s="37">
        <v>0</v>
      </c>
      <c r="J350" s="37">
        <v>0</v>
      </c>
      <c r="K350" s="37">
        <v>0</v>
      </c>
      <c r="L350" s="37">
        <v>0</v>
      </c>
      <c r="M350" s="37">
        <v>0</v>
      </c>
      <c r="N350" s="37">
        <v>0</v>
      </c>
      <c r="O350" s="37">
        <v>0</v>
      </c>
      <c r="P350" s="39"/>
      <c r="Q350" s="39"/>
      <c r="R350" s="38"/>
      <c r="S350" s="40">
        <f t="shared" si="123"/>
        <v>0</v>
      </c>
      <c r="T350" s="37"/>
      <c r="U350" s="37"/>
      <c r="V350" s="37"/>
      <c r="W350" s="37"/>
      <c r="X350" s="37"/>
      <c r="Y350" s="38"/>
      <c r="Z350" s="38"/>
      <c r="AA350" s="39"/>
      <c r="AB350" s="37"/>
      <c r="AC350" s="39"/>
      <c r="AD350" s="39"/>
      <c r="AE350" s="38"/>
      <c r="AF350" s="40">
        <f t="shared" si="124"/>
        <v>0</v>
      </c>
      <c r="AG350" s="104"/>
    </row>
    <row r="351" spans="1:33" x14ac:dyDescent="0.3">
      <c r="A351" s="63"/>
      <c r="B351" s="27"/>
      <c r="C351" s="27"/>
      <c r="D351" s="27"/>
      <c r="E351" s="41">
        <v>5106140</v>
      </c>
      <c r="F351" s="36" t="s">
        <v>328</v>
      </c>
      <c r="G351" s="37">
        <v>384267</v>
      </c>
      <c r="H351" s="37">
        <v>384266</v>
      </c>
      <c r="I351" s="37">
        <v>384267</v>
      </c>
      <c r="J351" s="37">
        <v>384267</v>
      </c>
      <c r="K351" s="37">
        <v>384266</v>
      </c>
      <c r="L351" s="37">
        <v>384267</v>
      </c>
      <c r="M351" s="37">
        <v>384267</v>
      </c>
      <c r="N351" s="37">
        <v>384266</v>
      </c>
      <c r="O351" s="37">
        <v>384267</v>
      </c>
      <c r="P351" s="39">
        <v>400000</v>
      </c>
      <c r="Q351" s="39">
        <v>400000</v>
      </c>
      <c r="R351" s="38">
        <v>400000</v>
      </c>
      <c r="S351" s="40">
        <f t="shared" si="123"/>
        <v>4658400</v>
      </c>
      <c r="T351" s="37">
        <v>400000</v>
      </c>
      <c r="U351" s="37">
        <v>400000</v>
      </c>
      <c r="V351" s="37">
        <v>400000</v>
      </c>
      <c r="W351" s="37">
        <v>400000</v>
      </c>
      <c r="X351" s="37">
        <v>400000</v>
      </c>
      <c r="Y351" s="37">
        <v>400000</v>
      </c>
      <c r="Z351" s="37">
        <v>400000</v>
      </c>
      <c r="AA351" s="37">
        <v>400000</v>
      </c>
      <c r="AB351" s="37">
        <v>400000</v>
      </c>
      <c r="AC351" s="37">
        <v>400000</v>
      </c>
      <c r="AD351" s="37">
        <v>400000</v>
      </c>
      <c r="AE351" s="37">
        <v>400000</v>
      </c>
      <c r="AF351" s="40">
        <f t="shared" si="124"/>
        <v>4800000</v>
      </c>
      <c r="AG351" s="106" t="s">
        <v>726</v>
      </c>
    </row>
    <row r="352" spans="1:33" s="60" customFormat="1" x14ac:dyDescent="0.3">
      <c r="A352" s="64"/>
      <c r="B352" s="27"/>
      <c r="C352" s="27"/>
      <c r="D352" s="27"/>
      <c r="E352" s="41">
        <v>5106150</v>
      </c>
      <c r="F352" s="36" t="s">
        <v>329</v>
      </c>
      <c r="G352" s="37">
        <v>3005629</v>
      </c>
      <c r="H352" s="37">
        <v>2975403</v>
      </c>
      <c r="I352" s="37">
        <v>2946612</v>
      </c>
      <c r="J352" s="37">
        <v>2909486</v>
      </c>
      <c r="K352" s="37">
        <v>2843518</v>
      </c>
      <c r="L352" s="37">
        <v>2943218</v>
      </c>
      <c r="M352" s="37">
        <v>2940913</v>
      </c>
      <c r="N352" s="37">
        <v>2918959</v>
      </c>
      <c r="O352" s="37">
        <v>448510</v>
      </c>
      <c r="P352" s="39">
        <v>450000</v>
      </c>
      <c r="Q352" s="39">
        <v>450000</v>
      </c>
      <c r="R352" s="38">
        <v>450000</v>
      </c>
      <c r="S352" s="40">
        <f t="shared" si="123"/>
        <v>25282248</v>
      </c>
      <c r="T352" s="37">
        <v>450000</v>
      </c>
      <c r="U352" s="37">
        <v>450000</v>
      </c>
      <c r="V352" s="37">
        <v>450000</v>
      </c>
      <c r="W352" s="37">
        <v>450000</v>
      </c>
      <c r="X352" s="37">
        <v>450000</v>
      </c>
      <c r="Y352" s="37">
        <v>450000</v>
      </c>
      <c r="Z352" s="37">
        <v>450000</v>
      </c>
      <c r="AA352" s="37">
        <v>450000</v>
      </c>
      <c r="AB352" s="37">
        <v>450000</v>
      </c>
      <c r="AC352" s="37">
        <v>450000</v>
      </c>
      <c r="AD352" s="37">
        <v>450000</v>
      </c>
      <c r="AE352" s="37">
        <v>450000</v>
      </c>
      <c r="AF352" s="40">
        <f t="shared" si="124"/>
        <v>5400000</v>
      </c>
      <c r="AG352" s="106" t="s">
        <v>726</v>
      </c>
    </row>
    <row r="353" spans="1:33" x14ac:dyDescent="0.3">
      <c r="A353" s="63"/>
      <c r="B353" s="27"/>
      <c r="C353" s="27"/>
      <c r="D353" s="27"/>
      <c r="E353" s="41">
        <v>5106190</v>
      </c>
      <c r="F353" s="36" t="s">
        <v>330</v>
      </c>
      <c r="G353" s="37">
        <v>0</v>
      </c>
      <c r="H353" s="37">
        <v>0</v>
      </c>
      <c r="I353" s="37">
        <v>0</v>
      </c>
      <c r="J353" s="37">
        <v>0</v>
      </c>
      <c r="K353" s="37">
        <v>0</v>
      </c>
      <c r="L353" s="37">
        <v>0</v>
      </c>
      <c r="M353" s="37">
        <v>0</v>
      </c>
      <c r="N353" s="37">
        <v>0</v>
      </c>
      <c r="O353" s="37">
        <v>0</v>
      </c>
      <c r="P353" s="39"/>
      <c r="Q353" s="39"/>
      <c r="R353" s="38"/>
      <c r="S353" s="40">
        <f t="shared" si="123"/>
        <v>0</v>
      </c>
      <c r="T353" s="37"/>
      <c r="U353" s="37"/>
      <c r="V353" s="37"/>
      <c r="W353" s="37"/>
      <c r="X353" s="37"/>
      <c r="Y353" s="38"/>
      <c r="Z353" s="38"/>
      <c r="AA353" s="39"/>
      <c r="AB353" s="37"/>
      <c r="AC353" s="39"/>
      <c r="AD353" s="39"/>
      <c r="AE353" s="38"/>
      <c r="AF353" s="40">
        <f t="shared" si="124"/>
        <v>0</v>
      </c>
      <c r="AG353" s="104"/>
    </row>
    <row r="354" spans="1:33" x14ac:dyDescent="0.3">
      <c r="A354" s="63"/>
      <c r="B354" s="27"/>
      <c r="C354" s="27"/>
      <c r="D354" s="27"/>
      <c r="E354" s="41">
        <v>5106200</v>
      </c>
      <c r="F354" s="36" t="s">
        <v>331</v>
      </c>
      <c r="G354" s="37">
        <v>281348</v>
      </c>
      <c r="H354" s="37">
        <v>463396</v>
      </c>
      <c r="I354" s="37">
        <v>513046</v>
      </c>
      <c r="J354" s="37">
        <v>496496</v>
      </c>
      <c r="K354" s="37">
        <v>513046</v>
      </c>
      <c r="L354" s="37">
        <v>496496</v>
      </c>
      <c r="M354" s="37">
        <v>513046</v>
      </c>
      <c r="N354" s="37">
        <v>513046</v>
      </c>
      <c r="O354" s="37">
        <v>496496</v>
      </c>
      <c r="P354" s="39">
        <v>500000</v>
      </c>
      <c r="Q354" s="39">
        <v>500000</v>
      </c>
      <c r="R354" s="38">
        <v>500000</v>
      </c>
      <c r="S354" s="40">
        <f t="shared" si="123"/>
        <v>5786416</v>
      </c>
      <c r="T354" s="37">
        <v>500000</v>
      </c>
      <c r="U354" s="37">
        <v>500000</v>
      </c>
      <c r="V354" s="37">
        <v>500000</v>
      </c>
      <c r="W354" s="37">
        <v>500000</v>
      </c>
      <c r="X354" s="37">
        <v>500000</v>
      </c>
      <c r="Y354" s="37">
        <v>500000</v>
      </c>
      <c r="Z354" s="37">
        <v>500000</v>
      </c>
      <c r="AA354" s="37">
        <v>500000</v>
      </c>
      <c r="AB354" s="37">
        <v>500000</v>
      </c>
      <c r="AC354" s="37">
        <v>500000</v>
      </c>
      <c r="AD354" s="37">
        <v>500000</v>
      </c>
      <c r="AE354" s="37">
        <v>500000</v>
      </c>
      <c r="AF354" s="40">
        <f t="shared" si="124"/>
        <v>6000000</v>
      </c>
      <c r="AG354" s="106" t="s">
        <v>726</v>
      </c>
    </row>
    <row r="355" spans="1:33" x14ac:dyDescent="0.3">
      <c r="A355" s="63"/>
      <c r="B355" s="27"/>
      <c r="C355" s="27"/>
      <c r="D355" s="29" t="s">
        <v>332</v>
      </c>
      <c r="E355" s="42"/>
      <c r="F355" s="31"/>
      <c r="G355" s="33">
        <v>3299999</v>
      </c>
      <c r="H355" s="33">
        <v>3300002</v>
      </c>
      <c r="I355" s="33">
        <v>3299999</v>
      </c>
      <c r="J355" s="33">
        <v>3299999</v>
      </c>
      <c r="K355" s="33">
        <v>3300002</v>
      </c>
      <c r="L355" s="33">
        <v>3299999</v>
      </c>
      <c r="M355" s="33">
        <v>3299999</v>
      </c>
      <c r="N355" s="33">
        <v>3300002</v>
      </c>
      <c r="O355" s="33">
        <v>3299999</v>
      </c>
      <c r="P355" s="33">
        <f t="shared" ref="P355:R355" si="139">SUM(P356:P358)</f>
        <v>3300000</v>
      </c>
      <c r="Q355" s="33">
        <f t="shared" si="139"/>
        <v>3300000</v>
      </c>
      <c r="R355" s="34">
        <f t="shared" si="139"/>
        <v>3300000</v>
      </c>
      <c r="S355" s="26">
        <f t="shared" si="123"/>
        <v>39600000</v>
      </c>
      <c r="T355" s="33">
        <f t="shared" ref="T355:AE355" si="140">SUM(T356:T358)</f>
        <v>3300000</v>
      </c>
      <c r="U355" s="33">
        <f t="shared" si="140"/>
        <v>3300000</v>
      </c>
      <c r="V355" s="33">
        <f t="shared" si="140"/>
        <v>3300000</v>
      </c>
      <c r="W355" s="33">
        <f t="shared" si="140"/>
        <v>3300000</v>
      </c>
      <c r="X355" s="33">
        <f t="shared" si="140"/>
        <v>3300000</v>
      </c>
      <c r="Y355" s="33">
        <f t="shared" si="140"/>
        <v>3300000</v>
      </c>
      <c r="Z355" s="33">
        <f t="shared" si="140"/>
        <v>3300000</v>
      </c>
      <c r="AA355" s="33">
        <f t="shared" si="140"/>
        <v>3300000</v>
      </c>
      <c r="AB355" s="33">
        <f t="shared" si="140"/>
        <v>3300000</v>
      </c>
      <c r="AC355" s="33">
        <f t="shared" si="140"/>
        <v>3300000</v>
      </c>
      <c r="AD355" s="33">
        <f t="shared" si="140"/>
        <v>3300000</v>
      </c>
      <c r="AE355" s="34">
        <f t="shared" si="140"/>
        <v>3300000</v>
      </c>
      <c r="AF355" s="26">
        <f t="shared" si="124"/>
        <v>39600000</v>
      </c>
      <c r="AG355" s="103"/>
    </row>
    <row r="356" spans="1:33" ht="12.75" x14ac:dyDescent="0.3">
      <c r="B356" s="27"/>
      <c r="C356" s="27"/>
      <c r="D356" s="28"/>
      <c r="E356" s="35">
        <v>5107100</v>
      </c>
      <c r="F356" s="36" t="s">
        <v>333</v>
      </c>
      <c r="G356" s="37">
        <v>3299999</v>
      </c>
      <c r="H356" s="37">
        <v>3300002</v>
      </c>
      <c r="I356" s="37">
        <v>3299999</v>
      </c>
      <c r="J356" s="37">
        <v>3299999</v>
      </c>
      <c r="K356" s="37">
        <v>3300002</v>
      </c>
      <c r="L356" s="37">
        <v>3299999</v>
      </c>
      <c r="M356" s="37">
        <v>3299999</v>
      </c>
      <c r="N356" s="37">
        <v>3300002</v>
      </c>
      <c r="O356" s="37">
        <v>3299999</v>
      </c>
      <c r="P356" s="39">
        <v>3300000</v>
      </c>
      <c r="Q356" s="39">
        <v>3300000</v>
      </c>
      <c r="R356" s="38">
        <v>3300000</v>
      </c>
      <c r="S356" s="40">
        <f t="shared" si="123"/>
        <v>39600000</v>
      </c>
      <c r="T356" s="37">
        <v>3300000</v>
      </c>
      <c r="U356" s="37">
        <v>3300000</v>
      </c>
      <c r="V356" s="37">
        <v>3300000</v>
      </c>
      <c r="W356" s="37">
        <v>3300000</v>
      </c>
      <c r="X356" s="37">
        <v>3300000</v>
      </c>
      <c r="Y356" s="37">
        <v>3300000</v>
      </c>
      <c r="Z356" s="37">
        <v>3300000</v>
      </c>
      <c r="AA356" s="37">
        <v>3300000</v>
      </c>
      <c r="AB356" s="37">
        <v>3300000</v>
      </c>
      <c r="AC356" s="37">
        <v>3300000</v>
      </c>
      <c r="AD356" s="37">
        <v>3300000</v>
      </c>
      <c r="AE356" s="37">
        <v>3300000</v>
      </c>
      <c r="AF356" s="40">
        <f t="shared" si="124"/>
        <v>39600000</v>
      </c>
      <c r="AG356" s="106" t="s">
        <v>726</v>
      </c>
    </row>
    <row r="357" spans="1:33" ht="12.75" x14ac:dyDescent="0.3">
      <c r="B357" s="27"/>
      <c r="C357" s="27"/>
      <c r="D357" s="27"/>
      <c r="E357" s="41">
        <v>5107110</v>
      </c>
      <c r="F357" s="36" t="s">
        <v>334</v>
      </c>
      <c r="G357" s="37">
        <v>0</v>
      </c>
      <c r="H357" s="37">
        <v>0</v>
      </c>
      <c r="I357" s="37">
        <v>0</v>
      </c>
      <c r="J357" s="37">
        <v>0</v>
      </c>
      <c r="K357" s="37">
        <v>0</v>
      </c>
      <c r="L357" s="37">
        <v>0</v>
      </c>
      <c r="M357" s="37">
        <v>0</v>
      </c>
      <c r="N357" s="37">
        <v>0</v>
      </c>
      <c r="O357" s="37">
        <v>0</v>
      </c>
      <c r="P357" s="39"/>
      <c r="Q357" s="39"/>
      <c r="R357" s="38"/>
      <c r="S357" s="40">
        <f t="shared" si="123"/>
        <v>0</v>
      </c>
      <c r="T357" s="37"/>
      <c r="U357" s="37"/>
      <c r="V357" s="37"/>
      <c r="W357" s="37"/>
      <c r="X357" s="37"/>
      <c r="Y357" s="38"/>
      <c r="Z357" s="38"/>
      <c r="AA357" s="39"/>
      <c r="AB357" s="37"/>
      <c r="AC357" s="39"/>
      <c r="AD357" s="39"/>
      <c r="AE357" s="38"/>
      <c r="AF357" s="40">
        <f t="shared" si="124"/>
        <v>0</v>
      </c>
      <c r="AG357" s="104"/>
    </row>
    <row r="358" spans="1:33" ht="12.75" x14ac:dyDescent="0.3">
      <c r="B358" s="27"/>
      <c r="C358" s="27"/>
      <c r="D358" s="28"/>
      <c r="E358" s="44">
        <v>5107190</v>
      </c>
      <c r="F358" s="36" t="s">
        <v>335</v>
      </c>
      <c r="G358" s="37">
        <v>0</v>
      </c>
      <c r="H358" s="37">
        <v>0</v>
      </c>
      <c r="I358" s="37">
        <v>0</v>
      </c>
      <c r="J358" s="37">
        <v>0</v>
      </c>
      <c r="K358" s="37">
        <v>0</v>
      </c>
      <c r="L358" s="37">
        <v>0</v>
      </c>
      <c r="M358" s="37">
        <v>0</v>
      </c>
      <c r="N358" s="37">
        <v>0</v>
      </c>
      <c r="O358" s="37">
        <v>0</v>
      </c>
      <c r="P358" s="39"/>
      <c r="Q358" s="39"/>
      <c r="R358" s="38"/>
      <c r="S358" s="40">
        <f t="shared" si="123"/>
        <v>0</v>
      </c>
      <c r="T358" s="37"/>
      <c r="U358" s="37"/>
      <c r="V358" s="37"/>
      <c r="W358" s="37"/>
      <c r="X358" s="37"/>
      <c r="Y358" s="38"/>
      <c r="Z358" s="38"/>
      <c r="AA358" s="39"/>
      <c r="AB358" s="37"/>
      <c r="AC358" s="39"/>
      <c r="AD358" s="39"/>
      <c r="AE358" s="38"/>
      <c r="AF358" s="40">
        <f t="shared" si="124"/>
        <v>0</v>
      </c>
      <c r="AG358" s="104"/>
    </row>
    <row r="359" spans="1:33" ht="12.75" x14ac:dyDescent="0.3">
      <c r="B359" s="27"/>
      <c r="C359" s="27"/>
      <c r="D359" s="29" t="s">
        <v>336</v>
      </c>
      <c r="E359" s="42"/>
      <c r="F359" s="31"/>
      <c r="G359" s="33">
        <v>3698203</v>
      </c>
      <c r="H359" s="33">
        <v>3510815</v>
      </c>
      <c r="I359" s="33">
        <v>3606633</v>
      </c>
      <c r="J359" s="33">
        <v>2970716</v>
      </c>
      <c r="K359" s="33">
        <v>2358752</v>
      </c>
      <c r="L359" s="33">
        <v>2336254</v>
      </c>
      <c r="M359" s="33">
        <v>2610145</v>
      </c>
      <c r="N359" s="33">
        <v>2616092</v>
      </c>
      <c r="O359" s="33">
        <v>2956670</v>
      </c>
      <c r="P359" s="33">
        <f t="shared" ref="P359:R359" si="141">SUM(P360:P371)</f>
        <v>2950000</v>
      </c>
      <c r="Q359" s="33">
        <f t="shared" si="141"/>
        <v>3100000</v>
      </c>
      <c r="R359" s="34">
        <f t="shared" si="141"/>
        <v>2950000</v>
      </c>
      <c r="S359" s="26">
        <f t="shared" si="123"/>
        <v>35664280</v>
      </c>
      <c r="T359" s="33">
        <f t="shared" ref="T359:AE359" si="142">SUM(T360:T371)</f>
        <v>3070000</v>
      </c>
      <c r="U359" s="33">
        <f t="shared" si="142"/>
        <v>3050000</v>
      </c>
      <c r="V359" s="33">
        <f t="shared" si="142"/>
        <v>3120000</v>
      </c>
      <c r="W359" s="33">
        <f t="shared" si="142"/>
        <v>3120000</v>
      </c>
      <c r="X359" s="33">
        <f t="shared" si="142"/>
        <v>3120000</v>
      </c>
      <c r="Y359" s="33">
        <f t="shared" si="142"/>
        <v>3120000</v>
      </c>
      <c r="Z359" s="33">
        <f t="shared" si="142"/>
        <v>3120000</v>
      </c>
      <c r="AA359" s="33">
        <f t="shared" si="142"/>
        <v>3120000</v>
      </c>
      <c r="AB359" s="33">
        <f t="shared" si="142"/>
        <v>3120000</v>
      </c>
      <c r="AC359" s="33">
        <f t="shared" si="142"/>
        <v>18120000</v>
      </c>
      <c r="AD359" s="33">
        <f t="shared" si="142"/>
        <v>4020000</v>
      </c>
      <c r="AE359" s="34">
        <f t="shared" si="142"/>
        <v>3120000</v>
      </c>
      <c r="AF359" s="26">
        <f t="shared" si="124"/>
        <v>53220000</v>
      </c>
      <c r="AG359" s="103"/>
    </row>
    <row r="360" spans="1:33" ht="12.75" x14ac:dyDescent="0.3">
      <c r="B360" s="27"/>
      <c r="C360" s="27"/>
      <c r="D360" s="27"/>
      <c r="E360" s="41">
        <v>5108100</v>
      </c>
      <c r="F360" s="36" t="s">
        <v>337</v>
      </c>
      <c r="G360" s="37">
        <v>0</v>
      </c>
      <c r="H360" s="37">
        <v>0</v>
      </c>
      <c r="I360" s="37">
        <v>0</v>
      </c>
      <c r="J360" s="37">
        <v>0</v>
      </c>
      <c r="K360" s="37">
        <v>0</v>
      </c>
      <c r="L360" s="37">
        <v>0</v>
      </c>
      <c r="M360" s="37">
        <v>0</v>
      </c>
      <c r="N360" s="37">
        <v>0</v>
      </c>
      <c r="O360" s="37">
        <v>0</v>
      </c>
      <c r="P360" s="39"/>
      <c r="Q360" s="39"/>
      <c r="R360" s="38"/>
      <c r="S360" s="40">
        <f t="shared" si="123"/>
        <v>0</v>
      </c>
      <c r="T360" s="37"/>
      <c r="U360" s="37"/>
      <c r="V360" s="37"/>
      <c r="W360" s="37"/>
      <c r="X360" s="37"/>
      <c r="Y360" s="38"/>
      <c r="Z360" s="38"/>
      <c r="AA360" s="39"/>
      <c r="AB360" s="37"/>
      <c r="AC360" s="39"/>
      <c r="AD360" s="39"/>
      <c r="AE360" s="38"/>
      <c r="AF360" s="40">
        <f t="shared" si="124"/>
        <v>0</v>
      </c>
      <c r="AG360" s="104"/>
    </row>
    <row r="361" spans="1:33" ht="12.75" x14ac:dyDescent="0.3">
      <c r="B361" s="27"/>
      <c r="C361" s="27"/>
      <c r="D361" s="27"/>
      <c r="E361" s="41">
        <v>5108110</v>
      </c>
      <c r="F361" s="36" t="s">
        <v>338</v>
      </c>
      <c r="G361" s="37">
        <v>0</v>
      </c>
      <c r="H361" s="37">
        <v>0</v>
      </c>
      <c r="I361" s="37">
        <v>0</v>
      </c>
      <c r="J361" s="37">
        <v>0</v>
      </c>
      <c r="K361" s="37">
        <v>0</v>
      </c>
      <c r="L361" s="37">
        <v>0</v>
      </c>
      <c r="M361" s="37">
        <v>0</v>
      </c>
      <c r="N361" s="37">
        <v>0</v>
      </c>
      <c r="O361" s="37">
        <v>0</v>
      </c>
      <c r="P361" s="39"/>
      <c r="Q361" s="39"/>
      <c r="R361" s="38"/>
      <c r="S361" s="40">
        <f t="shared" si="123"/>
        <v>0</v>
      </c>
      <c r="T361" s="37"/>
      <c r="U361" s="37"/>
      <c r="V361" s="37"/>
      <c r="W361" s="37"/>
      <c r="X361" s="37"/>
      <c r="Y361" s="38"/>
      <c r="Z361" s="38"/>
      <c r="AA361" s="39"/>
      <c r="AB361" s="37"/>
      <c r="AC361" s="39"/>
      <c r="AD361" s="39"/>
      <c r="AE361" s="38"/>
      <c r="AF361" s="40">
        <f t="shared" si="124"/>
        <v>0</v>
      </c>
      <c r="AG361" s="104"/>
    </row>
    <row r="362" spans="1:33" ht="12.75" x14ac:dyDescent="0.3">
      <c r="B362" s="27"/>
      <c r="C362" s="27"/>
      <c r="D362" s="27"/>
      <c r="E362" s="41">
        <v>5108120</v>
      </c>
      <c r="F362" s="36" t="s">
        <v>339</v>
      </c>
      <c r="G362" s="37">
        <v>2904560</v>
      </c>
      <c r="H362" s="37">
        <v>2904560</v>
      </c>
      <c r="I362" s="37">
        <v>2668760</v>
      </c>
      <c r="J362" s="37">
        <v>2668760</v>
      </c>
      <c r="K362" s="37">
        <v>2099020</v>
      </c>
      <c r="L362" s="37">
        <v>2099020</v>
      </c>
      <c r="M362" s="37">
        <v>2387470</v>
      </c>
      <c r="N362" s="37">
        <v>2387470</v>
      </c>
      <c r="O362" s="37">
        <v>2708050</v>
      </c>
      <c r="P362" s="39">
        <v>2700000</v>
      </c>
      <c r="Q362" s="39">
        <v>2700000</v>
      </c>
      <c r="R362" s="38">
        <v>2700000</v>
      </c>
      <c r="S362" s="40">
        <f t="shared" si="123"/>
        <v>30927670</v>
      </c>
      <c r="T362" s="37">
        <v>2700000</v>
      </c>
      <c r="U362" s="37">
        <v>2700000</v>
      </c>
      <c r="V362" s="37">
        <v>2870000</v>
      </c>
      <c r="W362" s="37">
        <v>2870000</v>
      </c>
      <c r="X362" s="37">
        <v>2870000</v>
      </c>
      <c r="Y362" s="37">
        <v>2870000</v>
      </c>
      <c r="Z362" s="37">
        <v>2870000</v>
      </c>
      <c r="AA362" s="37">
        <v>2870000</v>
      </c>
      <c r="AB362" s="37">
        <v>2870000</v>
      </c>
      <c r="AC362" s="37">
        <v>2870000</v>
      </c>
      <c r="AD362" s="37">
        <v>2870000</v>
      </c>
      <c r="AE362" s="37">
        <v>2870000</v>
      </c>
      <c r="AF362" s="40">
        <f t="shared" si="124"/>
        <v>34100000</v>
      </c>
      <c r="AG362" s="106" t="s">
        <v>721</v>
      </c>
    </row>
    <row r="363" spans="1:33" ht="12.75" x14ac:dyDescent="0.3">
      <c r="B363" s="27"/>
      <c r="C363" s="27"/>
      <c r="D363" s="27"/>
      <c r="E363" s="41">
        <v>5108130</v>
      </c>
      <c r="F363" s="36" t="s">
        <v>340</v>
      </c>
      <c r="G363" s="37">
        <v>0</v>
      </c>
      <c r="H363" s="37">
        <v>0</v>
      </c>
      <c r="I363" s="37">
        <v>0</v>
      </c>
      <c r="J363" s="37">
        <v>0</v>
      </c>
      <c r="K363" s="37">
        <v>0</v>
      </c>
      <c r="L363" s="37">
        <v>0</v>
      </c>
      <c r="M363" s="37">
        <v>0</v>
      </c>
      <c r="N363" s="37">
        <v>0</v>
      </c>
      <c r="O363" s="37">
        <v>0</v>
      </c>
      <c r="P363" s="39"/>
      <c r="Q363" s="39"/>
      <c r="R363" s="38"/>
      <c r="S363" s="40">
        <f t="shared" si="123"/>
        <v>0</v>
      </c>
      <c r="T363" s="37"/>
      <c r="U363" s="37"/>
      <c r="V363" s="37"/>
      <c r="W363" s="37"/>
      <c r="X363" s="37"/>
      <c r="Y363" s="38"/>
      <c r="Z363" s="38"/>
      <c r="AA363" s="39"/>
      <c r="AB363" s="37"/>
      <c r="AC363" s="39"/>
      <c r="AD363" s="39"/>
      <c r="AE363" s="38"/>
      <c r="AF363" s="40">
        <f t="shared" si="124"/>
        <v>0</v>
      </c>
      <c r="AG363" s="104"/>
    </row>
    <row r="364" spans="1:33" ht="12.75" x14ac:dyDescent="0.3">
      <c r="B364" s="27"/>
      <c r="C364" s="27"/>
      <c r="D364" s="27"/>
      <c r="E364" s="41">
        <v>5108140</v>
      </c>
      <c r="F364" s="36" t="s">
        <v>341</v>
      </c>
      <c r="G364" s="37">
        <v>0</v>
      </c>
      <c r="H364" s="37">
        <v>0</v>
      </c>
      <c r="I364" s="37">
        <v>0</v>
      </c>
      <c r="J364" s="37">
        <v>0</v>
      </c>
      <c r="K364" s="37">
        <v>0</v>
      </c>
      <c r="L364" s="37">
        <v>0</v>
      </c>
      <c r="M364" s="37">
        <v>0</v>
      </c>
      <c r="N364" s="37">
        <v>0</v>
      </c>
      <c r="O364" s="37">
        <v>0</v>
      </c>
      <c r="P364" s="39"/>
      <c r="Q364" s="39">
        <v>150000</v>
      </c>
      <c r="R364" s="38"/>
      <c r="S364" s="40">
        <f t="shared" si="123"/>
        <v>150000</v>
      </c>
      <c r="T364" s="37">
        <v>50000</v>
      </c>
      <c r="U364" s="37">
        <v>100000</v>
      </c>
      <c r="V364" s="37"/>
      <c r="W364" s="37"/>
      <c r="X364" s="37"/>
      <c r="Y364" s="38"/>
      <c r="Z364" s="38"/>
      <c r="AA364" s="39"/>
      <c r="AB364" s="37"/>
      <c r="AC364" s="39">
        <v>15000000</v>
      </c>
      <c r="AD364" s="39">
        <v>900000</v>
      </c>
      <c r="AE364" s="38"/>
      <c r="AF364" s="40">
        <f t="shared" si="124"/>
        <v>16050000</v>
      </c>
      <c r="AG364" s="104" t="s">
        <v>787</v>
      </c>
    </row>
    <row r="365" spans="1:33" ht="12.75" x14ac:dyDescent="0.3">
      <c r="B365" s="27"/>
      <c r="C365" s="27"/>
      <c r="D365" s="27"/>
      <c r="E365" s="41">
        <v>5108150</v>
      </c>
      <c r="F365" s="36" t="s">
        <v>342</v>
      </c>
      <c r="G365" s="37">
        <v>0</v>
      </c>
      <c r="H365" s="37">
        <v>0</v>
      </c>
      <c r="I365" s="37">
        <v>0</v>
      </c>
      <c r="J365" s="37">
        <v>0</v>
      </c>
      <c r="K365" s="37">
        <v>0</v>
      </c>
      <c r="L365" s="37">
        <v>0</v>
      </c>
      <c r="M365" s="37">
        <v>0</v>
      </c>
      <c r="N365" s="37">
        <v>0</v>
      </c>
      <c r="O365" s="37">
        <v>0</v>
      </c>
      <c r="P365" s="39"/>
      <c r="Q365" s="39"/>
      <c r="R365" s="38"/>
      <c r="S365" s="40">
        <f t="shared" si="123"/>
        <v>0</v>
      </c>
      <c r="T365" s="37"/>
      <c r="U365" s="37"/>
      <c r="V365" s="37"/>
      <c r="W365" s="37"/>
      <c r="X365" s="37"/>
      <c r="Y365" s="38"/>
      <c r="Z365" s="38"/>
      <c r="AA365" s="39"/>
      <c r="AB365" s="37"/>
      <c r="AC365" s="39"/>
      <c r="AD365" s="39"/>
      <c r="AE365" s="38"/>
      <c r="AF365" s="40">
        <f t="shared" si="124"/>
        <v>0</v>
      </c>
      <c r="AG365" s="104"/>
    </row>
    <row r="366" spans="1:33" ht="12.75" x14ac:dyDescent="0.3">
      <c r="B366" s="27"/>
      <c r="C366" s="27"/>
      <c r="D366" s="27"/>
      <c r="E366" s="41">
        <v>5108160</v>
      </c>
      <c r="F366" s="36" t="s">
        <v>343</v>
      </c>
      <c r="G366" s="37">
        <v>793643</v>
      </c>
      <c r="H366" s="37">
        <v>606255</v>
      </c>
      <c r="I366" s="37">
        <v>937873</v>
      </c>
      <c r="J366" s="37">
        <v>301956</v>
      </c>
      <c r="K366" s="37">
        <v>259732</v>
      </c>
      <c r="L366" s="37">
        <v>237234</v>
      </c>
      <c r="M366" s="37">
        <v>222675</v>
      </c>
      <c r="N366" s="37">
        <v>228622</v>
      </c>
      <c r="O366" s="37">
        <v>248620</v>
      </c>
      <c r="P366" s="39">
        <v>250000</v>
      </c>
      <c r="Q366" s="39">
        <v>250000</v>
      </c>
      <c r="R366" s="38">
        <v>250000</v>
      </c>
      <c r="S366" s="40">
        <f t="shared" si="123"/>
        <v>4586610</v>
      </c>
      <c r="T366" s="37">
        <v>250000</v>
      </c>
      <c r="U366" s="37">
        <v>250000</v>
      </c>
      <c r="V366" s="37">
        <v>250000</v>
      </c>
      <c r="W366" s="37">
        <v>250000</v>
      </c>
      <c r="X366" s="37">
        <v>250000</v>
      </c>
      <c r="Y366" s="37">
        <v>250000</v>
      </c>
      <c r="Z366" s="37">
        <v>250000</v>
      </c>
      <c r="AA366" s="37">
        <v>250000</v>
      </c>
      <c r="AB366" s="37">
        <v>250000</v>
      </c>
      <c r="AC366" s="37">
        <v>250000</v>
      </c>
      <c r="AD366" s="37">
        <v>250000</v>
      </c>
      <c r="AE366" s="37">
        <v>250000</v>
      </c>
      <c r="AF366" s="40">
        <f t="shared" si="124"/>
        <v>3000000</v>
      </c>
      <c r="AG366" s="106" t="s">
        <v>726</v>
      </c>
    </row>
    <row r="367" spans="1:33" ht="12.75" x14ac:dyDescent="0.3">
      <c r="B367" s="27"/>
      <c r="C367" s="27"/>
      <c r="D367" s="27"/>
      <c r="E367" s="41">
        <v>5108170</v>
      </c>
      <c r="F367" s="36" t="s">
        <v>344</v>
      </c>
      <c r="G367" s="37">
        <v>0</v>
      </c>
      <c r="H367" s="37">
        <v>0</v>
      </c>
      <c r="I367" s="37">
        <v>0</v>
      </c>
      <c r="J367" s="37">
        <v>0</v>
      </c>
      <c r="K367" s="37">
        <v>0</v>
      </c>
      <c r="L367" s="37">
        <v>0</v>
      </c>
      <c r="M367" s="37">
        <v>0</v>
      </c>
      <c r="N367" s="37">
        <v>0</v>
      </c>
      <c r="O367" s="37">
        <v>0</v>
      </c>
      <c r="P367" s="39"/>
      <c r="Q367" s="39"/>
      <c r="R367" s="38"/>
      <c r="S367" s="40">
        <f t="shared" si="123"/>
        <v>0</v>
      </c>
      <c r="T367" s="37">
        <v>70000</v>
      </c>
      <c r="U367" s="37"/>
      <c r="V367" s="37"/>
      <c r="W367" s="37"/>
      <c r="X367" s="37"/>
      <c r="Y367" s="38"/>
      <c r="Z367" s="38"/>
      <c r="AA367" s="39"/>
      <c r="AB367" s="37"/>
      <c r="AC367" s="39"/>
      <c r="AD367" s="39"/>
      <c r="AE367" s="38"/>
      <c r="AF367" s="40">
        <f t="shared" si="124"/>
        <v>70000</v>
      </c>
      <c r="AG367" s="104" t="s">
        <v>755</v>
      </c>
    </row>
    <row r="368" spans="1:33" ht="12.75" x14ac:dyDescent="0.3">
      <c r="B368" s="27"/>
      <c r="C368" s="27"/>
      <c r="D368" s="27"/>
      <c r="E368" s="41">
        <v>5108180</v>
      </c>
      <c r="F368" s="36" t="s">
        <v>345</v>
      </c>
      <c r="G368" s="37">
        <v>0</v>
      </c>
      <c r="H368" s="37">
        <v>0</v>
      </c>
      <c r="I368" s="37">
        <v>0</v>
      </c>
      <c r="J368" s="37">
        <v>0</v>
      </c>
      <c r="K368" s="37">
        <v>0</v>
      </c>
      <c r="L368" s="37">
        <v>0</v>
      </c>
      <c r="M368" s="37">
        <v>0</v>
      </c>
      <c r="N368" s="37">
        <v>0</v>
      </c>
      <c r="O368" s="37">
        <v>0</v>
      </c>
      <c r="P368" s="39"/>
      <c r="Q368" s="39"/>
      <c r="R368" s="38"/>
      <c r="S368" s="40">
        <f t="shared" si="123"/>
        <v>0</v>
      </c>
      <c r="T368" s="37"/>
      <c r="U368" s="37"/>
      <c r="V368" s="37"/>
      <c r="W368" s="37"/>
      <c r="X368" s="37"/>
      <c r="Y368" s="38"/>
      <c r="Z368" s="38"/>
      <c r="AA368" s="39"/>
      <c r="AB368" s="37"/>
      <c r="AC368" s="39"/>
      <c r="AD368" s="39"/>
      <c r="AE368" s="38"/>
      <c r="AF368" s="40">
        <f t="shared" si="124"/>
        <v>0</v>
      </c>
      <c r="AG368" s="104"/>
    </row>
    <row r="369" spans="2:33" ht="12.75" x14ac:dyDescent="0.3">
      <c r="B369" s="27"/>
      <c r="C369" s="27"/>
      <c r="D369" s="27"/>
      <c r="E369" s="41">
        <v>5108188</v>
      </c>
      <c r="F369" s="36" t="s">
        <v>346</v>
      </c>
      <c r="G369" s="37">
        <v>0</v>
      </c>
      <c r="H369" s="37">
        <v>0</v>
      </c>
      <c r="I369" s="37">
        <v>0</v>
      </c>
      <c r="J369" s="37">
        <v>0</v>
      </c>
      <c r="K369" s="37">
        <v>0</v>
      </c>
      <c r="L369" s="37">
        <v>0</v>
      </c>
      <c r="M369" s="37">
        <v>0</v>
      </c>
      <c r="N369" s="37">
        <v>0</v>
      </c>
      <c r="O369" s="37">
        <v>0</v>
      </c>
      <c r="P369" s="39"/>
      <c r="Q369" s="39"/>
      <c r="R369" s="38"/>
      <c r="S369" s="40">
        <f t="shared" si="123"/>
        <v>0</v>
      </c>
      <c r="T369" s="37"/>
      <c r="U369" s="37"/>
      <c r="V369" s="37"/>
      <c r="W369" s="37"/>
      <c r="X369" s="37"/>
      <c r="Y369" s="38"/>
      <c r="Z369" s="38"/>
      <c r="AA369" s="39"/>
      <c r="AB369" s="37"/>
      <c r="AC369" s="39"/>
      <c r="AD369" s="39"/>
      <c r="AE369" s="38"/>
      <c r="AF369" s="40">
        <f t="shared" si="124"/>
        <v>0</v>
      </c>
      <c r="AG369" s="104"/>
    </row>
    <row r="370" spans="2:33" ht="12.75" x14ac:dyDescent="0.3">
      <c r="B370" s="27"/>
      <c r="C370" s="27"/>
      <c r="D370" s="27"/>
      <c r="E370" s="41">
        <v>5108190</v>
      </c>
      <c r="F370" s="36" t="s">
        <v>347</v>
      </c>
      <c r="G370" s="37">
        <v>0</v>
      </c>
      <c r="H370" s="37">
        <v>0</v>
      </c>
      <c r="I370" s="37">
        <v>0</v>
      </c>
      <c r="J370" s="37">
        <v>0</v>
      </c>
      <c r="K370" s="37">
        <v>0</v>
      </c>
      <c r="L370" s="37">
        <v>0</v>
      </c>
      <c r="M370" s="37">
        <v>0</v>
      </c>
      <c r="N370" s="37">
        <v>0</v>
      </c>
      <c r="O370" s="37">
        <v>0</v>
      </c>
      <c r="P370" s="39"/>
      <c r="Q370" s="39"/>
      <c r="R370" s="38"/>
      <c r="S370" s="40">
        <f t="shared" si="123"/>
        <v>0</v>
      </c>
      <c r="T370" s="37"/>
      <c r="U370" s="37"/>
      <c r="V370" s="37"/>
      <c r="W370" s="37"/>
      <c r="X370" s="37"/>
      <c r="Y370" s="38"/>
      <c r="Z370" s="38"/>
      <c r="AA370" s="39"/>
      <c r="AB370" s="37"/>
      <c r="AC370" s="39"/>
      <c r="AD370" s="39"/>
      <c r="AE370" s="38"/>
      <c r="AF370" s="40">
        <f t="shared" si="124"/>
        <v>0</v>
      </c>
      <c r="AG370" s="104"/>
    </row>
    <row r="371" spans="2:33" ht="12.75" x14ac:dyDescent="0.3">
      <c r="B371" s="27"/>
      <c r="C371" s="27"/>
      <c r="D371" s="27"/>
      <c r="E371" s="41">
        <v>5108200</v>
      </c>
      <c r="F371" s="36" t="s">
        <v>348</v>
      </c>
      <c r="G371" s="37">
        <v>0</v>
      </c>
      <c r="H371" s="37">
        <v>0</v>
      </c>
      <c r="I371" s="37">
        <v>0</v>
      </c>
      <c r="J371" s="37">
        <v>0</v>
      </c>
      <c r="K371" s="37">
        <v>0</v>
      </c>
      <c r="L371" s="37">
        <v>0</v>
      </c>
      <c r="M371" s="37">
        <v>0</v>
      </c>
      <c r="N371" s="37">
        <v>0</v>
      </c>
      <c r="O371" s="37">
        <v>0</v>
      </c>
      <c r="P371" s="39"/>
      <c r="Q371" s="39"/>
      <c r="R371" s="38"/>
      <c r="S371" s="40">
        <f t="shared" si="123"/>
        <v>0</v>
      </c>
      <c r="T371" s="37"/>
      <c r="U371" s="37"/>
      <c r="V371" s="37"/>
      <c r="W371" s="37"/>
      <c r="X371" s="37"/>
      <c r="Y371" s="38"/>
      <c r="Z371" s="38"/>
      <c r="AA371" s="39"/>
      <c r="AB371" s="37"/>
      <c r="AC371" s="39"/>
      <c r="AD371" s="39"/>
      <c r="AE371" s="38"/>
      <c r="AF371" s="40">
        <f t="shared" si="124"/>
        <v>0</v>
      </c>
      <c r="AG371" s="104"/>
    </row>
    <row r="372" spans="2:33" ht="12.75" x14ac:dyDescent="0.3">
      <c r="B372" s="27"/>
      <c r="C372" s="27"/>
      <c r="D372" s="29" t="s">
        <v>349</v>
      </c>
      <c r="E372" s="42"/>
      <c r="F372" s="31"/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f t="shared" ref="P372:R372" si="143">SUM(P373:P378)</f>
        <v>0</v>
      </c>
      <c r="Q372" s="33">
        <f t="shared" si="143"/>
        <v>0</v>
      </c>
      <c r="R372" s="34">
        <f t="shared" si="143"/>
        <v>0</v>
      </c>
      <c r="S372" s="26">
        <f t="shared" si="123"/>
        <v>0</v>
      </c>
      <c r="T372" s="33">
        <f t="shared" ref="T372:AE372" si="144">SUM(T373:T378)</f>
        <v>0</v>
      </c>
      <c r="U372" s="33">
        <f t="shared" si="144"/>
        <v>10000000</v>
      </c>
      <c r="V372" s="33">
        <f t="shared" si="144"/>
        <v>10000000</v>
      </c>
      <c r="W372" s="33">
        <f t="shared" si="144"/>
        <v>0</v>
      </c>
      <c r="X372" s="33">
        <f t="shared" si="144"/>
        <v>0</v>
      </c>
      <c r="Y372" s="33">
        <f t="shared" si="144"/>
        <v>0</v>
      </c>
      <c r="Z372" s="33">
        <f t="shared" si="144"/>
        <v>10000000</v>
      </c>
      <c r="AA372" s="33">
        <f t="shared" si="144"/>
        <v>0</v>
      </c>
      <c r="AB372" s="33">
        <f t="shared" si="144"/>
        <v>0</v>
      </c>
      <c r="AC372" s="33">
        <f t="shared" si="144"/>
        <v>0</v>
      </c>
      <c r="AD372" s="33">
        <f t="shared" si="144"/>
        <v>0</v>
      </c>
      <c r="AE372" s="34">
        <f t="shared" si="144"/>
        <v>0</v>
      </c>
      <c r="AF372" s="26">
        <f t="shared" si="124"/>
        <v>30000000</v>
      </c>
      <c r="AG372" s="103"/>
    </row>
    <row r="373" spans="2:33" ht="12.75" x14ac:dyDescent="0.3">
      <c r="B373" s="27"/>
      <c r="C373" s="27"/>
      <c r="D373" s="27"/>
      <c r="E373" s="41">
        <v>5109100</v>
      </c>
      <c r="F373" s="36" t="s">
        <v>350</v>
      </c>
      <c r="G373" s="37">
        <v>0</v>
      </c>
      <c r="H373" s="37">
        <v>0</v>
      </c>
      <c r="I373" s="37">
        <v>0</v>
      </c>
      <c r="J373" s="37">
        <v>0</v>
      </c>
      <c r="K373" s="37">
        <v>0</v>
      </c>
      <c r="L373" s="37">
        <v>0</v>
      </c>
      <c r="M373" s="37">
        <v>0</v>
      </c>
      <c r="N373" s="37">
        <v>0</v>
      </c>
      <c r="O373" s="37">
        <v>0</v>
      </c>
      <c r="P373" s="39"/>
      <c r="Q373" s="39"/>
      <c r="R373" s="38"/>
      <c r="S373" s="40">
        <f t="shared" si="123"/>
        <v>0</v>
      </c>
      <c r="T373" s="37"/>
      <c r="U373" s="37"/>
      <c r="V373" s="37"/>
      <c r="W373" s="37"/>
      <c r="X373" s="37"/>
      <c r="Y373" s="38"/>
      <c r="Z373" s="38"/>
      <c r="AA373" s="39"/>
      <c r="AB373" s="37"/>
      <c r="AC373" s="39"/>
      <c r="AD373" s="39"/>
      <c r="AE373" s="38"/>
      <c r="AF373" s="40">
        <f t="shared" si="124"/>
        <v>0</v>
      </c>
      <c r="AG373" s="104"/>
    </row>
    <row r="374" spans="2:33" ht="12.75" x14ac:dyDescent="0.3">
      <c r="B374" s="27"/>
      <c r="C374" s="27"/>
      <c r="D374" s="27"/>
      <c r="E374" s="41">
        <v>5109110</v>
      </c>
      <c r="F374" s="36" t="s">
        <v>351</v>
      </c>
      <c r="G374" s="37">
        <v>0</v>
      </c>
      <c r="H374" s="37">
        <v>0</v>
      </c>
      <c r="I374" s="37">
        <v>0</v>
      </c>
      <c r="J374" s="37">
        <v>0</v>
      </c>
      <c r="K374" s="37">
        <v>0</v>
      </c>
      <c r="L374" s="37">
        <v>0</v>
      </c>
      <c r="M374" s="37">
        <v>0</v>
      </c>
      <c r="N374" s="37">
        <v>0</v>
      </c>
      <c r="O374" s="37">
        <v>0</v>
      </c>
      <c r="P374" s="39"/>
      <c r="Q374" s="39"/>
      <c r="R374" s="38"/>
      <c r="S374" s="40">
        <f t="shared" si="123"/>
        <v>0</v>
      </c>
      <c r="T374" s="37"/>
      <c r="U374" s="37"/>
      <c r="V374" s="37"/>
      <c r="W374" s="37"/>
      <c r="X374" s="37"/>
      <c r="Y374" s="38"/>
      <c r="Z374" s="38"/>
      <c r="AA374" s="39"/>
      <c r="AB374" s="37"/>
      <c r="AC374" s="39"/>
      <c r="AD374" s="39"/>
      <c r="AE374" s="38"/>
      <c r="AF374" s="40">
        <f t="shared" si="124"/>
        <v>0</v>
      </c>
      <c r="AG374" s="104"/>
    </row>
    <row r="375" spans="2:33" ht="12.75" x14ac:dyDescent="0.3">
      <c r="B375" s="27"/>
      <c r="C375" s="27"/>
      <c r="D375" s="27"/>
      <c r="E375" s="41">
        <v>5109130</v>
      </c>
      <c r="F375" s="36" t="s">
        <v>352</v>
      </c>
      <c r="G375" s="37">
        <v>0</v>
      </c>
      <c r="H375" s="37">
        <v>0</v>
      </c>
      <c r="I375" s="37">
        <v>0</v>
      </c>
      <c r="J375" s="37">
        <v>0</v>
      </c>
      <c r="K375" s="37">
        <v>0</v>
      </c>
      <c r="L375" s="37">
        <v>0</v>
      </c>
      <c r="M375" s="37">
        <v>0</v>
      </c>
      <c r="N375" s="37">
        <v>0</v>
      </c>
      <c r="O375" s="37">
        <v>0</v>
      </c>
      <c r="P375" s="39"/>
      <c r="Q375" s="39"/>
      <c r="R375" s="38"/>
      <c r="S375" s="40">
        <f t="shared" si="123"/>
        <v>0</v>
      </c>
      <c r="T375" s="37"/>
      <c r="U375" s="37">
        <v>10000000</v>
      </c>
      <c r="V375" s="37">
        <v>10000000</v>
      </c>
      <c r="W375" s="37"/>
      <c r="X375" s="37"/>
      <c r="Y375" s="38"/>
      <c r="Z375" s="38"/>
      <c r="AA375" s="39"/>
      <c r="AB375" s="37"/>
      <c r="AC375" s="39"/>
      <c r="AD375" s="39"/>
      <c r="AE375" s="38"/>
      <c r="AF375" s="40">
        <f t="shared" si="124"/>
        <v>20000000</v>
      </c>
      <c r="AG375" s="104" t="s">
        <v>745</v>
      </c>
    </row>
    <row r="376" spans="2:33" ht="12.75" x14ac:dyDescent="0.3">
      <c r="B376" s="27"/>
      <c r="C376" s="27"/>
      <c r="D376" s="27"/>
      <c r="E376" s="41">
        <v>5109140</v>
      </c>
      <c r="F376" s="36" t="s">
        <v>353</v>
      </c>
      <c r="G376" s="37">
        <v>0</v>
      </c>
      <c r="H376" s="37">
        <v>0</v>
      </c>
      <c r="I376" s="37">
        <v>0</v>
      </c>
      <c r="J376" s="37">
        <v>0</v>
      </c>
      <c r="K376" s="37">
        <v>0</v>
      </c>
      <c r="L376" s="37">
        <v>0</v>
      </c>
      <c r="M376" s="37">
        <v>0</v>
      </c>
      <c r="N376" s="37">
        <v>0</v>
      </c>
      <c r="O376" s="37">
        <v>0</v>
      </c>
      <c r="P376" s="39"/>
      <c r="Q376" s="39"/>
      <c r="R376" s="38"/>
      <c r="S376" s="40">
        <f t="shared" si="123"/>
        <v>0</v>
      </c>
      <c r="T376" s="37"/>
      <c r="U376" s="37"/>
      <c r="V376" s="37"/>
      <c r="W376" s="37"/>
      <c r="X376" s="37"/>
      <c r="Y376" s="38"/>
      <c r="Z376" s="38"/>
      <c r="AA376" s="39"/>
      <c r="AB376" s="37"/>
      <c r="AC376" s="39"/>
      <c r="AD376" s="39"/>
      <c r="AE376" s="38"/>
      <c r="AF376" s="40">
        <f t="shared" si="124"/>
        <v>0</v>
      </c>
      <c r="AG376" s="104"/>
    </row>
    <row r="377" spans="2:33" ht="12.75" x14ac:dyDescent="0.3">
      <c r="B377" s="27"/>
      <c r="C377" s="27"/>
      <c r="D377" s="27"/>
      <c r="E377" s="41">
        <v>5109111</v>
      </c>
      <c r="F377" s="36" t="s">
        <v>354</v>
      </c>
      <c r="G377" s="37">
        <v>0</v>
      </c>
      <c r="H377" s="37">
        <v>0</v>
      </c>
      <c r="I377" s="37">
        <v>0</v>
      </c>
      <c r="J377" s="37">
        <v>0</v>
      </c>
      <c r="K377" s="37">
        <v>0</v>
      </c>
      <c r="L377" s="37">
        <v>0</v>
      </c>
      <c r="M377" s="37">
        <v>0</v>
      </c>
      <c r="N377" s="37">
        <v>0</v>
      </c>
      <c r="O377" s="37">
        <v>0</v>
      </c>
      <c r="P377" s="39"/>
      <c r="Q377" s="39"/>
      <c r="R377" s="38"/>
      <c r="S377" s="40">
        <f t="shared" si="123"/>
        <v>0</v>
      </c>
      <c r="T377" s="37"/>
      <c r="U377" s="37"/>
      <c r="V377" s="37"/>
      <c r="W377" s="37"/>
      <c r="X377" s="37"/>
      <c r="Y377" s="38"/>
      <c r="Z377" s="38"/>
      <c r="AA377" s="39"/>
      <c r="AB377" s="37"/>
      <c r="AC377" s="39"/>
      <c r="AD377" s="39"/>
      <c r="AE377" s="38"/>
      <c r="AF377" s="40">
        <f t="shared" si="124"/>
        <v>0</v>
      </c>
      <c r="AG377" s="104"/>
    </row>
    <row r="378" spans="2:33" ht="12.75" x14ac:dyDescent="0.3">
      <c r="B378" s="27"/>
      <c r="C378" s="27"/>
      <c r="D378" s="27"/>
      <c r="E378" s="41">
        <v>5109150</v>
      </c>
      <c r="F378" s="36" t="s">
        <v>355</v>
      </c>
      <c r="G378" s="37">
        <v>0</v>
      </c>
      <c r="H378" s="37">
        <v>0</v>
      </c>
      <c r="I378" s="37">
        <v>0</v>
      </c>
      <c r="J378" s="37">
        <v>0</v>
      </c>
      <c r="K378" s="37">
        <v>0</v>
      </c>
      <c r="L378" s="37">
        <v>0</v>
      </c>
      <c r="M378" s="37">
        <v>0</v>
      </c>
      <c r="N378" s="37">
        <v>0</v>
      </c>
      <c r="O378" s="37">
        <v>0</v>
      </c>
      <c r="P378" s="39"/>
      <c r="Q378" s="39"/>
      <c r="R378" s="38"/>
      <c r="S378" s="40">
        <f t="shared" ref="S378:S442" si="145">SUM(G378:R378)</f>
        <v>0</v>
      </c>
      <c r="T378" s="37"/>
      <c r="U378" s="37"/>
      <c r="V378" s="37"/>
      <c r="W378" s="37"/>
      <c r="X378" s="37"/>
      <c r="Y378" s="38"/>
      <c r="Z378" s="38">
        <v>10000000</v>
      </c>
      <c r="AA378" s="39"/>
      <c r="AB378" s="37"/>
      <c r="AC378" s="39"/>
      <c r="AD378" s="39"/>
      <c r="AE378" s="38"/>
      <c r="AF378" s="40">
        <f t="shared" ref="AF378:AF442" si="146">SUM(T378:AE378)</f>
        <v>10000000</v>
      </c>
      <c r="AG378" s="104" t="s">
        <v>717</v>
      </c>
    </row>
    <row r="379" spans="2:33" ht="12.75" x14ac:dyDescent="0.3">
      <c r="B379" s="27"/>
      <c r="C379" s="27"/>
      <c r="D379" s="29" t="s">
        <v>356</v>
      </c>
      <c r="E379" s="42"/>
      <c r="F379" s="31"/>
      <c r="G379" s="33">
        <v>5160841</v>
      </c>
      <c r="H379" s="33">
        <v>7335943</v>
      </c>
      <c r="I379" s="33">
        <v>9491509</v>
      </c>
      <c r="J379" s="33">
        <v>5163737</v>
      </c>
      <c r="K379" s="33">
        <v>9672239</v>
      </c>
      <c r="L379" s="33">
        <v>7533537</v>
      </c>
      <c r="M379" s="33">
        <v>6432835</v>
      </c>
      <c r="N379" s="33">
        <v>6662967</v>
      </c>
      <c r="O379" s="33">
        <v>6867534</v>
      </c>
      <c r="P379" s="33">
        <f t="shared" ref="P379" si="147">SUM(P380:P385)</f>
        <v>6900000</v>
      </c>
      <c r="Q379" s="33">
        <f t="shared" ref="Q379" si="148">SUM(Q380:Q385)</f>
        <v>6900000</v>
      </c>
      <c r="R379" s="34">
        <f t="shared" ref="R379" si="149">SUM(R380:R385)</f>
        <v>6900000</v>
      </c>
      <c r="S379" s="26">
        <f t="shared" si="145"/>
        <v>85021142</v>
      </c>
      <c r="T379" s="33">
        <f t="shared" ref="T379:AE379" si="150">SUM(T380:T385)</f>
        <v>0</v>
      </c>
      <c r="U379" s="33">
        <f t="shared" si="150"/>
        <v>36000</v>
      </c>
      <c r="V379" s="33">
        <f t="shared" si="150"/>
        <v>30300000</v>
      </c>
      <c r="W379" s="33">
        <f t="shared" si="150"/>
        <v>10000000</v>
      </c>
      <c r="X379" s="33">
        <f t="shared" si="150"/>
        <v>0</v>
      </c>
      <c r="Y379" s="33">
        <f t="shared" si="150"/>
        <v>0</v>
      </c>
      <c r="Z379" s="33">
        <f t="shared" si="150"/>
        <v>30000000</v>
      </c>
      <c r="AA379" s="33">
        <f t="shared" si="150"/>
        <v>300000</v>
      </c>
      <c r="AB379" s="33">
        <f t="shared" si="150"/>
        <v>10000000</v>
      </c>
      <c r="AC379" s="33">
        <f t="shared" si="150"/>
        <v>43500000</v>
      </c>
      <c r="AD379" s="33">
        <f t="shared" si="150"/>
        <v>0</v>
      </c>
      <c r="AE379" s="34">
        <f t="shared" si="150"/>
        <v>0</v>
      </c>
      <c r="AF379" s="26">
        <f t="shared" si="146"/>
        <v>124136000</v>
      </c>
      <c r="AG379" s="103"/>
    </row>
    <row r="380" spans="2:33" ht="12.75" x14ac:dyDescent="0.3">
      <c r="B380" s="27"/>
      <c r="C380" s="27"/>
      <c r="D380" s="27"/>
      <c r="E380" s="41">
        <v>5113120</v>
      </c>
      <c r="F380" s="36" t="s">
        <v>357</v>
      </c>
      <c r="G380" s="37">
        <v>0</v>
      </c>
      <c r="H380" s="37">
        <v>0</v>
      </c>
      <c r="I380" s="37">
        <v>0</v>
      </c>
      <c r="J380" s="37">
        <v>0</v>
      </c>
      <c r="K380" s="37">
        <v>0</v>
      </c>
      <c r="L380" s="37">
        <v>0</v>
      </c>
      <c r="M380" s="37">
        <v>0</v>
      </c>
      <c r="N380" s="37">
        <v>0</v>
      </c>
      <c r="O380" s="37">
        <v>0</v>
      </c>
      <c r="P380" s="37"/>
      <c r="Q380" s="39"/>
      <c r="R380" s="38"/>
      <c r="S380" s="40">
        <f t="shared" si="145"/>
        <v>0</v>
      </c>
      <c r="T380" s="37"/>
      <c r="U380" s="37"/>
      <c r="V380" s="37"/>
      <c r="W380" s="37"/>
      <c r="X380" s="37"/>
      <c r="Y380" s="38"/>
      <c r="Z380" s="38"/>
      <c r="AA380" s="39"/>
      <c r="AB380" s="39"/>
      <c r="AC380" s="37"/>
      <c r="AD380" s="39"/>
      <c r="AE380" s="38"/>
      <c r="AF380" s="40">
        <f t="shared" si="146"/>
        <v>0</v>
      </c>
      <c r="AG380" s="104"/>
    </row>
    <row r="381" spans="2:33" ht="12.75" x14ac:dyDescent="0.3">
      <c r="B381" s="27"/>
      <c r="C381" s="27"/>
      <c r="D381" s="27"/>
      <c r="E381" s="41">
        <v>5113140</v>
      </c>
      <c r="F381" s="36" t="s">
        <v>358</v>
      </c>
      <c r="G381" s="37">
        <v>0</v>
      </c>
      <c r="H381" s="37">
        <v>0</v>
      </c>
      <c r="I381" s="37">
        <v>0</v>
      </c>
      <c r="J381" s="37">
        <v>0</v>
      </c>
      <c r="K381" s="37">
        <v>0</v>
      </c>
      <c r="L381" s="37">
        <v>0</v>
      </c>
      <c r="M381" s="37">
        <v>0</v>
      </c>
      <c r="N381" s="37">
        <v>0</v>
      </c>
      <c r="O381" s="37">
        <v>0</v>
      </c>
      <c r="P381" s="39"/>
      <c r="Q381" s="39"/>
      <c r="R381" s="38"/>
      <c r="S381" s="40">
        <f t="shared" si="145"/>
        <v>0</v>
      </c>
      <c r="T381" s="37"/>
      <c r="U381" s="37"/>
      <c r="V381" s="37"/>
      <c r="W381" s="37"/>
      <c r="X381" s="37"/>
      <c r="Y381" s="38"/>
      <c r="Z381" s="38"/>
      <c r="AA381" s="39"/>
      <c r="AB381" s="37"/>
      <c r="AC381" s="39"/>
      <c r="AD381" s="39"/>
      <c r="AE381" s="38"/>
      <c r="AF381" s="40">
        <f t="shared" si="146"/>
        <v>0</v>
      </c>
      <c r="AG381" s="104"/>
    </row>
    <row r="382" spans="2:33" ht="12.75" x14ac:dyDescent="0.3">
      <c r="B382" s="27"/>
      <c r="C382" s="27"/>
      <c r="D382" s="27"/>
      <c r="E382" s="41">
        <v>5113220</v>
      </c>
      <c r="F382" s="36" t="s">
        <v>359</v>
      </c>
      <c r="G382" s="37">
        <v>0</v>
      </c>
      <c r="H382" s="37">
        <v>0</v>
      </c>
      <c r="I382" s="37">
        <v>0</v>
      </c>
      <c r="J382" s="37">
        <v>0</v>
      </c>
      <c r="K382" s="37">
        <v>0</v>
      </c>
      <c r="L382" s="37">
        <v>0</v>
      </c>
      <c r="M382" s="37">
        <v>0</v>
      </c>
      <c r="N382" s="37">
        <v>0</v>
      </c>
      <c r="O382" s="37">
        <v>0</v>
      </c>
      <c r="P382" s="39"/>
      <c r="Q382" s="39"/>
      <c r="R382" s="38"/>
      <c r="S382" s="40">
        <f t="shared" si="145"/>
        <v>0</v>
      </c>
      <c r="T382" s="37"/>
      <c r="U382" s="37"/>
      <c r="V382" s="37"/>
      <c r="W382" s="37"/>
      <c r="X382" s="37"/>
      <c r="Y382" s="38"/>
      <c r="Z382" s="38"/>
      <c r="AA382" s="39"/>
      <c r="AB382" s="37"/>
      <c r="AC382" s="39"/>
      <c r="AD382" s="39"/>
      <c r="AE382" s="38"/>
      <c r="AF382" s="40">
        <f t="shared" si="146"/>
        <v>0</v>
      </c>
      <c r="AG382" s="104"/>
    </row>
    <row r="383" spans="2:33" ht="12.75" x14ac:dyDescent="0.3">
      <c r="B383" s="27"/>
      <c r="C383" s="27"/>
      <c r="D383" s="27"/>
      <c r="E383" s="41">
        <v>5113290</v>
      </c>
      <c r="F383" s="36" t="s">
        <v>360</v>
      </c>
      <c r="G383" s="37">
        <v>5160841</v>
      </c>
      <c r="H383" s="37">
        <v>7335943</v>
      </c>
      <c r="I383" s="37">
        <v>9491509</v>
      </c>
      <c r="J383" s="37">
        <v>5163737</v>
      </c>
      <c r="K383" s="37">
        <v>9672239</v>
      </c>
      <c r="L383" s="37">
        <v>7533537</v>
      </c>
      <c r="M383" s="37">
        <v>6432835</v>
      </c>
      <c r="N383" s="37">
        <v>6662967</v>
      </c>
      <c r="O383" s="37">
        <v>6867534</v>
      </c>
      <c r="P383" s="39">
        <v>6900000</v>
      </c>
      <c r="Q383" s="39">
        <v>6900000</v>
      </c>
      <c r="R383" s="39">
        <v>6900000</v>
      </c>
      <c r="S383" s="40">
        <f t="shared" si="145"/>
        <v>85021142</v>
      </c>
      <c r="T383" s="37"/>
      <c r="U383" s="37">
        <v>36000</v>
      </c>
      <c r="V383" s="37">
        <f>300000+30000000</f>
        <v>30300000</v>
      </c>
      <c r="W383" s="37">
        <v>10000000</v>
      </c>
      <c r="X383" s="37"/>
      <c r="Y383" s="38"/>
      <c r="Z383" s="38">
        <v>30000000</v>
      </c>
      <c r="AA383" s="39">
        <v>300000</v>
      </c>
      <c r="AB383" s="37">
        <v>10000000</v>
      </c>
      <c r="AC383" s="39">
        <f>3500000+40000000</f>
        <v>43500000</v>
      </c>
      <c r="AD383" s="39"/>
      <c r="AE383" s="38"/>
      <c r="AF383" s="40">
        <f t="shared" si="146"/>
        <v>124136000</v>
      </c>
      <c r="AG383" s="104" t="s">
        <v>789</v>
      </c>
    </row>
    <row r="384" spans="2:33" ht="12.75" x14ac:dyDescent="0.3">
      <c r="B384" s="27"/>
      <c r="C384" s="27"/>
      <c r="D384" s="27"/>
      <c r="E384" s="41">
        <v>5113291</v>
      </c>
      <c r="F384" s="36" t="s">
        <v>361</v>
      </c>
      <c r="G384" s="37">
        <v>0</v>
      </c>
      <c r="H384" s="37">
        <v>0</v>
      </c>
      <c r="I384" s="37">
        <v>0</v>
      </c>
      <c r="J384" s="37">
        <v>0</v>
      </c>
      <c r="K384" s="37">
        <v>0</v>
      </c>
      <c r="L384" s="37">
        <v>0</v>
      </c>
      <c r="M384" s="37">
        <v>0</v>
      </c>
      <c r="N384" s="37">
        <v>0</v>
      </c>
      <c r="O384" s="37">
        <v>0</v>
      </c>
      <c r="P384" s="39">
        <v>0</v>
      </c>
      <c r="Q384" s="39">
        <v>0</v>
      </c>
      <c r="R384" s="38">
        <v>0</v>
      </c>
      <c r="S384" s="40">
        <f t="shared" si="145"/>
        <v>0</v>
      </c>
      <c r="T384" s="37">
        <v>0</v>
      </c>
      <c r="U384" s="37">
        <v>0</v>
      </c>
      <c r="V384" s="37">
        <v>0</v>
      </c>
      <c r="W384" s="37">
        <v>0</v>
      </c>
      <c r="X384" s="37">
        <v>0</v>
      </c>
      <c r="Y384" s="38">
        <v>0</v>
      </c>
      <c r="Z384" s="38">
        <v>0</v>
      </c>
      <c r="AA384" s="39">
        <v>0</v>
      </c>
      <c r="AB384" s="37">
        <v>0</v>
      </c>
      <c r="AC384" s="39"/>
      <c r="AD384" s="39"/>
      <c r="AE384" s="38"/>
      <c r="AF384" s="40">
        <f t="shared" si="146"/>
        <v>0</v>
      </c>
      <c r="AG384" s="104"/>
    </row>
    <row r="385" spans="2:33" ht="12.75" x14ac:dyDescent="0.3">
      <c r="B385" s="27"/>
      <c r="C385" s="27"/>
      <c r="D385" s="27"/>
      <c r="E385" s="41">
        <v>5115110</v>
      </c>
      <c r="F385" s="36" t="s">
        <v>362</v>
      </c>
      <c r="G385" s="37">
        <v>0</v>
      </c>
      <c r="H385" s="37">
        <v>0</v>
      </c>
      <c r="I385" s="37">
        <v>0</v>
      </c>
      <c r="J385" s="37">
        <v>0</v>
      </c>
      <c r="K385" s="37">
        <v>0</v>
      </c>
      <c r="L385" s="37">
        <v>0</v>
      </c>
      <c r="M385" s="37">
        <v>0</v>
      </c>
      <c r="N385" s="37">
        <v>0</v>
      </c>
      <c r="O385" s="37">
        <v>0</v>
      </c>
      <c r="P385" s="39">
        <v>0</v>
      </c>
      <c r="Q385" s="39">
        <v>0</v>
      </c>
      <c r="R385" s="43">
        <v>0</v>
      </c>
      <c r="S385" s="40">
        <f t="shared" si="145"/>
        <v>0</v>
      </c>
      <c r="T385" s="37">
        <v>0</v>
      </c>
      <c r="U385" s="37">
        <v>0</v>
      </c>
      <c r="V385" s="37">
        <v>0</v>
      </c>
      <c r="W385" s="37">
        <v>0</v>
      </c>
      <c r="X385" s="37">
        <v>0</v>
      </c>
      <c r="Y385" s="38">
        <v>0</v>
      </c>
      <c r="Z385" s="38">
        <v>0</v>
      </c>
      <c r="AA385" s="39">
        <v>0</v>
      </c>
      <c r="AB385" s="37">
        <v>0</v>
      </c>
      <c r="AC385" s="39"/>
      <c r="AD385" s="39"/>
      <c r="AE385" s="43"/>
      <c r="AF385" s="40">
        <f t="shared" si="146"/>
        <v>0</v>
      </c>
      <c r="AG385" s="104"/>
    </row>
    <row r="386" spans="2:33" ht="12.75" x14ac:dyDescent="0.3">
      <c r="B386" s="27"/>
      <c r="C386" s="27"/>
      <c r="D386" s="29" t="s">
        <v>363</v>
      </c>
      <c r="E386" s="42"/>
      <c r="F386" s="31"/>
      <c r="G386" s="33">
        <v>0</v>
      </c>
      <c r="H386" s="33">
        <v>125000</v>
      </c>
      <c r="I386" s="33">
        <v>176400</v>
      </c>
      <c r="J386" s="33">
        <v>45500</v>
      </c>
      <c r="K386" s="33">
        <v>79000</v>
      </c>
      <c r="L386" s="33">
        <v>49000</v>
      </c>
      <c r="M386" s="33">
        <v>179000</v>
      </c>
      <c r="N386" s="33">
        <v>0</v>
      </c>
      <c r="O386" s="33">
        <v>165000</v>
      </c>
      <c r="P386" s="33">
        <f t="shared" ref="P386:R386" si="151">SUM(P387:P392)</f>
        <v>200000</v>
      </c>
      <c r="Q386" s="33">
        <f t="shared" si="151"/>
        <v>200000</v>
      </c>
      <c r="R386" s="34">
        <f t="shared" si="151"/>
        <v>200000</v>
      </c>
      <c r="S386" s="26">
        <f t="shared" si="145"/>
        <v>1418900</v>
      </c>
      <c r="T386" s="33">
        <f t="shared" ref="T386:AE386" si="152">SUM(T387:T392)</f>
        <v>200000</v>
      </c>
      <c r="U386" s="33">
        <f t="shared" si="152"/>
        <v>200000</v>
      </c>
      <c r="V386" s="33">
        <f t="shared" si="152"/>
        <v>660000</v>
      </c>
      <c r="W386" s="33">
        <f t="shared" si="152"/>
        <v>1700000</v>
      </c>
      <c r="X386" s="33">
        <f t="shared" si="152"/>
        <v>1700000</v>
      </c>
      <c r="Y386" s="33">
        <f t="shared" si="152"/>
        <v>3230000</v>
      </c>
      <c r="Z386" s="33">
        <f t="shared" si="152"/>
        <v>200000</v>
      </c>
      <c r="AA386" s="33">
        <f t="shared" si="152"/>
        <v>660000</v>
      </c>
      <c r="AB386" s="33">
        <f t="shared" si="152"/>
        <v>1100000</v>
      </c>
      <c r="AC386" s="33">
        <f t="shared" si="152"/>
        <v>830000</v>
      </c>
      <c r="AD386" s="33">
        <f t="shared" si="152"/>
        <v>200000</v>
      </c>
      <c r="AE386" s="34">
        <f t="shared" si="152"/>
        <v>200000</v>
      </c>
      <c r="AF386" s="26">
        <f t="shared" si="146"/>
        <v>10880000</v>
      </c>
      <c r="AG386" s="103"/>
    </row>
    <row r="387" spans="2:33" ht="12.75" x14ac:dyDescent="0.3">
      <c r="B387" s="27"/>
      <c r="C387" s="27"/>
      <c r="D387" s="27"/>
      <c r="E387" s="41">
        <v>5115120</v>
      </c>
      <c r="F387" s="36" t="s">
        <v>364</v>
      </c>
      <c r="G387" s="37">
        <v>0</v>
      </c>
      <c r="H387" s="37">
        <v>0</v>
      </c>
      <c r="I387" s="37">
        <v>0</v>
      </c>
      <c r="J387" s="37">
        <v>0</v>
      </c>
      <c r="K387" s="37">
        <v>0</v>
      </c>
      <c r="L387" s="37">
        <v>0</v>
      </c>
      <c r="M387" s="37">
        <v>0</v>
      </c>
      <c r="N387" s="37">
        <v>0</v>
      </c>
      <c r="O387" s="37">
        <v>0</v>
      </c>
      <c r="P387" s="39"/>
      <c r="Q387" s="39"/>
      <c r="R387" s="38"/>
      <c r="S387" s="40">
        <f t="shared" si="145"/>
        <v>0</v>
      </c>
      <c r="T387" s="37"/>
      <c r="U387" s="37"/>
      <c r="V387" s="37"/>
      <c r="W387" s="37"/>
      <c r="X387" s="37"/>
      <c r="Y387" s="38"/>
      <c r="Z387" s="38"/>
      <c r="AA387" s="39"/>
      <c r="AB387" s="37"/>
      <c r="AC387" s="39"/>
      <c r="AD387" s="39"/>
      <c r="AE387" s="38"/>
      <c r="AF387" s="40">
        <f t="shared" si="146"/>
        <v>0</v>
      </c>
      <c r="AG387" s="104"/>
    </row>
    <row r="388" spans="2:33" ht="12.75" x14ac:dyDescent="0.3">
      <c r="B388" s="27"/>
      <c r="C388" s="27"/>
      <c r="D388" s="27"/>
      <c r="E388" s="41">
        <v>5115130</v>
      </c>
      <c r="F388" s="36" t="s">
        <v>365</v>
      </c>
      <c r="G388" s="37">
        <v>0</v>
      </c>
      <c r="H388" s="37">
        <v>0</v>
      </c>
      <c r="I388" s="37">
        <v>0</v>
      </c>
      <c r="J388" s="37">
        <v>0</v>
      </c>
      <c r="K388" s="37">
        <v>0</v>
      </c>
      <c r="L388" s="37">
        <v>0</v>
      </c>
      <c r="M388" s="37">
        <v>0</v>
      </c>
      <c r="N388" s="37">
        <v>0</v>
      </c>
      <c r="O388" s="37">
        <v>0</v>
      </c>
      <c r="P388" s="39"/>
      <c r="Q388" s="39"/>
      <c r="R388" s="38"/>
      <c r="S388" s="40">
        <f t="shared" si="145"/>
        <v>0</v>
      </c>
      <c r="T388" s="37"/>
      <c r="U388" s="37"/>
      <c r="V388" s="37"/>
      <c r="W388" s="37"/>
      <c r="X388" s="37"/>
      <c r="Y388" s="38"/>
      <c r="Z388" s="38"/>
      <c r="AA388" s="39"/>
      <c r="AB388" s="37"/>
      <c r="AC388" s="39"/>
      <c r="AD388" s="39"/>
      <c r="AE388" s="38"/>
      <c r="AF388" s="40">
        <f t="shared" si="146"/>
        <v>0</v>
      </c>
      <c r="AG388" s="104"/>
    </row>
    <row r="389" spans="2:33" ht="12.75" x14ac:dyDescent="0.3">
      <c r="B389" s="27"/>
      <c r="C389" s="27"/>
      <c r="D389" s="27"/>
      <c r="E389" s="41">
        <v>5115140</v>
      </c>
      <c r="F389" s="36" t="s">
        <v>366</v>
      </c>
      <c r="G389" s="37">
        <v>0</v>
      </c>
      <c r="H389" s="37">
        <v>0</v>
      </c>
      <c r="I389" s="37">
        <v>0</v>
      </c>
      <c r="J389" s="37">
        <v>0</v>
      </c>
      <c r="K389" s="37">
        <v>0</v>
      </c>
      <c r="L389" s="37">
        <v>0</v>
      </c>
      <c r="M389" s="37">
        <v>0</v>
      </c>
      <c r="N389" s="37">
        <v>0</v>
      </c>
      <c r="O389" s="37">
        <v>0</v>
      </c>
      <c r="P389" s="39"/>
      <c r="Q389" s="39"/>
      <c r="R389" s="38"/>
      <c r="S389" s="40">
        <f t="shared" si="145"/>
        <v>0</v>
      </c>
      <c r="T389" s="37"/>
      <c r="U389" s="37"/>
      <c r="V389" s="37"/>
      <c r="W389" s="37"/>
      <c r="X389" s="37"/>
      <c r="Y389" s="38"/>
      <c r="Z389" s="38"/>
      <c r="AA389" s="39"/>
      <c r="AB389" s="37"/>
      <c r="AC389" s="39"/>
      <c r="AD389" s="39"/>
      <c r="AE389" s="38"/>
      <c r="AF389" s="40">
        <f t="shared" si="146"/>
        <v>0</v>
      </c>
      <c r="AG389" s="104"/>
    </row>
    <row r="390" spans="2:33" ht="12.75" x14ac:dyDescent="0.3">
      <c r="B390" s="27"/>
      <c r="C390" s="27"/>
      <c r="D390" s="27"/>
      <c r="E390" s="41">
        <v>5115150</v>
      </c>
      <c r="F390" s="36" t="s">
        <v>367</v>
      </c>
      <c r="G390" s="37">
        <v>0</v>
      </c>
      <c r="H390" s="37">
        <v>0</v>
      </c>
      <c r="I390" s="37">
        <v>0</v>
      </c>
      <c r="J390" s="37">
        <v>0</v>
      </c>
      <c r="K390" s="37">
        <v>0</v>
      </c>
      <c r="L390" s="37">
        <v>0</v>
      </c>
      <c r="M390" s="37">
        <v>0</v>
      </c>
      <c r="N390" s="37">
        <v>0</v>
      </c>
      <c r="O390" s="37">
        <v>0</v>
      </c>
      <c r="P390" s="39">
        <v>0</v>
      </c>
      <c r="Q390" s="39">
        <v>0</v>
      </c>
      <c r="R390" s="38">
        <v>0</v>
      </c>
      <c r="S390" s="40">
        <f t="shared" si="145"/>
        <v>0</v>
      </c>
      <c r="T390" s="37">
        <v>0</v>
      </c>
      <c r="U390" s="37">
        <v>0</v>
      </c>
      <c r="V390" s="37">
        <v>460000</v>
      </c>
      <c r="W390" s="37">
        <v>1500000</v>
      </c>
      <c r="X390" s="37">
        <v>1500000</v>
      </c>
      <c r="Y390" s="38">
        <f>630000+1500000+900000</f>
        <v>3030000</v>
      </c>
      <c r="Z390" s="38"/>
      <c r="AA390" s="39">
        <v>460000</v>
      </c>
      <c r="AB390" s="37">
        <v>900000</v>
      </c>
      <c r="AC390" s="39">
        <v>630000</v>
      </c>
      <c r="AD390" s="39"/>
      <c r="AE390" s="38"/>
      <c r="AF390" s="40">
        <f t="shared" si="146"/>
        <v>8480000</v>
      </c>
      <c r="AG390" s="104" t="s">
        <v>623</v>
      </c>
    </row>
    <row r="391" spans="2:33" ht="12.75" x14ac:dyDescent="0.3">
      <c r="B391" s="27"/>
      <c r="C391" s="27"/>
      <c r="D391" s="27"/>
      <c r="E391" s="41">
        <v>5115160</v>
      </c>
      <c r="F391" s="36" t="s">
        <v>368</v>
      </c>
      <c r="G391" s="37">
        <v>0</v>
      </c>
      <c r="H391" s="37">
        <v>125000</v>
      </c>
      <c r="I391" s="37">
        <v>176400</v>
      </c>
      <c r="J391" s="37">
        <v>45500</v>
      </c>
      <c r="K391" s="37">
        <v>79000</v>
      </c>
      <c r="L391" s="37">
        <v>49000</v>
      </c>
      <c r="M391" s="37">
        <v>179000</v>
      </c>
      <c r="N391" s="37">
        <v>0</v>
      </c>
      <c r="O391" s="37">
        <v>165000</v>
      </c>
      <c r="P391" s="39">
        <v>150000</v>
      </c>
      <c r="Q391" s="39">
        <v>150000</v>
      </c>
      <c r="R391" s="38">
        <v>150000</v>
      </c>
      <c r="S391" s="40">
        <f t="shared" si="145"/>
        <v>1268900</v>
      </c>
      <c r="T391" s="37">
        <v>150000</v>
      </c>
      <c r="U391" s="37">
        <v>150000</v>
      </c>
      <c r="V391" s="37">
        <v>150000</v>
      </c>
      <c r="W391" s="37">
        <v>150000</v>
      </c>
      <c r="X391" s="37">
        <v>150000</v>
      </c>
      <c r="Y391" s="37">
        <v>150000</v>
      </c>
      <c r="Z391" s="37">
        <v>150000</v>
      </c>
      <c r="AA391" s="37">
        <v>150000</v>
      </c>
      <c r="AB391" s="37">
        <v>150000</v>
      </c>
      <c r="AC391" s="37">
        <v>150000</v>
      </c>
      <c r="AD391" s="37">
        <v>150000</v>
      </c>
      <c r="AE391" s="37">
        <v>150000</v>
      </c>
      <c r="AF391" s="40">
        <f t="shared" si="146"/>
        <v>1800000</v>
      </c>
      <c r="AG391" s="104" t="s">
        <v>727</v>
      </c>
    </row>
    <row r="392" spans="2:33" ht="12.75" x14ac:dyDescent="0.3">
      <c r="B392" s="27"/>
      <c r="C392" s="27"/>
      <c r="D392" s="27"/>
      <c r="E392" s="41">
        <v>5115190</v>
      </c>
      <c r="F392" s="36" t="s">
        <v>369</v>
      </c>
      <c r="G392" s="37">
        <v>0</v>
      </c>
      <c r="H392" s="37">
        <v>0</v>
      </c>
      <c r="I392" s="37">
        <v>0</v>
      </c>
      <c r="J392" s="37">
        <v>0</v>
      </c>
      <c r="K392" s="37">
        <v>0</v>
      </c>
      <c r="L392" s="37">
        <v>0</v>
      </c>
      <c r="M392" s="37">
        <v>0</v>
      </c>
      <c r="N392" s="37">
        <v>0</v>
      </c>
      <c r="O392" s="37">
        <v>0</v>
      </c>
      <c r="P392" s="39">
        <v>50000</v>
      </c>
      <c r="Q392" s="39">
        <v>50000</v>
      </c>
      <c r="R392" s="38">
        <v>50000</v>
      </c>
      <c r="S392" s="40">
        <f t="shared" si="145"/>
        <v>150000</v>
      </c>
      <c r="T392" s="37">
        <v>50000</v>
      </c>
      <c r="U392" s="37">
        <v>50000</v>
      </c>
      <c r="V392" s="37">
        <v>50000</v>
      </c>
      <c r="W392" s="37">
        <v>50000</v>
      </c>
      <c r="X392" s="37">
        <v>50000</v>
      </c>
      <c r="Y392" s="37">
        <v>50000</v>
      </c>
      <c r="Z392" s="37">
        <v>50000</v>
      </c>
      <c r="AA392" s="37">
        <v>50000</v>
      </c>
      <c r="AB392" s="37">
        <v>50000</v>
      </c>
      <c r="AC392" s="37">
        <v>50000</v>
      </c>
      <c r="AD392" s="37">
        <v>50000</v>
      </c>
      <c r="AE392" s="37">
        <v>50000</v>
      </c>
      <c r="AF392" s="40">
        <f t="shared" si="146"/>
        <v>600000</v>
      </c>
      <c r="AG392" s="104" t="s">
        <v>728</v>
      </c>
    </row>
    <row r="393" spans="2:33" ht="12.75" x14ac:dyDescent="0.3">
      <c r="B393" s="27"/>
      <c r="C393" s="27"/>
      <c r="D393" s="29" t="s">
        <v>370</v>
      </c>
      <c r="E393" s="42"/>
      <c r="F393" s="31"/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f t="shared" ref="P393:R393" si="153">SUM(P394:P397)</f>
        <v>0</v>
      </c>
      <c r="Q393" s="33">
        <f t="shared" si="153"/>
        <v>0</v>
      </c>
      <c r="R393" s="34">
        <f t="shared" si="153"/>
        <v>0</v>
      </c>
      <c r="S393" s="26">
        <f t="shared" si="145"/>
        <v>0</v>
      </c>
      <c r="T393" s="33">
        <f t="shared" ref="T393:AE393" si="154">SUM(T394:T397)</f>
        <v>0</v>
      </c>
      <c r="U393" s="33">
        <f t="shared" si="154"/>
        <v>0</v>
      </c>
      <c r="V393" s="33">
        <f t="shared" si="154"/>
        <v>0</v>
      </c>
      <c r="W393" s="33">
        <f t="shared" si="154"/>
        <v>0</v>
      </c>
      <c r="X393" s="33">
        <f t="shared" si="154"/>
        <v>0</v>
      </c>
      <c r="Y393" s="33">
        <f t="shared" si="154"/>
        <v>0</v>
      </c>
      <c r="Z393" s="33">
        <f t="shared" si="154"/>
        <v>0</v>
      </c>
      <c r="AA393" s="33">
        <f t="shared" si="154"/>
        <v>0</v>
      </c>
      <c r="AB393" s="33">
        <f t="shared" si="154"/>
        <v>0</v>
      </c>
      <c r="AC393" s="33">
        <f t="shared" si="154"/>
        <v>0</v>
      </c>
      <c r="AD393" s="33">
        <f t="shared" si="154"/>
        <v>0</v>
      </c>
      <c r="AE393" s="34">
        <f t="shared" si="154"/>
        <v>0</v>
      </c>
      <c r="AF393" s="26">
        <f t="shared" si="146"/>
        <v>0</v>
      </c>
      <c r="AG393" s="103"/>
    </row>
    <row r="394" spans="2:33" ht="12.75" x14ac:dyDescent="0.3">
      <c r="B394" s="27"/>
      <c r="C394" s="27"/>
      <c r="D394" s="27"/>
      <c r="E394" s="41">
        <v>5116100</v>
      </c>
      <c r="F394" s="36" t="s">
        <v>371</v>
      </c>
      <c r="G394" s="37">
        <v>0</v>
      </c>
      <c r="H394" s="37">
        <v>0</v>
      </c>
      <c r="I394" s="37">
        <v>0</v>
      </c>
      <c r="J394" s="37">
        <v>0</v>
      </c>
      <c r="K394" s="37">
        <v>0</v>
      </c>
      <c r="L394" s="37">
        <v>0</v>
      </c>
      <c r="M394" s="37">
        <v>0</v>
      </c>
      <c r="N394" s="37">
        <v>0</v>
      </c>
      <c r="O394" s="37">
        <v>0</v>
      </c>
      <c r="P394" s="39"/>
      <c r="Q394" s="39"/>
      <c r="R394" s="38"/>
      <c r="S394" s="40">
        <f t="shared" si="145"/>
        <v>0</v>
      </c>
      <c r="T394" s="37"/>
      <c r="U394" s="37"/>
      <c r="V394" s="37"/>
      <c r="W394" s="37"/>
      <c r="X394" s="37"/>
      <c r="Y394" s="38"/>
      <c r="Z394" s="38"/>
      <c r="AA394" s="39"/>
      <c r="AB394" s="37"/>
      <c r="AC394" s="39"/>
      <c r="AD394" s="39"/>
      <c r="AE394" s="38"/>
      <c r="AF394" s="40">
        <f t="shared" si="146"/>
        <v>0</v>
      </c>
      <c r="AG394" s="104"/>
    </row>
    <row r="395" spans="2:33" ht="12.75" x14ac:dyDescent="0.3">
      <c r="B395" s="27"/>
      <c r="C395" s="27"/>
      <c r="D395" s="27"/>
      <c r="E395" s="41">
        <v>5116110</v>
      </c>
      <c r="F395" s="36" t="s">
        <v>372</v>
      </c>
      <c r="G395" s="37">
        <v>0</v>
      </c>
      <c r="H395" s="37">
        <v>0</v>
      </c>
      <c r="I395" s="37">
        <v>0</v>
      </c>
      <c r="J395" s="37">
        <v>0</v>
      </c>
      <c r="K395" s="37">
        <v>0</v>
      </c>
      <c r="L395" s="37">
        <v>0</v>
      </c>
      <c r="M395" s="37">
        <v>0</v>
      </c>
      <c r="N395" s="37">
        <v>0</v>
      </c>
      <c r="O395" s="37">
        <v>0</v>
      </c>
      <c r="P395" s="39"/>
      <c r="Q395" s="39"/>
      <c r="R395" s="38"/>
      <c r="S395" s="40">
        <f t="shared" si="145"/>
        <v>0</v>
      </c>
      <c r="T395" s="37"/>
      <c r="U395" s="37"/>
      <c r="V395" s="37"/>
      <c r="W395" s="37"/>
      <c r="X395" s="37"/>
      <c r="Y395" s="38"/>
      <c r="Z395" s="38"/>
      <c r="AA395" s="39"/>
      <c r="AB395" s="37"/>
      <c r="AC395" s="39"/>
      <c r="AD395" s="39"/>
      <c r="AE395" s="38"/>
      <c r="AF395" s="40">
        <f t="shared" si="146"/>
        <v>0</v>
      </c>
      <c r="AG395" s="104"/>
    </row>
    <row r="396" spans="2:33" ht="12.75" x14ac:dyDescent="0.3">
      <c r="B396" s="27"/>
      <c r="C396" s="27"/>
      <c r="D396" s="27"/>
      <c r="E396" s="41">
        <v>5116120</v>
      </c>
      <c r="F396" s="36" t="s">
        <v>373</v>
      </c>
      <c r="G396" s="37">
        <v>0</v>
      </c>
      <c r="H396" s="37">
        <v>0</v>
      </c>
      <c r="I396" s="37">
        <v>0</v>
      </c>
      <c r="J396" s="37">
        <v>0</v>
      </c>
      <c r="K396" s="37">
        <v>0</v>
      </c>
      <c r="L396" s="37">
        <v>0</v>
      </c>
      <c r="M396" s="37">
        <v>0</v>
      </c>
      <c r="N396" s="37">
        <v>0</v>
      </c>
      <c r="O396" s="37">
        <v>0</v>
      </c>
      <c r="P396" s="39"/>
      <c r="Q396" s="39"/>
      <c r="R396" s="38"/>
      <c r="S396" s="40">
        <f t="shared" si="145"/>
        <v>0</v>
      </c>
      <c r="T396" s="37"/>
      <c r="U396" s="37"/>
      <c r="V396" s="37"/>
      <c r="W396" s="37"/>
      <c r="X396" s="37"/>
      <c r="Y396" s="38"/>
      <c r="Z396" s="38"/>
      <c r="AA396" s="39"/>
      <c r="AB396" s="37"/>
      <c r="AC396" s="39"/>
      <c r="AD396" s="39"/>
      <c r="AE396" s="38"/>
      <c r="AF396" s="40">
        <f t="shared" si="146"/>
        <v>0</v>
      </c>
      <c r="AG396" s="104"/>
    </row>
    <row r="397" spans="2:33" ht="12.75" x14ac:dyDescent="0.3">
      <c r="B397" s="27"/>
      <c r="C397" s="27"/>
      <c r="D397" s="27"/>
      <c r="E397" s="41">
        <v>5116130</v>
      </c>
      <c r="F397" s="36" t="s">
        <v>374</v>
      </c>
      <c r="G397" s="37">
        <v>0</v>
      </c>
      <c r="H397" s="37">
        <v>0</v>
      </c>
      <c r="I397" s="37">
        <v>0</v>
      </c>
      <c r="J397" s="37">
        <v>0</v>
      </c>
      <c r="K397" s="37">
        <v>0</v>
      </c>
      <c r="L397" s="37">
        <v>0</v>
      </c>
      <c r="M397" s="37">
        <v>0</v>
      </c>
      <c r="N397" s="37">
        <v>0</v>
      </c>
      <c r="O397" s="37">
        <v>0</v>
      </c>
      <c r="P397" s="39"/>
      <c r="Q397" s="39"/>
      <c r="R397" s="38"/>
      <c r="S397" s="40">
        <f t="shared" si="145"/>
        <v>0</v>
      </c>
      <c r="T397" s="37"/>
      <c r="U397" s="37"/>
      <c r="V397" s="37"/>
      <c r="W397" s="37"/>
      <c r="X397" s="37"/>
      <c r="Y397" s="38"/>
      <c r="Z397" s="38"/>
      <c r="AA397" s="39"/>
      <c r="AB397" s="37"/>
      <c r="AC397" s="39"/>
      <c r="AD397" s="39"/>
      <c r="AE397" s="38"/>
      <c r="AF397" s="40">
        <f t="shared" si="146"/>
        <v>0</v>
      </c>
      <c r="AG397" s="104"/>
    </row>
    <row r="398" spans="2:33" ht="12.75" x14ac:dyDescent="0.3">
      <c r="B398" s="27"/>
      <c r="C398" s="27"/>
      <c r="D398" s="29" t="s">
        <v>375</v>
      </c>
      <c r="E398" s="42"/>
      <c r="F398" s="31"/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f t="shared" ref="P398:R398" si="155">SUM(P399:P403)</f>
        <v>0</v>
      </c>
      <c r="Q398" s="33">
        <f t="shared" si="155"/>
        <v>0</v>
      </c>
      <c r="R398" s="34">
        <f t="shared" si="155"/>
        <v>0</v>
      </c>
      <c r="S398" s="26">
        <f t="shared" si="145"/>
        <v>0</v>
      </c>
      <c r="T398" s="33">
        <f t="shared" ref="T398:AE398" si="156">SUM(T399:T403)</f>
        <v>0</v>
      </c>
      <c r="U398" s="33">
        <f t="shared" si="156"/>
        <v>0</v>
      </c>
      <c r="V398" s="33">
        <f t="shared" si="156"/>
        <v>0</v>
      </c>
      <c r="W398" s="33">
        <f t="shared" si="156"/>
        <v>0</v>
      </c>
      <c r="X398" s="33">
        <f t="shared" si="156"/>
        <v>0</v>
      </c>
      <c r="Y398" s="33">
        <f t="shared" si="156"/>
        <v>0</v>
      </c>
      <c r="Z398" s="33">
        <f t="shared" si="156"/>
        <v>0</v>
      </c>
      <c r="AA398" s="33">
        <f t="shared" si="156"/>
        <v>0</v>
      </c>
      <c r="AB398" s="33">
        <f t="shared" si="156"/>
        <v>0</v>
      </c>
      <c r="AC398" s="33">
        <f t="shared" si="156"/>
        <v>0</v>
      </c>
      <c r="AD398" s="33">
        <f t="shared" si="156"/>
        <v>0</v>
      </c>
      <c r="AE398" s="34">
        <f t="shared" si="156"/>
        <v>0</v>
      </c>
      <c r="AF398" s="26">
        <f t="shared" si="146"/>
        <v>0</v>
      </c>
      <c r="AG398" s="103"/>
    </row>
    <row r="399" spans="2:33" ht="12.75" x14ac:dyDescent="0.3">
      <c r="B399" s="27"/>
      <c r="C399" s="27"/>
      <c r="D399" s="27"/>
      <c r="E399" s="41">
        <v>5119100</v>
      </c>
      <c r="F399" s="36" t="s">
        <v>376</v>
      </c>
      <c r="G399" s="37">
        <v>0</v>
      </c>
      <c r="H399" s="37">
        <v>0</v>
      </c>
      <c r="I399" s="37">
        <v>0</v>
      </c>
      <c r="J399" s="37">
        <v>0</v>
      </c>
      <c r="K399" s="37">
        <v>0</v>
      </c>
      <c r="L399" s="37">
        <v>0</v>
      </c>
      <c r="M399" s="37">
        <v>0</v>
      </c>
      <c r="N399" s="37">
        <v>0</v>
      </c>
      <c r="O399" s="37">
        <v>0</v>
      </c>
      <c r="P399" s="39"/>
      <c r="Q399" s="39"/>
      <c r="R399" s="38"/>
      <c r="S399" s="40">
        <f t="shared" si="145"/>
        <v>0</v>
      </c>
      <c r="T399" s="37"/>
      <c r="U399" s="37"/>
      <c r="V399" s="37"/>
      <c r="W399" s="37"/>
      <c r="X399" s="37"/>
      <c r="Y399" s="38"/>
      <c r="Z399" s="38"/>
      <c r="AA399" s="39"/>
      <c r="AB399" s="37"/>
      <c r="AC399" s="39"/>
      <c r="AD399" s="39"/>
      <c r="AE399" s="38"/>
      <c r="AF399" s="40">
        <f t="shared" si="146"/>
        <v>0</v>
      </c>
      <c r="AG399" s="104"/>
    </row>
    <row r="400" spans="2:33" ht="12.75" x14ac:dyDescent="0.3">
      <c r="B400" s="27"/>
      <c r="C400" s="27"/>
      <c r="D400" s="27"/>
      <c r="E400" s="41">
        <v>5119110</v>
      </c>
      <c r="F400" s="36" t="s">
        <v>377</v>
      </c>
      <c r="G400" s="37">
        <v>0</v>
      </c>
      <c r="H400" s="37">
        <v>0</v>
      </c>
      <c r="I400" s="37">
        <v>0</v>
      </c>
      <c r="J400" s="37">
        <v>0</v>
      </c>
      <c r="K400" s="37">
        <v>0</v>
      </c>
      <c r="L400" s="37">
        <v>0</v>
      </c>
      <c r="M400" s="37">
        <v>0</v>
      </c>
      <c r="N400" s="37">
        <v>0</v>
      </c>
      <c r="O400" s="37">
        <v>0</v>
      </c>
      <c r="P400" s="39"/>
      <c r="Q400" s="39"/>
      <c r="R400" s="38"/>
      <c r="S400" s="40">
        <f t="shared" si="145"/>
        <v>0</v>
      </c>
      <c r="T400" s="37"/>
      <c r="U400" s="37"/>
      <c r="V400" s="37"/>
      <c r="W400" s="37"/>
      <c r="X400" s="37"/>
      <c r="Y400" s="38"/>
      <c r="Z400" s="38"/>
      <c r="AA400" s="39"/>
      <c r="AB400" s="37"/>
      <c r="AC400" s="39"/>
      <c r="AD400" s="39"/>
      <c r="AE400" s="38"/>
      <c r="AF400" s="40">
        <f t="shared" si="146"/>
        <v>0</v>
      </c>
      <c r="AG400" s="104"/>
    </row>
    <row r="401" spans="2:33" ht="12.75" x14ac:dyDescent="0.3">
      <c r="B401" s="27"/>
      <c r="C401" s="27"/>
      <c r="D401" s="27"/>
      <c r="E401" s="41">
        <v>5119120</v>
      </c>
      <c r="F401" s="36" t="s">
        <v>378</v>
      </c>
      <c r="G401" s="37">
        <v>0</v>
      </c>
      <c r="H401" s="37">
        <v>0</v>
      </c>
      <c r="I401" s="37">
        <v>0</v>
      </c>
      <c r="J401" s="37">
        <v>0</v>
      </c>
      <c r="K401" s="37">
        <v>0</v>
      </c>
      <c r="L401" s="37">
        <v>0</v>
      </c>
      <c r="M401" s="37">
        <v>0</v>
      </c>
      <c r="N401" s="37">
        <v>0</v>
      </c>
      <c r="O401" s="37">
        <v>0</v>
      </c>
      <c r="P401" s="39"/>
      <c r="Q401" s="39"/>
      <c r="R401" s="38"/>
      <c r="S401" s="40">
        <f t="shared" si="145"/>
        <v>0</v>
      </c>
      <c r="T401" s="37"/>
      <c r="U401" s="37"/>
      <c r="V401" s="37"/>
      <c r="W401" s="37"/>
      <c r="X401" s="37"/>
      <c r="Y401" s="38"/>
      <c r="Z401" s="38"/>
      <c r="AA401" s="39"/>
      <c r="AB401" s="37"/>
      <c r="AC401" s="39"/>
      <c r="AD401" s="39"/>
      <c r="AE401" s="38"/>
      <c r="AF401" s="40">
        <f t="shared" si="146"/>
        <v>0</v>
      </c>
      <c r="AG401" s="104"/>
    </row>
    <row r="402" spans="2:33" ht="12.75" x14ac:dyDescent="0.3">
      <c r="B402" s="27"/>
      <c r="C402" s="27"/>
      <c r="D402" s="27"/>
      <c r="E402" s="41">
        <v>5119130</v>
      </c>
      <c r="F402" s="36" t="s">
        <v>379</v>
      </c>
      <c r="G402" s="37">
        <v>0</v>
      </c>
      <c r="H402" s="37">
        <v>0</v>
      </c>
      <c r="I402" s="37">
        <v>0</v>
      </c>
      <c r="J402" s="37">
        <v>0</v>
      </c>
      <c r="K402" s="37">
        <v>0</v>
      </c>
      <c r="L402" s="37">
        <v>0</v>
      </c>
      <c r="M402" s="37">
        <v>0</v>
      </c>
      <c r="N402" s="37">
        <v>0</v>
      </c>
      <c r="O402" s="37">
        <v>0</v>
      </c>
      <c r="P402" s="39"/>
      <c r="Q402" s="39"/>
      <c r="R402" s="38"/>
      <c r="S402" s="40">
        <f t="shared" si="145"/>
        <v>0</v>
      </c>
      <c r="T402" s="37"/>
      <c r="U402" s="37"/>
      <c r="V402" s="37"/>
      <c r="W402" s="37"/>
      <c r="X402" s="37"/>
      <c r="Y402" s="38"/>
      <c r="Z402" s="38"/>
      <c r="AA402" s="39"/>
      <c r="AB402" s="37"/>
      <c r="AC402" s="39"/>
      <c r="AD402" s="39"/>
      <c r="AE402" s="38"/>
      <c r="AF402" s="40">
        <f t="shared" si="146"/>
        <v>0</v>
      </c>
      <c r="AG402" s="104"/>
    </row>
    <row r="403" spans="2:33" ht="12.75" x14ac:dyDescent="0.3">
      <c r="B403" s="27"/>
      <c r="C403" s="27"/>
      <c r="D403" s="27"/>
      <c r="E403" s="41">
        <v>5119140</v>
      </c>
      <c r="F403" s="36" t="s">
        <v>380</v>
      </c>
      <c r="G403" s="37">
        <v>0</v>
      </c>
      <c r="H403" s="37">
        <v>0</v>
      </c>
      <c r="I403" s="37">
        <v>0</v>
      </c>
      <c r="J403" s="37">
        <v>0</v>
      </c>
      <c r="K403" s="37">
        <v>0</v>
      </c>
      <c r="L403" s="37">
        <v>0</v>
      </c>
      <c r="M403" s="37">
        <v>0</v>
      </c>
      <c r="N403" s="37">
        <v>0</v>
      </c>
      <c r="O403" s="37">
        <v>0</v>
      </c>
      <c r="P403" s="39"/>
      <c r="Q403" s="39"/>
      <c r="R403" s="38"/>
      <c r="S403" s="40">
        <f t="shared" si="145"/>
        <v>0</v>
      </c>
      <c r="T403" s="37"/>
      <c r="U403" s="37"/>
      <c r="V403" s="37"/>
      <c r="W403" s="37"/>
      <c r="X403" s="37"/>
      <c r="Y403" s="38"/>
      <c r="Z403" s="38"/>
      <c r="AA403" s="39"/>
      <c r="AB403" s="37"/>
      <c r="AC403" s="39"/>
      <c r="AD403" s="39"/>
      <c r="AE403" s="38"/>
      <c r="AF403" s="40">
        <f t="shared" si="146"/>
        <v>0</v>
      </c>
      <c r="AG403" s="104"/>
    </row>
    <row r="404" spans="2:33" ht="12.75" x14ac:dyDescent="0.3">
      <c r="B404" s="27"/>
      <c r="C404" s="27"/>
      <c r="D404" s="29" t="s">
        <v>381</v>
      </c>
      <c r="E404" s="42"/>
      <c r="F404" s="31"/>
      <c r="G404" s="32">
        <v>0</v>
      </c>
      <c r="H404" s="32">
        <v>0</v>
      </c>
      <c r="I404" s="32">
        <v>0</v>
      </c>
      <c r="J404" s="32">
        <v>0</v>
      </c>
      <c r="K404" s="32">
        <v>0</v>
      </c>
      <c r="L404" s="32">
        <v>0</v>
      </c>
      <c r="M404" s="32">
        <v>0</v>
      </c>
      <c r="N404" s="32">
        <v>0</v>
      </c>
      <c r="O404" s="32">
        <v>0</v>
      </c>
      <c r="P404" s="32">
        <f t="shared" ref="P404:R404" si="157">P405</f>
        <v>600000</v>
      </c>
      <c r="Q404" s="32">
        <f t="shared" si="157"/>
        <v>600000</v>
      </c>
      <c r="R404" s="32">
        <f t="shared" si="157"/>
        <v>600000</v>
      </c>
      <c r="S404" s="26">
        <f t="shared" si="145"/>
        <v>1800000</v>
      </c>
      <c r="T404" s="32">
        <f t="shared" ref="T404:AE404" si="158">T405</f>
        <v>600000</v>
      </c>
      <c r="U404" s="32">
        <f t="shared" si="158"/>
        <v>600000</v>
      </c>
      <c r="V404" s="32">
        <f t="shared" si="158"/>
        <v>600000</v>
      </c>
      <c r="W404" s="32">
        <f t="shared" si="158"/>
        <v>600000</v>
      </c>
      <c r="X404" s="32">
        <f t="shared" si="158"/>
        <v>600000</v>
      </c>
      <c r="Y404" s="32">
        <f t="shared" si="158"/>
        <v>600000</v>
      </c>
      <c r="Z404" s="32">
        <f t="shared" si="158"/>
        <v>600000</v>
      </c>
      <c r="AA404" s="32">
        <f t="shared" si="158"/>
        <v>600000</v>
      </c>
      <c r="AB404" s="32">
        <f t="shared" si="158"/>
        <v>600000</v>
      </c>
      <c r="AC404" s="32">
        <f t="shared" si="158"/>
        <v>600000</v>
      </c>
      <c r="AD404" s="32">
        <f t="shared" si="158"/>
        <v>600000</v>
      </c>
      <c r="AE404" s="32">
        <f t="shared" si="158"/>
        <v>600000</v>
      </c>
      <c r="AF404" s="26">
        <f t="shared" si="146"/>
        <v>7200000</v>
      </c>
      <c r="AG404" s="103"/>
    </row>
    <row r="405" spans="2:33" ht="12.75" x14ac:dyDescent="0.3">
      <c r="B405" s="27"/>
      <c r="C405" s="27"/>
      <c r="D405" s="65"/>
      <c r="E405" s="47">
        <v>5120140</v>
      </c>
      <c r="F405" s="66" t="s">
        <v>382</v>
      </c>
      <c r="G405" s="37">
        <v>0</v>
      </c>
      <c r="H405" s="37">
        <v>0</v>
      </c>
      <c r="I405" s="37">
        <v>0</v>
      </c>
      <c r="J405" s="37">
        <v>0</v>
      </c>
      <c r="K405" s="37">
        <v>0</v>
      </c>
      <c r="L405" s="37">
        <v>0</v>
      </c>
      <c r="M405" s="37">
        <v>0</v>
      </c>
      <c r="N405" s="37">
        <v>0</v>
      </c>
      <c r="O405" s="37">
        <v>0</v>
      </c>
      <c r="P405" s="37">
        <v>600000</v>
      </c>
      <c r="Q405" s="37">
        <v>600000</v>
      </c>
      <c r="R405" s="37">
        <v>600000</v>
      </c>
      <c r="S405" s="40">
        <f t="shared" si="145"/>
        <v>1800000</v>
      </c>
      <c r="T405" s="37">
        <v>600000</v>
      </c>
      <c r="U405" s="37">
        <v>600000</v>
      </c>
      <c r="V405" s="37">
        <v>600000</v>
      </c>
      <c r="W405" s="37">
        <v>600000</v>
      </c>
      <c r="X405" s="37">
        <v>600000</v>
      </c>
      <c r="Y405" s="37">
        <v>600000</v>
      </c>
      <c r="Z405" s="37">
        <v>600000</v>
      </c>
      <c r="AA405" s="37">
        <v>600000</v>
      </c>
      <c r="AB405" s="37">
        <v>600000</v>
      </c>
      <c r="AC405" s="37">
        <v>600000</v>
      </c>
      <c r="AD405" s="37">
        <v>600000</v>
      </c>
      <c r="AE405" s="37">
        <v>600000</v>
      </c>
      <c r="AF405" s="40">
        <f t="shared" si="146"/>
        <v>7200000</v>
      </c>
      <c r="AG405" s="104" t="s">
        <v>746</v>
      </c>
    </row>
    <row r="406" spans="2:33" ht="12.75" x14ac:dyDescent="0.3">
      <c r="B406" s="27"/>
      <c r="C406" s="27"/>
      <c r="D406" s="29" t="s">
        <v>383</v>
      </c>
      <c r="E406" s="42"/>
      <c r="F406" s="31"/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f t="shared" ref="P406:R406" si="159">SUM(P407:P409)</f>
        <v>0</v>
      </c>
      <c r="Q406" s="33">
        <f t="shared" si="159"/>
        <v>0</v>
      </c>
      <c r="R406" s="34">
        <f t="shared" si="159"/>
        <v>0</v>
      </c>
      <c r="S406" s="26">
        <f t="shared" si="145"/>
        <v>0</v>
      </c>
      <c r="T406" s="33">
        <f t="shared" ref="T406:AE406" si="160">SUM(T407:T409)</f>
        <v>0</v>
      </c>
      <c r="U406" s="33">
        <f t="shared" si="160"/>
        <v>0</v>
      </c>
      <c r="V406" s="33">
        <f t="shared" si="160"/>
        <v>0</v>
      </c>
      <c r="W406" s="33">
        <f t="shared" si="160"/>
        <v>0</v>
      </c>
      <c r="X406" s="33">
        <f t="shared" si="160"/>
        <v>0</v>
      </c>
      <c r="Y406" s="33">
        <f t="shared" si="160"/>
        <v>0</v>
      </c>
      <c r="Z406" s="33">
        <f t="shared" si="160"/>
        <v>0</v>
      </c>
      <c r="AA406" s="33">
        <f t="shared" si="160"/>
        <v>0</v>
      </c>
      <c r="AB406" s="33">
        <f t="shared" si="160"/>
        <v>0</v>
      </c>
      <c r="AC406" s="33">
        <f t="shared" si="160"/>
        <v>0</v>
      </c>
      <c r="AD406" s="33">
        <f t="shared" si="160"/>
        <v>0</v>
      </c>
      <c r="AE406" s="34">
        <f t="shared" si="160"/>
        <v>0</v>
      </c>
      <c r="AF406" s="26">
        <f t="shared" si="146"/>
        <v>0</v>
      </c>
      <c r="AG406" s="103"/>
    </row>
    <row r="407" spans="2:33" ht="12.75" x14ac:dyDescent="0.3">
      <c r="B407" s="27"/>
      <c r="C407" s="27"/>
      <c r="D407" s="27"/>
      <c r="E407" s="41">
        <v>5121120</v>
      </c>
      <c r="F407" s="36" t="s">
        <v>384</v>
      </c>
      <c r="G407" s="37">
        <v>0</v>
      </c>
      <c r="H407" s="37">
        <v>0</v>
      </c>
      <c r="I407" s="37">
        <v>0</v>
      </c>
      <c r="J407" s="37">
        <v>0</v>
      </c>
      <c r="K407" s="37">
        <v>0</v>
      </c>
      <c r="L407" s="37">
        <v>0</v>
      </c>
      <c r="M407" s="37">
        <v>0</v>
      </c>
      <c r="N407" s="37">
        <v>0</v>
      </c>
      <c r="O407" s="37">
        <v>0</v>
      </c>
      <c r="P407" s="39">
        <v>0</v>
      </c>
      <c r="Q407" s="39">
        <v>0</v>
      </c>
      <c r="R407" s="38">
        <v>0</v>
      </c>
      <c r="S407" s="40">
        <f t="shared" si="145"/>
        <v>0</v>
      </c>
      <c r="T407" s="37">
        <v>0</v>
      </c>
      <c r="U407" s="37">
        <v>0</v>
      </c>
      <c r="V407" s="37">
        <v>0</v>
      </c>
      <c r="W407" s="37">
        <v>0</v>
      </c>
      <c r="X407" s="37">
        <v>0</v>
      </c>
      <c r="Y407" s="38">
        <v>0</v>
      </c>
      <c r="Z407" s="38">
        <v>0</v>
      </c>
      <c r="AA407" s="39">
        <v>0</v>
      </c>
      <c r="AB407" s="37">
        <v>0</v>
      </c>
      <c r="AC407" s="39"/>
      <c r="AD407" s="39"/>
      <c r="AE407" s="38"/>
      <c r="AF407" s="40">
        <f t="shared" si="146"/>
        <v>0</v>
      </c>
      <c r="AG407" s="104"/>
    </row>
    <row r="408" spans="2:33" ht="12.75" x14ac:dyDescent="0.3">
      <c r="B408" s="27"/>
      <c r="C408" s="27"/>
      <c r="D408" s="27"/>
      <c r="E408" s="41">
        <v>5121130</v>
      </c>
      <c r="F408" s="36" t="s">
        <v>385</v>
      </c>
      <c r="G408" s="37">
        <v>0</v>
      </c>
      <c r="H408" s="37">
        <v>0</v>
      </c>
      <c r="I408" s="37">
        <v>0</v>
      </c>
      <c r="J408" s="37">
        <v>0</v>
      </c>
      <c r="K408" s="37">
        <v>0</v>
      </c>
      <c r="L408" s="37">
        <v>0</v>
      </c>
      <c r="M408" s="37">
        <v>0</v>
      </c>
      <c r="N408" s="37">
        <v>0</v>
      </c>
      <c r="O408" s="37">
        <v>0</v>
      </c>
      <c r="P408" s="39">
        <v>0</v>
      </c>
      <c r="Q408" s="39">
        <v>0</v>
      </c>
      <c r="R408" s="38">
        <v>0</v>
      </c>
      <c r="S408" s="40">
        <f t="shared" si="145"/>
        <v>0</v>
      </c>
      <c r="T408" s="37">
        <v>0</v>
      </c>
      <c r="U408" s="37">
        <v>0</v>
      </c>
      <c r="V408" s="37">
        <v>0</v>
      </c>
      <c r="W408" s="37">
        <v>0</v>
      </c>
      <c r="X408" s="37">
        <v>0</v>
      </c>
      <c r="Y408" s="38">
        <v>0</v>
      </c>
      <c r="Z408" s="38">
        <v>0</v>
      </c>
      <c r="AA408" s="39">
        <v>0</v>
      </c>
      <c r="AB408" s="37">
        <v>0</v>
      </c>
      <c r="AC408" s="39"/>
      <c r="AD408" s="39"/>
      <c r="AE408" s="38"/>
      <c r="AF408" s="40">
        <f t="shared" si="146"/>
        <v>0</v>
      </c>
      <c r="AG408" s="104"/>
    </row>
    <row r="409" spans="2:33" ht="12.75" x14ac:dyDescent="0.3">
      <c r="B409" s="27"/>
      <c r="C409" s="27"/>
      <c r="D409" s="27"/>
      <c r="E409" s="41">
        <v>5121190</v>
      </c>
      <c r="F409" s="36" t="s">
        <v>386</v>
      </c>
      <c r="G409" s="37">
        <v>0</v>
      </c>
      <c r="H409" s="37">
        <v>0</v>
      </c>
      <c r="I409" s="37">
        <v>0</v>
      </c>
      <c r="J409" s="37">
        <v>0</v>
      </c>
      <c r="K409" s="37">
        <v>0</v>
      </c>
      <c r="L409" s="37">
        <v>0</v>
      </c>
      <c r="M409" s="37">
        <v>0</v>
      </c>
      <c r="N409" s="37">
        <v>0</v>
      </c>
      <c r="O409" s="37">
        <v>0</v>
      </c>
      <c r="P409" s="39">
        <v>0</v>
      </c>
      <c r="Q409" s="39">
        <v>0</v>
      </c>
      <c r="R409" s="38">
        <v>0</v>
      </c>
      <c r="S409" s="40">
        <f t="shared" si="145"/>
        <v>0</v>
      </c>
      <c r="T409" s="37">
        <v>0</v>
      </c>
      <c r="U409" s="37">
        <v>0</v>
      </c>
      <c r="V409" s="37">
        <v>0</v>
      </c>
      <c r="W409" s="37">
        <v>0</v>
      </c>
      <c r="X409" s="37">
        <v>0</v>
      </c>
      <c r="Y409" s="38">
        <v>0</v>
      </c>
      <c r="Z409" s="38">
        <v>0</v>
      </c>
      <c r="AA409" s="39">
        <v>0</v>
      </c>
      <c r="AB409" s="37">
        <v>0</v>
      </c>
      <c r="AC409" s="39"/>
      <c r="AD409" s="39"/>
      <c r="AE409" s="38"/>
      <c r="AF409" s="40">
        <f t="shared" si="146"/>
        <v>0</v>
      </c>
      <c r="AG409" s="104"/>
    </row>
    <row r="410" spans="2:33" ht="12.75" x14ac:dyDescent="0.3">
      <c r="B410" s="27"/>
      <c r="C410" s="27"/>
      <c r="D410" s="29" t="s">
        <v>387</v>
      </c>
      <c r="E410" s="42"/>
      <c r="F410" s="31"/>
      <c r="G410" s="32">
        <v>2588324</v>
      </c>
      <c r="H410" s="32">
        <v>1803596</v>
      </c>
      <c r="I410" s="32">
        <v>2001810</v>
      </c>
      <c r="J410" s="32">
        <v>3291818</v>
      </c>
      <c r="K410" s="32">
        <v>2384020</v>
      </c>
      <c r="L410" s="32">
        <v>3265790</v>
      </c>
      <c r="M410" s="32">
        <v>2984867</v>
      </c>
      <c r="N410" s="32">
        <v>1215306</v>
      </c>
      <c r="O410" s="32">
        <v>1346041</v>
      </c>
      <c r="P410" s="32">
        <f t="shared" ref="P410:R410" si="161">SUM(P411:P422)</f>
        <v>3946200</v>
      </c>
      <c r="Q410" s="32">
        <f t="shared" si="161"/>
        <v>3796200</v>
      </c>
      <c r="R410" s="67">
        <f t="shared" si="161"/>
        <v>3796200</v>
      </c>
      <c r="S410" s="26">
        <f t="shared" si="145"/>
        <v>32420172</v>
      </c>
      <c r="T410" s="32">
        <f t="shared" ref="T410:AE410" si="162">SUM(T411:T422)</f>
        <v>3796200</v>
      </c>
      <c r="U410" s="32">
        <f t="shared" si="162"/>
        <v>3796200</v>
      </c>
      <c r="V410" s="32">
        <f t="shared" si="162"/>
        <v>3946200</v>
      </c>
      <c r="W410" s="32">
        <f t="shared" si="162"/>
        <v>3796200</v>
      </c>
      <c r="X410" s="32">
        <f t="shared" si="162"/>
        <v>3796200</v>
      </c>
      <c r="Y410" s="32">
        <f t="shared" si="162"/>
        <v>3796200</v>
      </c>
      <c r="Z410" s="32">
        <f t="shared" si="162"/>
        <v>3796200</v>
      </c>
      <c r="AA410" s="32">
        <f t="shared" si="162"/>
        <v>3796200</v>
      </c>
      <c r="AB410" s="32">
        <f t="shared" si="162"/>
        <v>3796200</v>
      </c>
      <c r="AC410" s="32">
        <f t="shared" si="162"/>
        <v>3946200</v>
      </c>
      <c r="AD410" s="32">
        <f t="shared" si="162"/>
        <v>3796200</v>
      </c>
      <c r="AE410" s="67">
        <f t="shared" si="162"/>
        <v>3796200</v>
      </c>
      <c r="AF410" s="26">
        <f t="shared" si="146"/>
        <v>45854400</v>
      </c>
      <c r="AG410" s="103"/>
    </row>
    <row r="411" spans="2:33" ht="12.75" x14ac:dyDescent="0.3">
      <c r="B411" s="27"/>
      <c r="C411" s="27"/>
      <c r="D411" s="27"/>
      <c r="E411" s="41">
        <v>5123100</v>
      </c>
      <c r="F411" s="36" t="s">
        <v>388</v>
      </c>
      <c r="G411" s="37">
        <v>1057740</v>
      </c>
      <c r="H411" s="37">
        <v>529800</v>
      </c>
      <c r="I411" s="37">
        <v>1179000</v>
      </c>
      <c r="J411" s="37">
        <v>1652200</v>
      </c>
      <c r="K411" s="37">
        <v>1034600</v>
      </c>
      <c r="L411" s="37">
        <v>1082000</v>
      </c>
      <c r="M411" s="37">
        <v>1272900</v>
      </c>
      <c r="N411" s="37">
        <v>1005800</v>
      </c>
      <c r="O411" s="37">
        <v>846600</v>
      </c>
      <c r="P411" s="39">
        <f t="shared" ref="P411:R411" si="163">6*150000</f>
        <v>900000</v>
      </c>
      <c r="Q411" s="39">
        <f t="shared" si="163"/>
        <v>900000</v>
      </c>
      <c r="R411" s="38">
        <f t="shared" si="163"/>
        <v>900000</v>
      </c>
      <c r="S411" s="40">
        <f t="shared" si="145"/>
        <v>12360640</v>
      </c>
      <c r="T411" s="37">
        <f>6*150000</f>
        <v>900000</v>
      </c>
      <c r="U411" s="37">
        <f t="shared" ref="U411:AE411" si="164">6*150000</f>
        <v>900000</v>
      </c>
      <c r="V411" s="37">
        <f t="shared" si="164"/>
        <v>900000</v>
      </c>
      <c r="W411" s="37">
        <f t="shared" si="164"/>
        <v>900000</v>
      </c>
      <c r="X411" s="37">
        <f t="shared" si="164"/>
        <v>900000</v>
      </c>
      <c r="Y411" s="37">
        <f t="shared" si="164"/>
        <v>900000</v>
      </c>
      <c r="Z411" s="37">
        <f t="shared" si="164"/>
        <v>900000</v>
      </c>
      <c r="AA411" s="37">
        <f t="shared" si="164"/>
        <v>900000</v>
      </c>
      <c r="AB411" s="37">
        <f t="shared" si="164"/>
        <v>900000</v>
      </c>
      <c r="AC411" s="37">
        <f t="shared" si="164"/>
        <v>900000</v>
      </c>
      <c r="AD411" s="37">
        <f t="shared" si="164"/>
        <v>900000</v>
      </c>
      <c r="AE411" s="37">
        <f t="shared" si="164"/>
        <v>900000</v>
      </c>
      <c r="AF411" s="40">
        <f t="shared" si="146"/>
        <v>10800000</v>
      </c>
      <c r="AG411" s="104" t="s">
        <v>768</v>
      </c>
    </row>
    <row r="412" spans="2:33" ht="12.75" x14ac:dyDescent="0.3">
      <c r="B412" s="27"/>
      <c r="C412" s="27"/>
      <c r="D412" s="27"/>
      <c r="E412" s="41">
        <v>5123101</v>
      </c>
      <c r="F412" s="36" t="s">
        <v>389</v>
      </c>
      <c r="G412" s="37">
        <v>0</v>
      </c>
      <c r="H412" s="37">
        <v>9696</v>
      </c>
      <c r="I412" s="37">
        <v>17280</v>
      </c>
      <c r="J412" s="37">
        <v>14160</v>
      </c>
      <c r="K412" s="37">
        <v>14160</v>
      </c>
      <c r="L412" s="37">
        <v>0</v>
      </c>
      <c r="M412" s="37">
        <v>0</v>
      </c>
      <c r="N412" s="37">
        <v>0</v>
      </c>
      <c r="O412" s="37">
        <v>126750</v>
      </c>
      <c r="P412" s="39">
        <v>150000</v>
      </c>
      <c r="Q412" s="39">
        <v>150000</v>
      </c>
      <c r="R412" s="38">
        <v>150000</v>
      </c>
      <c r="S412" s="40">
        <f t="shared" si="145"/>
        <v>632046</v>
      </c>
      <c r="T412" s="37">
        <v>150000</v>
      </c>
      <c r="U412" s="37">
        <v>150000</v>
      </c>
      <c r="V412" s="37">
        <v>150000</v>
      </c>
      <c r="W412" s="37">
        <v>150000</v>
      </c>
      <c r="X412" s="37">
        <v>150000</v>
      </c>
      <c r="Y412" s="37">
        <v>150000</v>
      </c>
      <c r="Z412" s="37">
        <v>150000</v>
      </c>
      <c r="AA412" s="37">
        <v>150000</v>
      </c>
      <c r="AB412" s="37">
        <v>150000</v>
      </c>
      <c r="AC412" s="37">
        <v>150000</v>
      </c>
      <c r="AD412" s="37">
        <v>150000</v>
      </c>
      <c r="AE412" s="37">
        <v>150000</v>
      </c>
      <c r="AF412" s="40">
        <f t="shared" si="146"/>
        <v>1800000</v>
      </c>
      <c r="AG412" s="104" t="s">
        <v>747</v>
      </c>
    </row>
    <row r="413" spans="2:33" ht="12.75" x14ac:dyDescent="0.3">
      <c r="B413" s="27"/>
      <c r="C413" s="27"/>
      <c r="D413" s="27"/>
      <c r="E413" s="41">
        <v>5123110</v>
      </c>
      <c r="F413" s="36" t="s">
        <v>390</v>
      </c>
      <c r="G413" s="37">
        <v>0</v>
      </c>
      <c r="H413" s="37">
        <v>0</v>
      </c>
      <c r="I413" s="37">
        <v>0</v>
      </c>
      <c r="J413" s="37">
        <v>0</v>
      </c>
      <c r="K413" s="37">
        <v>0</v>
      </c>
      <c r="L413" s="37">
        <v>0</v>
      </c>
      <c r="M413" s="37">
        <v>0</v>
      </c>
      <c r="N413" s="37">
        <v>0</v>
      </c>
      <c r="O413" s="37">
        <v>0</v>
      </c>
      <c r="P413" s="39"/>
      <c r="Q413" s="39"/>
      <c r="R413" s="38"/>
      <c r="S413" s="40">
        <f t="shared" si="145"/>
        <v>0</v>
      </c>
      <c r="T413" s="37"/>
      <c r="U413" s="37"/>
      <c r="V413" s="37"/>
      <c r="W413" s="37"/>
      <c r="X413" s="37"/>
      <c r="Y413" s="38"/>
      <c r="Z413" s="38"/>
      <c r="AA413" s="39"/>
      <c r="AB413" s="37"/>
      <c r="AC413" s="39"/>
      <c r="AD413" s="39"/>
      <c r="AE413" s="38"/>
      <c r="AF413" s="40">
        <f t="shared" si="146"/>
        <v>0</v>
      </c>
      <c r="AG413" s="104"/>
    </row>
    <row r="414" spans="2:33" ht="12.75" x14ac:dyDescent="0.3">
      <c r="B414" s="27"/>
      <c r="C414" s="27"/>
      <c r="D414" s="27"/>
      <c r="E414" s="41">
        <v>5123120</v>
      </c>
      <c r="F414" s="36" t="s">
        <v>391</v>
      </c>
      <c r="G414" s="37">
        <v>866880</v>
      </c>
      <c r="H414" s="37">
        <v>745500</v>
      </c>
      <c r="I414" s="37">
        <v>421490</v>
      </c>
      <c r="J414" s="37">
        <v>647800</v>
      </c>
      <c r="K414" s="37">
        <v>637500</v>
      </c>
      <c r="L414" s="37">
        <v>1406290</v>
      </c>
      <c r="M414" s="37">
        <v>1069420</v>
      </c>
      <c r="N414" s="37">
        <v>15900</v>
      </c>
      <c r="O414" s="37">
        <v>168600</v>
      </c>
      <c r="P414" s="39">
        <f t="shared" ref="P414:R414" si="165">18900000/12</f>
        <v>1575000</v>
      </c>
      <c r="Q414" s="39">
        <f t="shared" si="165"/>
        <v>1575000</v>
      </c>
      <c r="R414" s="38">
        <f t="shared" si="165"/>
        <v>1575000</v>
      </c>
      <c r="S414" s="40">
        <f t="shared" si="145"/>
        <v>10704380</v>
      </c>
      <c r="T414" s="37">
        <f>18900000/12</f>
        <v>1575000</v>
      </c>
      <c r="U414" s="37">
        <f t="shared" ref="U414:AE414" si="166">18900000/12</f>
        <v>1575000</v>
      </c>
      <c r="V414" s="37">
        <f t="shared" si="166"/>
        <v>1575000</v>
      </c>
      <c r="W414" s="37">
        <f t="shared" si="166"/>
        <v>1575000</v>
      </c>
      <c r="X414" s="37">
        <f t="shared" si="166"/>
        <v>1575000</v>
      </c>
      <c r="Y414" s="37">
        <f t="shared" si="166"/>
        <v>1575000</v>
      </c>
      <c r="Z414" s="37">
        <f t="shared" si="166"/>
        <v>1575000</v>
      </c>
      <c r="AA414" s="37">
        <f t="shared" si="166"/>
        <v>1575000</v>
      </c>
      <c r="AB414" s="37">
        <f t="shared" si="166"/>
        <v>1575000</v>
      </c>
      <c r="AC414" s="37">
        <f t="shared" si="166"/>
        <v>1575000</v>
      </c>
      <c r="AD414" s="37">
        <f t="shared" si="166"/>
        <v>1575000</v>
      </c>
      <c r="AE414" s="37">
        <f t="shared" si="166"/>
        <v>1575000</v>
      </c>
      <c r="AF414" s="40">
        <f t="shared" si="146"/>
        <v>18900000</v>
      </c>
      <c r="AG414" s="104" t="s">
        <v>622</v>
      </c>
    </row>
    <row r="415" spans="2:33" ht="12.75" x14ac:dyDescent="0.3">
      <c r="B415" s="27"/>
      <c r="C415" s="27"/>
      <c r="D415" s="27"/>
      <c r="E415" s="41">
        <v>5123130</v>
      </c>
      <c r="F415" s="36" t="s">
        <v>392</v>
      </c>
      <c r="G415" s="37">
        <v>260000</v>
      </c>
      <c r="H415" s="37">
        <v>280000</v>
      </c>
      <c r="I415" s="37">
        <v>80000</v>
      </c>
      <c r="J415" s="37">
        <v>509300</v>
      </c>
      <c r="K415" s="37">
        <v>375000</v>
      </c>
      <c r="L415" s="37">
        <v>413200</v>
      </c>
      <c r="M415" s="37">
        <v>358184</v>
      </c>
      <c r="N415" s="37">
        <v>0</v>
      </c>
      <c r="O415" s="37">
        <v>0</v>
      </c>
      <c r="P415" s="39">
        <f t="shared" ref="P415:R415" si="167">7700000/12</f>
        <v>641666.66666666663</v>
      </c>
      <c r="Q415" s="39">
        <f t="shared" si="167"/>
        <v>641666.66666666663</v>
      </c>
      <c r="R415" s="38">
        <f t="shared" si="167"/>
        <v>641666.66666666663</v>
      </c>
      <c r="S415" s="40">
        <f t="shared" si="145"/>
        <v>4200684</v>
      </c>
      <c r="T415" s="37">
        <f>7700000/12</f>
        <v>641666.66666666663</v>
      </c>
      <c r="U415" s="37">
        <f t="shared" ref="U415:AE415" si="168">7700000/12</f>
        <v>641666.66666666663</v>
      </c>
      <c r="V415" s="37">
        <f t="shared" si="168"/>
        <v>641666.66666666663</v>
      </c>
      <c r="W415" s="37">
        <f t="shared" si="168"/>
        <v>641666.66666666663</v>
      </c>
      <c r="X415" s="37">
        <f t="shared" si="168"/>
        <v>641666.66666666663</v>
      </c>
      <c r="Y415" s="37">
        <f t="shared" si="168"/>
        <v>641666.66666666663</v>
      </c>
      <c r="Z415" s="37">
        <f t="shared" si="168"/>
        <v>641666.66666666663</v>
      </c>
      <c r="AA415" s="37">
        <f t="shared" si="168"/>
        <v>641666.66666666663</v>
      </c>
      <c r="AB415" s="37">
        <f t="shared" si="168"/>
        <v>641666.66666666663</v>
      </c>
      <c r="AC415" s="37">
        <f t="shared" si="168"/>
        <v>641666.66666666663</v>
      </c>
      <c r="AD415" s="37">
        <f t="shared" si="168"/>
        <v>641666.66666666663</v>
      </c>
      <c r="AE415" s="37">
        <f t="shared" si="168"/>
        <v>641666.66666666663</v>
      </c>
      <c r="AF415" s="40">
        <f t="shared" si="146"/>
        <v>7700000.0000000009</v>
      </c>
      <c r="AG415" s="104" t="s">
        <v>622</v>
      </c>
    </row>
    <row r="416" spans="2:33" ht="12.75" x14ac:dyDescent="0.3">
      <c r="B416" s="27"/>
      <c r="C416" s="27"/>
      <c r="D416" s="27"/>
      <c r="E416" s="41">
        <v>5123140</v>
      </c>
      <c r="F416" s="36" t="s">
        <v>393</v>
      </c>
      <c r="G416" s="37">
        <v>295200</v>
      </c>
      <c r="H416" s="37">
        <v>238600</v>
      </c>
      <c r="I416" s="37">
        <v>106400</v>
      </c>
      <c r="J416" s="37">
        <v>386300</v>
      </c>
      <c r="K416" s="37">
        <v>269000</v>
      </c>
      <c r="L416" s="37">
        <v>364300</v>
      </c>
      <c r="M416" s="37">
        <v>284363</v>
      </c>
      <c r="N416" s="37">
        <v>34911</v>
      </c>
      <c r="O416" s="37">
        <v>106094</v>
      </c>
      <c r="P416" s="39">
        <f t="shared" ref="P416:R416" si="169">4300000/12</f>
        <v>358333.33333333331</v>
      </c>
      <c r="Q416" s="39">
        <f t="shared" si="169"/>
        <v>358333.33333333331</v>
      </c>
      <c r="R416" s="38">
        <f t="shared" si="169"/>
        <v>358333.33333333331</v>
      </c>
      <c r="S416" s="40">
        <f t="shared" si="145"/>
        <v>3160168.0000000005</v>
      </c>
      <c r="T416" s="37">
        <f>4300000/12</f>
        <v>358333.33333333331</v>
      </c>
      <c r="U416" s="37">
        <f t="shared" ref="U416:AE416" si="170">4300000/12</f>
        <v>358333.33333333331</v>
      </c>
      <c r="V416" s="37">
        <f t="shared" si="170"/>
        <v>358333.33333333331</v>
      </c>
      <c r="W416" s="37">
        <f t="shared" si="170"/>
        <v>358333.33333333331</v>
      </c>
      <c r="X416" s="37">
        <f t="shared" si="170"/>
        <v>358333.33333333331</v>
      </c>
      <c r="Y416" s="37">
        <f t="shared" si="170"/>
        <v>358333.33333333331</v>
      </c>
      <c r="Z416" s="37">
        <f t="shared" si="170"/>
        <v>358333.33333333331</v>
      </c>
      <c r="AA416" s="37">
        <f t="shared" si="170"/>
        <v>358333.33333333331</v>
      </c>
      <c r="AB416" s="37">
        <f t="shared" si="170"/>
        <v>358333.33333333331</v>
      </c>
      <c r="AC416" s="37">
        <f t="shared" si="170"/>
        <v>358333.33333333331</v>
      </c>
      <c r="AD416" s="37">
        <f t="shared" si="170"/>
        <v>358333.33333333331</v>
      </c>
      <c r="AE416" s="37">
        <f t="shared" si="170"/>
        <v>358333.33333333331</v>
      </c>
      <c r="AF416" s="40">
        <f t="shared" si="146"/>
        <v>4300000.0000000009</v>
      </c>
      <c r="AG416" s="104" t="s">
        <v>622</v>
      </c>
    </row>
    <row r="417" spans="2:33" ht="12.75" x14ac:dyDescent="0.3">
      <c r="B417" s="27"/>
      <c r="C417" s="27"/>
      <c r="D417" s="27"/>
      <c r="E417" s="41">
        <v>5123150</v>
      </c>
      <c r="F417" s="36" t="s">
        <v>394</v>
      </c>
      <c r="G417" s="37">
        <v>0</v>
      </c>
      <c r="H417" s="37">
        <v>0</v>
      </c>
      <c r="I417" s="37">
        <v>0</v>
      </c>
      <c r="J417" s="37">
        <v>0</v>
      </c>
      <c r="K417" s="37">
        <v>0</v>
      </c>
      <c r="L417" s="37">
        <v>0</v>
      </c>
      <c r="M417" s="37">
        <v>0</v>
      </c>
      <c r="N417" s="37">
        <v>0</v>
      </c>
      <c r="O417" s="37">
        <v>0</v>
      </c>
      <c r="P417" s="39">
        <v>150000</v>
      </c>
      <c r="Q417" s="39"/>
      <c r="R417" s="38"/>
      <c r="S417" s="40">
        <f t="shared" si="145"/>
        <v>150000</v>
      </c>
      <c r="T417" s="37"/>
      <c r="U417" s="37"/>
      <c r="V417" s="37">
        <f>15*10000</f>
        <v>150000</v>
      </c>
      <c r="W417" s="37"/>
      <c r="X417" s="37"/>
      <c r="Y417" s="37"/>
      <c r="Z417" s="37"/>
      <c r="AA417" s="37"/>
      <c r="AB417" s="37"/>
      <c r="AC417" s="37">
        <f>15*10000</f>
        <v>150000</v>
      </c>
      <c r="AD417" s="37"/>
      <c r="AE417" s="37"/>
      <c r="AF417" s="40">
        <f t="shared" si="146"/>
        <v>300000</v>
      </c>
      <c r="AG417" s="104" t="s">
        <v>739</v>
      </c>
    </row>
    <row r="418" spans="2:33" ht="12.75" x14ac:dyDescent="0.3">
      <c r="B418" s="27"/>
      <c r="C418" s="27"/>
      <c r="D418" s="27"/>
      <c r="E418" s="41">
        <v>5123160</v>
      </c>
      <c r="F418" s="36" t="s">
        <v>395</v>
      </c>
      <c r="G418" s="37">
        <v>0</v>
      </c>
      <c r="H418" s="37">
        <v>0</v>
      </c>
      <c r="I418" s="37">
        <v>0</v>
      </c>
      <c r="J418" s="37">
        <v>0</v>
      </c>
      <c r="K418" s="37">
        <v>0</v>
      </c>
      <c r="L418" s="37">
        <v>0</v>
      </c>
      <c r="M418" s="37">
        <v>0</v>
      </c>
      <c r="N418" s="37">
        <v>0</v>
      </c>
      <c r="O418" s="37">
        <v>0</v>
      </c>
      <c r="P418" s="39"/>
      <c r="Q418" s="39"/>
      <c r="R418" s="38"/>
      <c r="S418" s="40">
        <f t="shared" si="145"/>
        <v>0</v>
      </c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40">
        <f t="shared" si="146"/>
        <v>0</v>
      </c>
      <c r="AG418" s="104"/>
    </row>
    <row r="419" spans="2:33" ht="12.75" x14ac:dyDescent="0.3">
      <c r="B419" s="27"/>
      <c r="C419" s="27"/>
      <c r="D419" s="27"/>
      <c r="E419" s="41">
        <v>5123170</v>
      </c>
      <c r="F419" s="36" t="s">
        <v>396</v>
      </c>
      <c r="G419" s="37">
        <v>0</v>
      </c>
      <c r="H419" s="37">
        <v>0</v>
      </c>
      <c r="I419" s="37">
        <v>0</v>
      </c>
      <c r="J419" s="37">
        <v>0</v>
      </c>
      <c r="K419" s="37">
        <v>0</v>
      </c>
      <c r="L419" s="37">
        <v>0</v>
      </c>
      <c r="M419" s="37">
        <v>0</v>
      </c>
      <c r="N419" s="37">
        <v>0</v>
      </c>
      <c r="O419" s="37">
        <v>0</v>
      </c>
      <c r="P419" s="39"/>
      <c r="Q419" s="39"/>
      <c r="R419" s="38"/>
      <c r="S419" s="40">
        <f t="shared" si="145"/>
        <v>0</v>
      </c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40">
        <f t="shared" si="146"/>
        <v>0</v>
      </c>
      <c r="AG419" s="104"/>
    </row>
    <row r="420" spans="2:33" ht="12.75" x14ac:dyDescent="0.3">
      <c r="B420" s="27"/>
      <c r="C420" s="27"/>
      <c r="D420" s="27"/>
      <c r="E420" s="41">
        <v>5123180</v>
      </c>
      <c r="F420" s="36" t="s">
        <v>397</v>
      </c>
      <c r="G420" s="37">
        <v>0</v>
      </c>
      <c r="H420" s="37">
        <v>0</v>
      </c>
      <c r="I420" s="37">
        <v>0</v>
      </c>
      <c r="J420" s="37">
        <v>0</v>
      </c>
      <c r="K420" s="37">
        <v>0</v>
      </c>
      <c r="L420" s="37">
        <v>0</v>
      </c>
      <c r="M420" s="37">
        <v>0</v>
      </c>
      <c r="N420" s="37">
        <v>0</v>
      </c>
      <c r="O420" s="37">
        <v>0</v>
      </c>
      <c r="P420" s="39"/>
      <c r="Q420" s="39"/>
      <c r="R420" s="38"/>
      <c r="S420" s="40">
        <f t="shared" si="145"/>
        <v>0</v>
      </c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40">
        <f t="shared" si="146"/>
        <v>0</v>
      </c>
      <c r="AG420" s="104"/>
    </row>
    <row r="421" spans="2:33" ht="12.75" x14ac:dyDescent="0.3">
      <c r="B421" s="27"/>
      <c r="C421" s="27"/>
      <c r="D421" s="27"/>
      <c r="E421" s="41">
        <v>5123190</v>
      </c>
      <c r="F421" s="36" t="s">
        <v>398</v>
      </c>
      <c r="G421" s="37">
        <v>0</v>
      </c>
      <c r="H421" s="37">
        <v>0</v>
      </c>
      <c r="I421" s="37">
        <v>0</v>
      </c>
      <c r="J421" s="37">
        <v>0</v>
      </c>
      <c r="K421" s="37">
        <v>0</v>
      </c>
      <c r="L421" s="37">
        <v>0</v>
      </c>
      <c r="M421" s="37">
        <v>0</v>
      </c>
      <c r="N421" s="37">
        <v>0</v>
      </c>
      <c r="O421" s="37">
        <v>0</v>
      </c>
      <c r="P421" s="39"/>
      <c r="Q421" s="39"/>
      <c r="R421" s="38"/>
      <c r="S421" s="40">
        <f t="shared" si="145"/>
        <v>0</v>
      </c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40">
        <f t="shared" si="146"/>
        <v>0</v>
      </c>
      <c r="AG421" s="104"/>
    </row>
    <row r="422" spans="2:33" ht="12.75" x14ac:dyDescent="0.3">
      <c r="B422" s="27"/>
      <c r="C422" s="27"/>
      <c r="D422" s="27"/>
      <c r="E422" s="41">
        <v>5123200</v>
      </c>
      <c r="F422" s="36" t="s">
        <v>399</v>
      </c>
      <c r="G422" s="37">
        <v>108504</v>
      </c>
      <c r="H422" s="37">
        <v>0</v>
      </c>
      <c r="I422" s="37">
        <v>197640</v>
      </c>
      <c r="J422" s="37">
        <v>82058</v>
      </c>
      <c r="K422" s="37">
        <v>53760</v>
      </c>
      <c r="L422" s="37">
        <v>0</v>
      </c>
      <c r="M422" s="37">
        <v>0</v>
      </c>
      <c r="N422" s="37">
        <v>158695</v>
      </c>
      <c r="O422" s="37">
        <v>97997</v>
      </c>
      <c r="P422" s="39">
        <f t="shared" ref="P422:R422" si="171">2054400/12</f>
        <v>171200</v>
      </c>
      <c r="Q422" s="39">
        <f t="shared" si="171"/>
        <v>171200</v>
      </c>
      <c r="R422" s="38">
        <f t="shared" si="171"/>
        <v>171200</v>
      </c>
      <c r="S422" s="40">
        <f t="shared" si="145"/>
        <v>1212254</v>
      </c>
      <c r="T422" s="37">
        <f>2054400/12</f>
        <v>171200</v>
      </c>
      <c r="U422" s="37">
        <f t="shared" ref="U422:AE422" si="172">2054400/12</f>
        <v>171200</v>
      </c>
      <c r="V422" s="37">
        <f t="shared" si="172"/>
        <v>171200</v>
      </c>
      <c r="W422" s="37">
        <f t="shared" si="172"/>
        <v>171200</v>
      </c>
      <c r="X422" s="37">
        <f t="shared" si="172"/>
        <v>171200</v>
      </c>
      <c r="Y422" s="37">
        <f t="shared" si="172"/>
        <v>171200</v>
      </c>
      <c r="Z422" s="37">
        <f t="shared" si="172"/>
        <v>171200</v>
      </c>
      <c r="AA422" s="37">
        <f t="shared" si="172"/>
        <v>171200</v>
      </c>
      <c r="AB422" s="37">
        <f t="shared" si="172"/>
        <v>171200</v>
      </c>
      <c r="AC422" s="37">
        <f t="shared" si="172"/>
        <v>171200</v>
      </c>
      <c r="AD422" s="37">
        <f t="shared" si="172"/>
        <v>171200</v>
      </c>
      <c r="AE422" s="37">
        <f t="shared" si="172"/>
        <v>171200</v>
      </c>
      <c r="AF422" s="40">
        <f t="shared" si="146"/>
        <v>2054400</v>
      </c>
      <c r="AG422" s="104" t="s">
        <v>622</v>
      </c>
    </row>
    <row r="423" spans="2:33" ht="12.75" x14ac:dyDescent="0.3">
      <c r="B423" s="27"/>
      <c r="C423" s="27"/>
      <c r="D423" s="29" t="s">
        <v>400</v>
      </c>
      <c r="E423" s="42"/>
      <c r="F423" s="31"/>
      <c r="G423" s="33">
        <v>360000</v>
      </c>
      <c r="H423" s="33">
        <v>360000</v>
      </c>
      <c r="I423" s="33">
        <v>360000</v>
      </c>
      <c r="J423" s="33">
        <v>308000</v>
      </c>
      <c r="K423" s="33">
        <v>240000</v>
      </c>
      <c r="L423" s="33">
        <v>240000</v>
      </c>
      <c r="M423" s="33">
        <v>240000</v>
      </c>
      <c r="N423" s="33">
        <v>286452</v>
      </c>
      <c r="O423" s="33">
        <v>360000</v>
      </c>
      <c r="P423" s="33">
        <f t="shared" ref="P423:R423" si="173">SUM(P424:P427)</f>
        <v>70000</v>
      </c>
      <c r="Q423" s="33">
        <f t="shared" si="173"/>
        <v>70000</v>
      </c>
      <c r="R423" s="34">
        <f t="shared" si="173"/>
        <v>70000</v>
      </c>
      <c r="S423" s="26">
        <f t="shared" si="145"/>
        <v>2964452</v>
      </c>
      <c r="T423" s="33">
        <f t="shared" ref="T423:AE423" si="174">SUM(T424:T427)</f>
        <v>70000</v>
      </c>
      <c r="U423" s="33">
        <f t="shared" si="174"/>
        <v>70000</v>
      </c>
      <c r="V423" s="33">
        <f t="shared" si="174"/>
        <v>70000</v>
      </c>
      <c r="W423" s="33">
        <f t="shared" si="174"/>
        <v>70000</v>
      </c>
      <c r="X423" s="33">
        <f t="shared" si="174"/>
        <v>70000</v>
      </c>
      <c r="Y423" s="33">
        <f t="shared" si="174"/>
        <v>70000</v>
      </c>
      <c r="Z423" s="33">
        <f t="shared" si="174"/>
        <v>70000</v>
      </c>
      <c r="AA423" s="33">
        <f t="shared" si="174"/>
        <v>70000</v>
      </c>
      <c r="AB423" s="33">
        <f t="shared" si="174"/>
        <v>70000</v>
      </c>
      <c r="AC423" s="33">
        <f t="shared" si="174"/>
        <v>70000</v>
      </c>
      <c r="AD423" s="33">
        <f t="shared" si="174"/>
        <v>70000</v>
      </c>
      <c r="AE423" s="34">
        <f t="shared" si="174"/>
        <v>70000</v>
      </c>
      <c r="AF423" s="26">
        <f t="shared" si="146"/>
        <v>840000</v>
      </c>
      <c r="AG423" s="103"/>
    </row>
    <row r="424" spans="2:33" ht="12.75" x14ac:dyDescent="0.3">
      <c r="B424" s="27"/>
      <c r="C424" s="27"/>
      <c r="D424" s="27"/>
      <c r="E424" s="41">
        <v>5124100</v>
      </c>
      <c r="F424" s="36" t="s">
        <v>401</v>
      </c>
      <c r="G424" s="37">
        <v>0</v>
      </c>
      <c r="H424" s="37">
        <v>0</v>
      </c>
      <c r="I424" s="37">
        <v>0</v>
      </c>
      <c r="J424" s="37">
        <v>0</v>
      </c>
      <c r="K424" s="37">
        <v>0</v>
      </c>
      <c r="L424" s="37">
        <v>0</v>
      </c>
      <c r="M424" s="37">
        <v>0</v>
      </c>
      <c r="N424" s="37">
        <v>0</v>
      </c>
      <c r="O424" s="37">
        <v>0</v>
      </c>
      <c r="P424" s="39">
        <v>10000</v>
      </c>
      <c r="Q424" s="39">
        <v>10000</v>
      </c>
      <c r="R424" s="38">
        <v>10000</v>
      </c>
      <c r="S424" s="40">
        <f t="shared" si="145"/>
        <v>30000</v>
      </c>
      <c r="T424" s="37">
        <v>10000</v>
      </c>
      <c r="U424" s="37">
        <v>10000</v>
      </c>
      <c r="V424" s="37">
        <v>10000</v>
      </c>
      <c r="W424" s="37">
        <v>10000</v>
      </c>
      <c r="X424" s="37">
        <v>10000</v>
      </c>
      <c r="Y424" s="37">
        <v>10000</v>
      </c>
      <c r="Z424" s="37">
        <v>10000</v>
      </c>
      <c r="AA424" s="37">
        <v>10000</v>
      </c>
      <c r="AB424" s="37">
        <v>10000</v>
      </c>
      <c r="AC424" s="37">
        <v>10000</v>
      </c>
      <c r="AD424" s="37">
        <v>10000</v>
      </c>
      <c r="AE424" s="37">
        <v>10000</v>
      </c>
      <c r="AF424" s="40">
        <f t="shared" si="146"/>
        <v>120000</v>
      </c>
      <c r="AG424" s="104" t="s">
        <v>616</v>
      </c>
    </row>
    <row r="425" spans="2:33" ht="12.75" x14ac:dyDescent="0.3">
      <c r="B425" s="27"/>
      <c r="C425" s="27"/>
      <c r="D425" s="27"/>
      <c r="E425" s="41">
        <v>5124130</v>
      </c>
      <c r="F425" s="36" t="s">
        <v>402</v>
      </c>
      <c r="G425" s="37">
        <v>360000</v>
      </c>
      <c r="H425" s="37">
        <v>360000</v>
      </c>
      <c r="I425" s="37">
        <v>360000</v>
      </c>
      <c r="J425" s="37">
        <v>308000</v>
      </c>
      <c r="K425" s="37">
        <v>240000</v>
      </c>
      <c r="L425" s="37">
        <v>240000</v>
      </c>
      <c r="M425" s="37">
        <v>240000</v>
      </c>
      <c r="N425" s="37">
        <v>286452</v>
      </c>
      <c r="O425" s="37">
        <v>360000</v>
      </c>
      <c r="P425" s="39">
        <v>60000</v>
      </c>
      <c r="Q425" s="39">
        <v>60000</v>
      </c>
      <c r="R425" s="38">
        <v>60000</v>
      </c>
      <c r="S425" s="40">
        <f t="shared" si="145"/>
        <v>2934452</v>
      </c>
      <c r="T425" s="37">
        <v>60000</v>
      </c>
      <c r="U425" s="37">
        <v>60000</v>
      </c>
      <c r="V425" s="37">
        <v>60000</v>
      </c>
      <c r="W425" s="37">
        <v>60000</v>
      </c>
      <c r="X425" s="37">
        <v>60000</v>
      </c>
      <c r="Y425" s="37">
        <v>60000</v>
      </c>
      <c r="Z425" s="37">
        <v>60000</v>
      </c>
      <c r="AA425" s="37">
        <v>60000</v>
      </c>
      <c r="AB425" s="37">
        <v>60000</v>
      </c>
      <c r="AC425" s="37">
        <v>60000</v>
      </c>
      <c r="AD425" s="37">
        <v>60000</v>
      </c>
      <c r="AE425" s="37">
        <v>60000</v>
      </c>
      <c r="AF425" s="40">
        <f t="shared" si="146"/>
        <v>720000</v>
      </c>
      <c r="AG425" s="104" t="s">
        <v>617</v>
      </c>
    </row>
    <row r="426" spans="2:33" ht="12.75" x14ac:dyDescent="0.3">
      <c r="B426" s="27"/>
      <c r="C426" s="27"/>
      <c r="D426" s="27"/>
      <c r="E426" s="41">
        <v>5124140</v>
      </c>
      <c r="F426" s="36" t="s">
        <v>403</v>
      </c>
      <c r="G426" s="37">
        <v>0</v>
      </c>
      <c r="H426" s="37">
        <v>0</v>
      </c>
      <c r="I426" s="37">
        <v>0</v>
      </c>
      <c r="J426" s="37">
        <v>0</v>
      </c>
      <c r="K426" s="37">
        <v>0</v>
      </c>
      <c r="L426" s="37">
        <v>0</v>
      </c>
      <c r="M426" s="37">
        <v>0</v>
      </c>
      <c r="N426" s="37">
        <v>0</v>
      </c>
      <c r="O426" s="37">
        <v>0</v>
      </c>
      <c r="P426" s="39">
        <v>0</v>
      </c>
      <c r="Q426" s="39">
        <v>0</v>
      </c>
      <c r="R426" s="38">
        <v>0</v>
      </c>
      <c r="S426" s="40">
        <f t="shared" si="145"/>
        <v>0</v>
      </c>
      <c r="T426" s="37">
        <v>0</v>
      </c>
      <c r="U426" s="37">
        <v>0</v>
      </c>
      <c r="V426" s="37">
        <v>0</v>
      </c>
      <c r="W426" s="37">
        <v>0</v>
      </c>
      <c r="X426" s="37">
        <v>0</v>
      </c>
      <c r="Y426" s="38">
        <v>0</v>
      </c>
      <c r="Z426" s="38">
        <v>0</v>
      </c>
      <c r="AA426" s="39">
        <v>0</v>
      </c>
      <c r="AB426" s="37">
        <v>0</v>
      </c>
      <c r="AC426" s="39"/>
      <c r="AD426" s="39"/>
      <c r="AE426" s="38"/>
      <c r="AF426" s="40">
        <f t="shared" si="146"/>
        <v>0</v>
      </c>
      <c r="AG426" s="104"/>
    </row>
    <row r="427" spans="2:33" ht="12.75" x14ac:dyDescent="0.3">
      <c r="B427" s="27"/>
      <c r="C427" s="27"/>
      <c r="D427" s="27"/>
      <c r="E427" s="41">
        <v>5124190</v>
      </c>
      <c r="F427" s="36" t="s">
        <v>404</v>
      </c>
      <c r="G427" s="37">
        <v>0</v>
      </c>
      <c r="H427" s="37">
        <v>0</v>
      </c>
      <c r="I427" s="37">
        <v>0</v>
      </c>
      <c r="J427" s="37">
        <v>0</v>
      </c>
      <c r="K427" s="37">
        <v>0</v>
      </c>
      <c r="L427" s="37">
        <v>0</v>
      </c>
      <c r="M427" s="37">
        <v>0</v>
      </c>
      <c r="N427" s="37">
        <v>0</v>
      </c>
      <c r="O427" s="37">
        <v>0</v>
      </c>
      <c r="P427" s="39">
        <v>0</v>
      </c>
      <c r="Q427" s="39">
        <v>0</v>
      </c>
      <c r="R427" s="38">
        <v>0</v>
      </c>
      <c r="S427" s="40">
        <f t="shared" si="145"/>
        <v>0</v>
      </c>
      <c r="T427" s="37">
        <v>0</v>
      </c>
      <c r="U427" s="37">
        <v>0</v>
      </c>
      <c r="V427" s="37">
        <v>0</v>
      </c>
      <c r="W427" s="37">
        <v>0</v>
      </c>
      <c r="X427" s="37">
        <v>0</v>
      </c>
      <c r="Y427" s="38">
        <v>0</v>
      </c>
      <c r="Z427" s="38">
        <v>0</v>
      </c>
      <c r="AA427" s="39">
        <v>0</v>
      </c>
      <c r="AB427" s="37">
        <v>0</v>
      </c>
      <c r="AC427" s="39"/>
      <c r="AD427" s="39"/>
      <c r="AE427" s="38"/>
      <c r="AF427" s="40">
        <f t="shared" si="146"/>
        <v>0</v>
      </c>
      <c r="AG427" s="104"/>
    </row>
    <row r="428" spans="2:33" ht="12.75" x14ac:dyDescent="0.3">
      <c r="B428" s="27"/>
      <c r="C428" s="27"/>
      <c r="D428" s="29" t="s">
        <v>405</v>
      </c>
      <c r="E428" s="42"/>
      <c r="F428" s="31"/>
      <c r="G428" s="33">
        <v>141086</v>
      </c>
      <c r="H428" s="33">
        <v>57291</v>
      </c>
      <c r="I428" s="33">
        <v>235370</v>
      </c>
      <c r="J428" s="33">
        <v>74753</v>
      </c>
      <c r="K428" s="33">
        <v>51090</v>
      </c>
      <c r="L428" s="33">
        <v>0</v>
      </c>
      <c r="M428" s="33">
        <v>151296</v>
      </c>
      <c r="N428" s="33">
        <v>215720</v>
      </c>
      <c r="O428" s="33">
        <v>352870</v>
      </c>
      <c r="P428" s="33">
        <f t="shared" ref="P428:R428" si="175">SUM(P429:P433)</f>
        <v>300000</v>
      </c>
      <c r="Q428" s="33">
        <f t="shared" si="175"/>
        <v>300000</v>
      </c>
      <c r="R428" s="34">
        <f t="shared" si="175"/>
        <v>300000</v>
      </c>
      <c r="S428" s="26">
        <f t="shared" si="145"/>
        <v>2179476</v>
      </c>
      <c r="T428" s="33">
        <f t="shared" ref="T428:AE428" si="176">SUM(T429:T433)</f>
        <v>10208333.333333332</v>
      </c>
      <c r="U428" s="33">
        <f t="shared" si="176"/>
        <v>6608333.333333333</v>
      </c>
      <c r="V428" s="33">
        <f t="shared" si="176"/>
        <v>6608333.333333333</v>
      </c>
      <c r="W428" s="33">
        <f t="shared" si="176"/>
        <v>6608333.333333333</v>
      </c>
      <c r="X428" s="33">
        <f t="shared" si="176"/>
        <v>6608333.333333333</v>
      </c>
      <c r="Y428" s="33">
        <f t="shared" si="176"/>
        <v>6608333.333333333</v>
      </c>
      <c r="Z428" s="33">
        <f t="shared" si="176"/>
        <v>6608333.333333333</v>
      </c>
      <c r="AA428" s="33">
        <f t="shared" si="176"/>
        <v>6608333.333333333</v>
      </c>
      <c r="AB428" s="33">
        <f t="shared" si="176"/>
        <v>6608333.333333333</v>
      </c>
      <c r="AC428" s="33">
        <f t="shared" si="176"/>
        <v>6608333.333333333</v>
      </c>
      <c r="AD428" s="33">
        <f t="shared" si="176"/>
        <v>6608333.333333333</v>
      </c>
      <c r="AE428" s="34">
        <f t="shared" si="176"/>
        <v>6608333.333333333</v>
      </c>
      <c r="AF428" s="26">
        <f t="shared" si="146"/>
        <v>82900000</v>
      </c>
      <c r="AG428" s="103"/>
    </row>
    <row r="429" spans="2:33" ht="12.75" x14ac:dyDescent="0.3">
      <c r="B429" s="27"/>
      <c r="C429" s="27"/>
      <c r="D429" s="27"/>
      <c r="E429" s="41">
        <v>5125100</v>
      </c>
      <c r="F429" s="36" t="s">
        <v>406</v>
      </c>
      <c r="G429" s="37">
        <v>4546</v>
      </c>
      <c r="H429" s="37">
        <v>0</v>
      </c>
      <c r="I429" s="37">
        <v>63700</v>
      </c>
      <c r="J429" s="37">
        <v>24400</v>
      </c>
      <c r="K429" s="37">
        <v>51090</v>
      </c>
      <c r="L429" s="37">
        <v>0</v>
      </c>
      <c r="M429" s="37">
        <v>146750</v>
      </c>
      <c r="N429" s="37">
        <v>124200</v>
      </c>
      <c r="O429" s="37">
        <v>191020</v>
      </c>
      <c r="P429" s="39">
        <v>150000</v>
      </c>
      <c r="Q429" s="39">
        <v>150000</v>
      </c>
      <c r="R429" s="38">
        <v>150000</v>
      </c>
      <c r="S429" s="40">
        <f t="shared" si="145"/>
        <v>1055706</v>
      </c>
      <c r="T429" s="37">
        <v>150000</v>
      </c>
      <c r="U429" s="37">
        <v>150000</v>
      </c>
      <c r="V429" s="37">
        <v>150000</v>
      </c>
      <c r="W429" s="37">
        <v>150000</v>
      </c>
      <c r="X429" s="37">
        <v>150000</v>
      </c>
      <c r="Y429" s="37">
        <v>150000</v>
      </c>
      <c r="Z429" s="37">
        <v>150000</v>
      </c>
      <c r="AA429" s="37">
        <v>150000</v>
      </c>
      <c r="AB429" s="37">
        <v>150000</v>
      </c>
      <c r="AC429" s="37">
        <v>150000</v>
      </c>
      <c r="AD429" s="37">
        <v>150000</v>
      </c>
      <c r="AE429" s="37">
        <v>150000</v>
      </c>
      <c r="AF429" s="40">
        <f t="shared" si="146"/>
        <v>1800000</v>
      </c>
      <c r="AG429" s="104" t="s">
        <v>612</v>
      </c>
    </row>
    <row r="430" spans="2:33" ht="12.75" x14ac:dyDescent="0.3">
      <c r="B430" s="27"/>
      <c r="C430" s="27"/>
      <c r="D430" s="27"/>
      <c r="E430" s="41">
        <v>5125110</v>
      </c>
      <c r="F430" s="36" t="s">
        <v>407</v>
      </c>
      <c r="G430" s="37">
        <v>136540</v>
      </c>
      <c r="H430" s="37">
        <v>0</v>
      </c>
      <c r="I430" s="37">
        <v>74740</v>
      </c>
      <c r="J430" s="37">
        <v>23080</v>
      </c>
      <c r="K430" s="37">
        <v>0</v>
      </c>
      <c r="L430" s="37">
        <v>0</v>
      </c>
      <c r="M430" s="37">
        <v>0</v>
      </c>
      <c r="N430" s="37">
        <v>91520</v>
      </c>
      <c r="O430" s="37">
        <v>161850</v>
      </c>
      <c r="P430" s="39">
        <v>150000</v>
      </c>
      <c r="Q430" s="39">
        <v>150000</v>
      </c>
      <c r="R430" s="38">
        <v>150000</v>
      </c>
      <c r="S430" s="40">
        <f t="shared" si="145"/>
        <v>937730</v>
      </c>
      <c r="T430" s="37">
        <v>150000</v>
      </c>
      <c r="U430" s="37">
        <v>150000</v>
      </c>
      <c r="V430" s="37">
        <v>150000</v>
      </c>
      <c r="W430" s="37">
        <v>150000</v>
      </c>
      <c r="X430" s="37">
        <v>150000</v>
      </c>
      <c r="Y430" s="37">
        <v>150000</v>
      </c>
      <c r="Z430" s="37">
        <v>150000</v>
      </c>
      <c r="AA430" s="37">
        <v>150000</v>
      </c>
      <c r="AB430" s="37">
        <v>150000</v>
      </c>
      <c r="AC430" s="37">
        <v>150000</v>
      </c>
      <c r="AD430" s="37">
        <v>150000</v>
      </c>
      <c r="AE430" s="37">
        <v>150000</v>
      </c>
      <c r="AF430" s="40">
        <f t="shared" si="146"/>
        <v>1800000</v>
      </c>
      <c r="AG430" s="104" t="s">
        <v>612</v>
      </c>
    </row>
    <row r="431" spans="2:33" ht="12.75" x14ac:dyDescent="0.3">
      <c r="B431" s="27"/>
      <c r="C431" s="27"/>
      <c r="D431" s="27"/>
      <c r="E431" s="41">
        <v>5125130</v>
      </c>
      <c r="F431" s="36" t="s">
        <v>408</v>
      </c>
      <c r="G431" s="37">
        <v>0</v>
      </c>
      <c r="H431" s="37">
        <v>0</v>
      </c>
      <c r="I431" s="37">
        <v>9180</v>
      </c>
      <c r="J431" s="37">
        <v>0</v>
      </c>
      <c r="K431" s="37">
        <v>0</v>
      </c>
      <c r="L431" s="37">
        <v>0</v>
      </c>
      <c r="M431" s="37">
        <v>0</v>
      </c>
      <c r="N431" s="37">
        <v>0</v>
      </c>
      <c r="O431" s="37">
        <v>0</v>
      </c>
      <c r="P431" s="39"/>
      <c r="Q431" s="39"/>
      <c r="R431" s="38"/>
      <c r="S431" s="40">
        <f t="shared" si="145"/>
        <v>9180</v>
      </c>
      <c r="T431" s="37"/>
      <c r="U431" s="37"/>
      <c r="V431" s="37"/>
      <c r="W431" s="37"/>
      <c r="X431" s="37"/>
      <c r="Y431" s="38"/>
      <c r="Z431" s="38"/>
      <c r="AA431" s="39"/>
      <c r="AB431" s="37"/>
      <c r="AC431" s="39"/>
      <c r="AD431" s="39"/>
      <c r="AE431" s="38"/>
      <c r="AF431" s="40">
        <f t="shared" si="146"/>
        <v>0</v>
      </c>
      <c r="AG431" s="104"/>
    </row>
    <row r="432" spans="2:33" ht="12.75" x14ac:dyDescent="0.3">
      <c r="B432" s="27"/>
      <c r="C432" s="27"/>
      <c r="D432" s="27"/>
      <c r="E432" s="41">
        <v>5125190</v>
      </c>
      <c r="F432" s="36" t="s">
        <v>409</v>
      </c>
      <c r="G432" s="37">
        <v>0</v>
      </c>
      <c r="H432" s="37">
        <v>57291</v>
      </c>
      <c r="I432" s="37">
        <v>87750</v>
      </c>
      <c r="J432" s="37">
        <v>27273</v>
      </c>
      <c r="K432" s="37">
        <v>0</v>
      </c>
      <c r="L432" s="37">
        <v>0</v>
      </c>
      <c r="M432" s="37">
        <v>4546</v>
      </c>
      <c r="N432" s="37">
        <v>0</v>
      </c>
      <c r="O432" s="37">
        <v>0</v>
      </c>
      <c r="P432" s="39"/>
      <c r="Q432" s="39"/>
      <c r="R432" s="39"/>
      <c r="S432" s="40">
        <f t="shared" si="145"/>
        <v>176860</v>
      </c>
      <c r="T432" s="37">
        <f>(100000*36)+(757000/36*300)</f>
        <v>9908333.3333333321</v>
      </c>
      <c r="U432" s="37">
        <f>((757000/36)*300)</f>
        <v>6308333.333333333</v>
      </c>
      <c r="V432" s="37">
        <f t="shared" ref="V432:AE432" si="177">(757000/36*300)</f>
        <v>6308333.333333333</v>
      </c>
      <c r="W432" s="37">
        <f t="shared" si="177"/>
        <v>6308333.333333333</v>
      </c>
      <c r="X432" s="37">
        <f t="shared" si="177"/>
        <v>6308333.333333333</v>
      </c>
      <c r="Y432" s="38">
        <f t="shared" si="177"/>
        <v>6308333.333333333</v>
      </c>
      <c r="Z432" s="38">
        <f t="shared" si="177"/>
        <v>6308333.333333333</v>
      </c>
      <c r="AA432" s="39">
        <f t="shared" si="177"/>
        <v>6308333.333333333</v>
      </c>
      <c r="AB432" s="37">
        <f t="shared" si="177"/>
        <v>6308333.333333333</v>
      </c>
      <c r="AC432" s="39">
        <f t="shared" si="177"/>
        <v>6308333.333333333</v>
      </c>
      <c r="AD432" s="39">
        <f t="shared" si="177"/>
        <v>6308333.333333333</v>
      </c>
      <c r="AE432" s="38">
        <f t="shared" si="177"/>
        <v>6308333.333333333</v>
      </c>
      <c r="AF432" s="40">
        <f t="shared" si="146"/>
        <v>79300000</v>
      </c>
      <c r="AG432" s="104" t="s">
        <v>748</v>
      </c>
    </row>
    <row r="433" spans="2:33" ht="12.75" x14ac:dyDescent="0.3">
      <c r="B433" s="27"/>
      <c r="C433" s="27"/>
      <c r="D433" s="27"/>
      <c r="E433" s="41">
        <v>5125140</v>
      </c>
      <c r="F433" s="36" t="s">
        <v>410</v>
      </c>
      <c r="G433" s="37">
        <v>0</v>
      </c>
      <c r="H433" s="37">
        <v>0</v>
      </c>
      <c r="I433" s="37">
        <v>0</v>
      </c>
      <c r="J433" s="37">
        <v>0</v>
      </c>
      <c r="K433" s="37">
        <v>0</v>
      </c>
      <c r="L433" s="37">
        <v>0</v>
      </c>
      <c r="M433" s="37">
        <v>0</v>
      </c>
      <c r="N433" s="37">
        <v>0</v>
      </c>
      <c r="O433" s="37">
        <v>0</v>
      </c>
      <c r="P433" s="39"/>
      <c r="Q433" s="39"/>
      <c r="R433" s="38"/>
      <c r="S433" s="40">
        <f t="shared" si="145"/>
        <v>0</v>
      </c>
      <c r="T433" s="37"/>
      <c r="U433" s="37"/>
      <c r="V433" s="37"/>
      <c r="W433" s="37"/>
      <c r="X433" s="37"/>
      <c r="Y433" s="38"/>
      <c r="Z433" s="38"/>
      <c r="AA433" s="39"/>
      <c r="AB433" s="37"/>
      <c r="AC433" s="39"/>
      <c r="AD433" s="39"/>
      <c r="AE433" s="38"/>
      <c r="AF433" s="40">
        <f t="shared" si="146"/>
        <v>0</v>
      </c>
      <c r="AG433" s="104"/>
    </row>
    <row r="434" spans="2:33" ht="12.75" x14ac:dyDescent="0.3">
      <c r="B434" s="27"/>
      <c r="C434" s="27"/>
      <c r="D434" s="29" t="s">
        <v>411</v>
      </c>
      <c r="E434" s="42"/>
      <c r="F434" s="31"/>
      <c r="G434" s="33">
        <v>0</v>
      </c>
      <c r="H434" s="33">
        <v>0</v>
      </c>
      <c r="I434" s="33">
        <v>153900</v>
      </c>
      <c r="J434" s="33">
        <v>191850</v>
      </c>
      <c r="K434" s="33">
        <v>154910</v>
      </c>
      <c r="L434" s="33">
        <v>0</v>
      </c>
      <c r="M434" s="33">
        <v>0</v>
      </c>
      <c r="N434" s="33">
        <v>88250</v>
      </c>
      <c r="O434" s="33">
        <v>52700</v>
      </c>
      <c r="P434" s="33">
        <f t="shared" ref="P434:R434" si="178">SUM(P435:P437)</f>
        <v>62500</v>
      </c>
      <c r="Q434" s="33">
        <f t="shared" si="178"/>
        <v>267250</v>
      </c>
      <c r="R434" s="34">
        <f t="shared" si="178"/>
        <v>267700</v>
      </c>
      <c r="S434" s="26">
        <f t="shared" si="145"/>
        <v>1239060</v>
      </c>
      <c r="T434" s="33">
        <f t="shared" ref="T434:AE434" si="179">SUM(T435:T437)</f>
        <v>267250</v>
      </c>
      <c r="U434" s="33">
        <f t="shared" si="179"/>
        <v>62500</v>
      </c>
      <c r="V434" s="33">
        <f t="shared" si="179"/>
        <v>62500</v>
      </c>
      <c r="W434" s="33">
        <f t="shared" si="179"/>
        <v>62500</v>
      </c>
      <c r="X434" s="33">
        <f t="shared" si="179"/>
        <v>62500</v>
      </c>
      <c r="Y434" s="33">
        <f t="shared" si="179"/>
        <v>62500</v>
      </c>
      <c r="Z434" s="33">
        <f t="shared" si="179"/>
        <v>267250</v>
      </c>
      <c r="AA434" s="33">
        <f t="shared" si="179"/>
        <v>62500</v>
      </c>
      <c r="AB434" s="33">
        <f t="shared" si="179"/>
        <v>62500</v>
      </c>
      <c r="AC434" s="33">
        <f t="shared" si="179"/>
        <v>62500</v>
      </c>
      <c r="AD434" s="33">
        <f t="shared" si="179"/>
        <v>62500</v>
      </c>
      <c r="AE434" s="34">
        <f t="shared" si="179"/>
        <v>267700</v>
      </c>
      <c r="AF434" s="26">
        <f t="shared" si="146"/>
        <v>1364700</v>
      </c>
      <c r="AG434" s="103"/>
    </row>
    <row r="435" spans="2:33" ht="12.75" x14ac:dyDescent="0.3">
      <c r="B435" s="27"/>
      <c r="C435" s="27"/>
      <c r="D435" s="27"/>
      <c r="E435" s="41">
        <v>5126100</v>
      </c>
      <c r="F435" s="36" t="s">
        <v>412</v>
      </c>
      <c r="G435" s="37">
        <v>0</v>
      </c>
      <c r="H435" s="37">
        <v>0</v>
      </c>
      <c r="I435" s="37">
        <v>148400</v>
      </c>
      <c r="J435" s="37">
        <v>178200</v>
      </c>
      <c r="K435" s="37">
        <v>60300</v>
      </c>
      <c r="L435" s="37">
        <v>0</v>
      </c>
      <c r="M435" s="37">
        <v>0</v>
      </c>
      <c r="N435" s="37">
        <v>74600</v>
      </c>
      <c r="O435" s="37">
        <v>52700</v>
      </c>
      <c r="P435" s="39">
        <v>62500</v>
      </c>
      <c r="Q435" s="39">
        <v>62500</v>
      </c>
      <c r="R435" s="38">
        <v>62500</v>
      </c>
      <c r="S435" s="40">
        <f t="shared" si="145"/>
        <v>701700</v>
      </c>
      <c r="T435" s="37">
        <v>62500</v>
      </c>
      <c r="U435" s="37">
        <v>62500</v>
      </c>
      <c r="V435" s="37">
        <v>62500</v>
      </c>
      <c r="W435" s="37">
        <v>62500</v>
      </c>
      <c r="X435" s="37">
        <v>62500</v>
      </c>
      <c r="Y435" s="37">
        <v>62500</v>
      </c>
      <c r="Z435" s="37">
        <v>62500</v>
      </c>
      <c r="AA435" s="37">
        <v>62500</v>
      </c>
      <c r="AB435" s="37">
        <v>62500</v>
      </c>
      <c r="AC435" s="37">
        <v>62500</v>
      </c>
      <c r="AD435" s="37">
        <v>62500</v>
      </c>
      <c r="AE435" s="37">
        <v>62500</v>
      </c>
      <c r="AF435" s="40">
        <f t="shared" si="146"/>
        <v>750000</v>
      </c>
      <c r="AG435" s="104" t="s">
        <v>615</v>
      </c>
    </row>
    <row r="436" spans="2:33" ht="12.75" x14ac:dyDescent="0.3">
      <c r="B436" s="27"/>
      <c r="C436" s="27"/>
      <c r="D436" s="27"/>
      <c r="E436" s="41">
        <v>5126130</v>
      </c>
      <c r="F436" s="36" t="s">
        <v>413</v>
      </c>
      <c r="G436" s="37">
        <v>0</v>
      </c>
      <c r="H436" s="37">
        <v>0</v>
      </c>
      <c r="I436" s="37">
        <v>0</v>
      </c>
      <c r="J436" s="37">
        <v>0</v>
      </c>
      <c r="K436" s="37">
        <v>0</v>
      </c>
      <c r="L436" s="37">
        <v>0</v>
      </c>
      <c r="M436" s="37">
        <v>0</v>
      </c>
      <c r="N436" s="37">
        <v>0</v>
      </c>
      <c r="O436" s="37">
        <v>0</v>
      </c>
      <c r="P436" s="39"/>
      <c r="Q436" s="39"/>
      <c r="R436" s="38">
        <f>13680*15</f>
        <v>205200</v>
      </c>
      <c r="S436" s="40">
        <f t="shared" si="145"/>
        <v>205200</v>
      </c>
      <c r="T436" s="37"/>
      <c r="U436" s="37"/>
      <c r="V436" s="37"/>
      <c r="W436" s="37"/>
      <c r="X436" s="37"/>
      <c r="Y436" s="38"/>
      <c r="Z436" s="38"/>
      <c r="AA436" s="39"/>
      <c r="AB436" s="37"/>
      <c r="AC436" s="39"/>
      <c r="AD436" s="39"/>
      <c r="AE436" s="38">
        <f>13680*15</f>
        <v>205200</v>
      </c>
      <c r="AF436" s="40">
        <f t="shared" si="146"/>
        <v>205200</v>
      </c>
      <c r="AG436" s="104" t="s">
        <v>613</v>
      </c>
    </row>
    <row r="437" spans="2:33" ht="12.75" x14ac:dyDescent="0.3">
      <c r="B437" s="27"/>
      <c r="C437" s="27"/>
      <c r="D437" s="27"/>
      <c r="E437" s="41">
        <v>5126120</v>
      </c>
      <c r="F437" s="36" t="s">
        <v>414</v>
      </c>
      <c r="G437" s="37">
        <v>0</v>
      </c>
      <c r="H437" s="37">
        <v>0</v>
      </c>
      <c r="I437" s="37">
        <v>5500</v>
      </c>
      <c r="J437" s="37">
        <v>13650</v>
      </c>
      <c r="K437" s="37">
        <v>94610</v>
      </c>
      <c r="L437" s="37">
        <v>0</v>
      </c>
      <c r="M437" s="37">
        <v>0</v>
      </c>
      <c r="N437" s="37">
        <v>13650</v>
      </c>
      <c r="O437" s="37">
        <v>0</v>
      </c>
      <c r="P437" s="39"/>
      <c r="Q437" s="39">
        <f t="shared" ref="Q437" si="180">13650*15</f>
        <v>204750</v>
      </c>
      <c r="R437" s="38"/>
      <c r="S437" s="40">
        <f t="shared" si="145"/>
        <v>332160</v>
      </c>
      <c r="T437" s="37">
        <f>13650*15</f>
        <v>204750</v>
      </c>
      <c r="U437" s="37"/>
      <c r="V437" s="37"/>
      <c r="W437" s="37"/>
      <c r="X437" s="37"/>
      <c r="Y437" s="37"/>
      <c r="Z437" s="37">
        <f>13650*15</f>
        <v>204750</v>
      </c>
      <c r="AA437" s="39"/>
      <c r="AB437" s="37"/>
      <c r="AC437" s="39"/>
      <c r="AD437" s="39"/>
      <c r="AE437" s="38"/>
      <c r="AF437" s="40">
        <f t="shared" si="146"/>
        <v>409500</v>
      </c>
      <c r="AG437" s="104" t="s">
        <v>614</v>
      </c>
    </row>
    <row r="438" spans="2:33" ht="12.75" x14ac:dyDescent="0.3">
      <c r="B438" s="27"/>
      <c r="C438" s="27"/>
      <c r="D438" s="29" t="s">
        <v>415</v>
      </c>
      <c r="E438" s="42"/>
      <c r="F438" s="31"/>
      <c r="G438" s="33">
        <v>0</v>
      </c>
      <c r="H438" s="33">
        <v>0</v>
      </c>
      <c r="I438" s="33">
        <v>0</v>
      </c>
      <c r="J438" s="33">
        <v>0</v>
      </c>
      <c r="K438" s="33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f t="shared" ref="P438:R438" si="181">SUM(P439:P441)</f>
        <v>5122000</v>
      </c>
      <c r="Q438" s="33">
        <f t="shared" si="181"/>
        <v>5122000</v>
      </c>
      <c r="R438" s="34">
        <f t="shared" si="181"/>
        <v>5122000</v>
      </c>
      <c r="S438" s="26">
        <f t="shared" si="145"/>
        <v>15366000</v>
      </c>
      <c r="T438" s="33">
        <f t="shared" ref="T438:AE438" si="182">SUM(T439:T441)</f>
        <v>5122000</v>
      </c>
      <c r="U438" s="33">
        <f t="shared" si="182"/>
        <v>5122000</v>
      </c>
      <c r="V438" s="33">
        <f t="shared" si="182"/>
        <v>5122000</v>
      </c>
      <c r="W438" s="33">
        <f t="shared" si="182"/>
        <v>5122000</v>
      </c>
      <c r="X438" s="33">
        <f t="shared" si="182"/>
        <v>5122000</v>
      </c>
      <c r="Y438" s="33">
        <f t="shared" si="182"/>
        <v>5122000</v>
      </c>
      <c r="Z438" s="33">
        <f t="shared" si="182"/>
        <v>5122000</v>
      </c>
      <c r="AA438" s="33">
        <f t="shared" si="182"/>
        <v>5122000</v>
      </c>
      <c r="AB438" s="33">
        <f t="shared" si="182"/>
        <v>5122000</v>
      </c>
      <c r="AC438" s="33">
        <f t="shared" si="182"/>
        <v>5122000</v>
      </c>
      <c r="AD438" s="33">
        <f t="shared" si="182"/>
        <v>5122000</v>
      </c>
      <c r="AE438" s="34">
        <f t="shared" si="182"/>
        <v>5122000</v>
      </c>
      <c r="AF438" s="26">
        <f t="shared" si="146"/>
        <v>61464000</v>
      </c>
      <c r="AG438" s="103"/>
    </row>
    <row r="439" spans="2:33" ht="12.75" x14ac:dyDescent="0.3">
      <c r="B439" s="27"/>
      <c r="C439" s="27"/>
      <c r="D439" s="27"/>
      <c r="E439" s="41">
        <v>5127100</v>
      </c>
      <c r="F439" s="36" t="s">
        <v>416</v>
      </c>
      <c r="G439" s="37">
        <v>0</v>
      </c>
      <c r="H439" s="37">
        <v>0</v>
      </c>
      <c r="I439" s="37">
        <v>0</v>
      </c>
      <c r="J439" s="37">
        <v>0</v>
      </c>
      <c r="K439" s="37">
        <v>0</v>
      </c>
      <c r="L439" s="37">
        <v>0</v>
      </c>
      <c r="M439" s="37">
        <v>0</v>
      </c>
      <c r="N439" s="37">
        <v>0</v>
      </c>
      <c r="O439" s="37">
        <v>0</v>
      </c>
      <c r="P439" s="39"/>
      <c r="Q439" s="39"/>
      <c r="R439" s="38"/>
      <c r="S439" s="40">
        <f t="shared" si="145"/>
        <v>0</v>
      </c>
      <c r="T439" s="37"/>
      <c r="U439" s="37"/>
      <c r="V439" s="37"/>
      <c r="W439" s="37"/>
      <c r="X439" s="37"/>
      <c r="Y439" s="38"/>
      <c r="Z439" s="38"/>
      <c r="AA439" s="39"/>
      <c r="AB439" s="37"/>
      <c r="AC439" s="39"/>
      <c r="AD439" s="39"/>
      <c r="AE439" s="38"/>
      <c r="AF439" s="40">
        <f t="shared" si="146"/>
        <v>0</v>
      </c>
      <c r="AG439" s="104"/>
    </row>
    <row r="440" spans="2:33" ht="12.75" x14ac:dyDescent="0.3">
      <c r="B440" s="27"/>
      <c r="C440" s="27"/>
      <c r="D440" s="27"/>
      <c r="E440" s="41">
        <v>5127110</v>
      </c>
      <c r="F440" s="36" t="s">
        <v>417</v>
      </c>
      <c r="G440" s="37">
        <v>0</v>
      </c>
      <c r="H440" s="37">
        <v>0</v>
      </c>
      <c r="I440" s="37">
        <v>0</v>
      </c>
      <c r="J440" s="37">
        <v>0</v>
      </c>
      <c r="K440" s="37">
        <v>0</v>
      </c>
      <c r="L440" s="37">
        <v>0</v>
      </c>
      <c r="M440" s="37">
        <v>0</v>
      </c>
      <c r="N440" s="37">
        <v>0</v>
      </c>
      <c r="O440" s="37">
        <v>0</v>
      </c>
      <c r="P440" s="39">
        <f t="shared" ref="P440:R440" si="183">39400*130</f>
        <v>5122000</v>
      </c>
      <c r="Q440" s="39">
        <f t="shared" si="183"/>
        <v>5122000</v>
      </c>
      <c r="R440" s="38">
        <f t="shared" si="183"/>
        <v>5122000</v>
      </c>
      <c r="S440" s="40">
        <f t="shared" si="145"/>
        <v>15366000</v>
      </c>
      <c r="T440" s="37">
        <f>39400*130</f>
        <v>5122000</v>
      </c>
      <c r="U440" s="37">
        <f t="shared" ref="U440:AE440" si="184">39400*130</f>
        <v>5122000</v>
      </c>
      <c r="V440" s="37">
        <f t="shared" si="184"/>
        <v>5122000</v>
      </c>
      <c r="W440" s="37">
        <f t="shared" si="184"/>
        <v>5122000</v>
      </c>
      <c r="X440" s="37">
        <f t="shared" si="184"/>
        <v>5122000</v>
      </c>
      <c r="Y440" s="38">
        <f t="shared" si="184"/>
        <v>5122000</v>
      </c>
      <c r="Z440" s="38">
        <f t="shared" si="184"/>
        <v>5122000</v>
      </c>
      <c r="AA440" s="39">
        <f t="shared" si="184"/>
        <v>5122000</v>
      </c>
      <c r="AB440" s="37">
        <f t="shared" si="184"/>
        <v>5122000</v>
      </c>
      <c r="AC440" s="39">
        <f t="shared" si="184"/>
        <v>5122000</v>
      </c>
      <c r="AD440" s="39">
        <f t="shared" si="184"/>
        <v>5122000</v>
      </c>
      <c r="AE440" s="38">
        <f t="shared" si="184"/>
        <v>5122000</v>
      </c>
      <c r="AF440" s="40">
        <f t="shared" si="146"/>
        <v>61464000</v>
      </c>
      <c r="AG440" s="104" t="s">
        <v>749</v>
      </c>
    </row>
    <row r="441" spans="2:33" ht="12.75" x14ac:dyDescent="0.3">
      <c r="B441" s="27"/>
      <c r="C441" s="27"/>
      <c r="D441" s="27"/>
      <c r="E441" s="41">
        <v>5127120</v>
      </c>
      <c r="F441" s="36" t="s">
        <v>418</v>
      </c>
      <c r="G441" s="37">
        <v>0</v>
      </c>
      <c r="H441" s="37">
        <v>0</v>
      </c>
      <c r="I441" s="37">
        <v>0</v>
      </c>
      <c r="J441" s="37">
        <v>0</v>
      </c>
      <c r="K441" s="37">
        <v>0</v>
      </c>
      <c r="L441" s="37">
        <v>0</v>
      </c>
      <c r="M441" s="37">
        <v>0</v>
      </c>
      <c r="N441" s="37">
        <v>0</v>
      </c>
      <c r="O441" s="37">
        <v>0</v>
      </c>
      <c r="P441" s="39"/>
      <c r="Q441" s="39"/>
      <c r="R441" s="38"/>
      <c r="S441" s="40">
        <f t="shared" si="145"/>
        <v>0</v>
      </c>
      <c r="T441" s="37"/>
      <c r="U441" s="37"/>
      <c r="V441" s="37"/>
      <c r="W441" s="37"/>
      <c r="X441" s="37"/>
      <c r="Y441" s="38"/>
      <c r="Z441" s="38"/>
      <c r="AA441" s="39"/>
      <c r="AB441" s="37"/>
      <c r="AC441" s="39"/>
      <c r="AD441" s="39"/>
      <c r="AE441" s="38"/>
      <c r="AF441" s="40">
        <f t="shared" si="146"/>
        <v>0</v>
      </c>
      <c r="AG441" s="104"/>
    </row>
    <row r="442" spans="2:33" ht="12.75" x14ac:dyDescent="0.3">
      <c r="B442" s="27"/>
      <c r="C442" s="27"/>
      <c r="D442" s="29" t="s">
        <v>419</v>
      </c>
      <c r="E442" s="42"/>
      <c r="F442" s="31"/>
      <c r="G442" s="33">
        <v>0</v>
      </c>
      <c r="H442" s="33">
        <v>0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f t="shared" ref="P442:R442" si="185">SUM(P443:P446)</f>
        <v>0</v>
      </c>
      <c r="Q442" s="33">
        <f t="shared" si="185"/>
        <v>0</v>
      </c>
      <c r="R442" s="34">
        <f t="shared" si="185"/>
        <v>0</v>
      </c>
      <c r="S442" s="26">
        <f t="shared" si="145"/>
        <v>0</v>
      </c>
      <c r="T442" s="33">
        <f t="shared" ref="T442:AE442" si="186">SUM(T443:T446)</f>
        <v>0</v>
      </c>
      <c r="U442" s="33">
        <f t="shared" si="186"/>
        <v>0</v>
      </c>
      <c r="V442" s="33">
        <f t="shared" si="186"/>
        <v>0</v>
      </c>
      <c r="W442" s="33">
        <f t="shared" si="186"/>
        <v>0</v>
      </c>
      <c r="X442" s="33">
        <f t="shared" si="186"/>
        <v>0</v>
      </c>
      <c r="Y442" s="33">
        <f t="shared" si="186"/>
        <v>0</v>
      </c>
      <c r="Z442" s="33">
        <f t="shared" si="186"/>
        <v>0</v>
      </c>
      <c r="AA442" s="33">
        <f t="shared" si="186"/>
        <v>0</v>
      </c>
      <c r="AB442" s="33">
        <f t="shared" si="186"/>
        <v>0</v>
      </c>
      <c r="AC442" s="33">
        <f t="shared" si="186"/>
        <v>0</v>
      </c>
      <c r="AD442" s="33">
        <f t="shared" si="186"/>
        <v>0</v>
      </c>
      <c r="AE442" s="34">
        <f t="shared" si="186"/>
        <v>0</v>
      </c>
      <c r="AF442" s="26">
        <f t="shared" si="146"/>
        <v>0</v>
      </c>
      <c r="AG442" s="103"/>
    </row>
    <row r="443" spans="2:33" ht="12.75" x14ac:dyDescent="0.3">
      <c r="B443" s="27"/>
      <c r="C443" s="27"/>
      <c r="D443" s="27"/>
      <c r="E443" s="41">
        <v>5128100</v>
      </c>
      <c r="F443" s="36" t="s">
        <v>420</v>
      </c>
      <c r="G443" s="37">
        <v>0</v>
      </c>
      <c r="H443" s="37">
        <v>0</v>
      </c>
      <c r="I443" s="37">
        <v>0</v>
      </c>
      <c r="J443" s="37">
        <v>0</v>
      </c>
      <c r="K443" s="37">
        <v>0</v>
      </c>
      <c r="L443" s="37">
        <v>0</v>
      </c>
      <c r="M443" s="37">
        <v>0</v>
      </c>
      <c r="N443" s="37">
        <v>0</v>
      </c>
      <c r="O443" s="37">
        <v>0</v>
      </c>
      <c r="P443" s="39"/>
      <c r="Q443" s="39"/>
      <c r="R443" s="38"/>
      <c r="S443" s="40">
        <f t="shared" ref="S443:S506" si="187">SUM(G443:R443)</f>
        <v>0</v>
      </c>
      <c r="T443" s="37"/>
      <c r="U443" s="37"/>
      <c r="V443" s="37"/>
      <c r="W443" s="37"/>
      <c r="X443" s="37"/>
      <c r="Y443" s="38"/>
      <c r="Z443" s="38"/>
      <c r="AA443" s="39"/>
      <c r="AB443" s="37"/>
      <c r="AC443" s="39"/>
      <c r="AD443" s="39"/>
      <c r="AE443" s="38"/>
      <c r="AF443" s="40">
        <f t="shared" ref="AF443:AF506" si="188">SUM(T443:AE443)</f>
        <v>0</v>
      </c>
      <c r="AG443" s="104"/>
    </row>
    <row r="444" spans="2:33" ht="12.75" x14ac:dyDescent="0.3">
      <c r="B444" s="27"/>
      <c r="C444" s="27"/>
      <c r="D444" s="27"/>
      <c r="E444" s="41">
        <v>5128110</v>
      </c>
      <c r="F444" s="36" t="s">
        <v>421</v>
      </c>
      <c r="G444" s="37">
        <v>0</v>
      </c>
      <c r="H444" s="37">
        <v>0</v>
      </c>
      <c r="I444" s="37">
        <v>0</v>
      </c>
      <c r="J444" s="37">
        <v>0</v>
      </c>
      <c r="K444" s="37">
        <v>0</v>
      </c>
      <c r="L444" s="37">
        <v>0</v>
      </c>
      <c r="M444" s="37">
        <v>0</v>
      </c>
      <c r="N444" s="37">
        <v>0</v>
      </c>
      <c r="O444" s="37">
        <v>0</v>
      </c>
      <c r="P444" s="39"/>
      <c r="Q444" s="39"/>
      <c r="R444" s="38"/>
      <c r="S444" s="40">
        <f t="shared" si="187"/>
        <v>0</v>
      </c>
      <c r="T444" s="37"/>
      <c r="U444" s="37"/>
      <c r="V444" s="37"/>
      <c r="W444" s="37"/>
      <c r="X444" s="37"/>
      <c r="Y444" s="38"/>
      <c r="Z444" s="38"/>
      <c r="AA444" s="39"/>
      <c r="AB444" s="37"/>
      <c r="AC444" s="39"/>
      <c r="AD444" s="39"/>
      <c r="AE444" s="38"/>
      <c r="AF444" s="40">
        <f t="shared" si="188"/>
        <v>0</v>
      </c>
      <c r="AG444" s="104"/>
    </row>
    <row r="445" spans="2:33" ht="12.75" x14ac:dyDescent="0.3">
      <c r="B445" s="27"/>
      <c r="C445" s="27"/>
      <c r="D445" s="27"/>
      <c r="E445" s="41">
        <v>5128130</v>
      </c>
      <c r="F445" s="36" t="s">
        <v>422</v>
      </c>
      <c r="G445" s="37">
        <v>0</v>
      </c>
      <c r="H445" s="37">
        <v>0</v>
      </c>
      <c r="I445" s="37">
        <v>0</v>
      </c>
      <c r="J445" s="37">
        <v>0</v>
      </c>
      <c r="K445" s="37">
        <v>0</v>
      </c>
      <c r="L445" s="37">
        <v>0</v>
      </c>
      <c r="M445" s="37">
        <v>0</v>
      </c>
      <c r="N445" s="37">
        <v>0</v>
      </c>
      <c r="O445" s="37">
        <v>0</v>
      </c>
      <c r="P445" s="39"/>
      <c r="Q445" s="39"/>
      <c r="R445" s="38"/>
      <c r="S445" s="40">
        <f t="shared" si="187"/>
        <v>0</v>
      </c>
      <c r="T445" s="37"/>
      <c r="U445" s="37"/>
      <c r="V445" s="37"/>
      <c r="W445" s="37"/>
      <c r="X445" s="37"/>
      <c r="Y445" s="38"/>
      <c r="Z445" s="38"/>
      <c r="AA445" s="39"/>
      <c r="AB445" s="37"/>
      <c r="AC445" s="39"/>
      <c r="AD445" s="39"/>
      <c r="AE445" s="38"/>
      <c r="AF445" s="40">
        <f t="shared" si="188"/>
        <v>0</v>
      </c>
      <c r="AG445" s="104"/>
    </row>
    <row r="446" spans="2:33" ht="12.75" x14ac:dyDescent="0.3">
      <c r="B446" s="27"/>
      <c r="C446" s="27"/>
      <c r="D446" s="27"/>
      <c r="E446" s="41">
        <v>5128190</v>
      </c>
      <c r="F446" s="36" t="s">
        <v>423</v>
      </c>
      <c r="G446" s="37">
        <v>0</v>
      </c>
      <c r="H446" s="37">
        <v>0</v>
      </c>
      <c r="I446" s="37">
        <v>0</v>
      </c>
      <c r="J446" s="37">
        <v>0</v>
      </c>
      <c r="K446" s="37">
        <v>0</v>
      </c>
      <c r="L446" s="37">
        <v>0</v>
      </c>
      <c r="M446" s="37">
        <v>0</v>
      </c>
      <c r="N446" s="37">
        <v>0</v>
      </c>
      <c r="O446" s="37">
        <v>0</v>
      </c>
      <c r="P446" s="39"/>
      <c r="Q446" s="39"/>
      <c r="R446" s="38"/>
      <c r="S446" s="40">
        <f t="shared" si="187"/>
        <v>0</v>
      </c>
      <c r="T446" s="37"/>
      <c r="U446" s="37"/>
      <c r="V446" s="37"/>
      <c r="W446" s="37"/>
      <c r="X446" s="37"/>
      <c r="Y446" s="38"/>
      <c r="Z446" s="38"/>
      <c r="AA446" s="39"/>
      <c r="AB446" s="37"/>
      <c r="AC446" s="39"/>
      <c r="AD446" s="39"/>
      <c r="AE446" s="38"/>
      <c r="AF446" s="40">
        <f t="shared" si="188"/>
        <v>0</v>
      </c>
      <c r="AG446" s="104"/>
    </row>
    <row r="447" spans="2:33" ht="12.75" x14ac:dyDescent="0.3">
      <c r="B447" s="27"/>
      <c r="C447" s="27"/>
      <c r="D447" s="29" t="s">
        <v>424</v>
      </c>
      <c r="E447" s="42"/>
      <c r="F447" s="31"/>
      <c r="G447" s="33">
        <v>794475</v>
      </c>
      <c r="H447" s="33">
        <v>557500</v>
      </c>
      <c r="I447" s="33">
        <v>557500</v>
      </c>
      <c r="J447" s="33">
        <v>557500</v>
      </c>
      <c r="K447" s="33">
        <v>579600</v>
      </c>
      <c r="L447" s="33">
        <v>322100</v>
      </c>
      <c r="M447" s="33">
        <v>707000</v>
      </c>
      <c r="N447" s="33">
        <v>612200</v>
      </c>
      <c r="O447" s="33">
        <v>547100</v>
      </c>
      <c r="P447" s="33">
        <f t="shared" ref="P447:R447" si="189">SUM(P448:P452)</f>
        <v>10010000</v>
      </c>
      <c r="Q447" s="33">
        <f t="shared" si="189"/>
        <v>10010000</v>
      </c>
      <c r="R447" s="34">
        <f t="shared" si="189"/>
        <v>10010000</v>
      </c>
      <c r="S447" s="26">
        <f t="shared" si="187"/>
        <v>35264975</v>
      </c>
      <c r="T447" s="33">
        <f t="shared" ref="T447:AE447" si="190">SUM(T448:T452)</f>
        <v>10010000</v>
      </c>
      <c r="U447" s="33">
        <f t="shared" si="190"/>
        <v>10010000</v>
      </c>
      <c r="V447" s="33">
        <f t="shared" si="190"/>
        <v>10010000</v>
      </c>
      <c r="W447" s="33">
        <f t="shared" si="190"/>
        <v>10010000</v>
      </c>
      <c r="X447" s="33">
        <f t="shared" si="190"/>
        <v>11010000</v>
      </c>
      <c r="Y447" s="33">
        <f t="shared" si="190"/>
        <v>11010000</v>
      </c>
      <c r="Z447" s="33">
        <f t="shared" si="190"/>
        <v>11010000</v>
      </c>
      <c r="AA447" s="33">
        <f t="shared" si="190"/>
        <v>11010000</v>
      </c>
      <c r="AB447" s="33">
        <f t="shared" si="190"/>
        <v>12010000</v>
      </c>
      <c r="AC447" s="33">
        <f t="shared" si="190"/>
        <v>12010000</v>
      </c>
      <c r="AD447" s="33">
        <f t="shared" si="190"/>
        <v>12010000</v>
      </c>
      <c r="AE447" s="34">
        <f t="shared" si="190"/>
        <v>12010000</v>
      </c>
      <c r="AF447" s="26">
        <f t="shared" si="188"/>
        <v>132120000</v>
      </c>
      <c r="AG447" s="103"/>
    </row>
    <row r="448" spans="2:33" ht="12.75" x14ac:dyDescent="0.3">
      <c r="B448" s="27"/>
      <c r="C448" s="27"/>
      <c r="D448" s="27"/>
      <c r="E448" s="41">
        <v>5129100</v>
      </c>
      <c r="F448" s="36" t="s">
        <v>425</v>
      </c>
      <c r="G448" s="37">
        <v>0</v>
      </c>
      <c r="H448" s="37">
        <v>0</v>
      </c>
      <c r="I448" s="37">
        <v>0</v>
      </c>
      <c r="J448" s="37">
        <v>0</v>
      </c>
      <c r="K448" s="37">
        <v>0</v>
      </c>
      <c r="L448" s="37">
        <v>0</v>
      </c>
      <c r="M448" s="37">
        <v>0</v>
      </c>
      <c r="N448" s="37">
        <v>0</v>
      </c>
      <c r="O448" s="37">
        <v>0</v>
      </c>
      <c r="P448" s="39">
        <v>5000000</v>
      </c>
      <c r="Q448" s="39">
        <v>5000000</v>
      </c>
      <c r="R448" s="38">
        <v>5000000</v>
      </c>
      <c r="S448" s="40">
        <f t="shared" si="187"/>
        <v>15000000</v>
      </c>
      <c r="T448" s="37">
        <v>5000000</v>
      </c>
      <c r="U448" s="37">
        <v>5000000</v>
      </c>
      <c r="V448" s="37">
        <v>5000000</v>
      </c>
      <c r="W448" s="37">
        <v>5000000</v>
      </c>
      <c r="X448" s="37">
        <v>6000000</v>
      </c>
      <c r="Y448" s="38">
        <v>6000000</v>
      </c>
      <c r="Z448" s="38">
        <v>6000000</v>
      </c>
      <c r="AA448" s="39">
        <v>6000000</v>
      </c>
      <c r="AB448" s="37">
        <v>7000000</v>
      </c>
      <c r="AC448" s="39">
        <v>7000000</v>
      </c>
      <c r="AD448" s="39">
        <v>7000000</v>
      </c>
      <c r="AE448" s="38">
        <v>7000000</v>
      </c>
      <c r="AF448" s="40">
        <f t="shared" si="188"/>
        <v>72000000</v>
      </c>
      <c r="AG448" s="104" t="s">
        <v>624</v>
      </c>
    </row>
    <row r="449" spans="2:33" ht="12.75" x14ac:dyDescent="0.3">
      <c r="B449" s="27"/>
      <c r="C449" s="27"/>
      <c r="D449" s="27"/>
      <c r="E449" s="41">
        <v>5129110</v>
      </c>
      <c r="F449" s="36" t="s">
        <v>426</v>
      </c>
      <c r="G449" s="37">
        <v>236975</v>
      </c>
      <c r="H449" s="37">
        <v>0</v>
      </c>
      <c r="I449" s="37">
        <v>0</v>
      </c>
      <c r="J449" s="37">
        <v>0</v>
      </c>
      <c r="K449" s="37">
        <v>0</v>
      </c>
      <c r="L449" s="37">
        <v>0</v>
      </c>
      <c r="M449" s="37">
        <v>0</v>
      </c>
      <c r="N449" s="37">
        <v>0</v>
      </c>
      <c r="O449" s="37">
        <v>0</v>
      </c>
      <c r="P449" s="39">
        <v>1000000</v>
      </c>
      <c r="Q449" s="39">
        <v>1000000</v>
      </c>
      <c r="R449" s="38">
        <v>1000000</v>
      </c>
      <c r="S449" s="40">
        <f t="shared" si="187"/>
        <v>3236975</v>
      </c>
      <c r="T449" s="37">
        <v>1000000</v>
      </c>
      <c r="U449" s="37">
        <v>1000000</v>
      </c>
      <c r="V449" s="37">
        <v>1000000</v>
      </c>
      <c r="W449" s="37">
        <v>1000000</v>
      </c>
      <c r="X449" s="37">
        <v>1000000</v>
      </c>
      <c r="Y449" s="37">
        <v>1000000</v>
      </c>
      <c r="Z449" s="37">
        <v>1000000</v>
      </c>
      <c r="AA449" s="37">
        <v>1000000</v>
      </c>
      <c r="AB449" s="37">
        <v>1000000</v>
      </c>
      <c r="AC449" s="37">
        <v>1000000</v>
      </c>
      <c r="AD449" s="37">
        <v>1000000</v>
      </c>
      <c r="AE449" s="37">
        <v>1000000</v>
      </c>
      <c r="AF449" s="40">
        <f t="shared" si="188"/>
        <v>12000000</v>
      </c>
      <c r="AG449" s="104" t="s">
        <v>743</v>
      </c>
    </row>
    <row r="450" spans="2:33" ht="12.75" x14ac:dyDescent="0.3">
      <c r="B450" s="27"/>
      <c r="C450" s="27"/>
      <c r="D450" s="27"/>
      <c r="E450" s="41">
        <v>5129120</v>
      </c>
      <c r="F450" s="36" t="s">
        <v>427</v>
      </c>
      <c r="G450" s="37">
        <v>0</v>
      </c>
      <c r="H450" s="37">
        <v>0</v>
      </c>
      <c r="I450" s="37">
        <v>0</v>
      </c>
      <c r="J450" s="37">
        <v>0</v>
      </c>
      <c r="K450" s="37">
        <v>0</v>
      </c>
      <c r="L450" s="37">
        <v>0</v>
      </c>
      <c r="M450" s="37">
        <v>0</v>
      </c>
      <c r="N450" s="37">
        <v>0</v>
      </c>
      <c r="O450" s="37">
        <v>0</v>
      </c>
      <c r="P450" s="39"/>
      <c r="Q450" s="39"/>
      <c r="R450" s="38"/>
      <c r="S450" s="40">
        <f t="shared" si="187"/>
        <v>0</v>
      </c>
      <c r="T450" s="37"/>
      <c r="U450" s="37"/>
      <c r="V450" s="37"/>
      <c r="W450" s="37"/>
      <c r="X450" s="37"/>
      <c r="Y450" s="38"/>
      <c r="Z450" s="38"/>
      <c r="AA450" s="39"/>
      <c r="AB450" s="37"/>
      <c r="AC450" s="39"/>
      <c r="AD450" s="39"/>
      <c r="AE450" s="38"/>
      <c r="AF450" s="40"/>
      <c r="AG450" s="104"/>
    </row>
    <row r="451" spans="2:33" ht="12.75" x14ac:dyDescent="0.3">
      <c r="B451" s="27"/>
      <c r="C451" s="27"/>
      <c r="D451" s="27"/>
      <c r="E451" s="41">
        <v>5129130</v>
      </c>
      <c r="F451" s="36" t="s">
        <v>428</v>
      </c>
      <c r="G451" s="37">
        <v>557500</v>
      </c>
      <c r="H451" s="37">
        <v>557500</v>
      </c>
      <c r="I451" s="37">
        <v>557500</v>
      </c>
      <c r="J451" s="37">
        <v>557500</v>
      </c>
      <c r="K451" s="37">
        <v>579600</v>
      </c>
      <c r="L451" s="37">
        <v>322100</v>
      </c>
      <c r="M451" s="37">
        <v>707000</v>
      </c>
      <c r="N451" s="37">
        <v>612200</v>
      </c>
      <c r="O451" s="37">
        <v>547100</v>
      </c>
      <c r="P451" s="39">
        <f>160000+500*7700</f>
        <v>4010000</v>
      </c>
      <c r="Q451" s="39">
        <f t="shared" ref="Q451:AE451" si="191">160000+500*7700</f>
        <v>4010000</v>
      </c>
      <c r="R451" s="39">
        <f t="shared" si="191"/>
        <v>4010000</v>
      </c>
      <c r="S451" s="40">
        <f t="shared" si="187"/>
        <v>17028000</v>
      </c>
      <c r="T451" s="37">
        <f t="shared" si="191"/>
        <v>4010000</v>
      </c>
      <c r="U451" s="37">
        <f t="shared" si="191"/>
        <v>4010000</v>
      </c>
      <c r="V451" s="37">
        <f t="shared" si="191"/>
        <v>4010000</v>
      </c>
      <c r="W451" s="37">
        <f t="shared" si="191"/>
        <v>4010000</v>
      </c>
      <c r="X451" s="37">
        <f t="shared" si="191"/>
        <v>4010000</v>
      </c>
      <c r="Y451" s="37">
        <f t="shared" si="191"/>
        <v>4010000</v>
      </c>
      <c r="Z451" s="37">
        <f t="shared" si="191"/>
        <v>4010000</v>
      </c>
      <c r="AA451" s="37">
        <f t="shared" si="191"/>
        <v>4010000</v>
      </c>
      <c r="AB451" s="37">
        <f t="shared" si="191"/>
        <v>4010000</v>
      </c>
      <c r="AC451" s="37">
        <f t="shared" si="191"/>
        <v>4010000</v>
      </c>
      <c r="AD451" s="37">
        <f t="shared" si="191"/>
        <v>4010000</v>
      </c>
      <c r="AE451" s="37">
        <f t="shared" si="191"/>
        <v>4010000</v>
      </c>
      <c r="AF451" s="40">
        <f t="shared" si="188"/>
        <v>48120000</v>
      </c>
      <c r="AG451" s="104" t="s">
        <v>788</v>
      </c>
    </row>
    <row r="452" spans="2:33" ht="12.75" x14ac:dyDescent="0.3">
      <c r="B452" s="27"/>
      <c r="C452" s="27"/>
      <c r="D452" s="27"/>
      <c r="E452" s="41">
        <v>5129190</v>
      </c>
      <c r="F452" s="36" t="s">
        <v>429</v>
      </c>
      <c r="G452" s="37">
        <v>0</v>
      </c>
      <c r="H452" s="37">
        <v>0</v>
      </c>
      <c r="I452" s="37">
        <v>0</v>
      </c>
      <c r="J452" s="37">
        <v>0</v>
      </c>
      <c r="K452" s="37">
        <v>0</v>
      </c>
      <c r="L452" s="37">
        <v>0</v>
      </c>
      <c r="M452" s="37">
        <v>0</v>
      </c>
      <c r="N452" s="37">
        <v>0</v>
      </c>
      <c r="O452" s="37">
        <v>0</v>
      </c>
      <c r="P452" s="39"/>
      <c r="Q452" s="39"/>
      <c r="R452" s="38"/>
      <c r="S452" s="40">
        <f t="shared" si="187"/>
        <v>0</v>
      </c>
      <c r="T452" s="37"/>
      <c r="U452" s="37"/>
      <c r="V452" s="37"/>
      <c r="W452" s="37"/>
      <c r="X452" s="37"/>
      <c r="Y452" s="38"/>
      <c r="Z452" s="38"/>
      <c r="AA452" s="39"/>
      <c r="AB452" s="37"/>
      <c r="AC452" s="39"/>
      <c r="AD452" s="39"/>
      <c r="AE452" s="38"/>
      <c r="AF452" s="40"/>
      <c r="AG452" s="104"/>
    </row>
    <row r="453" spans="2:33" ht="12.75" x14ac:dyDescent="0.3">
      <c r="B453" s="27"/>
      <c r="C453" s="27"/>
      <c r="D453" s="29" t="s">
        <v>430</v>
      </c>
      <c r="E453" s="42"/>
      <c r="F453" s="31"/>
      <c r="G453" s="33">
        <v>0</v>
      </c>
      <c r="H453" s="33">
        <v>0</v>
      </c>
      <c r="I453" s="33">
        <v>0</v>
      </c>
      <c r="J453" s="33">
        <v>0</v>
      </c>
      <c r="K453" s="33">
        <v>0</v>
      </c>
      <c r="L453" s="33">
        <v>0</v>
      </c>
      <c r="M453" s="33">
        <v>0</v>
      </c>
      <c r="N453" s="33">
        <v>0</v>
      </c>
      <c r="O453" s="33">
        <v>0</v>
      </c>
      <c r="P453" s="33">
        <f t="shared" ref="P453:R453" si="192">SUM(P454:P456)</f>
        <v>0</v>
      </c>
      <c r="Q453" s="33">
        <f t="shared" si="192"/>
        <v>0</v>
      </c>
      <c r="R453" s="34">
        <f t="shared" si="192"/>
        <v>0</v>
      </c>
      <c r="S453" s="26">
        <f t="shared" si="187"/>
        <v>0</v>
      </c>
      <c r="T453" s="33">
        <f t="shared" ref="T453:AE453" si="193">SUM(T454:T456)</f>
        <v>0</v>
      </c>
      <c r="U453" s="33">
        <f t="shared" si="193"/>
        <v>0</v>
      </c>
      <c r="V453" s="33">
        <f t="shared" si="193"/>
        <v>0</v>
      </c>
      <c r="W453" s="33">
        <f t="shared" si="193"/>
        <v>0</v>
      </c>
      <c r="X453" s="33">
        <f t="shared" si="193"/>
        <v>0</v>
      </c>
      <c r="Y453" s="33">
        <f t="shared" si="193"/>
        <v>0</v>
      </c>
      <c r="Z453" s="33">
        <f t="shared" si="193"/>
        <v>0</v>
      </c>
      <c r="AA453" s="33">
        <f t="shared" si="193"/>
        <v>0</v>
      </c>
      <c r="AB453" s="33">
        <f t="shared" si="193"/>
        <v>0</v>
      </c>
      <c r="AC453" s="33">
        <f t="shared" si="193"/>
        <v>0</v>
      </c>
      <c r="AD453" s="33">
        <f t="shared" si="193"/>
        <v>0</v>
      </c>
      <c r="AE453" s="34">
        <f t="shared" si="193"/>
        <v>0</v>
      </c>
      <c r="AF453" s="26">
        <f t="shared" si="188"/>
        <v>0</v>
      </c>
      <c r="AG453" s="103"/>
    </row>
    <row r="454" spans="2:33" ht="12.75" x14ac:dyDescent="0.3">
      <c r="B454" s="27"/>
      <c r="C454" s="27"/>
      <c r="D454" s="27"/>
      <c r="E454" s="41">
        <v>5129210</v>
      </c>
      <c r="F454" s="36" t="s">
        <v>431</v>
      </c>
      <c r="G454" s="37">
        <v>0</v>
      </c>
      <c r="H454" s="37">
        <v>0</v>
      </c>
      <c r="I454" s="37">
        <v>0</v>
      </c>
      <c r="J454" s="37">
        <v>0</v>
      </c>
      <c r="K454" s="37">
        <v>0</v>
      </c>
      <c r="L454" s="37">
        <v>0</v>
      </c>
      <c r="M454" s="37">
        <v>0</v>
      </c>
      <c r="N454" s="37">
        <v>0</v>
      </c>
      <c r="O454" s="37">
        <v>0</v>
      </c>
      <c r="P454" s="39"/>
      <c r="Q454" s="39"/>
      <c r="R454" s="38"/>
      <c r="S454" s="40">
        <f t="shared" si="187"/>
        <v>0</v>
      </c>
      <c r="T454" s="37"/>
      <c r="U454" s="37"/>
      <c r="V454" s="37"/>
      <c r="W454" s="37"/>
      <c r="X454" s="37"/>
      <c r="Y454" s="38"/>
      <c r="Z454" s="38"/>
      <c r="AA454" s="39"/>
      <c r="AB454" s="37"/>
      <c r="AC454" s="39"/>
      <c r="AD454" s="39"/>
      <c r="AE454" s="38"/>
      <c r="AF454" s="40">
        <f t="shared" si="188"/>
        <v>0</v>
      </c>
      <c r="AG454" s="104"/>
    </row>
    <row r="455" spans="2:33" ht="12.75" x14ac:dyDescent="0.3">
      <c r="B455" s="27"/>
      <c r="C455" s="27"/>
      <c r="D455" s="27"/>
      <c r="E455" s="41">
        <v>5129220</v>
      </c>
      <c r="F455" s="36" t="s">
        <v>432</v>
      </c>
      <c r="G455" s="37">
        <v>0</v>
      </c>
      <c r="H455" s="37">
        <v>0</v>
      </c>
      <c r="I455" s="37">
        <v>0</v>
      </c>
      <c r="J455" s="37">
        <v>0</v>
      </c>
      <c r="K455" s="37">
        <v>0</v>
      </c>
      <c r="L455" s="37">
        <v>0</v>
      </c>
      <c r="M455" s="37">
        <v>0</v>
      </c>
      <c r="N455" s="37">
        <v>0</v>
      </c>
      <c r="O455" s="37">
        <v>0</v>
      </c>
      <c r="P455" s="39"/>
      <c r="Q455" s="39"/>
      <c r="R455" s="38"/>
      <c r="S455" s="40">
        <f t="shared" si="187"/>
        <v>0</v>
      </c>
      <c r="T455" s="37"/>
      <c r="U455" s="37"/>
      <c r="V455" s="37"/>
      <c r="W455" s="37"/>
      <c r="X455" s="37"/>
      <c r="Y455" s="38"/>
      <c r="Z455" s="38"/>
      <c r="AA455" s="39"/>
      <c r="AB455" s="37"/>
      <c r="AC455" s="39"/>
      <c r="AD455" s="39"/>
      <c r="AE455" s="38"/>
      <c r="AF455" s="40">
        <f t="shared" si="188"/>
        <v>0</v>
      </c>
      <c r="AG455" s="104"/>
    </row>
    <row r="456" spans="2:33" ht="12.75" x14ac:dyDescent="0.3">
      <c r="B456" s="27"/>
      <c r="C456" s="27"/>
      <c r="D456" s="27"/>
      <c r="E456" s="41">
        <v>5129290</v>
      </c>
      <c r="F456" s="36" t="s">
        <v>433</v>
      </c>
      <c r="G456" s="37">
        <v>0</v>
      </c>
      <c r="H456" s="37">
        <v>0</v>
      </c>
      <c r="I456" s="37">
        <v>0</v>
      </c>
      <c r="J456" s="37">
        <v>0</v>
      </c>
      <c r="K456" s="37">
        <v>0</v>
      </c>
      <c r="L456" s="37">
        <v>0</v>
      </c>
      <c r="M456" s="37">
        <v>0</v>
      </c>
      <c r="N456" s="37">
        <v>0</v>
      </c>
      <c r="O456" s="37">
        <v>0</v>
      </c>
      <c r="P456" s="39"/>
      <c r="Q456" s="39"/>
      <c r="R456" s="38"/>
      <c r="S456" s="40">
        <f t="shared" si="187"/>
        <v>0</v>
      </c>
      <c r="T456" s="37"/>
      <c r="U456" s="37"/>
      <c r="V456" s="37"/>
      <c r="W456" s="37"/>
      <c r="X456" s="37"/>
      <c r="Y456" s="38"/>
      <c r="Z456" s="38"/>
      <c r="AA456" s="39"/>
      <c r="AB456" s="37"/>
      <c r="AC456" s="39"/>
      <c r="AD456" s="39"/>
      <c r="AE456" s="38"/>
      <c r="AF456" s="40">
        <f t="shared" si="188"/>
        <v>0</v>
      </c>
      <c r="AG456" s="104"/>
    </row>
    <row r="457" spans="2:33" ht="12.75" x14ac:dyDescent="0.3">
      <c r="B457" s="27"/>
      <c r="C457" s="27"/>
      <c r="D457" s="29" t="s">
        <v>434</v>
      </c>
      <c r="E457" s="42"/>
      <c r="F457" s="31"/>
      <c r="G457" s="33">
        <v>0</v>
      </c>
      <c r="H457" s="33">
        <v>0</v>
      </c>
      <c r="I457" s="33">
        <v>0</v>
      </c>
      <c r="J457" s="33">
        <v>0</v>
      </c>
      <c r="K457" s="33">
        <v>0</v>
      </c>
      <c r="L457" s="33">
        <v>0</v>
      </c>
      <c r="M457" s="33">
        <v>0</v>
      </c>
      <c r="N457" s="33">
        <v>0</v>
      </c>
      <c r="O457" s="33">
        <v>0</v>
      </c>
      <c r="P457" s="33">
        <f t="shared" ref="P457:R457" si="194">SUM(P458:P467)</f>
        <v>0</v>
      </c>
      <c r="Q457" s="33">
        <f t="shared" si="194"/>
        <v>0</v>
      </c>
      <c r="R457" s="34">
        <f t="shared" si="194"/>
        <v>0</v>
      </c>
      <c r="S457" s="26">
        <f t="shared" si="187"/>
        <v>0</v>
      </c>
      <c r="T457" s="33">
        <f t="shared" ref="T457:AE457" si="195">SUM(T458:T467)</f>
        <v>0</v>
      </c>
      <c r="U457" s="33">
        <f t="shared" si="195"/>
        <v>0</v>
      </c>
      <c r="V457" s="33">
        <f t="shared" si="195"/>
        <v>0</v>
      </c>
      <c r="W457" s="33">
        <f t="shared" si="195"/>
        <v>0</v>
      </c>
      <c r="X457" s="33">
        <f t="shared" si="195"/>
        <v>0</v>
      </c>
      <c r="Y457" s="33">
        <f t="shared" si="195"/>
        <v>0</v>
      </c>
      <c r="Z457" s="33">
        <f t="shared" si="195"/>
        <v>0</v>
      </c>
      <c r="AA457" s="33">
        <f t="shared" si="195"/>
        <v>0</v>
      </c>
      <c r="AB457" s="33">
        <f t="shared" si="195"/>
        <v>0</v>
      </c>
      <c r="AC457" s="33">
        <f t="shared" si="195"/>
        <v>0</v>
      </c>
      <c r="AD457" s="33">
        <f t="shared" si="195"/>
        <v>0</v>
      </c>
      <c r="AE457" s="34">
        <f t="shared" si="195"/>
        <v>0</v>
      </c>
      <c r="AF457" s="26">
        <f t="shared" si="188"/>
        <v>0</v>
      </c>
      <c r="AG457" s="103"/>
    </row>
    <row r="458" spans="2:33" ht="12.75" x14ac:dyDescent="0.3">
      <c r="B458" s="27"/>
      <c r="C458" s="27"/>
      <c r="D458" s="27"/>
      <c r="E458" s="41">
        <v>5131100</v>
      </c>
      <c r="F458" s="36" t="s">
        <v>435</v>
      </c>
      <c r="G458" s="37">
        <v>0</v>
      </c>
      <c r="H458" s="37">
        <v>0</v>
      </c>
      <c r="I458" s="37">
        <v>0</v>
      </c>
      <c r="J458" s="37">
        <v>0</v>
      </c>
      <c r="K458" s="37">
        <v>0</v>
      </c>
      <c r="L458" s="37">
        <v>0</v>
      </c>
      <c r="M458" s="37">
        <v>0</v>
      </c>
      <c r="N458" s="37">
        <v>0</v>
      </c>
      <c r="O458" s="37">
        <v>0</v>
      </c>
      <c r="P458" s="39"/>
      <c r="Q458" s="39"/>
      <c r="R458" s="38"/>
      <c r="S458" s="40">
        <f t="shared" si="187"/>
        <v>0</v>
      </c>
      <c r="T458" s="37"/>
      <c r="U458" s="37"/>
      <c r="V458" s="37"/>
      <c r="W458" s="37"/>
      <c r="X458" s="37"/>
      <c r="Y458" s="38"/>
      <c r="Z458" s="38"/>
      <c r="AA458" s="39"/>
      <c r="AB458" s="37"/>
      <c r="AC458" s="39"/>
      <c r="AD458" s="39"/>
      <c r="AE458" s="38"/>
      <c r="AF458" s="40">
        <f t="shared" si="188"/>
        <v>0</v>
      </c>
      <c r="AG458" s="104"/>
    </row>
    <row r="459" spans="2:33" ht="12.75" x14ac:dyDescent="0.3">
      <c r="B459" s="27"/>
      <c r="C459" s="27"/>
      <c r="D459" s="27"/>
      <c r="E459" s="41">
        <v>5131101</v>
      </c>
      <c r="F459" s="36" t="s">
        <v>436</v>
      </c>
      <c r="G459" s="37">
        <v>0</v>
      </c>
      <c r="H459" s="37">
        <v>0</v>
      </c>
      <c r="I459" s="37">
        <v>0</v>
      </c>
      <c r="J459" s="37">
        <v>0</v>
      </c>
      <c r="K459" s="37">
        <v>0</v>
      </c>
      <c r="L459" s="37">
        <v>0</v>
      </c>
      <c r="M459" s="37">
        <v>0</v>
      </c>
      <c r="N459" s="37">
        <v>0</v>
      </c>
      <c r="O459" s="37">
        <v>0</v>
      </c>
      <c r="P459" s="39"/>
      <c r="Q459" s="39"/>
      <c r="R459" s="38"/>
      <c r="S459" s="40">
        <f t="shared" si="187"/>
        <v>0</v>
      </c>
      <c r="T459" s="37"/>
      <c r="U459" s="37"/>
      <c r="V459" s="37"/>
      <c r="W459" s="37"/>
      <c r="X459" s="37"/>
      <c r="Y459" s="38"/>
      <c r="Z459" s="38"/>
      <c r="AA459" s="39"/>
      <c r="AB459" s="37"/>
      <c r="AC459" s="39"/>
      <c r="AD459" s="39"/>
      <c r="AE459" s="38"/>
      <c r="AF459" s="40">
        <f t="shared" si="188"/>
        <v>0</v>
      </c>
      <c r="AG459" s="104"/>
    </row>
    <row r="460" spans="2:33" ht="12.75" x14ac:dyDescent="0.3">
      <c r="B460" s="27"/>
      <c r="C460" s="27"/>
      <c r="D460" s="27"/>
      <c r="E460" s="41">
        <v>5131110</v>
      </c>
      <c r="F460" s="36" t="s">
        <v>437</v>
      </c>
      <c r="G460" s="37">
        <v>0</v>
      </c>
      <c r="H460" s="37">
        <v>0</v>
      </c>
      <c r="I460" s="37">
        <v>0</v>
      </c>
      <c r="J460" s="37">
        <v>0</v>
      </c>
      <c r="K460" s="37">
        <v>0</v>
      </c>
      <c r="L460" s="37">
        <v>0</v>
      </c>
      <c r="M460" s="37">
        <v>0</v>
      </c>
      <c r="N460" s="37">
        <v>0</v>
      </c>
      <c r="O460" s="37">
        <v>0</v>
      </c>
      <c r="P460" s="39"/>
      <c r="Q460" s="39"/>
      <c r="R460" s="38"/>
      <c r="S460" s="40">
        <f t="shared" si="187"/>
        <v>0</v>
      </c>
      <c r="T460" s="37"/>
      <c r="U460" s="37"/>
      <c r="V460" s="37"/>
      <c r="W460" s="37"/>
      <c r="X460" s="37"/>
      <c r="Y460" s="38"/>
      <c r="Z460" s="38"/>
      <c r="AA460" s="39"/>
      <c r="AB460" s="37"/>
      <c r="AC460" s="39"/>
      <c r="AD460" s="39"/>
      <c r="AE460" s="38"/>
      <c r="AF460" s="40">
        <f t="shared" si="188"/>
        <v>0</v>
      </c>
      <c r="AG460" s="104"/>
    </row>
    <row r="461" spans="2:33" ht="12.75" x14ac:dyDescent="0.3">
      <c r="B461" s="27"/>
      <c r="C461" s="27"/>
      <c r="D461" s="27"/>
      <c r="E461" s="41">
        <v>5131120</v>
      </c>
      <c r="F461" s="36" t="s">
        <v>438</v>
      </c>
      <c r="G461" s="37">
        <v>0</v>
      </c>
      <c r="H461" s="37">
        <v>0</v>
      </c>
      <c r="I461" s="37">
        <v>0</v>
      </c>
      <c r="J461" s="37">
        <v>0</v>
      </c>
      <c r="K461" s="37">
        <v>0</v>
      </c>
      <c r="L461" s="37">
        <v>0</v>
      </c>
      <c r="M461" s="37">
        <v>0</v>
      </c>
      <c r="N461" s="37">
        <v>0</v>
      </c>
      <c r="O461" s="37">
        <v>0</v>
      </c>
      <c r="P461" s="39"/>
      <c r="Q461" s="39"/>
      <c r="R461" s="38"/>
      <c r="S461" s="40">
        <f t="shared" si="187"/>
        <v>0</v>
      </c>
      <c r="T461" s="37"/>
      <c r="U461" s="37"/>
      <c r="V461" s="37"/>
      <c r="W461" s="37"/>
      <c r="X461" s="37"/>
      <c r="Y461" s="38"/>
      <c r="Z461" s="38"/>
      <c r="AA461" s="39"/>
      <c r="AB461" s="37"/>
      <c r="AC461" s="39"/>
      <c r="AD461" s="39"/>
      <c r="AE461" s="38"/>
      <c r="AF461" s="40">
        <f t="shared" si="188"/>
        <v>0</v>
      </c>
      <c r="AG461" s="104"/>
    </row>
    <row r="462" spans="2:33" ht="12.75" x14ac:dyDescent="0.3">
      <c r="B462" s="27"/>
      <c r="C462" s="27"/>
      <c r="D462" s="27"/>
      <c r="E462" s="41">
        <v>5131121</v>
      </c>
      <c r="F462" s="36" t="s">
        <v>439</v>
      </c>
      <c r="G462" s="37">
        <v>0</v>
      </c>
      <c r="H462" s="37">
        <v>0</v>
      </c>
      <c r="I462" s="37">
        <v>0</v>
      </c>
      <c r="J462" s="37">
        <v>0</v>
      </c>
      <c r="K462" s="37">
        <v>0</v>
      </c>
      <c r="L462" s="37">
        <v>0</v>
      </c>
      <c r="M462" s="37">
        <v>0</v>
      </c>
      <c r="N462" s="37">
        <v>0</v>
      </c>
      <c r="O462" s="37">
        <v>0</v>
      </c>
      <c r="P462" s="39"/>
      <c r="Q462" s="39"/>
      <c r="R462" s="38"/>
      <c r="S462" s="40">
        <f t="shared" si="187"/>
        <v>0</v>
      </c>
      <c r="T462" s="37"/>
      <c r="U462" s="37"/>
      <c r="V462" s="37"/>
      <c r="W462" s="37"/>
      <c r="X462" s="37"/>
      <c r="Y462" s="38"/>
      <c r="Z462" s="38"/>
      <c r="AA462" s="39"/>
      <c r="AB462" s="37"/>
      <c r="AC462" s="39"/>
      <c r="AD462" s="39"/>
      <c r="AE462" s="38"/>
      <c r="AF462" s="40">
        <f t="shared" si="188"/>
        <v>0</v>
      </c>
      <c r="AG462" s="104"/>
    </row>
    <row r="463" spans="2:33" ht="12.75" x14ac:dyDescent="0.3">
      <c r="B463" s="27"/>
      <c r="C463" s="27"/>
      <c r="D463" s="27"/>
      <c r="E463" s="41">
        <v>5131140</v>
      </c>
      <c r="F463" s="36" t="s">
        <v>440</v>
      </c>
      <c r="G463" s="37">
        <v>0</v>
      </c>
      <c r="H463" s="37">
        <v>0</v>
      </c>
      <c r="I463" s="37">
        <v>0</v>
      </c>
      <c r="J463" s="37">
        <v>0</v>
      </c>
      <c r="K463" s="37">
        <v>0</v>
      </c>
      <c r="L463" s="37">
        <v>0</v>
      </c>
      <c r="M463" s="37">
        <v>0</v>
      </c>
      <c r="N463" s="37">
        <v>0</v>
      </c>
      <c r="O463" s="37">
        <v>0</v>
      </c>
      <c r="P463" s="39"/>
      <c r="Q463" s="39"/>
      <c r="R463" s="38"/>
      <c r="S463" s="40">
        <f t="shared" si="187"/>
        <v>0</v>
      </c>
      <c r="T463" s="37"/>
      <c r="U463" s="37"/>
      <c r="V463" s="37"/>
      <c r="W463" s="37"/>
      <c r="X463" s="37"/>
      <c r="Y463" s="38"/>
      <c r="Z463" s="38"/>
      <c r="AA463" s="39"/>
      <c r="AB463" s="37"/>
      <c r="AC463" s="39"/>
      <c r="AD463" s="39"/>
      <c r="AE463" s="38"/>
      <c r="AF463" s="40">
        <f t="shared" si="188"/>
        <v>0</v>
      </c>
      <c r="AG463" s="104"/>
    </row>
    <row r="464" spans="2:33" ht="12.75" x14ac:dyDescent="0.3">
      <c r="B464" s="27"/>
      <c r="C464" s="27"/>
      <c r="D464" s="27"/>
      <c r="E464" s="41">
        <v>5131150</v>
      </c>
      <c r="F464" s="36" t="s">
        <v>441</v>
      </c>
      <c r="G464" s="37">
        <v>0</v>
      </c>
      <c r="H464" s="37">
        <v>0</v>
      </c>
      <c r="I464" s="37">
        <v>0</v>
      </c>
      <c r="J464" s="37">
        <v>0</v>
      </c>
      <c r="K464" s="37">
        <v>0</v>
      </c>
      <c r="L464" s="37">
        <v>0</v>
      </c>
      <c r="M464" s="37">
        <v>0</v>
      </c>
      <c r="N464" s="37">
        <v>0</v>
      </c>
      <c r="O464" s="37">
        <v>0</v>
      </c>
      <c r="P464" s="39"/>
      <c r="Q464" s="39"/>
      <c r="R464" s="38"/>
      <c r="S464" s="40">
        <f t="shared" si="187"/>
        <v>0</v>
      </c>
      <c r="T464" s="37"/>
      <c r="U464" s="37"/>
      <c r="V464" s="37"/>
      <c r="W464" s="37"/>
      <c r="X464" s="37"/>
      <c r="Y464" s="38"/>
      <c r="Z464" s="38"/>
      <c r="AA464" s="39"/>
      <c r="AB464" s="37"/>
      <c r="AC464" s="39"/>
      <c r="AD464" s="39"/>
      <c r="AE464" s="38"/>
      <c r="AF464" s="40">
        <f t="shared" si="188"/>
        <v>0</v>
      </c>
      <c r="AG464" s="104"/>
    </row>
    <row r="465" spans="2:33" ht="12.75" x14ac:dyDescent="0.3">
      <c r="B465" s="27"/>
      <c r="C465" s="27"/>
      <c r="D465" s="27"/>
      <c r="E465" s="41">
        <v>5131160</v>
      </c>
      <c r="F465" s="36" t="s">
        <v>442</v>
      </c>
      <c r="G465" s="37">
        <v>0</v>
      </c>
      <c r="H465" s="37">
        <v>0</v>
      </c>
      <c r="I465" s="37">
        <v>0</v>
      </c>
      <c r="J465" s="37">
        <v>0</v>
      </c>
      <c r="K465" s="37">
        <v>0</v>
      </c>
      <c r="L465" s="37">
        <v>0</v>
      </c>
      <c r="M465" s="37">
        <v>0</v>
      </c>
      <c r="N465" s="37">
        <v>0</v>
      </c>
      <c r="O465" s="37">
        <v>0</v>
      </c>
      <c r="P465" s="39"/>
      <c r="Q465" s="39"/>
      <c r="R465" s="38"/>
      <c r="S465" s="40">
        <f t="shared" si="187"/>
        <v>0</v>
      </c>
      <c r="T465" s="37"/>
      <c r="U465" s="37"/>
      <c r="V465" s="37"/>
      <c r="W465" s="37"/>
      <c r="X465" s="37"/>
      <c r="Y465" s="38"/>
      <c r="Z465" s="38"/>
      <c r="AA465" s="39"/>
      <c r="AB465" s="37"/>
      <c r="AC465" s="39"/>
      <c r="AD465" s="39"/>
      <c r="AE465" s="38"/>
      <c r="AF465" s="40">
        <f t="shared" si="188"/>
        <v>0</v>
      </c>
      <c r="AG465" s="104"/>
    </row>
    <row r="466" spans="2:33" ht="12.75" x14ac:dyDescent="0.3">
      <c r="B466" s="27"/>
      <c r="C466" s="27"/>
      <c r="D466" s="27"/>
      <c r="E466" s="41">
        <v>5131170</v>
      </c>
      <c r="F466" s="36" t="s">
        <v>443</v>
      </c>
      <c r="G466" s="37">
        <v>0</v>
      </c>
      <c r="H466" s="37">
        <v>0</v>
      </c>
      <c r="I466" s="37">
        <v>0</v>
      </c>
      <c r="J466" s="37">
        <v>0</v>
      </c>
      <c r="K466" s="37">
        <v>0</v>
      </c>
      <c r="L466" s="37">
        <v>0</v>
      </c>
      <c r="M466" s="37">
        <v>0</v>
      </c>
      <c r="N466" s="37">
        <v>0</v>
      </c>
      <c r="O466" s="37">
        <v>0</v>
      </c>
      <c r="P466" s="39"/>
      <c r="Q466" s="39"/>
      <c r="R466" s="38"/>
      <c r="S466" s="40">
        <f t="shared" si="187"/>
        <v>0</v>
      </c>
      <c r="T466" s="37"/>
      <c r="U466" s="37"/>
      <c r="V466" s="37"/>
      <c r="W466" s="37"/>
      <c r="X466" s="37"/>
      <c r="Y466" s="38"/>
      <c r="Z466" s="38"/>
      <c r="AA466" s="39"/>
      <c r="AB466" s="37"/>
      <c r="AC466" s="39"/>
      <c r="AD466" s="39"/>
      <c r="AE466" s="38"/>
      <c r="AF466" s="40">
        <f t="shared" si="188"/>
        <v>0</v>
      </c>
      <c r="AG466" s="104"/>
    </row>
    <row r="467" spans="2:33" ht="12.75" x14ac:dyDescent="0.3">
      <c r="B467" s="27"/>
      <c r="C467" s="27"/>
      <c r="D467" s="27"/>
      <c r="E467" s="41">
        <v>5131190</v>
      </c>
      <c r="F467" s="36" t="s">
        <v>444</v>
      </c>
      <c r="G467" s="37">
        <v>0</v>
      </c>
      <c r="H467" s="37">
        <v>0</v>
      </c>
      <c r="I467" s="37">
        <v>0</v>
      </c>
      <c r="J467" s="37">
        <v>0</v>
      </c>
      <c r="K467" s="37">
        <v>0</v>
      </c>
      <c r="L467" s="37">
        <v>0</v>
      </c>
      <c r="M467" s="37">
        <v>0</v>
      </c>
      <c r="N467" s="37">
        <v>0</v>
      </c>
      <c r="O467" s="37">
        <v>0</v>
      </c>
      <c r="P467" s="39"/>
      <c r="Q467" s="39"/>
      <c r="R467" s="38"/>
      <c r="S467" s="40">
        <f t="shared" si="187"/>
        <v>0</v>
      </c>
      <c r="T467" s="37"/>
      <c r="U467" s="37"/>
      <c r="V467" s="37"/>
      <c r="W467" s="37"/>
      <c r="X467" s="37"/>
      <c r="Y467" s="38"/>
      <c r="Z467" s="38"/>
      <c r="AA467" s="39"/>
      <c r="AB467" s="37"/>
      <c r="AC467" s="39"/>
      <c r="AD467" s="39"/>
      <c r="AE467" s="38"/>
      <c r="AF467" s="40">
        <f t="shared" si="188"/>
        <v>0</v>
      </c>
      <c r="AG467" s="104"/>
    </row>
    <row r="468" spans="2:33" ht="12.75" x14ac:dyDescent="0.3">
      <c r="B468" s="27"/>
      <c r="C468" s="27"/>
      <c r="D468" s="29" t="s">
        <v>445</v>
      </c>
      <c r="E468" s="42"/>
      <c r="F468" s="31"/>
      <c r="G468" s="33">
        <v>0</v>
      </c>
      <c r="H468" s="33">
        <v>0</v>
      </c>
      <c r="I468" s="33">
        <v>0</v>
      </c>
      <c r="J468" s="33">
        <v>0</v>
      </c>
      <c r="K468" s="33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f t="shared" ref="P468:R468" si="196">SUM(P469:P471)</f>
        <v>0</v>
      </c>
      <c r="Q468" s="33">
        <f t="shared" si="196"/>
        <v>2250000</v>
      </c>
      <c r="R468" s="34">
        <f t="shared" si="196"/>
        <v>0</v>
      </c>
      <c r="S468" s="26">
        <f t="shared" si="187"/>
        <v>2250000</v>
      </c>
      <c r="T468" s="33">
        <f t="shared" ref="T468:AB468" si="197">SUM(T469:T471)</f>
        <v>0</v>
      </c>
      <c r="U468" s="33">
        <f t="shared" si="197"/>
        <v>2250000</v>
      </c>
      <c r="V468" s="33">
        <f t="shared" si="197"/>
        <v>5000000</v>
      </c>
      <c r="W468" s="33">
        <f t="shared" si="197"/>
        <v>0</v>
      </c>
      <c r="X468" s="33">
        <f t="shared" si="197"/>
        <v>40000000</v>
      </c>
      <c r="Y468" s="33">
        <f t="shared" si="197"/>
        <v>0</v>
      </c>
      <c r="Z468" s="33">
        <f t="shared" si="197"/>
        <v>5000000</v>
      </c>
      <c r="AA468" s="33">
        <f t="shared" si="197"/>
        <v>0</v>
      </c>
      <c r="AB468" s="33">
        <f t="shared" si="197"/>
        <v>62250000</v>
      </c>
      <c r="AC468" s="33">
        <f t="shared" ref="AC468:AE468" si="198">SUM(AC469:AC471)</f>
        <v>0</v>
      </c>
      <c r="AD468" s="33">
        <f t="shared" si="198"/>
        <v>0</v>
      </c>
      <c r="AE468" s="34">
        <f t="shared" si="198"/>
        <v>0</v>
      </c>
      <c r="AF468" s="26">
        <f t="shared" si="188"/>
        <v>114500000</v>
      </c>
      <c r="AG468" s="107"/>
    </row>
    <row r="469" spans="2:33" ht="12.75" x14ac:dyDescent="0.3">
      <c r="B469" s="27"/>
      <c r="C469" s="27"/>
      <c r="D469" s="27"/>
      <c r="E469" s="41">
        <v>5191200</v>
      </c>
      <c r="F469" s="36" t="s">
        <v>446</v>
      </c>
      <c r="G469" s="37">
        <v>0</v>
      </c>
      <c r="H469" s="37">
        <v>0</v>
      </c>
      <c r="I469" s="37">
        <v>0</v>
      </c>
      <c r="J469" s="37">
        <v>0</v>
      </c>
      <c r="K469" s="37">
        <v>0</v>
      </c>
      <c r="L469" s="37">
        <v>0</v>
      </c>
      <c r="M469" s="37">
        <v>0</v>
      </c>
      <c r="N469" s="37">
        <v>0</v>
      </c>
      <c r="O469" s="37">
        <v>0</v>
      </c>
      <c r="P469" s="39"/>
      <c r="Q469" s="39"/>
      <c r="R469" s="38"/>
      <c r="S469" s="40">
        <f t="shared" si="187"/>
        <v>0</v>
      </c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8"/>
      <c r="AF469" s="40">
        <f t="shared" si="188"/>
        <v>0</v>
      </c>
      <c r="AG469" s="108"/>
    </row>
    <row r="470" spans="2:33" ht="12.75" x14ac:dyDescent="0.3">
      <c r="B470" s="27"/>
      <c r="C470" s="27"/>
      <c r="D470" s="27"/>
      <c r="E470" s="41">
        <v>5191210</v>
      </c>
      <c r="F470" s="36" t="s">
        <v>447</v>
      </c>
      <c r="G470" s="37">
        <v>0</v>
      </c>
      <c r="H470" s="37">
        <v>0</v>
      </c>
      <c r="I470" s="37">
        <v>0</v>
      </c>
      <c r="J470" s="37">
        <v>0</v>
      </c>
      <c r="K470" s="37">
        <v>0</v>
      </c>
      <c r="L470" s="37">
        <v>0</v>
      </c>
      <c r="M470" s="37">
        <v>0</v>
      </c>
      <c r="N470" s="37">
        <v>0</v>
      </c>
      <c r="O470" s="37">
        <v>0</v>
      </c>
      <c r="P470" s="39"/>
      <c r="Q470" s="39"/>
      <c r="R470" s="38"/>
      <c r="S470" s="40">
        <f t="shared" si="187"/>
        <v>0</v>
      </c>
      <c r="T470" s="39"/>
      <c r="U470" s="39"/>
      <c r="V470" s="39">
        <v>5000000</v>
      </c>
      <c r="W470" s="39"/>
      <c r="X470" s="39">
        <v>40000000</v>
      </c>
      <c r="Y470" s="39"/>
      <c r="Z470" s="39">
        <v>5000000</v>
      </c>
      <c r="AA470" s="39"/>
      <c r="AB470" s="39">
        <v>60000000</v>
      </c>
      <c r="AC470" s="39"/>
      <c r="AD470" s="39"/>
      <c r="AE470" s="38"/>
      <c r="AF470" s="40">
        <f t="shared" si="188"/>
        <v>110000000</v>
      </c>
      <c r="AG470" s="104" t="s">
        <v>751</v>
      </c>
    </row>
    <row r="471" spans="2:33" ht="12.75" x14ac:dyDescent="0.3">
      <c r="B471" s="27"/>
      <c r="C471" s="27"/>
      <c r="D471" s="27"/>
      <c r="E471" s="41">
        <v>5191220</v>
      </c>
      <c r="F471" s="36" t="s">
        <v>448</v>
      </c>
      <c r="G471" s="37">
        <v>0</v>
      </c>
      <c r="H471" s="37">
        <v>0</v>
      </c>
      <c r="I471" s="37">
        <v>0</v>
      </c>
      <c r="J471" s="37">
        <v>0</v>
      </c>
      <c r="K471" s="37">
        <v>0</v>
      </c>
      <c r="L471" s="37">
        <v>0</v>
      </c>
      <c r="M471" s="37">
        <v>0</v>
      </c>
      <c r="N471" s="37">
        <v>0</v>
      </c>
      <c r="O471" s="37">
        <v>0</v>
      </c>
      <c r="P471" s="39"/>
      <c r="Q471" s="39">
        <f>15*150000</f>
        <v>2250000</v>
      </c>
      <c r="R471" s="38"/>
      <c r="S471" s="40">
        <f t="shared" si="187"/>
        <v>2250000</v>
      </c>
      <c r="T471" s="39"/>
      <c r="U471" s="39">
        <f>15*150000</f>
        <v>2250000</v>
      </c>
      <c r="V471" s="39"/>
      <c r="W471" s="39"/>
      <c r="X471" s="39"/>
      <c r="Y471" s="39"/>
      <c r="Z471" s="39"/>
      <c r="AA471" s="39"/>
      <c r="AB471" s="39">
        <v>2250000</v>
      </c>
      <c r="AC471" s="39"/>
      <c r="AD471" s="39"/>
      <c r="AE471" s="38"/>
      <c r="AF471" s="40">
        <f t="shared" si="188"/>
        <v>4500000</v>
      </c>
      <c r="AG471" s="104" t="s">
        <v>750</v>
      </c>
    </row>
    <row r="472" spans="2:33" ht="12.75" x14ac:dyDescent="0.3">
      <c r="B472" s="27"/>
      <c r="C472" s="27"/>
      <c r="D472" s="29" t="s">
        <v>449</v>
      </c>
      <c r="E472" s="42"/>
      <c r="F472" s="31"/>
      <c r="G472" s="33">
        <v>0</v>
      </c>
      <c r="H472" s="33">
        <v>0</v>
      </c>
      <c r="I472" s="33">
        <v>0</v>
      </c>
      <c r="J472" s="33">
        <v>0</v>
      </c>
      <c r="K472" s="33">
        <v>0</v>
      </c>
      <c r="L472" s="33">
        <v>0</v>
      </c>
      <c r="M472" s="33">
        <v>0</v>
      </c>
      <c r="N472" s="33">
        <v>0</v>
      </c>
      <c r="O472" s="33">
        <v>0</v>
      </c>
      <c r="P472" s="33">
        <f t="shared" ref="P472:R472" si="199">SUM(P473:P474)</f>
        <v>0</v>
      </c>
      <c r="Q472" s="33">
        <f t="shared" si="199"/>
        <v>0</v>
      </c>
      <c r="R472" s="34">
        <f t="shared" si="199"/>
        <v>0</v>
      </c>
      <c r="S472" s="26">
        <f t="shared" si="187"/>
        <v>0</v>
      </c>
      <c r="T472" s="33">
        <f t="shared" ref="T472:AB472" si="200">SUM(T473:T474)</f>
        <v>0</v>
      </c>
      <c r="U472" s="33">
        <f t="shared" si="200"/>
        <v>0</v>
      </c>
      <c r="V472" s="33">
        <f t="shared" si="200"/>
        <v>0</v>
      </c>
      <c r="W472" s="33">
        <f t="shared" si="200"/>
        <v>0</v>
      </c>
      <c r="X472" s="33">
        <f t="shared" si="200"/>
        <v>0</v>
      </c>
      <c r="Y472" s="33">
        <f t="shared" si="200"/>
        <v>0</v>
      </c>
      <c r="Z472" s="33">
        <f t="shared" si="200"/>
        <v>0</v>
      </c>
      <c r="AA472" s="33">
        <f t="shared" si="200"/>
        <v>0</v>
      </c>
      <c r="AB472" s="33">
        <f t="shared" si="200"/>
        <v>0</v>
      </c>
      <c r="AC472" s="33">
        <f t="shared" ref="AC472:AE472" si="201">SUM(AC473:AC474)</f>
        <v>0</v>
      </c>
      <c r="AD472" s="33">
        <f t="shared" si="201"/>
        <v>0</v>
      </c>
      <c r="AE472" s="34">
        <f t="shared" si="201"/>
        <v>0</v>
      </c>
      <c r="AF472" s="26">
        <f t="shared" si="188"/>
        <v>0</v>
      </c>
      <c r="AG472" s="107"/>
    </row>
    <row r="473" spans="2:33" ht="12.75" x14ac:dyDescent="0.3">
      <c r="B473" s="27"/>
      <c r="C473" s="27"/>
      <c r="D473" s="27"/>
      <c r="E473" s="41">
        <v>5191110</v>
      </c>
      <c r="F473" s="36" t="s">
        <v>450</v>
      </c>
      <c r="G473" s="37">
        <v>0</v>
      </c>
      <c r="H473" s="37">
        <v>0</v>
      </c>
      <c r="I473" s="37">
        <v>0</v>
      </c>
      <c r="J473" s="37">
        <v>0</v>
      </c>
      <c r="K473" s="37">
        <v>0</v>
      </c>
      <c r="L473" s="37">
        <v>0</v>
      </c>
      <c r="M473" s="37">
        <v>0</v>
      </c>
      <c r="N473" s="37">
        <v>0</v>
      </c>
      <c r="O473" s="37">
        <v>0</v>
      </c>
      <c r="P473" s="39"/>
      <c r="Q473" s="39"/>
      <c r="R473" s="38"/>
      <c r="S473" s="40">
        <f t="shared" si="187"/>
        <v>0</v>
      </c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8"/>
      <c r="AF473" s="40">
        <f t="shared" si="188"/>
        <v>0</v>
      </c>
      <c r="AG473" s="108"/>
    </row>
    <row r="474" spans="2:33" ht="12.75" x14ac:dyDescent="0.3">
      <c r="B474" s="27"/>
      <c r="C474" s="27"/>
      <c r="D474" s="27"/>
      <c r="E474" s="41">
        <v>5191120</v>
      </c>
      <c r="F474" s="36" t="s">
        <v>451</v>
      </c>
      <c r="G474" s="37">
        <v>0</v>
      </c>
      <c r="H474" s="37">
        <v>0</v>
      </c>
      <c r="I474" s="37">
        <v>0</v>
      </c>
      <c r="J474" s="37">
        <v>0</v>
      </c>
      <c r="K474" s="37">
        <v>0</v>
      </c>
      <c r="L474" s="37">
        <v>0</v>
      </c>
      <c r="M474" s="37">
        <v>0</v>
      </c>
      <c r="N474" s="37">
        <v>0</v>
      </c>
      <c r="O474" s="37">
        <v>0</v>
      </c>
      <c r="P474" s="39"/>
      <c r="Q474" s="39"/>
      <c r="R474" s="38"/>
      <c r="S474" s="40">
        <f t="shared" si="187"/>
        <v>0</v>
      </c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8"/>
      <c r="AF474" s="40">
        <f t="shared" si="188"/>
        <v>0</v>
      </c>
      <c r="AG474" s="108"/>
    </row>
    <row r="475" spans="2:33" ht="12.75" x14ac:dyDescent="0.3">
      <c r="B475" s="27"/>
      <c r="C475" s="27"/>
      <c r="D475" s="29" t="s">
        <v>452</v>
      </c>
      <c r="E475" s="42"/>
      <c r="F475" s="31"/>
      <c r="G475" s="33">
        <v>0</v>
      </c>
      <c r="H475" s="33">
        <v>0</v>
      </c>
      <c r="I475" s="33">
        <v>0</v>
      </c>
      <c r="J475" s="33">
        <v>0</v>
      </c>
      <c r="K475" s="33">
        <v>0</v>
      </c>
      <c r="L475" s="33">
        <v>0</v>
      </c>
      <c r="M475" s="33">
        <v>0</v>
      </c>
      <c r="N475" s="33">
        <v>0</v>
      </c>
      <c r="O475" s="33">
        <v>0</v>
      </c>
      <c r="P475" s="33">
        <f t="shared" ref="P475:R475" si="202">SUM(P476:P477)</f>
        <v>0</v>
      </c>
      <c r="Q475" s="33">
        <f t="shared" si="202"/>
        <v>0</v>
      </c>
      <c r="R475" s="34">
        <f t="shared" si="202"/>
        <v>0</v>
      </c>
      <c r="S475" s="26">
        <f t="shared" si="187"/>
        <v>0</v>
      </c>
      <c r="T475" s="33">
        <f t="shared" ref="T475:AB475" si="203">SUM(T476:T477)</f>
        <v>0</v>
      </c>
      <c r="U475" s="33">
        <f t="shared" si="203"/>
        <v>0</v>
      </c>
      <c r="V475" s="33">
        <f t="shared" si="203"/>
        <v>0</v>
      </c>
      <c r="W475" s="33">
        <f t="shared" si="203"/>
        <v>0</v>
      </c>
      <c r="X475" s="33">
        <f t="shared" si="203"/>
        <v>0</v>
      </c>
      <c r="Y475" s="33">
        <f t="shared" si="203"/>
        <v>0</v>
      </c>
      <c r="Z475" s="33">
        <f t="shared" si="203"/>
        <v>0</v>
      </c>
      <c r="AA475" s="33">
        <f t="shared" si="203"/>
        <v>0</v>
      </c>
      <c r="AB475" s="33">
        <f t="shared" si="203"/>
        <v>0</v>
      </c>
      <c r="AC475" s="33">
        <f t="shared" ref="AC475:AE475" si="204">SUM(AC476:AC477)</f>
        <v>0</v>
      </c>
      <c r="AD475" s="33">
        <f t="shared" si="204"/>
        <v>0</v>
      </c>
      <c r="AE475" s="34">
        <f t="shared" si="204"/>
        <v>0</v>
      </c>
      <c r="AF475" s="26">
        <f t="shared" si="188"/>
        <v>0</v>
      </c>
      <c r="AG475" s="107"/>
    </row>
    <row r="476" spans="2:33" ht="12.75" x14ac:dyDescent="0.3">
      <c r="B476" s="27"/>
      <c r="C476" s="27"/>
      <c r="D476" s="27"/>
      <c r="E476" s="41">
        <v>5132000</v>
      </c>
      <c r="F476" s="36" t="s">
        <v>453</v>
      </c>
      <c r="G476" s="37">
        <v>0</v>
      </c>
      <c r="H476" s="37">
        <v>0</v>
      </c>
      <c r="I476" s="37">
        <v>0</v>
      </c>
      <c r="J476" s="37">
        <v>0</v>
      </c>
      <c r="K476" s="37">
        <v>0</v>
      </c>
      <c r="L476" s="37">
        <v>0</v>
      </c>
      <c r="M476" s="37">
        <v>0</v>
      </c>
      <c r="N476" s="37">
        <v>0</v>
      </c>
      <c r="O476" s="37">
        <v>0</v>
      </c>
      <c r="P476" s="39"/>
      <c r="Q476" s="39"/>
      <c r="R476" s="38"/>
      <c r="S476" s="40">
        <f t="shared" si="187"/>
        <v>0</v>
      </c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8"/>
      <c r="AF476" s="40">
        <f t="shared" si="188"/>
        <v>0</v>
      </c>
      <c r="AG476" s="108"/>
    </row>
    <row r="477" spans="2:33" ht="12.75" x14ac:dyDescent="0.3">
      <c r="B477" s="27"/>
      <c r="C477" s="27"/>
      <c r="D477" s="28"/>
      <c r="E477" s="44">
        <v>5133000</v>
      </c>
      <c r="F477" s="36" t="s">
        <v>454</v>
      </c>
      <c r="G477" s="37">
        <v>0</v>
      </c>
      <c r="H477" s="37">
        <v>0</v>
      </c>
      <c r="I477" s="37">
        <v>0</v>
      </c>
      <c r="J477" s="37">
        <v>0</v>
      </c>
      <c r="K477" s="37">
        <v>0</v>
      </c>
      <c r="L477" s="37">
        <v>0</v>
      </c>
      <c r="M477" s="37">
        <v>0</v>
      </c>
      <c r="N477" s="37">
        <v>0</v>
      </c>
      <c r="O477" s="37">
        <v>0</v>
      </c>
      <c r="P477" s="39"/>
      <c r="Q477" s="39"/>
      <c r="R477" s="38"/>
      <c r="S477" s="40">
        <f t="shared" si="187"/>
        <v>0</v>
      </c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8"/>
      <c r="AF477" s="40">
        <f t="shared" si="188"/>
        <v>0</v>
      </c>
      <c r="AG477" s="108"/>
    </row>
    <row r="478" spans="2:33" ht="12.75" x14ac:dyDescent="0.3">
      <c r="B478" s="27"/>
      <c r="C478" s="27"/>
      <c r="D478" s="29" t="s">
        <v>455</v>
      </c>
      <c r="E478" s="42"/>
      <c r="F478" s="31"/>
      <c r="G478" s="33">
        <v>0</v>
      </c>
      <c r="H478" s="33">
        <v>0</v>
      </c>
      <c r="I478" s="33">
        <v>0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f t="shared" ref="P478:R478" si="205">SUM(P479:P480)</f>
        <v>0</v>
      </c>
      <c r="Q478" s="33">
        <f t="shared" si="205"/>
        <v>0</v>
      </c>
      <c r="R478" s="34">
        <f t="shared" si="205"/>
        <v>0</v>
      </c>
      <c r="S478" s="26">
        <f t="shared" si="187"/>
        <v>0</v>
      </c>
      <c r="T478" s="33">
        <f t="shared" ref="T478:AB478" si="206">SUM(T479:T480)</f>
        <v>0</v>
      </c>
      <c r="U478" s="33">
        <f t="shared" si="206"/>
        <v>0</v>
      </c>
      <c r="V478" s="33">
        <f t="shared" si="206"/>
        <v>0</v>
      </c>
      <c r="W478" s="33">
        <f t="shared" si="206"/>
        <v>0</v>
      </c>
      <c r="X478" s="33">
        <f t="shared" si="206"/>
        <v>0</v>
      </c>
      <c r="Y478" s="33">
        <f t="shared" si="206"/>
        <v>0</v>
      </c>
      <c r="Z478" s="33">
        <f t="shared" si="206"/>
        <v>0</v>
      </c>
      <c r="AA478" s="33">
        <f t="shared" si="206"/>
        <v>0</v>
      </c>
      <c r="AB478" s="33">
        <f t="shared" si="206"/>
        <v>0</v>
      </c>
      <c r="AC478" s="33">
        <f t="shared" ref="AC478:AE478" si="207">SUM(AC479:AC480)</f>
        <v>0</v>
      </c>
      <c r="AD478" s="33">
        <f t="shared" si="207"/>
        <v>0</v>
      </c>
      <c r="AE478" s="34">
        <f t="shared" si="207"/>
        <v>0</v>
      </c>
      <c r="AF478" s="26">
        <f t="shared" si="188"/>
        <v>0</v>
      </c>
      <c r="AG478" s="107"/>
    </row>
    <row r="479" spans="2:33" ht="12.75" x14ac:dyDescent="0.3">
      <c r="B479" s="27"/>
      <c r="C479" s="27"/>
      <c r="D479" s="27"/>
      <c r="E479" s="41">
        <v>5136000</v>
      </c>
      <c r="F479" s="36" t="s">
        <v>456</v>
      </c>
      <c r="G479" s="37">
        <v>0</v>
      </c>
      <c r="H479" s="37">
        <v>0</v>
      </c>
      <c r="I479" s="37">
        <v>0</v>
      </c>
      <c r="J479" s="37">
        <v>0</v>
      </c>
      <c r="K479" s="37">
        <v>0</v>
      </c>
      <c r="L479" s="37">
        <v>0</v>
      </c>
      <c r="M479" s="37">
        <v>0</v>
      </c>
      <c r="N479" s="37">
        <v>0</v>
      </c>
      <c r="O479" s="37">
        <v>0</v>
      </c>
      <c r="P479" s="39"/>
      <c r="Q479" s="39"/>
      <c r="R479" s="38"/>
      <c r="S479" s="40">
        <f t="shared" si="187"/>
        <v>0</v>
      </c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8"/>
      <c r="AF479" s="40">
        <f t="shared" si="188"/>
        <v>0</v>
      </c>
      <c r="AG479" s="108"/>
    </row>
    <row r="480" spans="2:33" ht="12.75" x14ac:dyDescent="0.3">
      <c r="B480" s="27"/>
      <c r="C480" s="27"/>
      <c r="D480" s="27"/>
      <c r="E480" s="41">
        <v>5137000</v>
      </c>
      <c r="F480" s="36" t="s">
        <v>457</v>
      </c>
      <c r="G480" s="37">
        <v>0</v>
      </c>
      <c r="H480" s="37">
        <v>0</v>
      </c>
      <c r="I480" s="37">
        <v>0</v>
      </c>
      <c r="J480" s="37">
        <v>0</v>
      </c>
      <c r="K480" s="37">
        <v>0</v>
      </c>
      <c r="L480" s="37">
        <v>0</v>
      </c>
      <c r="M480" s="37">
        <v>0</v>
      </c>
      <c r="N480" s="37">
        <v>0</v>
      </c>
      <c r="O480" s="37">
        <v>0</v>
      </c>
      <c r="P480" s="39"/>
      <c r="Q480" s="39"/>
      <c r="R480" s="38"/>
      <c r="S480" s="40">
        <f t="shared" si="187"/>
        <v>0</v>
      </c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8"/>
      <c r="AF480" s="40">
        <f t="shared" si="188"/>
        <v>0</v>
      </c>
      <c r="AG480" s="108"/>
    </row>
    <row r="481" spans="2:33" ht="12.75" x14ac:dyDescent="0.3">
      <c r="B481" s="27"/>
      <c r="C481" s="27"/>
      <c r="D481" s="29" t="s">
        <v>458</v>
      </c>
      <c r="E481" s="42"/>
      <c r="F481" s="31"/>
      <c r="G481" s="33">
        <v>0</v>
      </c>
      <c r="H481" s="33">
        <v>0</v>
      </c>
      <c r="I481" s="33">
        <v>0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f t="shared" ref="P481:R481" si="208">P482</f>
        <v>0</v>
      </c>
      <c r="Q481" s="33">
        <f t="shared" si="208"/>
        <v>0</v>
      </c>
      <c r="R481" s="34">
        <f t="shared" si="208"/>
        <v>0</v>
      </c>
      <c r="S481" s="26">
        <f t="shared" si="187"/>
        <v>0</v>
      </c>
      <c r="T481" s="33">
        <f t="shared" ref="T481:AE481" si="209">T482</f>
        <v>0</v>
      </c>
      <c r="U481" s="33">
        <f t="shared" si="209"/>
        <v>0</v>
      </c>
      <c r="V481" s="33">
        <f t="shared" si="209"/>
        <v>0</v>
      </c>
      <c r="W481" s="33">
        <f t="shared" si="209"/>
        <v>0</v>
      </c>
      <c r="X481" s="33">
        <f t="shared" si="209"/>
        <v>0</v>
      </c>
      <c r="Y481" s="33">
        <f t="shared" si="209"/>
        <v>0</v>
      </c>
      <c r="Z481" s="33">
        <f t="shared" si="209"/>
        <v>0</v>
      </c>
      <c r="AA481" s="33">
        <f t="shared" si="209"/>
        <v>0</v>
      </c>
      <c r="AB481" s="33">
        <f t="shared" si="209"/>
        <v>0</v>
      </c>
      <c r="AC481" s="33">
        <f t="shared" si="209"/>
        <v>0</v>
      </c>
      <c r="AD481" s="33">
        <f t="shared" si="209"/>
        <v>0</v>
      </c>
      <c r="AE481" s="34">
        <f t="shared" si="209"/>
        <v>0</v>
      </c>
      <c r="AF481" s="26">
        <f t="shared" si="188"/>
        <v>0</v>
      </c>
      <c r="AG481" s="107"/>
    </row>
    <row r="482" spans="2:33" ht="12.75" x14ac:dyDescent="0.3">
      <c r="B482" s="27"/>
      <c r="C482" s="27"/>
      <c r="D482" s="27"/>
      <c r="E482" s="41">
        <v>5191300</v>
      </c>
      <c r="F482" s="36" t="s">
        <v>459</v>
      </c>
      <c r="G482" s="37">
        <v>0</v>
      </c>
      <c r="H482" s="37">
        <v>0</v>
      </c>
      <c r="I482" s="37">
        <v>0</v>
      </c>
      <c r="J482" s="37">
        <v>0</v>
      </c>
      <c r="K482" s="37">
        <v>0</v>
      </c>
      <c r="L482" s="37">
        <v>0</v>
      </c>
      <c r="M482" s="37">
        <v>0</v>
      </c>
      <c r="N482" s="37">
        <v>0</v>
      </c>
      <c r="O482" s="37">
        <v>0</v>
      </c>
      <c r="P482" s="39"/>
      <c r="Q482" s="39"/>
      <c r="R482" s="38"/>
      <c r="S482" s="40">
        <f t="shared" si="187"/>
        <v>0</v>
      </c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8"/>
      <c r="AF482" s="40">
        <f t="shared" si="188"/>
        <v>0</v>
      </c>
      <c r="AG482" s="108"/>
    </row>
    <row r="483" spans="2:33" ht="12.75" x14ac:dyDescent="0.3">
      <c r="B483" s="27"/>
      <c r="C483" s="27"/>
      <c r="D483" s="29" t="s">
        <v>460</v>
      </c>
      <c r="E483" s="42"/>
      <c r="F483" s="31"/>
      <c r="G483" s="33">
        <v>0</v>
      </c>
      <c r="H483" s="33">
        <v>0</v>
      </c>
      <c r="I483" s="33">
        <v>0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f t="shared" ref="P483:R483" si="210">SUM(P484:P485)</f>
        <v>0</v>
      </c>
      <c r="Q483" s="33">
        <f t="shared" si="210"/>
        <v>0</v>
      </c>
      <c r="R483" s="34">
        <f t="shared" si="210"/>
        <v>0</v>
      </c>
      <c r="S483" s="26">
        <f t="shared" si="187"/>
        <v>0</v>
      </c>
      <c r="T483" s="33">
        <f t="shared" ref="T483:AB483" si="211">SUM(T484:T485)</f>
        <v>0</v>
      </c>
      <c r="U483" s="33">
        <f t="shared" si="211"/>
        <v>0</v>
      </c>
      <c r="V483" s="33">
        <f t="shared" si="211"/>
        <v>0</v>
      </c>
      <c r="W483" s="33">
        <f t="shared" si="211"/>
        <v>0</v>
      </c>
      <c r="X483" s="33">
        <f t="shared" si="211"/>
        <v>0</v>
      </c>
      <c r="Y483" s="33">
        <f t="shared" si="211"/>
        <v>0</v>
      </c>
      <c r="Z483" s="33">
        <f t="shared" si="211"/>
        <v>0</v>
      </c>
      <c r="AA483" s="33">
        <f t="shared" si="211"/>
        <v>0</v>
      </c>
      <c r="AB483" s="33">
        <f t="shared" si="211"/>
        <v>0</v>
      </c>
      <c r="AC483" s="33">
        <f t="shared" ref="AC483:AE483" si="212">SUM(AC484:AC485)</f>
        <v>0</v>
      </c>
      <c r="AD483" s="33">
        <f t="shared" si="212"/>
        <v>0</v>
      </c>
      <c r="AE483" s="34">
        <f t="shared" si="212"/>
        <v>0</v>
      </c>
      <c r="AF483" s="26">
        <f t="shared" si="188"/>
        <v>0</v>
      </c>
      <c r="AG483" s="107"/>
    </row>
    <row r="484" spans="2:33" ht="12.75" x14ac:dyDescent="0.3">
      <c r="B484" s="27"/>
      <c r="C484" s="27"/>
      <c r="D484" s="28"/>
      <c r="E484" s="59">
        <v>5134000</v>
      </c>
      <c r="F484" s="55" t="s">
        <v>461</v>
      </c>
      <c r="G484" s="37">
        <v>0</v>
      </c>
      <c r="H484" s="37">
        <v>0</v>
      </c>
      <c r="I484" s="37">
        <v>0</v>
      </c>
      <c r="J484" s="37">
        <v>0</v>
      </c>
      <c r="K484" s="37">
        <v>0</v>
      </c>
      <c r="L484" s="37">
        <v>0</v>
      </c>
      <c r="M484" s="37">
        <v>0</v>
      </c>
      <c r="N484" s="37">
        <v>0</v>
      </c>
      <c r="O484" s="37">
        <v>0</v>
      </c>
      <c r="P484" s="39"/>
      <c r="Q484" s="39"/>
      <c r="R484" s="38"/>
      <c r="S484" s="40">
        <f t="shared" si="187"/>
        <v>0</v>
      </c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8"/>
      <c r="AF484" s="40">
        <f t="shared" si="188"/>
        <v>0</v>
      </c>
      <c r="AG484" s="108"/>
    </row>
    <row r="485" spans="2:33" ht="12.75" x14ac:dyDescent="0.3">
      <c r="B485" s="27"/>
      <c r="C485" s="27"/>
      <c r="D485" s="28"/>
      <c r="E485" s="68">
        <v>5135000</v>
      </c>
      <c r="F485" s="57" t="s">
        <v>462</v>
      </c>
      <c r="G485" s="37">
        <v>0</v>
      </c>
      <c r="H485" s="37">
        <v>0</v>
      </c>
      <c r="I485" s="37">
        <v>0</v>
      </c>
      <c r="J485" s="37">
        <v>0</v>
      </c>
      <c r="K485" s="37">
        <v>0</v>
      </c>
      <c r="L485" s="37">
        <v>0</v>
      </c>
      <c r="M485" s="37">
        <v>0</v>
      </c>
      <c r="N485" s="37">
        <v>0</v>
      </c>
      <c r="O485" s="37">
        <v>0</v>
      </c>
      <c r="P485" s="39"/>
      <c r="Q485" s="39"/>
      <c r="R485" s="38"/>
      <c r="S485" s="40">
        <f t="shared" si="187"/>
        <v>0</v>
      </c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8"/>
      <c r="AF485" s="40">
        <f t="shared" si="188"/>
        <v>0</v>
      </c>
      <c r="AG485" s="108"/>
    </row>
    <row r="486" spans="2:33" ht="12.75" x14ac:dyDescent="0.3">
      <c r="B486" s="27"/>
      <c r="C486" s="27"/>
      <c r="D486" s="29" t="s">
        <v>463</v>
      </c>
      <c r="E486" s="42"/>
      <c r="F486" s="31"/>
      <c r="G486" s="33">
        <v>0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0</v>
      </c>
      <c r="P486" s="33">
        <f t="shared" ref="P486:R495" si="213">P487</f>
        <v>0</v>
      </c>
      <c r="Q486" s="33">
        <f t="shared" si="213"/>
        <v>0</v>
      </c>
      <c r="R486" s="34">
        <f t="shared" si="213"/>
        <v>0</v>
      </c>
      <c r="S486" s="26">
        <f t="shared" si="187"/>
        <v>0</v>
      </c>
      <c r="T486" s="33">
        <f t="shared" ref="T486:AE495" si="214">T487</f>
        <v>0</v>
      </c>
      <c r="U486" s="33">
        <f t="shared" si="214"/>
        <v>0</v>
      </c>
      <c r="V486" s="33">
        <f t="shared" si="214"/>
        <v>0</v>
      </c>
      <c r="W486" s="33">
        <f t="shared" si="214"/>
        <v>0</v>
      </c>
      <c r="X486" s="33">
        <f t="shared" si="214"/>
        <v>0</v>
      </c>
      <c r="Y486" s="33">
        <f t="shared" si="214"/>
        <v>0</v>
      </c>
      <c r="Z486" s="33">
        <f t="shared" si="214"/>
        <v>0</v>
      </c>
      <c r="AA486" s="33">
        <f t="shared" si="214"/>
        <v>0</v>
      </c>
      <c r="AB486" s="33">
        <f t="shared" si="214"/>
        <v>0</v>
      </c>
      <c r="AC486" s="33">
        <f t="shared" si="214"/>
        <v>0</v>
      </c>
      <c r="AD486" s="33">
        <f t="shared" si="214"/>
        <v>0</v>
      </c>
      <c r="AE486" s="34">
        <f t="shared" si="214"/>
        <v>0</v>
      </c>
      <c r="AF486" s="26">
        <f t="shared" si="188"/>
        <v>0</v>
      </c>
      <c r="AG486" s="107"/>
    </row>
    <row r="487" spans="2:33" ht="12.75" x14ac:dyDescent="0.3">
      <c r="B487" s="27"/>
      <c r="C487" s="27"/>
      <c r="D487" s="27"/>
      <c r="E487" s="41">
        <v>5130000</v>
      </c>
      <c r="F487" s="36" t="s">
        <v>463</v>
      </c>
      <c r="G487" s="37">
        <v>0</v>
      </c>
      <c r="H487" s="37">
        <v>0</v>
      </c>
      <c r="I487" s="37">
        <v>0</v>
      </c>
      <c r="J487" s="37">
        <v>0</v>
      </c>
      <c r="K487" s="37">
        <v>0</v>
      </c>
      <c r="L487" s="37">
        <v>0</v>
      </c>
      <c r="M487" s="37">
        <v>0</v>
      </c>
      <c r="N487" s="37">
        <v>0</v>
      </c>
      <c r="O487" s="37">
        <v>0</v>
      </c>
      <c r="P487" s="39"/>
      <c r="Q487" s="39"/>
      <c r="R487" s="38"/>
      <c r="S487" s="40">
        <f t="shared" si="187"/>
        <v>0</v>
      </c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8"/>
      <c r="AF487" s="40">
        <f t="shared" si="188"/>
        <v>0</v>
      </c>
      <c r="AG487" s="108"/>
    </row>
    <row r="488" spans="2:33" ht="12.75" x14ac:dyDescent="0.3">
      <c r="B488" s="27"/>
      <c r="C488" s="27"/>
      <c r="D488" s="29" t="s">
        <v>464</v>
      </c>
      <c r="E488" s="42"/>
      <c r="F488" s="31"/>
      <c r="G488" s="32">
        <v>0</v>
      </c>
      <c r="H488" s="32">
        <v>0</v>
      </c>
      <c r="I488" s="32">
        <v>0</v>
      </c>
      <c r="J488" s="32">
        <v>0</v>
      </c>
      <c r="K488" s="32">
        <v>0</v>
      </c>
      <c r="L488" s="32">
        <v>0</v>
      </c>
      <c r="M488" s="32">
        <v>0</v>
      </c>
      <c r="N488" s="32">
        <v>0</v>
      </c>
      <c r="O488" s="32">
        <v>0</v>
      </c>
      <c r="P488" s="32">
        <f t="shared" ref="P488:R488" si="215">SUM(P489:P494)</f>
        <v>0</v>
      </c>
      <c r="Q488" s="32">
        <f t="shared" si="215"/>
        <v>0</v>
      </c>
      <c r="R488" s="32">
        <f t="shared" si="215"/>
        <v>0</v>
      </c>
      <c r="S488" s="26">
        <f t="shared" si="187"/>
        <v>0</v>
      </c>
      <c r="T488" s="32">
        <f t="shared" ref="T488:AB488" si="216">SUM(T489:T494)</f>
        <v>0</v>
      </c>
      <c r="U488" s="32">
        <f t="shared" si="216"/>
        <v>0</v>
      </c>
      <c r="V488" s="32">
        <f t="shared" si="216"/>
        <v>0</v>
      </c>
      <c r="W488" s="32">
        <f t="shared" si="216"/>
        <v>0</v>
      </c>
      <c r="X488" s="32">
        <f t="shared" si="216"/>
        <v>0</v>
      </c>
      <c r="Y488" s="32">
        <f t="shared" si="216"/>
        <v>0</v>
      </c>
      <c r="Z488" s="32">
        <f t="shared" si="216"/>
        <v>0</v>
      </c>
      <c r="AA488" s="32">
        <f t="shared" si="216"/>
        <v>0</v>
      </c>
      <c r="AB488" s="32">
        <f t="shared" si="216"/>
        <v>0</v>
      </c>
      <c r="AC488" s="32">
        <f t="shared" ref="AC488:AE488" si="217">SUM(AC489:AC494)</f>
        <v>0</v>
      </c>
      <c r="AD488" s="32">
        <f t="shared" si="217"/>
        <v>0</v>
      </c>
      <c r="AE488" s="32">
        <f t="shared" si="217"/>
        <v>0</v>
      </c>
      <c r="AF488" s="26">
        <f t="shared" si="188"/>
        <v>0</v>
      </c>
      <c r="AG488" s="107"/>
    </row>
    <row r="489" spans="2:33" ht="12.75" x14ac:dyDescent="0.3">
      <c r="B489" s="27"/>
      <c r="C489" s="27"/>
      <c r="D489" s="27"/>
      <c r="E489" s="41">
        <v>5131400</v>
      </c>
      <c r="F489" s="36" t="s">
        <v>465</v>
      </c>
      <c r="G489" s="37">
        <v>0</v>
      </c>
      <c r="H489" s="37">
        <v>0</v>
      </c>
      <c r="I489" s="37">
        <v>0</v>
      </c>
      <c r="J489" s="37">
        <v>0</v>
      </c>
      <c r="K489" s="37">
        <v>0</v>
      </c>
      <c r="L489" s="37">
        <v>0</v>
      </c>
      <c r="M489" s="37">
        <v>0</v>
      </c>
      <c r="N489" s="37">
        <v>0</v>
      </c>
      <c r="O489" s="37">
        <v>0</v>
      </c>
      <c r="P489" s="39"/>
      <c r="Q489" s="39"/>
      <c r="R489" s="38"/>
      <c r="S489" s="40">
        <f t="shared" si="187"/>
        <v>0</v>
      </c>
      <c r="T489" s="37"/>
      <c r="U489" s="37"/>
      <c r="V489" s="37"/>
      <c r="W489" s="37"/>
      <c r="X489" s="37"/>
      <c r="Y489" s="38"/>
      <c r="Z489" s="38"/>
      <c r="AA489" s="39"/>
      <c r="AB489" s="37"/>
      <c r="AC489" s="39"/>
      <c r="AD489" s="39"/>
      <c r="AE489" s="38"/>
      <c r="AF489" s="40">
        <f t="shared" si="188"/>
        <v>0</v>
      </c>
      <c r="AG489" s="108"/>
    </row>
    <row r="490" spans="2:33" ht="12.75" x14ac:dyDescent="0.3">
      <c r="B490" s="27"/>
      <c r="C490" s="27"/>
      <c r="D490" s="27"/>
      <c r="E490" s="41">
        <v>5131420</v>
      </c>
      <c r="F490" s="36" t="s">
        <v>466</v>
      </c>
      <c r="G490" s="37">
        <v>0</v>
      </c>
      <c r="H490" s="37">
        <v>0</v>
      </c>
      <c r="I490" s="37">
        <v>0</v>
      </c>
      <c r="J490" s="37">
        <v>0</v>
      </c>
      <c r="K490" s="37">
        <v>0</v>
      </c>
      <c r="L490" s="37">
        <v>0</v>
      </c>
      <c r="M490" s="37">
        <v>0</v>
      </c>
      <c r="N490" s="37">
        <v>0</v>
      </c>
      <c r="O490" s="37">
        <v>0</v>
      </c>
      <c r="P490" s="39"/>
      <c r="Q490" s="39"/>
      <c r="R490" s="38"/>
      <c r="S490" s="40">
        <f t="shared" si="187"/>
        <v>0</v>
      </c>
      <c r="T490" s="37"/>
      <c r="U490" s="37"/>
      <c r="V490" s="37"/>
      <c r="W490" s="37"/>
      <c r="X490" s="37"/>
      <c r="Y490" s="38"/>
      <c r="Z490" s="38"/>
      <c r="AA490" s="39"/>
      <c r="AB490" s="37"/>
      <c r="AC490" s="39"/>
      <c r="AD490" s="39"/>
      <c r="AE490" s="38"/>
      <c r="AF490" s="40">
        <f t="shared" si="188"/>
        <v>0</v>
      </c>
      <c r="AG490" s="108"/>
    </row>
    <row r="491" spans="2:33" ht="12.75" x14ac:dyDescent="0.3">
      <c r="B491" s="27"/>
      <c r="C491" s="27"/>
      <c r="D491" s="27"/>
      <c r="E491" s="41">
        <v>5131440</v>
      </c>
      <c r="F491" s="36" t="s">
        <v>467</v>
      </c>
      <c r="G491" s="37">
        <v>0</v>
      </c>
      <c r="H491" s="37">
        <v>0</v>
      </c>
      <c r="I491" s="37">
        <v>0</v>
      </c>
      <c r="J491" s="37">
        <v>0</v>
      </c>
      <c r="K491" s="37">
        <v>0</v>
      </c>
      <c r="L491" s="37">
        <v>0</v>
      </c>
      <c r="M491" s="37">
        <v>0</v>
      </c>
      <c r="N491" s="37">
        <v>0</v>
      </c>
      <c r="O491" s="37">
        <v>0</v>
      </c>
      <c r="P491" s="39"/>
      <c r="Q491" s="39"/>
      <c r="R491" s="38"/>
      <c r="S491" s="40">
        <f t="shared" si="187"/>
        <v>0</v>
      </c>
      <c r="T491" s="37"/>
      <c r="U491" s="37"/>
      <c r="V491" s="37"/>
      <c r="W491" s="37"/>
      <c r="X491" s="37"/>
      <c r="Y491" s="38"/>
      <c r="Z491" s="38"/>
      <c r="AA491" s="39"/>
      <c r="AB491" s="37"/>
      <c r="AC491" s="39"/>
      <c r="AD491" s="39"/>
      <c r="AE491" s="38"/>
      <c r="AF491" s="40">
        <f t="shared" si="188"/>
        <v>0</v>
      </c>
      <c r="AG491" s="108"/>
    </row>
    <row r="492" spans="2:33" ht="12.75" x14ac:dyDescent="0.3">
      <c r="B492" s="27"/>
      <c r="C492" s="27"/>
      <c r="D492" s="27"/>
      <c r="E492" s="41">
        <v>5131450</v>
      </c>
      <c r="F492" s="36" t="s">
        <v>468</v>
      </c>
      <c r="G492" s="37">
        <v>0</v>
      </c>
      <c r="H492" s="37">
        <v>0</v>
      </c>
      <c r="I492" s="37">
        <v>0</v>
      </c>
      <c r="J492" s="37">
        <v>0</v>
      </c>
      <c r="K492" s="37">
        <v>0</v>
      </c>
      <c r="L492" s="37">
        <v>0</v>
      </c>
      <c r="M492" s="37">
        <v>0</v>
      </c>
      <c r="N492" s="37">
        <v>0</v>
      </c>
      <c r="O492" s="37">
        <v>0</v>
      </c>
      <c r="P492" s="39"/>
      <c r="Q492" s="39"/>
      <c r="R492" s="38"/>
      <c r="S492" s="40">
        <f t="shared" si="187"/>
        <v>0</v>
      </c>
      <c r="T492" s="37"/>
      <c r="U492" s="37"/>
      <c r="V492" s="37"/>
      <c r="W492" s="37"/>
      <c r="X492" s="37"/>
      <c r="Y492" s="38"/>
      <c r="Z492" s="38"/>
      <c r="AA492" s="39"/>
      <c r="AB492" s="37"/>
      <c r="AC492" s="39"/>
      <c r="AD492" s="39"/>
      <c r="AE492" s="38"/>
      <c r="AF492" s="40">
        <f t="shared" si="188"/>
        <v>0</v>
      </c>
      <c r="AG492" s="108"/>
    </row>
    <row r="493" spans="2:33" ht="12.75" x14ac:dyDescent="0.3">
      <c r="B493" s="27"/>
      <c r="C493" s="27"/>
      <c r="D493" s="27"/>
      <c r="E493" s="41">
        <v>5131460</v>
      </c>
      <c r="F493" s="36" t="s">
        <v>469</v>
      </c>
      <c r="G493" s="37">
        <v>0</v>
      </c>
      <c r="H493" s="37">
        <v>0</v>
      </c>
      <c r="I493" s="37">
        <v>0</v>
      </c>
      <c r="J493" s="37">
        <v>0</v>
      </c>
      <c r="K493" s="37">
        <v>0</v>
      </c>
      <c r="L493" s="37">
        <v>0</v>
      </c>
      <c r="M493" s="37">
        <v>0</v>
      </c>
      <c r="N493" s="37">
        <v>0</v>
      </c>
      <c r="O493" s="37">
        <v>0</v>
      </c>
      <c r="P493" s="39"/>
      <c r="Q493" s="39"/>
      <c r="R493" s="38"/>
      <c r="S493" s="40">
        <f t="shared" si="187"/>
        <v>0</v>
      </c>
      <c r="T493" s="37"/>
      <c r="U493" s="37"/>
      <c r="V493" s="37"/>
      <c r="W493" s="37"/>
      <c r="X493" s="37"/>
      <c r="Y493" s="38"/>
      <c r="Z493" s="38"/>
      <c r="AA493" s="39"/>
      <c r="AB493" s="37"/>
      <c r="AC493" s="39"/>
      <c r="AD493" s="39"/>
      <c r="AE493" s="38"/>
      <c r="AF493" s="40">
        <f t="shared" si="188"/>
        <v>0</v>
      </c>
      <c r="AG493" s="108"/>
    </row>
    <row r="494" spans="2:33" ht="12.75" x14ac:dyDescent="0.3">
      <c r="B494" s="27"/>
      <c r="C494" s="27"/>
      <c r="D494" s="27"/>
      <c r="E494" s="41">
        <v>5131470</v>
      </c>
      <c r="F494" s="36" t="s">
        <v>470</v>
      </c>
      <c r="G494" s="37">
        <v>0</v>
      </c>
      <c r="H494" s="37">
        <v>0</v>
      </c>
      <c r="I494" s="37">
        <v>0</v>
      </c>
      <c r="J494" s="37">
        <v>0</v>
      </c>
      <c r="K494" s="37">
        <v>0</v>
      </c>
      <c r="L494" s="37">
        <v>0</v>
      </c>
      <c r="M494" s="37">
        <v>0</v>
      </c>
      <c r="N494" s="37">
        <v>0</v>
      </c>
      <c r="O494" s="37">
        <v>0</v>
      </c>
      <c r="P494" s="39"/>
      <c r="Q494" s="39"/>
      <c r="R494" s="38"/>
      <c r="S494" s="40">
        <f t="shared" si="187"/>
        <v>0</v>
      </c>
      <c r="T494" s="37"/>
      <c r="U494" s="37"/>
      <c r="V494" s="37"/>
      <c r="W494" s="37"/>
      <c r="X494" s="37"/>
      <c r="Y494" s="38"/>
      <c r="Z494" s="38"/>
      <c r="AA494" s="39"/>
      <c r="AB494" s="37"/>
      <c r="AC494" s="39"/>
      <c r="AD494" s="39"/>
      <c r="AE494" s="38"/>
      <c r="AF494" s="40">
        <f t="shared" si="188"/>
        <v>0</v>
      </c>
      <c r="AG494" s="108"/>
    </row>
    <row r="495" spans="2:33" ht="12.75" x14ac:dyDescent="0.3">
      <c r="B495" s="27"/>
      <c r="C495" s="27"/>
      <c r="D495" s="29" t="s">
        <v>471</v>
      </c>
      <c r="E495" s="42"/>
      <c r="F495" s="31"/>
      <c r="G495" s="33">
        <v>0</v>
      </c>
      <c r="H495" s="33">
        <v>0</v>
      </c>
      <c r="I495" s="33">
        <v>0</v>
      </c>
      <c r="J495" s="33">
        <v>0</v>
      </c>
      <c r="K495" s="33">
        <v>0</v>
      </c>
      <c r="L495" s="33">
        <v>0</v>
      </c>
      <c r="M495" s="33">
        <v>0</v>
      </c>
      <c r="N495" s="33">
        <v>0</v>
      </c>
      <c r="O495" s="33">
        <v>0</v>
      </c>
      <c r="P495" s="33">
        <f t="shared" si="213"/>
        <v>0</v>
      </c>
      <c r="Q495" s="33">
        <f t="shared" si="213"/>
        <v>0</v>
      </c>
      <c r="R495" s="34">
        <f t="shared" si="213"/>
        <v>0</v>
      </c>
      <c r="S495" s="26">
        <f t="shared" si="187"/>
        <v>0</v>
      </c>
      <c r="T495" s="33">
        <f t="shared" si="214"/>
        <v>0</v>
      </c>
      <c r="U495" s="33">
        <f t="shared" si="214"/>
        <v>0</v>
      </c>
      <c r="V495" s="33">
        <f t="shared" si="214"/>
        <v>0</v>
      </c>
      <c r="W495" s="33">
        <f t="shared" si="214"/>
        <v>0</v>
      </c>
      <c r="X495" s="33">
        <f t="shared" si="214"/>
        <v>0</v>
      </c>
      <c r="Y495" s="33">
        <f t="shared" si="214"/>
        <v>0</v>
      </c>
      <c r="Z495" s="33">
        <f t="shared" si="214"/>
        <v>0</v>
      </c>
      <c r="AA495" s="33">
        <f t="shared" si="214"/>
        <v>0</v>
      </c>
      <c r="AB495" s="33">
        <f t="shared" si="214"/>
        <v>0</v>
      </c>
      <c r="AC495" s="33">
        <f t="shared" si="214"/>
        <v>0</v>
      </c>
      <c r="AD495" s="33">
        <f t="shared" si="214"/>
        <v>0</v>
      </c>
      <c r="AE495" s="34">
        <f t="shared" si="214"/>
        <v>0</v>
      </c>
      <c r="AF495" s="26">
        <f t="shared" si="188"/>
        <v>0</v>
      </c>
      <c r="AG495" s="107"/>
    </row>
    <row r="496" spans="2:33" ht="12.75" x14ac:dyDescent="0.3">
      <c r="B496" s="27"/>
      <c r="C496" s="27"/>
      <c r="D496" s="27"/>
      <c r="E496" s="41">
        <v>5190200</v>
      </c>
      <c r="F496" s="36" t="s">
        <v>472</v>
      </c>
      <c r="G496" s="37">
        <v>0</v>
      </c>
      <c r="H496" s="37">
        <v>0</v>
      </c>
      <c r="I496" s="37">
        <v>0</v>
      </c>
      <c r="J496" s="37">
        <v>0</v>
      </c>
      <c r="K496" s="37">
        <v>0</v>
      </c>
      <c r="L496" s="37">
        <v>0</v>
      </c>
      <c r="M496" s="37">
        <v>0</v>
      </c>
      <c r="N496" s="37">
        <v>0</v>
      </c>
      <c r="O496" s="37">
        <v>0</v>
      </c>
      <c r="P496" s="39"/>
      <c r="Q496" s="39"/>
      <c r="R496" s="38"/>
      <c r="S496" s="40">
        <f t="shared" si="187"/>
        <v>0</v>
      </c>
      <c r="T496" s="37"/>
      <c r="U496" s="37"/>
      <c r="V496" s="37"/>
      <c r="W496" s="37"/>
      <c r="X496" s="37"/>
      <c r="Y496" s="38"/>
      <c r="Z496" s="38"/>
      <c r="AA496" s="39"/>
      <c r="AB496" s="37"/>
      <c r="AC496" s="39"/>
      <c r="AD496" s="39"/>
      <c r="AE496" s="38"/>
      <c r="AF496" s="40">
        <f t="shared" si="188"/>
        <v>0</v>
      </c>
      <c r="AG496" s="108"/>
    </row>
    <row r="497" spans="2:33" ht="12.75" x14ac:dyDescent="0.3">
      <c r="B497" s="27"/>
      <c r="C497" s="27"/>
      <c r="D497" s="29" t="s">
        <v>473</v>
      </c>
      <c r="E497" s="42"/>
      <c r="F497" s="31"/>
      <c r="G497" s="33">
        <v>0</v>
      </c>
      <c r="H497" s="33">
        <v>0</v>
      </c>
      <c r="I497" s="33">
        <v>0</v>
      </c>
      <c r="J497" s="33">
        <v>0</v>
      </c>
      <c r="K497" s="33">
        <v>0</v>
      </c>
      <c r="L497" s="33">
        <v>0</v>
      </c>
      <c r="M497" s="33">
        <v>0</v>
      </c>
      <c r="N497" s="33">
        <v>0</v>
      </c>
      <c r="O497" s="33">
        <v>0</v>
      </c>
      <c r="P497" s="33">
        <f t="shared" ref="P497:R497" si="218">SUM(P498:P498)</f>
        <v>0</v>
      </c>
      <c r="Q497" s="33">
        <f t="shared" si="218"/>
        <v>0</v>
      </c>
      <c r="R497" s="34">
        <f t="shared" si="218"/>
        <v>0</v>
      </c>
      <c r="S497" s="26">
        <f t="shared" si="187"/>
        <v>0</v>
      </c>
      <c r="T497" s="33">
        <f t="shared" ref="T497:AE497" si="219">SUM(T498:T498)</f>
        <v>0</v>
      </c>
      <c r="U497" s="33">
        <f t="shared" si="219"/>
        <v>0</v>
      </c>
      <c r="V497" s="33">
        <f t="shared" si="219"/>
        <v>0</v>
      </c>
      <c r="W497" s="33">
        <f t="shared" si="219"/>
        <v>0</v>
      </c>
      <c r="X497" s="33">
        <f t="shared" si="219"/>
        <v>0</v>
      </c>
      <c r="Y497" s="33">
        <f t="shared" si="219"/>
        <v>0</v>
      </c>
      <c r="Z497" s="33">
        <f t="shared" si="219"/>
        <v>0</v>
      </c>
      <c r="AA497" s="33">
        <f t="shared" si="219"/>
        <v>0</v>
      </c>
      <c r="AB497" s="33">
        <f t="shared" si="219"/>
        <v>0</v>
      </c>
      <c r="AC497" s="33">
        <f t="shared" si="219"/>
        <v>0</v>
      </c>
      <c r="AD497" s="33">
        <f t="shared" si="219"/>
        <v>0</v>
      </c>
      <c r="AE497" s="34">
        <f t="shared" si="219"/>
        <v>0</v>
      </c>
      <c r="AF497" s="26">
        <f t="shared" si="188"/>
        <v>0</v>
      </c>
      <c r="AG497" s="107"/>
    </row>
    <row r="498" spans="2:33" ht="12.75" x14ac:dyDescent="0.3">
      <c r="B498" s="27"/>
      <c r="C498" s="27"/>
      <c r="D498" s="28"/>
      <c r="E498" s="35">
        <v>9103050</v>
      </c>
      <c r="F498" s="69" t="s">
        <v>473</v>
      </c>
      <c r="G498" s="37">
        <v>0</v>
      </c>
      <c r="H498" s="37">
        <v>0</v>
      </c>
      <c r="I498" s="37">
        <v>0</v>
      </c>
      <c r="J498" s="37">
        <v>0</v>
      </c>
      <c r="K498" s="37">
        <v>0</v>
      </c>
      <c r="L498" s="37">
        <v>0</v>
      </c>
      <c r="M498" s="37">
        <v>0</v>
      </c>
      <c r="N498" s="37">
        <v>0</v>
      </c>
      <c r="O498" s="37">
        <v>0</v>
      </c>
      <c r="P498" s="39"/>
      <c r="Q498" s="39"/>
      <c r="R498" s="38"/>
      <c r="S498" s="70">
        <f t="shared" si="187"/>
        <v>0</v>
      </c>
      <c r="T498" s="37"/>
      <c r="U498" s="37"/>
      <c r="V498" s="37"/>
      <c r="W498" s="37"/>
      <c r="X498" s="37"/>
      <c r="Y498" s="39"/>
      <c r="Z498" s="39"/>
      <c r="AA498" s="39"/>
      <c r="AB498" s="39"/>
      <c r="AC498" s="39"/>
      <c r="AD498" s="39"/>
      <c r="AE498" s="38"/>
      <c r="AF498" s="70">
        <f t="shared" si="188"/>
        <v>0</v>
      </c>
      <c r="AG498" s="109"/>
    </row>
    <row r="499" spans="2:33" ht="12.75" x14ac:dyDescent="0.3">
      <c r="B499" s="20" t="s">
        <v>474</v>
      </c>
      <c r="C499" s="21"/>
      <c r="D499" s="21"/>
      <c r="E499" s="52"/>
      <c r="F499" s="31"/>
      <c r="G499" s="24">
        <v>-120905054</v>
      </c>
      <c r="H499" s="24">
        <v>-121260796</v>
      </c>
      <c r="I499" s="24">
        <v>-110261543</v>
      </c>
      <c r="J499" s="24">
        <v>-99615685</v>
      </c>
      <c r="K499" s="24">
        <v>-114317037</v>
      </c>
      <c r="L499" s="24">
        <v>-90662324</v>
      </c>
      <c r="M499" s="24">
        <v>-90892626</v>
      </c>
      <c r="N499" s="24">
        <v>-97937217</v>
      </c>
      <c r="O499" s="24">
        <v>-107877837</v>
      </c>
      <c r="P499" s="24">
        <f t="shared" ref="P499:R499" si="220">P292-P293</f>
        <v>-127728740</v>
      </c>
      <c r="Q499" s="24">
        <f t="shared" si="220"/>
        <v>-130833490</v>
      </c>
      <c r="R499" s="25">
        <f t="shared" si="220"/>
        <v>-137159161.23893803</v>
      </c>
      <c r="S499" s="26">
        <f t="shared" si="187"/>
        <v>-1349451510.2389381</v>
      </c>
      <c r="T499" s="23">
        <f t="shared" ref="T499:AE499" si="221">T292-T293</f>
        <v>-130911823.33333333</v>
      </c>
      <c r="U499" s="24">
        <f t="shared" si="221"/>
        <v>-147373073.33333331</v>
      </c>
      <c r="V499" s="24">
        <f t="shared" si="221"/>
        <v>-186317073.33333334</v>
      </c>
      <c r="W499" s="24">
        <f t="shared" si="221"/>
        <v>-143907073.33333331</v>
      </c>
      <c r="X499" s="24">
        <f t="shared" si="221"/>
        <v>-174907073.33333331</v>
      </c>
      <c r="Y499" s="25">
        <f t="shared" si="221"/>
        <v>-136437073.33333331</v>
      </c>
      <c r="Z499" s="25">
        <f t="shared" si="221"/>
        <v>-181611823.33333334</v>
      </c>
      <c r="AA499" s="24">
        <f t="shared" si="221"/>
        <v>-147167073.33333331</v>
      </c>
      <c r="AB499" s="23">
        <f t="shared" si="221"/>
        <v>-207557073.33333331</v>
      </c>
      <c r="AC499" s="24">
        <f t="shared" si="221"/>
        <v>-193687073.33333331</v>
      </c>
      <c r="AD499" s="24">
        <f t="shared" si="221"/>
        <v>-135957073.33333331</v>
      </c>
      <c r="AE499" s="25">
        <f t="shared" si="221"/>
        <v>-144550326.43067846</v>
      </c>
      <c r="AF499" s="26">
        <f t="shared" si="188"/>
        <v>-1930383633.0973444</v>
      </c>
      <c r="AG499" s="26"/>
    </row>
    <row r="500" spans="2:33" ht="12.75" x14ac:dyDescent="0.3">
      <c r="B500" s="58"/>
      <c r="C500" s="29" t="s">
        <v>475</v>
      </c>
      <c r="D500" s="30"/>
      <c r="E500" s="42"/>
      <c r="F500" s="31"/>
      <c r="G500" s="33">
        <v>-120905054</v>
      </c>
      <c r="H500" s="33">
        <v>-121260796</v>
      </c>
      <c r="I500" s="33">
        <v>-110261543</v>
      </c>
      <c r="J500" s="33">
        <v>-99615685</v>
      </c>
      <c r="K500" s="33">
        <v>-114317037</v>
      </c>
      <c r="L500" s="33">
        <v>-90662324</v>
      </c>
      <c r="M500" s="33">
        <v>-90892626</v>
      </c>
      <c r="N500" s="33">
        <v>-97937217</v>
      </c>
      <c r="O500" s="33">
        <v>-107877837</v>
      </c>
      <c r="P500" s="33">
        <f t="shared" ref="P500:R500" si="222">SUM(P501:P503)</f>
        <v>0</v>
      </c>
      <c r="Q500" s="33">
        <f t="shared" si="222"/>
        <v>0</v>
      </c>
      <c r="R500" s="34">
        <f t="shared" si="222"/>
        <v>0</v>
      </c>
      <c r="S500" s="26">
        <f t="shared" si="187"/>
        <v>-953730119</v>
      </c>
      <c r="T500" s="32">
        <f t="shared" ref="T500:AE500" si="223">SUM(T501:T503)</f>
        <v>0</v>
      </c>
      <c r="U500" s="33">
        <f t="shared" si="223"/>
        <v>0</v>
      </c>
      <c r="V500" s="33">
        <f t="shared" si="223"/>
        <v>0</v>
      </c>
      <c r="W500" s="33">
        <f t="shared" si="223"/>
        <v>0</v>
      </c>
      <c r="X500" s="33">
        <f t="shared" si="223"/>
        <v>0</v>
      </c>
      <c r="Y500" s="34">
        <f t="shared" si="223"/>
        <v>0</v>
      </c>
      <c r="Z500" s="34">
        <f t="shared" si="223"/>
        <v>0</v>
      </c>
      <c r="AA500" s="33">
        <f t="shared" si="223"/>
        <v>0</v>
      </c>
      <c r="AB500" s="32">
        <f t="shared" si="223"/>
        <v>0</v>
      </c>
      <c r="AC500" s="33">
        <f t="shared" si="223"/>
        <v>0</v>
      </c>
      <c r="AD500" s="33">
        <f t="shared" si="223"/>
        <v>0</v>
      </c>
      <c r="AE500" s="34">
        <f t="shared" si="223"/>
        <v>0</v>
      </c>
      <c r="AF500" s="26">
        <f t="shared" si="188"/>
        <v>0</v>
      </c>
      <c r="AG500" s="26"/>
    </row>
    <row r="501" spans="2:33" s="60" customFormat="1" x14ac:dyDescent="0.3">
      <c r="B501" s="27"/>
      <c r="C501" s="28"/>
      <c r="D501" s="53"/>
      <c r="E501" s="35">
        <v>9100001</v>
      </c>
      <c r="F501" s="71" t="s">
        <v>476</v>
      </c>
      <c r="G501" s="37">
        <v>0</v>
      </c>
      <c r="H501" s="37">
        <v>0</v>
      </c>
      <c r="I501" s="37">
        <v>0</v>
      </c>
      <c r="J501" s="37">
        <v>0</v>
      </c>
      <c r="K501" s="37">
        <v>0</v>
      </c>
      <c r="L501" s="37">
        <v>0</v>
      </c>
      <c r="M501" s="37">
        <v>0</v>
      </c>
      <c r="N501" s="37">
        <v>0</v>
      </c>
      <c r="O501" s="37">
        <v>0</v>
      </c>
      <c r="P501" s="39"/>
      <c r="Q501" s="39"/>
      <c r="R501" s="38"/>
      <c r="S501" s="40">
        <f t="shared" si="187"/>
        <v>0</v>
      </c>
      <c r="T501" s="37"/>
      <c r="U501" s="37"/>
      <c r="V501" s="37"/>
      <c r="W501" s="37"/>
      <c r="X501" s="37"/>
      <c r="Y501" s="38"/>
      <c r="Z501" s="38"/>
      <c r="AA501" s="39"/>
      <c r="AB501" s="37"/>
      <c r="AC501" s="39"/>
      <c r="AD501" s="39"/>
      <c r="AE501" s="38"/>
      <c r="AF501" s="40">
        <f t="shared" si="188"/>
        <v>0</v>
      </c>
      <c r="AG501" s="40"/>
    </row>
    <row r="502" spans="2:33" s="60" customFormat="1" x14ac:dyDescent="0.3">
      <c r="B502" s="27"/>
      <c r="C502" s="28"/>
      <c r="D502" s="28"/>
      <c r="E502" s="41">
        <v>9100002</v>
      </c>
      <c r="F502" s="36" t="s">
        <v>477</v>
      </c>
      <c r="G502" s="37">
        <v>-120905054</v>
      </c>
      <c r="H502" s="37">
        <v>-121260796</v>
      </c>
      <c r="I502" s="37">
        <v>-110261543</v>
      </c>
      <c r="J502" s="37">
        <v>-99615685</v>
      </c>
      <c r="K502" s="37">
        <v>-114317037</v>
      </c>
      <c r="L502" s="37">
        <v>-90662324</v>
      </c>
      <c r="M502" s="37">
        <v>-90892626</v>
      </c>
      <c r="N502" s="37">
        <v>-97937217</v>
      </c>
      <c r="O502" s="37">
        <v>-107877837</v>
      </c>
      <c r="P502" s="39"/>
      <c r="Q502" s="39"/>
      <c r="R502" s="38"/>
      <c r="S502" s="40">
        <f t="shared" si="187"/>
        <v>-953730119</v>
      </c>
      <c r="T502" s="37"/>
      <c r="U502" s="37"/>
      <c r="V502" s="37"/>
      <c r="W502" s="37"/>
      <c r="X502" s="37"/>
      <c r="Y502" s="38"/>
      <c r="Z502" s="38"/>
      <c r="AA502" s="39"/>
      <c r="AB502" s="37"/>
      <c r="AC502" s="39"/>
      <c r="AD502" s="39"/>
      <c r="AE502" s="38"/>
      <c r="AF502" s="40">
        <f t="shared" si="188"/>
        <v>0</v>
      </c>
      <c r="AG502" s="40"/>
    </row>
    <row r="503" spans="2:33" s="60" customFormat="1" x14ac:dyDescent="0.3">
      <c r="B503" s="27"/>
      <c r="C503" s="28"/>
      <c r="D503" s="28"/>
      <c r="E503" s="44">
        <v>9100011</v>
      </c>
      <c r="F503" s="36" t="s">
        <v>478</v>
      </c>
      <c r="G503" s="37">
        <v>0</v>
      </c>
      <c r="H503" s="37">
        <v>0</v>
      </c>
      <c r="I503" s="37">
        <v>0</v>
      </c>
      <c r="J503" s="37">
        <v>0</v>
      </c>
      <c r="K503" s="37">
        <v>0</v>
      </c>
      <c r="L503" s="37">
        <v>0</v>
      </c>
      <c r="M503" s="37">
        <v>0</v>
      </c>
      <c r="N503" s="37">
        <v>0</v>
      </c>
      <c r="O503" s="37">
        <v>0</v>
      </c>
      <c r="P503" s="39"/>
      <c r="Q503" s="39"/>
      <c r="R503" s="38"/>
      <c r="S503" s="40">
        <f t="shared" si="187"/>
        <v>0</v>
      </c>
      <c r="T503" s="37"/>
      <c r="U503" s="37"/>
      <c r="V503" s="37"/>
      <c r="W503" s="37"/>
      <c r="X503" s="37"/>
      <c r="Y503" s="38"/>
      <c r="Z503" s="38"/>
      <c r="AA503" s="39"/>
      <c r="AB503" s="37"/>
      <c r="AC503" s="39"/>
      <c r="AD503" s="39"/>
      <c r="AE503" s="38"/>
      <c r="AF503" s="40">
        <f t="shared" si="188"/>
        <v>0</v>
      </c>
      <c r="AG503" s="40"/>
    </row>
    <row r="504" spans="2:33" ht="12.75" x14ac:dyDescent="0.3">
      <c r="B504" s="20" t="s">
        <v>479</v>
      </c>
      <c r="C504" s="21"/>
      <c r="D504" s="21"/>
      <c r="E504" s="52"/>
      <c r="F504" s="31"/>
      <c r="G504" s="24">
        <v>0</v>
      </c>
      <c r="H504" s="24">
        <v>0</v>
      </c>
      <c r="I504" s="24">
        <v>0</v>
      </c>
      <c r="J504" s="24">
        <v>0</v>
      </c>
      <c r="K504" s="24">
        <v>0</v>
      </c>
      <c r="L504" s="24">
        <v>0</v>
      </c>
      <c r="M504" s="24">
        <v>0</v>
      </c>
      <c r="N504" s="24">
        <v>0</v>
      </c>
      <c r="O504" s="24">
        <v>0</v>
      </c>
      <c r="P504" s="24">
        <f t="shared" ref="P504:R504" si="224">P499-P500</f>
        <v>-127728740</v>
      </c>
      <c r="Q504" s="24">
        <f t="shared" si="224"/>
        <v>-130833490</v>
      </c>
      <c r="R504" s="25">
        <f t="shared" si="224"/>
        <v>-137159161.23893803</v>
      </c>
      <c r="S504" s="26">
        <f t="shared" si="187"/>
        <v>-395721391.23893803</v>
      </c>
      <c r="T504" s="23">
        <f t="shared" ref="T504:AE504" si="225">T499-T500</f>
        <v>-130911823.33333333</v>
      </c>
      <c r="U504" s="24">
        <f t="shared" si="225"/>
        <v>-147373073.33333331</v>
      </c>
      <c r="V504" s="24">
        <f t="shared" si="225"/>
        <v>-186317073.33333334</v>
      </c>
      <c r="W504" s="24">
        <f t="shared" si="225"/>
        <v>-143907073.33333331</v>
      </c>
      <c r="X504" s="24">
        <f t="shared" si="225"/>
        <v>-174907073.33333331</v>
      </c>
      <c r="Y504" s="25">
        <f t="shared" si="225"/>
        <v>-136437073.33333331</v>
      </c>
      <c r="Z504" s="25">
        <f t="shared" si="225"/>
        <v>-181611823.33333334</v>
      </c>
      <c r="AA504" s="24">
        <f t="shared" si="225"/>
        <v>-147167073.33333331</v>
      </c>
      <c r="AB504" s="23">
        <f t="shared" si="225"/>
        <v>-207557073.33333331</v>
      </c>
      <c r="AC504" s="24">
        <f t="shared" si="225"/>
        <v>-193687073.33333331</v>
      </c>
      <c r="AD504" s="24">
        <f t="shared" si="225"/>
        <v>-135957073.33333331</v>
      </c>
      <c r="AE504" s="25">
        <f t="shared" si="225"/>
        <v>-144550326.43067846</v>
      </c>
      <c r="AF504" s="26">
        <f t="shared" si="188"/>
        <v>-1930383633.0973444</v>
      </c>
      <c r="AG504" s="26"/>
    </row>
    <row r="505" spans="2:33" ht="12.75" x14ac:dyDescent="0.3">
      <c r="B505" s="29" t="s">
        <v>480</v>
      </c>
      <c r="C505" s="30"/>
      <c r="D505" s="30"/>
      <c r="E505" s="42"/>
      <c r="F505" s="31"/>
      <c r="G505" s="33">
        <v>-8770</v>
      </c>
      <c r="H505" s="33">
        <v>-13249</v>
      </c>
      <c r="I505" s="33">
        <v>-13350</v>
      </c>
      <c r="J505" s="33">
        <v>-11642</v>
      </c>
      <c r="K505" s="33">
        <v>-10706</v>
      </c>
      <c r="L505" s="33">
        <v>-9077</v>
      </c>
      <c r="M505" s="33">
        <v>-8049</v>
      </c>
      <c r="N505" s="33">
        <v>-6716</v>
      </c>
      <c r="O505" s="33">
        <v>-5206</v>
      </c>
      <c r="P505" s="33">
        <f t="shared" ref="P505:R505" si="226">P506-P557</f>
        <v>0</v>
      </c>
      <c r="Q505" s="33">
        <f t="shared" si="226"/>
        <v>0</v>
      </c>
      <c r="R505" s="34">
        <f t="shared" si="226"/>
        <v>0</v>
      </c>
      <c r="S505" s="26">
        <f t="shared" si="187"/>
        <v>-86765</v>
      </c>
      <c r="T505" s="32">
        <f t="shared" ref="T505:AE505" si="227">T506-T557</f>
        <v>0</v>
      </c>
      <c r="U505" s="33">
        <f t="shared" si="227"/>
        <v>0</v>
      </c>
      <c r="V505" s="33">
        <f t="shared" si="227"/>
        <v>0</v>
      </c>
      <c r="W505" s="33">
        <f t="shared" si="227"/>
        <v>0</v>
      </c>
      <c r="X505" s="33">
        <f t="shared" si="227"/>
        <v>0</v>
      </c>
      <c r="Y505" s="34">
        <f t="shared" si="227"/>
        <v>0</v>
      </c>
      <c r="Z505" s="34">
        <f t="shared" si="227"/>
        <v>0</v>
      </c>
      <c r="AA505" s="33">
        <f t="shared" si="227"/>
        <v>0</v>
      </c>
      <c r="AB505" s="32">
        <f t="shared" si="227"/>
        <v>0</v>
      </c>
      <c r="AC505" s="33">
        <f t="shared" si="227"/>
        <v>0</v>
      </c>
      <c r="AD505" s="33">
        <f t="shared" si="227"/>
        <v>0</v>
      </c>
      <c r="AE505" s="34">
        <f t="shared" si="227"/>
        <v>0</v>
      </c>
      <c r="AF505" s="26">
        <f t="shared" si="188"/>
        <v>0</v>
      </c>
      <c r="AG505" s="26"/>
    </row>
    <row r="506" spans="2:33" ht="12.75" x14ac:dyDescent="0.3">
      <c r="B506" s="27"/>
      <c r="C506" s="29" t="s">
        <v>481</v>
      </c>
      <c r="D506" s="30"/>
      <c r="E506" s="42"/>
      <c r="F506" s="31"/>
      <c r="G506" s="33">
        <v>0</v>
      </c>
      <c r="H506" s="33">
        <v>0</v>
      </c>
      <c r="I506" s="33">
        <v>0</v>
      </c>
      <c r="J506" s="33">
        <v>0</v>
      </c>
      <c r="K506" s="33">
        <v>0</v>
      </c>
      <c r="L506" s="33">
        <v>0</v>
      </c>
      <c r="M506" s="33">
        <v>0</v>
      </c>
      <c r="N506" s="33">
        <v>0</v>
      </c>
      <c r="O506" s="33">
        <v>0</v>
      </c>
      <c r="P506" s="33">
        <f t="shared" ref="P506:R506" si="228">P507+P509+P514+P516+P520+P524+P526+P540+P546+P552+P554</f>
        <v>0</v>
      </c>
      <c r="Q506" s="33">
        <f t="shared" si="228"/>
        <v>0</v>
      </c>
      <c r="R506" s="34">
        <f t="shared" si="228"/>
        <v>0</v>
      </c>
      <c r="S506" s="26">
        <f t="shared" si="187"/>
        <v>0</v>
      </c>
      <c r="T506" s="32">
        <f t="shared" ref="T506:AE506" si="229">T507+T509+T514+T516+T520+T524+T526+T540+T546+T552+T554</f>
        <v>0</v>
      </c>
      <c r="U506" s="33">
        <f t="shared" si="229"/>
        <v>0</v>
      </c>
      <c r="V506" s="33">
        <f t="shared" si="229"/>
        <v>0</v>
      </c>
      <c r="W506" s="33">
        <f t="shared" si="229"/>
        <v>0</v>
      </c>
      <c r="X506" s="33">
        <f t="shared" si="229"/>
        <v>0</v>
      </c>
      <c r="Y506" s="34">
        <f t="shared" si="229"/>
        <v>0</v>
      </c>
      <c r="Z506" s="34">
        <f t="shared" si="229"/>
        <v>0</v>
      </c>
      <c r="AA506" s="33">
        <f t="shared" si="229"/>
        <v>0</v>
      </c>
      <c r="AB506" s="32">
        <f t="shared" si="229"/>
        <v>0</v>
      </c>
      <c r="AC506" s="33">
        <f t="shared" si="229"/>
        <v>0</v>
      </c>
      <c r="AD506" s="33">
        <f t="shared" si="229"/>
        <v>0</v>
      </c>
      <c r="AE506" s="34">
        <f t="shared" si="229"/>
        <v>0</v>
      </c>
      <c r="AF506" s="26">
        <f t="shared" si="188"/>
        <v>0</v>
      </c>
      <c r="AG506" s="26"/>
    </row>
    <row r="507" spans="2:33" ht="12.75" x14ac:dyDescent="0.3">
      <c r="B507" s="27"/>
      <c r="C507" s="28"/>
      <c r="D507" s="29" t="s">
        <v>482</v>
      </c>
      <c r="E507" s="42"/>
      <c r="F507" s="31"/>
      <c r="G507" s="33">
        <v>0</v>
      </c>
      <c r="H507" s="33">
        <v>0</v>
      </c>
      <c r="I507" s="33">
        <v>0</v>
      </c>
      <c r="J507" s="33">
        <v>0</v>
      </c>
      <c r="K507" s="33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f t="shared" ref="P507:R507" si="230">SUM(P508:P508)</f>
        <v>0</v>
      </c>
      <c r="Q507" s="33">
        <f t="shared" si="230"/>
        <v>0</v>
      </c>
      <c r="R507" s="34">
        <f t="shared" si="230"/>
        <v>0</v>
      </c>
      <c r="S507" s="26">
        <f t="shared" ref="S507:S571" si="231">SUM(G507:R507)</f>
        <v>0</v>
      </c>
      <c r="T507" s="32">
        <f t="shared" ref="T507:AE507" si="232">SUM(T508:T508)</f>
        <v>0</v>
      </c>
      <c r="U507" s="33">
        <f t="shared" si="232"/>
        <v>0</v>
      </c>
      <c r="V507" s="33">
        <f t="shared" si="232"/>
        <v>0</v>
      </c>
      <c r="W507" s="33">
        <f t="shared" si="232"/>
        <v>0</v>
      </c>
      <c r="X507" s="33">
        <f t="shared" si="232"/>
        <v>0</v>
      </c>
      <c r="Y507" s="34">
        <f t="shared" si="232"/>
        <v>0</v>
      </c>
      <c r="Z507" s="34">
        <f t="shared" si="232"/>
        <v>0</v>
      </c>
      <c r="AA507" s="33">
        <f t="shared" si="232"/>
        <v>0</v>
      </c>
      <c r="AB507" s="32">
        <f t="shared" si="232"/>
        <v>0</v>
      </c>
      <c r="AC507" s="33">
        <f t="shared" si="232"/>
        <v>0</v>
      </c>
      <c r="AD507" s="33">
        <f t="shared" si="232"/>
        <v>0</v>
      </c>
      <c r="AE507" s="34">
        <f t="shared" si="232"/>
        <v>0</v>
      </c>
      <c r="AF507" s="26">
        <f t="shared" ref="AF507:AF571" si="233">SUM(T507:AE507)</f>
        <v>0</v>
      </c>
      <c r="AG507" s="26"/>
    </row>
    <row r="508" spans="2:33" ht="12.75" x14ac:dyDescent="0.3">
      <c r="B508" s="27"/>
      <c r="C508" s="28"/>
      <c r="D508" s="28"/>
      <c r="E508" s="73">
        <v>9103210</v>
      </c>
      <c r="F508" s="66" t="s">
        <v>482</v>
      </c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8"/>
      <c r="S508" s="40">
        <f t="shared" si="231"/>
        <v>0</v>
      </c>
      <c r="T508" s="37"/>
      <c r="U508" s="37"/>
      <c r="V508" s="37"/>
      <c r="W508" s="37"/>
      <c r="X508" s="37"/>
      <c r="Y508" s="38"/>
      <c r="Z508" s="38"/>
      <c r="AA508" s="39"/>
      <c r="AB508" s="37"/>
      <c r="AC508" s="39"/>
      <c r="AD508" s="39"/>
      <c r="AE508" s="38"/>
      <c r="AF508" s="40">
        <f t="shared" si="233"/>
        <v>0</v>
      </c>
      <c r="AG508" s="40"/>
    </row>
    <row r="509" spans="2:33" ht="12.75" x14ac:dyDescent="0.3">
      <c r="B509" s="27"/>
      <c r="C509" s="28"/>
      <c r="D509" s="29" t="s">
        <v>483</v>
      </c>
      <c r="E509" s="74"/>
      <c r="F509" s="31"/>
      <c r="G509" s="33">
        <v>0</v>
      </c>
      <c r="H509" s="33">
        <v>0</v>
      </c>
      <c r="I509" s="33">
        <v>0</v>
      </c>
      <c r="J509" s="33">
        <v>0</v>
      </c>
      <c r="K509" s="33">
        <v>0</v>
      </c>
      <c r="L509" s="33">
        <v>0</v>
      </c>
      <c r="M509" s="33">
        <v>0</v>
      </c>
      <c r="N509" s="33">
        <v>0</v>
      </c>
      <c r="O509" s="33">
        <v>0</v>
      </c>
      <c r="P509" s="33">
        <f t="shared" ref="P509:R509" si="234">SUM(P510:P513)</f>
        <v>0</v>
      </c>
      <c r="Q509" s="33">
        <f t="shared" si="234"/>
        <v>0</v>
      </c>
      <c r="R509" s="34">
        <f t="shared" si="234"/>
        <v>0</v>
      </c>
      <c r="S509" s="26">
        <f t="shared" si="231"/>
        <v>0</v>
      </c>
      <c r="T509" s="32">
        <f t="shared" ref="T509:AE509" si="235">SUM(T510:T513)</f>
        <v>0</v>
      </c>
      <c r="U509" s="33">
        <f t="shared" si="235"/>
        <v>0</v>
      </c>
      <c r="V509" s="33">
        <f t="shared" si="235"/>
        <v>0</v>
      </c>
      <c r="W509" s="33">
        <f t="shared" si="235"/>
        <v>0</v>
      </c>
      <c r="X509" s="33">
        <f t="shared" si="235"/>
        <v>0</v>
      </c>
      <c r="Y509" s="34">
        <f t="shared" si="235"/>
        <v>0</v>
      </c>
      <c r="Z509" s="34">
        <f t="shared" si="235"/>
        <v>0</v>
      </c>
      <c r="AA509" s="33">
        <f t="shared" si="235"/>
        <v>0</v>
      </c>
      <c r="AB509" s="32">
        <f t="shared" si="235"/>
        <v>0</v>
      </c>
      <c r="AC509" s="33">
        <f t="shared" si="235"/>
        <v>0</v>
      </c>
      <c r="AD509" s="33">
        <f t="shared" si="235"/>
        <v>0</v>
      </c>
      <c r="AE509" s="34">
        <f t="shared" si="235"/>
        <v>0</v>
      </c>
      <c r="AF509" s="26">
        <f t="shared" si="233"/>
        <v>0</v>
      </c>
      <c r="AG509" s="26"/>
    </row>
    <row r="510" spans="2:33" ht="12.75" x14ac:dyDescent="0.3">
      <c r="B510" s="27"/>
      <c r="C510" s="28"/>
      <c r="D510" s="28"/>
      <c r="E510" s="75">
        <v>6101100</v>
      </c>
      <c r="F510" s="69" t="s">
        <v>484</v>
      </c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8"/>
      <c r="S510" s="40">
        <f t="shared" si="231"/>
        <v>0</v>
      </c>
      <c r="T510" s="37"/>
      <c r="U510" s="37"/>
      <c r="V510" s="37"/>
      <c r="W510" s="37"/>
      <c r="X510" s="37"/>
      <c r="Y510" s="38"/>
      <c r="Z510" s="38"/>
      <c r="AA510" s="39"/>
      <c r="AB510" s="37"/>
      <c r="AC510" s="39"/>
      <c r="AD510" s="39"/>
      <c r="AE510" s="38"/>
      <c r="AF510" s="40">
        <f t="shared" si="233"/>
        <v>0</v>
      </c>
      <c r="AG510" s="40"/>
    </row>
    <row r="511" spans="2:33" ht="12.75" x14ac:dyDescent="0.3">
      <c r="B511" s="27"/>
      <c r="C511" s="28"/>
      <c r="D511" s="28"/>
      <c r="E511" s="76">
        <v>6101110</v>
      </c>
      <c r="F511" s="36" t="s">
        <v>485</v>
      </c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8"/>
      <c r="S511" s="40">
        <f t="shared" si="231"/>
        <v>0</v>
      </c>
      <c r="T511" s="37"/>
      <c r="U511" s="37"/>
      <c r="V511" s="37"/>
      <c r="W511" s="37"/>
      <c r="X511" s="37"/>
      <c r="Y511" s="38"/>
      <c r="Z511" s="38"/>
      <c r="AA511" s="39"/>
      <c r="AB511" s="37"/>
      <c r="AC511" s="39"/>
      <c r="AD511" s="39"/>
      <c r="AE511" s="38"/>
      <c r="AF511" s="40">
        <f t="shared" si="233"/>
        <v>0</v>
      </c>
      <c r="AG511" s="40"/>
    </row>
    <row r="512" spans="2:33" ht="12.75" x14ac:dyDescent="0.3">
      <c r="B512" s="27"/>
      <c r="C512" s="28"/>
      <c r="D512" s="28"/>
      <c r="E512" s="76">
        <v>6101190</v>
      </c>
      <c r="F512" s="36" t="s">
        <v>486</v>
      </c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8"/>
      <c r="S512" s="40">
        <f t="shared" si="231"/>
        <v>0</v>
      </c>
      <c r="T512" s="37"/>
      <c r="U512" s="37"/>
      <c r="V512" s="37"/>
      <c r="W512" s="37"/>
      <c r="X512" s="37"/>
      <c r="Y512" s="38"/>
      <c r="Z512" s="38"/>
      <c r="AA512" s="39"/>
      <c r="AB512" s="37"/>
      <c r="AC512" s="39"/>
      <c r="AD512" s="39"/>
      <c r="AE512" s="38"/>
      <c r="AF512" s="40">
        <f t="shared" si="233"/>
        <v>0</v>
      </c>
      <c r="AG512" s="40"/>
    </row>
    <row r="513" spans="2:33" ht="12.75" x14ac:dyDescent="0.3">
      <c r="B513" s="27"/>
      <c r="C513" s="28"/>
      <c r="D513" s="28"/>
      <c r="E513" s="76">
        <v>6101120</v>
      </c>
      <c r="F513" s="36" t="s">
        <v>487</v>
      </c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8"/>
      <c r="S513" s="40">
        <f t="shared" si="231"/>
        <v>0</v>
      </c>
      <c r="T513" s="37"/>
      <c r="U513" s="37"/>
      <c r="V513" s="37"/>
      <c r="W513" s="37"/>
      <c r="X513" s="37"/>
      <c r="Y513" s="38"/>
      <c r="Z513" s="38"/>
      <c r="AA513" s="39"/>
      <c r="AB513" s="37"/>
      <c r="AC513" s="39"/>
      <c r="AD513" s="39"/>
      <c r="AE513" s="38"/>
      <c r="AF513" s="40">
        <f t="shared" si="233"/>
        <v>0</v>
      </c>
      <c r="AG513" s="40"/>
    </row>
    <row r="514" spans="2:33" ht="12.75" x14ac:dyDescent="0.3">
      <c r="B514" s="27"/>
      <c r="C514" s="28"/>
      <c r="D514" s="29" t="s">
        <v>488</v>
      </c>
      <c r="E514" s="74"/>
      <c r="F514" s="31"/>
      <c r="G514" s="33">
        <v>0</v>
      </c>
      <c r="H514" s="33">
        <v>0</v>
      </c>
      <c r="I514" s="33">
        <v>0</v>
      </c>
      <c r="J514" s="33">
        <v>0</v>
      </c>
      <c r="K514" s="33">
        <v>0</v>
      </c>
      <c r="L514" s="33">
        <v>0</v>
      </c>
      <c r="M514" s="33">
        <v>0</v>
      </c>
      <c r="N514" s="33">
        <v>0</v>
      </c>
      <c r="O514" s="33">
        <v>0</v>
      </c>
      <c r="P514" s="33">
        <f t="shared" ref="P514:R514" si="236">SUM(P515:P515)</f>
        <v>0</v>
      </c>
      <c r="Q514" s="33">
        <f t="shared" si="236"/>
        <v>0</v>
      </c>
      <c r="R514" s="34">
        <f t="shared" si="236"/>
        <v>0</v>
      </c>
      <c r="S514" s="26">
        <f t="shared" si="231"/>
        <v>0</v>
      </c>
      <c r="T514" s="32">
        <f t="shared" ref="T514:AE514" si="237">SUM(T515:T515)</f>
        <v>0</v>
      </c>
      <c r="U514" s="33">
        <f t="shared" si="237"/>
        <v>0</v>
      </c>
      <c r="V514" s="33">
        <f t="shared" si="237"/>
        <v>0</v>
      </c>
      <c r="W514" s="33">
        <f t="shared" si="237"/>
        <v>0</v>
      </c>
      <c r="X514" s="33">
        <f t="shared" si="237"/>
        <v>0</v>
      </c>
      <c r="Y514" s="34">
        <f t="shared" si="237"/>
        <v>0</v>
      </c>
      <c r="Z514" s="34">
        <f t="shared" si="237"/>
        <v>0</v>
      </c>
      <c r="AA514" s="33">
        <f t="shared" si="237"/>
        <v>0</v>
      </c>
      <c r="AB514" s="32">
        <f t="shared" si="237"/>
        <v>0</v>
      </c>
      <c r="AC514" s="33">
        <f t="shared" si="237"/>
        <v>0</v>
      </c>
      <c r="AD514" s="33">
        <f t="shared" si="237"/>
        <v>0</v>
      </c>
      <c r="AE514" s="34">
        <f t="shared" si="237"/>
        <v>0</v>
      </c>
      <c r="AF514" s="26">
        <f t="shared" si="233"/>
        <v>0</v>
      </c>
      <c r="AG514" s="26"/>
    </row>
    <row r="515" spans="2:33" ht="12.75" x14ac:dyDescent="0.3">
      <c r="B515" s="27"/>
      <c r="C515" s="28"/>
      <c r="D515" s="28" t="s">
        <v>489</v>
      </c>
      <c r="E515" s="76">
        <v>6102000</v>
      </c>
      <c r="F515" s="36" t="s">
        <v>490</v>
      </c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8"/>
      <c r="S515" s="40">
        <f t="shared" si="231"/>
        <v>0</v>
      </c>
      <c r="T515" s="37"/>
      <c r="U515" s="37"/>
      <c r="V515" s="37"/>
      <c r="W515" s="37"/>
      <c r="X515" s="37"/>
      <c r="Y515" s="38"/>
      <c r="Z515" s="38"/>
      <c r="AA515" s="39"/>
      <c r="AB515" s="37"/>
      <c r="AC515" s="39"/>
      <c r="AD515" s="39"/>
      <c r="AE515" s="38"/>
      <c r="AF515" s="40">
        <f t="shared" si="233"/>
        <v>0</v>
      </c>
      <c r="AG515" s="40"/>
    </row>
    <row r="516" spans="2:33" ht="12.75" x14ac:dyDescent="0.3">
      <c r="B516" s="27"/>
      <c r="C516" s="28"/>
      <c r="D516" s="29" t="s">
        <v>491</v>
      </c>
      <c r="E516" s="74"/>
      <c r="F516" s="31"/>
      <c r="G516" s="33">
        <v>0</v>
      </c>
      <c r="H516" s="33">
        <v>0</v>
      </c>
      <c r="I516" s="33">
        <v>0</v>
      </c>
      <c r="J516" s="33">
        <v>0</v>
      </c>
      <c r="K516" s="33">
        <v>0</v>
      </c>
      <c r="L516" s="33">
        <v>0</v>
      </c>
      <c r="M516" s="33">
        <v>0</v>
      </c>
      <c r="N516" s="33">
        <v>0</v>
      </c>
      <c r="O516" s="33">
        <v>0</v>
      </c>
      <c r="P516" s="33">
        <f t="shared" ref="P516:R516" si="238">SUM(P517:P519)</f>
        <v>0</v>
      </c>
      <c r="Q516" s="33">
        <f t="shared" si="238"/>
        <v>0</v>
      </c>
      <c r="R516" s="34">
        <f t="shared" si="238"/>
        <v>0</v>
      </c>
      <c r="S516" s="26">
        <f t="shared" si="231"/>
        <v>0</v>
      </c>
      <c r="T516" s="32">
        <f t="shared" ref="T516:AE516" si="239">SUM(T517:T519)</f>
        <v>0</v>
      </c>
      <c r="U516" s="33">
        <f t="shared" si="239"/>
        <v>0</v>
      </c>
      <c r="V516" s="33">
        <f t="shared" si="239"/>
        <v>0</v>
      </c>
      <c r="W516" s="33">
        <f t="shared" si="239"/>
        <v>0</v>
      </c>
      <c r="X516" s="33">
        <f t="shared" si="239"/>
        <v>0</v>
      </c>
      <c r="Y516" s="34">
        <f t="shared" si="239"/>
        <v>0</v>
      </c>
      <c r="Z516" s="34">
        <f t="shared" si="239"/>
        <v>0</v>
      </c>
      <c r="AA516" s="33">
        <f t="shared" si="239"/>
        <v>0</v>
      </c>
      <c r="AB516" s="32">
        <f t="shared" si="239"/>
        <v>0</v>
      </c>
      <c r="AC516" s="33">
        <f t="shared" si="239"/>
        <v>0</v>
      </c>
      <c r="AD516" s="33">
        <f t="shared" si="239"/>
        <v>0</v>
      </c>
      <c r="AE516" s="34">
        <f t="shared" si="239"/>
        <v>0</v>
      </c>
      <c r="AF516" s="26">
        <f t="shared" si="233"/>
        <v>0</v>
      </c>
      <c r="AG516" s="26"/>
    </row>
    <row r="517" spans="2:33" ht="12.75" x14ac:dyDescent="0.3">
      <c r="B517" s="27"/>
      <c r="C517" s="28"/>
      <c r="D517" s="28" t="s">
        <v>489</v>
      </c>
      <c r="E517" s="76">
        <v>5204000</v>
      </c>
      <c r="F517" s="36" t="s">
        <v>492</v>
      </c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8"/>
      <c r="S517" s="40">
        <f t="shared" si="231"/>
        <v>0</v>
      </c>
      <c r="T517" s="37"/>
      <c r="U517" s="37"/>
      <c r="V517" s="37"/>
      <c r="W517" s="37"/>
      <c r="X517" s="37"/>
      <c r="Y517" s="38"/>
      <c r="Z517" s="38"/>
      <c r="AA517" s="39"/>
      <c r="AB517" s="37"/>
      <c r="AC517" s="39"/>
      <c r="AD517" s="39"/>
      <c r="AE517" s="38"/>
      <c r="AF517" s="40">
        <f t="shared" si="233"/>
        <v>0</v>
      </c>
      <c r="AG517" s="40"/>
    </row>
    <row r="518" spans="2:33" ht="12.75" x14ac:dyDescent="0.3">
      <c r="B518" s="27"/>
      <c r="C518" s="28"/>
      <c r="D518" s="28" t="s">
        <v>489</v>
      </c>
      <c r="E518" s="76">
        <v>5204001</v>
      </c>
      <c r="F518" s="36" t="s">
        <v>493</v>
      </c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8"/>
      <c r="S518" s="40">
        <f t="shared" si="231"/>
        <v>0</v>
      </c>
      <c r="T518" s="37"/>
      <c r="U518" s="37"/>
      <c r="V518" s="37"/>
      <c r="W518" s="37"/>
      <c r="X518" s="37"/>
      <c r="Y518" s="38"/>
      <c r="Z518" s="38"/>
      <c r="AA518" s="39"/>
      <c r="AB518" s="37"/>
      <c r="AC518" s="39"/>
      <c r="AD518" s="39"/>
      <c r="AE518" s="38"/>
      <c r="AF518" s="40">
        <f t="shared" si="233"/>
        <v>0</v>
      </c>
      <c r="AG518" s="40"/>
    </row>
    <row r="519" spans="2:33" ht="12.75" x14ac:dyDescent="0.3">
      <c r="B519" s="27"/>
      <c r="C519" s="28"/>
      <c r="D519" s="28" t="s">
        <v>489</v>
      </c>
      <c r="E519" s="76">
        <v>6103000</v>
      </c>
      <c r="F519" s="36" t="s">
        <v>494</v>
      </c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8"/>
      <c r="S519" s="40">
        <f t="shared" si="231"/>
        <v>0</v>
      </c>
      <c r="T519" s="37"/>
      <c r="U519" s="37"/>
      <c r="V519" s="37"/>
      <c r="W519" s="37"/>
      <c r="X519" s="37"/>
      <c r="Y519" s="38"/>
      <c r="Z519" s="38"/>
      <c r="AA519" s="39"/>
      <c r="AB519" s="37"/>
      <c r="AC519" s="39"/>
      <c r="AD519" s="39"/>
      <c r="AE519" s="38"/>
      <c r="AF519" s="40">
        <f t="shared" si="233"/>
        <v>0</v>
      </c>
      <c r="AG519" s="40"/>
    </row>
    <row r="520" spans="2:33" ht="12.75" x14ac:dyDescent="0.3">
      <c r="B520" s="27"/>
      <c r="C520" s="28"/>
      <c r="D520" s="29" t="s">
        <v>495</v>
      </c>
      <c r="E520" s="74"/>
      <c r="F520" s="31"/>
      <c r="G520" s="33">
        <v>0</v>
      </c>
      <c r="H520" s="33">
        <v>0</v>
      </c>
      <c r="I520" s="33">
        <v>0</v>
      </c>
      <c r="J520" s="33">
        <v>0</v>
      </c>
      <c r="K520" s="33">
        <v>0</v>
      </c>
      <c r="L520" s="33">
        <v>0</v>
      </c>
      <c r="M520" s="33">
        <v>0</v>
      </c>
      <c r="N520" s="33">
        <v>0</v>
      </c>
      <c r="O520" s="33">
        <v>0</v>
      </c>
      <c r="P520" s="33">
        <f t="shared" ref="P520:R520" si="240">SUM(P521:P523)</f>
        <v>0</v>
      </c>
      <c r="Q520" s="33">
        <f t="shared" si="240"/>
        <v>0</v>
      </c>
      <c r="R520" s="34">
        <f t="shared" si="240"/>
        <v>0</v>
      </c>
      <c r="S520" s="26">
        <f t="shared" si="231"/>
        <v>0</v>
      </c>
      <c r="T520" s="32">
        <f t="shared" ref="T520:AE520" si="241">SUM(T521:T523)</f>
        <v>0</v>
      </c>
      <c r="U520" s="33">
        <f t="shared" si="241"/>
        <v>0</v>
      </c>
      <c r="V520" s="33">
        <f t="shared" si="241"/>
        <v>0</v>
      </c>
      <c r="W520" s="33">
        <f t="shared" si="241"/>
        <v>0</v>
      </c>
      <c r="X520" s="33">
        <f t="shared" si="241"/>
        <v>0</v>
      </c>
      <c r="Y520" s="34">
        <f t="shared" si="241"/>
        <v>0</v>
      </c>
      <c r="Z520" s="34">
        <f t="shared" si="241"/>
        <v>0</v>
      </c>
      <c r="AA520" s="33">
        <f t="shared" si="241"/>
        <v>0</v>
      </c>
      <c r="AB520" s="32">
        <f t="shared" si="241"/>
        <v>0</v>
      </c>
      <c r="AC520" s="33">
        <f t="shared" si="241"/>
        <v>0</v>
      </c>
      <c r="AD520" s="33">
        <f t="shared" si="241"/>
        <v>0</v>
      </c>
      <c r="AE520" s="34">
        <f t="shared" si="241"/>
        <v>0</v>
      </c>
      <c r="AF520" s="26">
        <f t="shared" si="233"/>
        <v>0</v>
      </c>
      <c r="AG520" s="26"/>
    </row>
    <row r="521" spans="2:33" ht="12.75" x14ac:dyDescent="0.3">
      <c r="B521" s="27"/>
      <c r="C521" s="28"/>
      <c r="D521" s="28" t="s">
        <v>489</v>
      </c>
      <c r="E521" s="76">
        <v>5205000</v>
      </c>
      <c r="F521" s="36" t="s">
        <v>496</v>
      </c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8"/>
      <c r="S521" s="40">
        <f t="shared" si="231"/>
        <v>0</v>
      </c>
      <c r="T521" s="37"/>
      <c r="U521" s="37"/>
      <c r="V521" s="37"/>
      <c r="W521" s="37"/>
      <c r="X521" s="37"/>
      <c r="Y521" s="38"/>
      <c r="Z521" s="38"/>
      <c r="AA521" s="39"/>
      <c r="AB521" s="37"/>
      <c r="AC521" s="39"/>
      <c r="AD521" s="39"/>
      <c r="AE521" s="38"/>
      <c r="AF521" s="40">
        <f t="shared" si="233"/>
        <v>0</v>
      </c>
      <c r="AG521" s="40"/>
    </row>
    <row r="522" spans="2:33" ht="12.75" x14ac:dyDescent="0.3">
      <c r="B522" s="27"/>
      <c r="C522" s="28"/>
      <c r="D522" s="28" t="s">
        <v>489</v>
      </c>
      <c r="E522" s="76">
        <v>5205001</v>
      </c>
      <c r="F522" s="36" t="s">
        <v>497</v>
      </c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8"/>
      <c r="S522" s="40">
        <f t="shared" si="231"/>
        <v>0</v>
      </c>
      <c r="T522" s="37"/>
      <c r="U522" s="37"/>
      <c r="V522" s="37"/>
      <c r="W522" s="37"/>
      <c r="X522" s="37"/>
      <c r="Y522" s="38"/>
      <c r="Z522" s="38"/>
      <c r="AA522" s="39"/>
      <c r="AB522" s="37"/>
      <c r="AC522" s="39"/>
      <c r="AD522" s="39"/>
      <c r="AE522" s="38"/>
      <c r="AF522" s="40">
        <f t="shared" si="233"/>
        <v>0</v>
      </c>
      <c r="AG522" s="40"/>
    </row>
    <row r="523" spans="2:33" ht="12.75" x14ac:dyDescent="0.3">
      <c r="B523" s="27"/>
      <c r="C523" s="28"/>
      <c r="D523" s="28" t="s">
        <v>489</v>
      </c>
      <c r="E523" s="76">
        <v>6104000</v>
      </c>
      <c r="F523" s="36" t="s">
        <v>498</v>
      </c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8"/>
      <c r="S523" s="40">
        <f t="shared" si="231"/>
        <v>0</v>
      </c>
      <c r="T523" s="37"/>
      <c r="U523" s="37"/>
      <c r="V523" s="37"/>
      <c r="W523" s="37"/>
      <c r="X523" s="37"/>
      <c r="Y523" s="38"/>
      <c r="Z523" s="38"/>
      <c r="AA523" s="39"/>
      <c r="AB523" s="37"/>
      <c r="AC523" s="39"/>
      <c r="AD523" s="39"/>
      <c r="AE523" s="38"/>
      <c r="AF523" s="40">
        <f t="shared" si="233"/>
        <v>0</v>
      </c>
      <c r="AG523" s="40"/>
    </row>
    <row r="524" spans="2:33" ht="12.75" x14ac:dyDescent="0.3">
      <c r="B524" s="27"/>
      <c r="C524" s="28"/>
      <c r="D524" s="29" t="s">
        <v>499</v>
      </c>
      <c r="E524" s="74"/>
      <c r="F524" s="31"/>
      <c r="G524" s="33">
        <v>0</v>
      </c>
      <c r="H524" s="33">
        <v>0</v>
      </c>
      <c r="I524" s="33">
        <v>0</v>
      </c>
      <c r="J524" s="33">
        <v>0</v>
      </c>
      <c r="K524" s="33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f t="shared" ref="P524:R524" si="242">SUM(P525:P525)</f>
        <v>0</v>
      </c>
      <c r="Q524" s="33">
        <f t="shared" si="242"/>
        <v>0</v>
      </c>
      <c r="R524" s="34">
        <f t="shared" si="242"/>
        <v>0</v>
      </c>
      <c r="S524" s="26">
        <f t="shared" si="231"/>
        <v>0</v>
      </c>
      <c r="T524" s="32">
        <f t="shared" ref="T524:AE524" si="243">SUM(T525:T525)</f>
        <v>0</v>
      </c>
      <c r="U524" s="33">
        <f t="shared" si="243"/>
        <v>0</v>
      </c>
      <c r="V524" s="33">
        <f t="shared" si="243"/>
        <v>0</v>
      </c>
      <c r="W524" s="33">
        <f t="shared" si="243"/>
        <v>0</v>
      </c>
      <c r="X524" s="33">
        <f t="shared" si="243"/>
        <v>0</v>
      </c>
      <c r="Y524" s="34">
        <f t="shared" si="243"/>
        <v>0</v>
      </c>
      <c r="Z524" s="34">
        <f t="shared" si="243"/>
        <v>0</v>
      </c>
      <c r="AA524" s="33">
        <f t="shared" si="243"/>
        <v>0</v>
      </c>
      <c r="AB524" s="32">
        <f t="shared" si="243"/>
        <v>0</v>
      </c>
      <c r="AC524" s="33">
        <f t="shared" si="243"/>
        <v>0</v>
      </c>
      <c r="AD524" s="33">
        <f t="shared" si="243"/>
        <v>0</v>
      </c>
      <c r="AE524" s="34">
        <f t="shared" si="243"/>
        <v>0</v>
      </c>
      <c r="AF524" s="26">
        <f t="shared" si="233"/>
        <v>0</v>
      </c>
      <c r="AG524" s="26"/>
    </row>
    <row r="525" spans="2:33" ht="12.75" x14ac:dyDescent="0.3">
      <c r="B525" s="27"/>
      <c r="C525" s="28"/>
      <c r="D525" s="28" t="s">
        <v>489</v>
      </c>
      <c r="E525" s="76">
        <v>6126000</v>
      </c>
      <c r="F525" s="36" t="s">
        <v>499</v>
      </c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8"/>
      <c r="S525" s="40">
        <f t="shared" si="231"/>
        <v>0</v>
      </c>
      <c r="T525" s="37"/>
      <c r="U525" s="37"/>
      <c r="V525" s="37"/>
      <c r="W525" s="37"/>
      <c r="X525" s="37"/>
      <c r="Y525" s="38"/>
      <c r="Z525" s="38"/>
      <c r="AA525" s="39"/>
      <c r="AB525" s="37"/>
      <c r="AC525" s="39"/>
      <c r="AD525" s="39"/>
      <c r="AE525" s="38"/>
      <c r="AF525" s="40">
        <f t="shared" si="233"/>
        <v>0</v>
      </c>
      <c r="AG525" s="40"/>
    </row>
    <row r="526" spans="2:33" ht="12.75" x14ac:dyDescent="0.3">
      <c r="B526" s="27"/>
      <c r="C526" s="28"/>
      <c r="D526" s="29" t="s">
        <v>500</v>
      </c>
      <c r="E526" s="74"/>
      <c r="F526" s="31"/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f t="shared" ref="P526:R526" si="244">SUM(P527:P539)</f>
        <v>0</v>
      </c>
      <c r="Q526" s="33">
        <f t="shared" si="244"/>
        <v>0</v>
      </c>
      <c r="R526" s="34">
        <f t="shared" si="244"/>
        <v>0</v>
      </c>
      <c r="S526" s="26">
        <f t="shared" si="231"/>
        <v>0</v>
      </c>
      <c r="T526" s="32">
        <f t="shared" ref="T526:AE526" si="245">SUM(T527:T539)</f>
        <v>0</v>
      </c>
      <c r="U526" s="33">
        <f t="shared" si="245"/>
        <v>0</v>
      </c>
      <c r="V526" s="33">
        <f t="shared" si="245"/>
        <v>0</v>
      </c>
      <c r="W526" s="33">
        <f t="shared" si="245"/>
        <v>0</v>
      </c>
      <c r="X526" s="33">
        <f t="shared" si="245"/>
        <v>0</v>
      </c>
      <c r="Y526" s="34">
        <f t="shared" si="245"/>
        <v>0</v>
      </c>
      <c r="Z526" s="34">
        <f t="shared" si="245"/>
        <v>0</v>
      </c>
      <c r="AA526" s="33">
        <f t="shared" si="245"/>
        <v>0</v>
      </c>
      <c r="AB526" s="32">
        <f t="shared" si="245"/>
        <v>0</v>
      </c>
      <c r="AC526" s="33">
        <f t="shared" si="245"/>
        <v>0</v>
      </c>
      <c r="AD526" s="33">
        <f t="shared" si="245"/>
        <v>0</v>
      </c>
      <c r="AE526" s="34">
        <f t="shared" si="245"/>
        <v>0</v>
      </c>
      <c r="AF526" s="26">
        <f t="shared" si="233"/>
        <v>0</v>
      </c>
      <c r="AG526" s="26"/>
    </row>
    <row r="527" spans="2:33" ht="12.75" x14ac:dyDescent="0.3">
      <c r="B527" s="27"/>
      <c r="C527" s="28"/>
      <c r="D527" s="28" t="s">
        <v>489</v>
      </c>
      <c r="E527" s="76">
        <v>6105000</v>
      </c>
      <c r="F527" s="36" t="s">
        <v>501</v>
      </c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8"/>
      <c r="S527" s="40">
        <f t="shared" si="231"/>
        <v>0</v>
      </c>
      <c r="T527" s="37"/>
      <c r="U527" s="37"/>
      <c r="V527" s="37"/>
      <c r="W527" s="37"/>
      <c r="X527" s="37"/>
      <c r="Y527" s="38"/>
      <c r="Z527" s="38"/>
      <c r="AA527" s="39"/>
      <c r="AB527" s="37"/>
      <c r="AC527" s="39"/>
      <c r="AD527" s="39"/>
      <c r="AE527" s="38"/>
      <c r="AF527" s="40">
        <f t="shared" si="233"/>
        <v>0</v>
      </c>
      <c r="AG527" s="40"/>
    </row>
    <row r="528" spans="2:33" ht="12.75" x14ac:dyDescent="0.3">
      <c r="B528" s="27"/>
      <c r="C528" s="28"/>
      <c r="D528" s="28" t="s">
        <v>489</v>
      </c>
      <c r="E528" s="76">
        <v>6106000</v>
      </c>
      <c r="F528" s="36" t="s">
        <v>502</v>
      </c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8"/>
      <c r="S528" s="40">
        <f t="shared" si="231"/>
        <v>0</v>
      </c>
      <c r="T528" s="37"/>
      <c r="U528" s="37"/>
      <c r="V528" s="37"/>
      <c r="W528" s="37"/>
      <c r="X528" s="37"/>
      <c r="Y528" s="38"/>
      <c r="Z528" s="38"/>
      <c r="AA528" s="39"/>
      <c r="AB528" s="37"/>
      <c r="AC528" s="39"/>
      <c r="AD528" s="39"/>
      <c r="AE528" s="38"/>
      <c r="AF528" s="40">
        <f t="shared" si="233"/>
        <v>0</v>
      </c>
      <c r="AG528" s="40"/>
    </row>
    <row r="529" spans="2:33" ht="12.75" x14ac:dyDescent="0.3">
      <c r="B529" s="27"/>
      <c r="C529" s="28"/>
      <c r="D529" s="28" t="s">
        <v>489</v>
      </c>
      <c r="E529" s="76">
        <v>6111000</v>
      </c>
      <c r="F529" s="36" t="s">
        <v>503</v>
      </c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8"/>
      <c r="S529" s="40">
        <f t="shared" si="231"/>
        <v>0</v>
      </c>
      <c r="T529" s="37"/>
      <c r="U529" s="37"/>
      <c r="V529" s="37"/>
      <c r="W529" s="37"/>
      <c r="X529" s="37"/>
      <c r="Y529" s="38"/>
      <c r="Z529" s="38"/>
      <c r="AA529" s="39"/>
      <c r="AB529" s="37"/>
      <c r="AC529" s="39"/>
      <c r="AD529" s="39"/>
      <c r="AE529" s="38"/>
      <c r="AF529" s="40">
        <f t="shared" si="233"/>
        <v>0</v>
      </c>
      <c r="AG529" s="40"/>
    </row>
    <row r="530" spans="2:33" ht="12.75" x14ac:dyDescent="0.3">
      <c r="B530" s="27"/>
      <c r="C530" s="28"/>
      <c r="D530" s="28" t="s">
        <v>489</v>
      </c>
      <c r="E530" s="76">
        <v>6112000</v>
      </c>
      <c r="F530" s="36" t="s">
        <v>504</v>
      </c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8"/>
      <c r="S530" s="40">
        <f t="shared" si="231"/>
        <v>0</v>
      </c>
      <c r="T530" s="37"/>
      <c r="U530" s="37"/>
      <c r="V530" s="37"/>
      <c r="W530" s="37"/>
      <c r="X530" s="37"/>
      <c r="Y530" s="38"/>
      <c r="Z530" s="38"/>
      <c r="AA530" s="39"/>
      <c r="AB530" s="37"/>
      <c r="AC530" s="39"/>
      <c r="AD530" s="39"/>
      <c r="AE530" s="38"/>
      <c r="AF530" s="40">
        <f t="shared" si="233"/>
        <v>0</v>
      </c>
      <c r="AG530" s="40"/>
    </row>
    <row r="531" spans="2:33" ht="12.75" x14ac:dyDescent="0.3">
      <c r="B531" s="27"/>
      <c r="C531" s="28"/>
      <c r="D531" s="28" t="s">
        <v>489</v>
      </c>
      <c r="E531" s="76">
        <v>6113000</v>
      </c>
      <c r="F531" s="36" t="s">
        <v>505</v>
      </c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8"/>
      <c r="S531" s="40">
        <f t="shared" si="231"/>
        <v>0</v>
      </c>
      <c r="T531" s="37"/>
      <c r="U531" s="37"/>
      <c r="V531" s="37"/>
      <c r="W531" s="37"/>
      <c r="X531" s="37"/>
      <c r="Y531" s="38"/>
      <c r="Z531" s="38"/>
      <c r="AA531" s="39"/>
      <c r="AB531" s="37"/>
      <c r="AC531" s="39"/>
      <c r="AD531" s="39"/>
      <c r="AE531" s="38"/>
      <c r="AF531" s="40">
        <f t="shared" si="233"/>
        <v>0</v>
      </c>
      <c r="AG531" s="40"/>
    </row>
    <row r="532" spans="2:33" ht="12.75" x14ac:dyDescent="0.3">
      <c r="B532" s="27"/>
      <c r="C532" s="28"/>
      <c r="D532" s="28" t="s">
        <v>489</v>
      </c>
      <c r="E532" s="76">
        <v>6114000</v>
      </c>
      <c r="F532" s="36" t="s">
        <v>506</v>
      </c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8"/>
      <c r="S532" s="40">
        <f t="shared" si="231"/>
        <v>0</v>
      </c>
      <c r="T532" s="37"/>
      <c r="U532" s="37"/>
      <c r="V532" s="37"/>
      <c r="W532" s="37"/>
      <c r="X532" s="37"/>
      <c r="Y532" s="38"/>
      <c r="Z532" s="38"/>
      <c r="AA532" s="39"/>
      <c r="AB532" s="37"/>
      <c r="AC532" s="39"/>
      <c r="AD532" s="39"/>
      <c r="AE532" s="38"/>
      <c r="AF532" s="40">
        <f t="shared" si="233"/>
        <v>0</v>
      </c>
      <c r="AG532" s="40"/>
    </row>
    <row r="533" spans="2:33" ht="12.75" x14ac:dyDescent="0.3">
      <c r="B533" s="27"/>
      <c r="C533" s="28"/>
      <c r="D533" s="28" t="s">
        <v>489</v>
      </c>
      <c r="E533" s="76">
        <v>6115000</v>
      </c>
      <c r="F533" s="36" t="s">
        <v>507</v>
      </c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8"/>
      <c r="S533" s="40">
        <f t="shared" si="231"/>
        <v>0</v>
      </c>
      <c r="T533" s="37"/>
      <c r="U533" s="37"/>
      <c r="V533" s="37"/>
      <c r="W533" s="37"/>
      <c r="X533" s="37"/>
      <c r="Y533" s="38"/>
      <c r="Z533" s="38"/>
      <c r="AA533" s="39"/>
      <c r="AB533" s="37"/>
      <c r="AC533" s="39"/>
      <c r="AD533" s="39"/>
      <c r="AE533" s="38"/>
      <c r="AF533" s="40">
        <f t="shared" si="233"/>
        <v>0</v>
      </c>
      <c r="AG533" s="40"/>
    </row>
    <row r="534" spans="2:33" ht="12.75" x14ac:dyDescent="0.3">
      <c r="B534" s="27"/>
      <c r="C534" s="28"/>
      <c r="D534" s="28"/>
      <c r="E534" s="76">
        <v>6122000</v>
      </c>
      <c r="F534" s="36" t="s">
        <v>508</v>
      </c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8"/>
      <c r="S534" s="40">
        <f t="shared" si="231"/>
        <v>0</v>
      </c>
      <c r="T534" s="37"/>
      <c r="U534" s="37"/>
      <c r="V534" s="37"/>
      <c r="W534" s="37"/>
      <c r="X534" s="37"/>
      <c r="Y534" s="38"/>
      <c r="Z534" s="38"/>
      <c r="AA534" s="39"/>
      <c r="AB534" s="37"/>
      <c r="AC534" s="39"/>
      <c r="AD534" s="39"/>
      <c r="AE534" s="38"/>
      <c r="AF534" s="40">
        <f t="shared" si="233"/>
        <v>0</v>
      </c>
      <c r="AG534" s="40"/>
    </row>
    <row r="535" spans="2:33" ht="12.75" x14ac:dyDescent="0.3">
      <c r="B535" s="27"/>
      <c r="C535" s="28"/>
      <c r="D535" s="28" t="s">
        <v>489</v>
      </c>
      <c r="E535" s="76">
        <v>6129000</v>
      </c>
      <c r="F535" s="36" t="s">
        <v>509</v>
      </c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8"/>
      <c r="S535" s="40">
        <f t="shared" si="231"/>
        <v>0</v>
      </c>
      <c r="T535" s="37"/>
      <c r="U535" s="37"/>
      <c r="V535" s="37"/>
      <c r="W535" s="37"/>
      <c r="X535" s="37"/>
      <c r="Y535" s="38"/>
      <c r="Z535" s="38"/>
      <c r="AA535" s="39"/>
      <c r="AB535" s="37"/>
      <c r="AC535" s="39"/>
      <c r="AD535" s="39"/>
      <c r="AE535" s="38"/>
      <c r="AF535" s="40">
        <f t="shared" si="233"/>
        <v>0</v>
      </c>
      <c r="AG535" s="40"/>
    </row>
    <row r="536" spans="2:33" ht="12.75" x14ac:dyDescent="0.3">
      <c r="B536" s="27"/>
      <c r="C536" s="28"/>
      <c r="D536" s="28" t="s">
        <v>489</v>
      </c>
      <c r="E536" s="76">
        <v>6130000</v>
      </c>
      <c r="F536" s="36" t="s">
        <v>510</v>
      </c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8"/>
      <c r="S536" s="40">
        <f t="shared" si="231"/>
        <v>0</v>
      </c>
      <c r="T536" s="37"/>
      <c r="U536" s="37"/>
      <c r="V536" s="37"/>
      <c r="W536" s="37"/>
      <c r="X536" s="37"/>
      <c r="Y536" s="38"/>
      <c r="Z536" s="38"/>
      <c r="AA536" s="39"/>
      <c r="AB536" s="37"/>
      <c r="AC536" s="39"/>
      <c r="AD536" s="39"/>
      <c r="AE536" s="38"/>
      <c r="AF536" s="40">
        <f t="shared" si="233"/>
        <v>0</v>
      </c>
      <c r="AG536" s="40"/>
    </row>
    <row r="537" spans="2:33" ht="12.75" x14ac:dyDescent="0.3">
      <c r="B537" s="27"/>
      <c r="C537" s="28"/>
      <c r="D537" s="28" t="s">
        <v>489</v>
      </c>
      <c r="E537" s="76">
        <v>6131000</v>
      </c>
      <c r="F537" s="36" t="s">
        <v>511</v>
      </c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8"/>
      <c r="S537" s="40">
        <f t="shared" si="231"/>
        <v>0</v>
      </c>
      <c r="T537" s="37"/>
      <c r="U537" s="37"/>
      <c r="V537" s="37"/>
      <c r="W537" s="37"/>
      <c r="X537" s="37"/>
      <c r="Y537" s="38"/>
      <c r="Z537" s="38"/>
      <c r="AA537" s="39"/>
      <c r="AB537" s="37"/>
      <c r="AC537" s="39"/>
      <c r="AD537" s="39"/>
      <c r="AE537" s="38"/>
      <c r="AF537" s="40">
        <f t="shared" si="233"/>
        <v>0</v>
      </c>
      <c r="AG537" s="40"/>
    </row>
    <row r="538" spans="2:33" ht="12.75" x14ac:dyDescent="0.3">
      <c r="B538" s="27"/>
      <c r="C538" s="28"/>
      <c r="D538" s="28" t="s">
        <v>489</v>
      </c>
      <c r="E538" s="76">
        <v>6132000</v>
      </c>
      <c r="F538" s="36" t="s">
        <v>512</v>
      </c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8"/>
      <c r="S538" s="40">
        <f t="shared" si="231"/>
        <v>0</v>
      </c>
      <c r="T538" s="37"/>
      <c r="U538" s="37"/>
      <c r="V538" s="37"/>
      <c r="W538" s="37"/>
      <c r="X538" s="37"/>
      <c r="Y538" s="38"/>
      <c r="Z538" s="38"/>
      <c r="AA538" s="39"/>
      <c r="AB538" s="37"/>
      <c r="AC538" s="39"/>
      <c r="AD538" s="39"/>
      <c r="AE538" s="38"/>
      <c r="AF538" s="40">
        <f t="shared" si="233"/>
        <v>0</v>
      </c>
      <c r="AG538" s="40"/>
    </row>
    <row r="539" spans="2:33" ht="12.75" x14ac:dyDescent="0.3">
      <c r="B539" s="27"/>
      <c r="C539" s="28"/>
      <c r="D539" s="28" t="s">
        <v>489</v>
      </c>
      <c r="E539" s="76">
        <v>5219000</v>
      </c>
      <c r="F539" s="36" t="s">
        <v>513</v>
      </c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8"/>
      <c r="S539" s="40">
        <f t="shared" si="231"/>
        <v>0</v>
      </c>
      <c r="T539" s="37"/>
      <c r="U539" s="37"/>
      <c r="V539" s="37"/>
      <c r="W539" s="37"/>
      <c r="X539" s="37"/>
      <c r="Y539" s="38"/>
      <c r="Z539" s="38"/>
      <c r="AA539" s="39"/>
      <c r="AB539" s="37"/>
      <c r="AC539" s="39"/>
      <c r="AD539" s="39"/>
      <c r="AE539" s="38"/>
      <c r="AF539" s="40">
        <f t="shared" si="233"/>
        <v>0</v>
      </c>
      <c r="AG539" s="40"/>
    </row>
    <row r="540" spans="2:33" ht="12.75" x14ac:dyDescent="0.3">
      <c r="B540" s="27"/>
      <c r="C540" s="28"/>
      <c r="D540" s="29" t="s">
        <v>514</v>
      </c>
      <c r="E540" s="74"/>
      <c r="F540" s="31"/>
      <c r="G540" s="33">
        <v>0</v>
      </c>
      <c r="H540" s="33">
        <v>0</v>
      </c>
      <c r="I540" s="33">
        <v>0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f t="shared" ref="P540:R540" si="246">SUM(P541:P545)</f>
        <v>0</v>
      </c>
      <c r="Q540" s="33">
        <f t="shared" si="246"/>
        <v>0</v>
      </c>
      <c r="R540" s="34">
        <f t="shared" si="246"/>
        <v>0</v>
      </c>
      <c r="S540" s="26">
        <f t="shared" si="231"/>
        <v>0</v>
      </c>
      <c r="T540" s="32">
        <f t="shared" ref="T540:AE540" si="247">SUM(T541:T545)</f>
        <v>0</v>
      </c>
      <c r="U540" s="33">
        <f t="shared" si="247"/>
        <v>0</v>
      </c>
      <c r="V540" s="33">
        <f t="shared" si="247"/>
        <v>0</v>
      </c>
      <c r="W540" s="33">
        <f t="shared" si="247"/>
        <v>0</v>
      </c>
      <c r="X540" s="33">
        <f t="shared" si="247"/>
        <v>0</v>
      </c>
      <c r="Y540" s="34">
        <f t="shared" si="247"/>
        <v>0</v>
      </c>
      <c r="Z540" s="34">
        <f t="shared" si="247"/>
        <v>0</v>
      </c>
      <c r="AA540" s="33">
        <f t="shared" si="247"/>
        <v>0</v>
      </c>
      <c r="AB540" s="32">
        <f t="shared" si="247"/>
        <v>0</v>
      </c>
      <c r="AC540" s="33">
        <f t="shared" si="247"/>
        <v>0</v>
      </c>
      <c r="AD540" s="33">
        <f t="shared" si="247"/>
        <v>0</v>
      </c>
      <c r="AE540" s="34">
        <f t="shared" si="247"/>
        <v>0</v>
      </c>
      <c r="AF540" s="26">
        <f t="shared" si="233"/>
        <v>0</v>
      </c>
      <c r="AG540" s="26"/>
    </row>
    <row r="541" spans="2:33" ht="12.75" x14ac:dyDescent="0.3">
      <c r="B541" s="27"/>
      <c r="C541" s="28"/>
      <c r="D541" s="28" t="s">
        <v>489</v>
      </c>
      <c r="E541" s="76">
        <v>5222110</v>
      </c>
      <c r="F541" s="36" t="s">
        <v>515</v>
      </c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8"/>
      <c r="S541" s="40">
        <f t="shared" si="231"/>
        <v>0</v>
      </c>
      <c r="T541" s="37"/>
      <c r="U541" s="37"/>
      <c r="V541" s="37"/>
      <c r="W541" s="37"/>
      <c r="X541" s="37"/>
      <c r="Y541" s="38"/>
      <c r="Z541" s="38"/>
      <c r="AA541" s="39"/>
      <c r="AB541" s="37"/>
      <c r="AC541" s="39"/>
      <c r="AD541" s="39"/>
      <c r="AE541" s="38"/>
      <c r="AF541" s="40">
        <f t="shared" si="233"/>
        <v>0</v>
      </c>
      <c r="AG541" s="40"/>
    </row>
    <row r="542" spans="2:33" ht="12.75" x14ac:dyDescent="0.3">
      <c r="B542" s="27"/>
      <c r="C542" s="28"/>
      <c r="D542" s="28" t="s">
        <v>489</v>
      </c>
      <c r="E542" s="76">
        <v>5214000</v>
      </c>
      <c r="F542" s="36" t="s">
        <v>516</v>
      </c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8"/>
      <c r="S542" s="40">
        <f t="shared" si="231"/>
        <v>0</v>
      </c>
      <c r="T542" s="37"/>
      <c r="U542" s="37"/>
      <c r="V542" s="37"/>
      <c r="W542" s="37"/>
      <c r="X542" s="37"/>
      <c r="Y542" s="38"/>
      <c r="Z542" s="38"/>
      <c r="AA542" s="39"/>
      <c r="AB542" s="37"/>
      <c r="AC542" s="39"/>
      <c r="AD542" s="39"/>
      <c r="AE542" s="38"/>
      <c r="AF542" s="40">
        <f t="shared" si="233"/>
        <v>0</v>
      </c>
      <c r="AG542" s="40"/>
    </row>
    <row r="543" spans="2:33" ht="12.75" x14ac:dyDescent="0.3">
      <c r="B543" s="27"/>
      <c r="C543" s="28"/>
      <c r="D543" s="28" t="s">
        <v>489</v>
      </c>
      <c r="E543" s="76">
        <v>5215000</v>
      </c>
      <c r="F543" s="36" t="s">
        <v>517</v>
      </c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8"/>
      <c r="S543" s="40">
        <f t="shared" si="231"/>
        <v>0</v>
      </c>
      <c r="T543" s="37"/>
      <c r="U543" s="37"/>
      <c r="V543" s="37"/>
      <c r="W543" s="37"/>
      <c r="X543" s="37"/>
      <c r="Y543" s="38"/>
      <c r="Z543" s="38"/>
      <c r="AA543" s="39"/>
      <c r="AB543" s="37"/>
      <c r="AC543" s="39"/>
      <c r="AD543" s="39"/>
      <c r="AE543" s="38"/>
      <c r="AF543" s="40">
        <f t="shared" si="233"/>
        <v>0</v>
      </c>
      <c r="AG543" s="40"/>
    </row>
    <row r="544" spans="2:33" ht="12.75" x14ac:dyDescent="0.3">
      <c r="B544" s="27"/>
      <c r="C544" s="28"/>
      <c r="D544" s="28" t="s">
        <v>489</v>
      </c>
      <c r="E544" s="76">
        <v>5222100</v>
      </c>
      <c r="F544" s="36" t="s">
        <v>518</v>
      </c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8"/>
      <c r="S544" s="40">
        <f t="shared" si="231"/>
        <v>0</v>
      </c>
      <c r="T544" s="37"/>
      <c r="U544" s="37"/>
      <c r="V544" s="37"/>
      <c r="W544" s="37"/>
      <c r="X544" s="37"/>
      <c r="Y544" s="38"/>
      <c r="Z544" s="38"/>
      <c r="AA544" s="39"/>
      <c r="AB544" s="37"/>
      <c r="AC544" s="39"/>
      <c r="AD544" s="39"/>
      <c r="AE544" s="38"/>
      <c r="AF544" s="40">
        <f t="shared" si="233"/>
        <v>0</v>
      </c>
      <c r="AG544" s="40"/>
    </row>
    <row r="545" spans="2:33" ht="12.75" x14ac:dyDescent="0.3">
      <c r="B545" s="27"/>
      <c r="C545" s="28"/>
      <c r="D545" s="28" t="s">
        <v>489</v>
      </c>
      <c r="E545" s="76">
        <v>5222190</v>
      </c>
      <c r="F545" s="36" t="s">
        <v>519</v>
      </c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8"/>
      <c r="S545" s="40">
        <f t="shared" si="231"/>
        <v>0</v>
      </c>
      <c r="T545" s="37"/>
      <c r="U545" s="37"/>
      <c r="V545" s="37"/>
      <c r="W545" s="37"/>
      <c r="X545" s="37"/>
      <c r="Y545" s="38"/>
      <c r="Z545" s="38"/>
      <c r="AA545" s="39"/>
      <c r="AB545" s="37"/>
      <c r="AC545" s="39"/>
      <c r="AD545" s="39"/>
      <c r="AE545" s="38"/>
      <c r="AF545" s="40">
        <f t="shared" si="233"/>
        <v>0</v>
      </c>
      <c r="AG545" s="40"/>
    </row>
    <row r="546" spans="2:33" ht="12.75" x14ac:dyDescent="0.3">
      <c r="B546" s="27"/>
      <c r="C546" s="28"/>
      <c r="D546" s="29" t="s">
        <v>520</v>
      </c>
      <c r="E546" s="74"/>
      <c r="F546" s="31"/>
      <c r="G546" s="33">
        <v>0</v>
      </c>
      <c r="H546" s="33">
        <v>0</v>
      </c>
      <c r="I546" s="33">
        <v>0</v>
      </c>
      <c r="J546" s="33">
        <v>0</v>
      </c>
      <c r="K546" s="33">
        <v>0</v>
      </c>
      <c r="L546" s="33">
        <v>0</v>
      </c>
      <c r="M546" s="33">
        <v>0</v>
      </c>
      <c r="N546" s="33">
        <v>0</v>
      </c>
      <c r="O546" s="33">
        <v>0</v>
      </c>
      <c r="P546" s="33">
        <f t="shared" ref="P546:R546" si="248">SUM(P549:P551)</f>
        <v>0</v>
      </c>
      <c r="Q546" s="33">
        <f t="shared" si="248"/>
        <v>0</v>
      </c>
      <c r="R546" s="34">
        <f t="shared" si="248"/>
        <v>0</v>
      </c>
      <c r="S546" s="26">
        <f t="shared" si="231"/>
        <v>0</v>
      </c>
      <c r="T546" s="32">
        <f t="shared" ref="T546:AE546" si="249">SUM(T549:T551)</f>
        <v>0</v>
      </c>
      <c r="U546" s="33">
        <f t="shared" si="249"/>
        <v>0</v>
      </c>
      <c r="V546" s="33">
        <f t="shared" si="249"/>
        <v>0</v>
      </c>
      <c r="W546" s="33">
        <f t="shared" si="249"/>
        <v>0</v>
      </c>
      <c r="X546" s="33">
        <f t="shared" si="249"/>
        <v>0</v>
      </c>
      <c r="Y546" s="34">
        <f t="shared" si="249"/>
        <v>0</v>
      </c>
      <c r="Z546" s="34">
        <f t="shared" si="249"/>
        <v>0</v>
      </c>
      <c r="AA546" s="33">
        <f t="shared" si="249"/>
        <v>0</v>
      </c>
      <c r="AB546" s="32">
        <f t="shared" si="249"/>
        <v>0</v>
      </c>
      <c r="AC546" s="33">
        <f t="shared" si="249"/>
        <v>0</v>
      </c>
      <c r="AD546" s="33">
        <f t="shared" si="249"/>
        <v>0</v>
      </c>
      <c r="AE546" s="34">
        <f t="shared" si="249"/>
        <v>0</v>
      </c>
      <c r="AF546" s="26">
        <f t="shared" si="233"/>
        <v>0</v>
      </c>
      <c r="AG546" s="26"/>
    </row>
    <row r="547" spans="2:33" ht="12.75" x14ac:dyDescent="0.3">
      <c r="B547" s="27"/>
      <c r="C547" s="28"/>
      <c r="D547" s="28" t="s">
        <v>489</v>
      </c>
      <c r="E547" s="76">
        <v>5206100</v>
      </c>
      <c r="F547" s="36" t="s">
        <v>521</v>
      </c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8"/>
      <c r="S547" s="40">
        <f t="shared" si="231"/>
        <v>0</v>
      </c>
      <c r="T547" s="37"/>
      <c r="U547" s="37"/>
      <c r="V547" s="37"/>
      <c r="W547" s="37"/>
      <c r="X547" s="37"/>
      <c r="Y547" s="38"/>
      <c r="Z547" s="38"/>
      <c r="AA547" s="39"/>
      <c r="AB547" s="37"/>
      <c r="AC547" s="39"/>
      <c r="AD547" s="39"/>
      <c r="AE547" s="38"/>
      <c r="AF547" s="40">
        <f t="shared" si="233"/>
        <v>0</v>
      </c>
      <c r="AG547" s="40"/>
    </row>
    <row r="548" spans="2:33" ht="12.75" x14ac:dyDescent="0.3">
      <c r="B548" s="27"/>
      <c r="C548" s="28"/>
      <c r="D548" s="28" t="s">
        <v>489</v>
      </c>
      <c r="E548" s="76">
        <v>5208100</v>
      </c>
      <c r="F548" s="36" t="s">
        <v>522</v>
      </c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8"/>
      <c r="S548" s="40">
        <f t="shared" si="231"/>
        <v>0</v>
      </c>
      <c r="T548" s="37"/>
      <c r="U548" s="37"/>
      <c r="V548" s="37"/>
      <c r="W548" s="37"/>
      <c r="X548" s="37"/>
      <c r="Y548" s="38"/>
      <c r="Z548" s="38"/>
      <c r="AA548" s="39"/>
      <c r="AB548" s="37"/>
      <c r="AC548" s="39"/>
      <c r="AD548" s="39"/>
      <c r="AE548" s="38"/>
      <c r="AF548" s="40">
        <f t="shared" si="233"/>
        <v>0</v>
      </c>
      <c r="AG548" s="40"/>
    </row>
    <row r="549" spans="2:33" ht="12.75" x14ac:dyDescent="0.3">
      <c r="B549" s="27"/>
      <c r="C549" s="28"/>
      <c r="D549" s="28" t="s">
        <v>489</v>
      </c>
      <c r="E549" s="76">
        <v>5211000</v>
      </c>
      <c r="F549" s="36" t="s">
        <v>523</v>
      </c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8"/>
      <c r="S549" s="40">
        <f t="shared" si="231"/>
        <v>0</v>
      </c>
      <c r="T549" s="37"/>
      <c r="U549" s="37"/>
      <c r="V549" s="37"/>
      <c r="W549" s="37"/>
      <c r="X549" s="37"/>
      <c r="Y549" s="38"/>
      <c r="Z549" s="38"/>
      <c r="AA549" s="39"/>
      <c r="AB549" s="37"/>
      <c r="AC549" s="39"/>
      <c r="AD549" s="39"/>
      <c r="AE549" s="38"/>
      <c r="AF549" s="40">
        <f t="shared" si="233"/>
        <v>0</v>
      </c>
      <c r="AG549" s="40"/>
    </row>
    <row r="550" spans="2:33" ht="12.75" x14ac:dyDescent="0.3">
      <c r="B550" s="27"/>
      <c r="C550" s="28"/>
      <c r="D550" s="28" t="s">
        <v>489</v>
      </c>
      <c r="E550" s="76">
        <v>5210000</v>
      </c>
      <c r="F550" s="36" t="s">
        <v>524</v>
      </c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8"/>
      <c r="S550" s="40">
        <f t="shared" si="231"/>
        <v>0</v>
      </c>
      <c r="T550" s="37"/>
      <c r="U550" s="37"/>
      <c r="V550" s="37"/>
      <c r="W550" s="37"/>
      <c r="X550" s="37"/>
      <c r="Y550" s="38"/>
      <c r="Z550" s="38"/>
      <c r="AA550" s="39"/>
      <c r="AB550" s="37"/>
      <c r="AC550" s="39"/>
      <c r="AD550" s="39"/>
      <c r="AE550" s="38"/>
      <c r="AF550" s="40">
        <f t="shared" si="233"/>
        <v>0</v>
      </c>
      <c r="AG550" s="40"/>
    </row>
    <row r="551" spans="2:33" ht="12.75" x14ac:dyDescent="0.3">
      <c r="B551" s="27"/>
      <c r="C551" s="28"/>
      <c r="D551" s="28" t="s">
        <v>489</v>
      </c>
      <c r="E551" s="76">
        <v>5212000</v>
      </c>
      <c r="F551" s="36" t="s">
        <v>525</v>
      </c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8"/>
      <c r="S551" s="40">
        <f t="shared" si="231"/>
        <v>0</v>
      </c>
      <c r="T551" s="37"/>
      <c r="U551" s="37"/>
      <c r="V551" s="37"/>
      <c r="W551" s="37"/>
      <c r="X551" s="37"/>
      <c r="Y551" s="38"/>
      <c r="Z551" s="38"/>
      <c r="AA551" s="39"/>
      <c r="AB551" s="37"/>
      <c r="AC551" s="39"/>
      <c r="AD551" s="39"/>
      <c r="AE551" s="38"/>
      <c r="AF551" s="40">
        <f t="shared" si="233"/>
        <v>0</v>
      </c>
      <c r="AG551" s="40"/>
    </row>
    <row r="552" spans="2:33" ht="12.75" x14ac:dyDescent="0.3">
      <c r="B552" s="27"/>
      <c r="C552" s="28"/>
      <c r="D552" s="29" t="s">
        <v>526</v>
      </c>
      <c r="E552" s="74"/>
      <c r="F552" s="31"/>
      <c r="G552" s="33">
        <v>0</v>
      </c>
      <c r="H552" s="33">
        <v>0</v>
      </c>
      <c r="I552" s="33">
        <v>0</v>
      </c>
      <c r="J552" s="33">
        <v>0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f t="shared" ref="P552:R552" si="250">SUM(P553:P553)</f>
        <v>0</v>
      </c>
      <c r="Q552" s="33">
        <f t="shared" si="250"/>
        <v>0</v>
      </c>
      <c r="R552" s="34">
        <f t="shared" si="250"/>
        <v>0</v>
      </c>
      <c r="S552" s="26">
        <f t="shared" si="231"/>
        <v>0</v>
      </c>
      <c r="T552" s="32">
        <f t="shared" ref="T552:AE552" si="251">SUM(T553:T553)</f>
        <v>0</v>
      </c>
      <c r="U552" s="33">
        <f t="shared" si="251"/>
        <v>0</v>
      </c>
      <c r="V552" s="33">
        <f t="shared" si="251"/>
        <v>0</v>
      </c>
      <c r="W552" s="33">
        <f t="shared" si="251"/>
        <v>0</v>
      </c>
      <c r="X552" s="33">
        <f t="shared" si="251"/>
        <v>0</v>
      </c>
      <c r="Y552" s="34">
        <f t="shared" si="251"/>
        <v>0</v>
      </c>
      <c r="Z552" s="34">
        <f t="shared" si="251"/>
        <v>0</v>
      </c>
      <c r="AA552" s="33">
        <f t="shared" si="251"/>
        <v>0</v>
      </c>
      <c r="AB552" s="32">
        <f t="shared" si="251"/>
        <v>0</v>
      </c>
      <c r="AC552" s="33">
        <f t="shared" si="251"/>
        <v>0</v>
      </c>
      <c r="AD552" s="33">
        <f t="shared" si="251"/>
        <v>0</v>
      </c>
      <c r="AE552" s="34">
        <f t="shared" si="251"/>
        <v>0</v>
      </c>
      <c r="AF552" s="26">
        <f t="shared" si="233"/>
        <v>0</v>
      </c>
      <c r="AG552" s="26"/>
    </row>
    <row r="553" spans="2:33" ht="12.75" x14ac:dyDescent="0.3">
      <c r="B553" s="27"/>
      <c r="C553" s="28"/>
      <c r="D553" s="28" t="s">
        <v>489</v>
      </c>
      <c r="E553" s="76">
        <v>5201000</v>
      </c>
      <c r="F553" s="36" t="s">
        <v>526</v>
      </c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8"/>
      <c r="S553" s="40">
        <f t="shared" si="231"/>
        <v>0</v>
      </c>
      <c r="T553" s="37"/>
      <c r="U553" s="37"/>
      <c r="V553" s="37"/>
      <c r="W553" s="37"/>
      <c r="X553" s="37"/>
      <c r="Y553" s="38"/>
      <c r="Z553" s="38"/>
      <c r="AA553" s="39"/>
      <c r="AB553" s="37"/>
      <c r="AC553" s="39"/>
      <c r="AD553" s="39"/>
      <c r="AE553" s="38"/>
      <c r="AF553" s="40">
        <f t="shared" si="233"/>
        <v>0</v>
      </c>
      <c r="AG553" s="40"/>
    </row>
    <row r="554" spans="2:33" ht="12.75" x14ac:dyDescent="0.3">
      <c r="B554" s="27"/>
      <c r="C554" s="28"/>
      <c r="D554" s="29" t="s">
        <v>527</v>
      </c>
      <c r="E554" s="74"/>
      <c r="F554" s="31"/>
      <c r="G554" s="33">
        <v>0</v>
      </c>
      <c r="H554" s="33">
        <v>0</v>
      </c>
      <c r="I554" s="33">
        <v>0</v>
      </c>
      <c r="J554" s="33">
        <v>0</v>
      </c>
      <c r="K554" s="33">
        <v>0</v>
      </c>
      <c r="L554" s="33">
        <v>0</v>
      </c>
      <c r="M554" s="33">
        <v>0</v>
      </c>
      <c r="N554" s="33">
        <v>0</v>
      </c>
      <c r="O554" s="33">
        <v>0</v>
      </c>
      <c r="P554" s="33">
        <f t="shared" ref="P554:R554" si="252">SUM(P555:P556)</f>
        <v>0</v>
      </c>
      <c r="Q554" s="33">
        <f t="shared" si="252"/>
        <v>0</v>
      </c>
      <c r="R554" s="34">
        <f t="shared" si="252"/>
        <v>0</v>
      </c>
      <c r="S554" s="26">
        <f t="shared" si="231"/>
        <v>0</v>
      </c>
      <c r="T554" s="32">
        <f t="shared" ref="T554:AE554" si="253">SUM(T555:T556)</f>
        <v>0</v>
      </c>
      <c r="U554" s="33">
        <f t="shared" si="253"/>
        <v>0</v>
      </c>
      <c r="V554" s="33">
        <f t="shared" si="253"/>
        <v>0</v>
      </c>
      <c r="W554" s="33">
        <f t="shared" si="253"/>
        <v>0</v>
      </c>
      <c r="X554" s="33">
        <f t="shared" si="253"/>
        <v>0</v>
      </c>
      <c r="Y554" s="34">
        <f t="shared" si="253"/>
        <v>0</v>
      </c>
      <c r="Z554" s="34">
        <f t="shared" si="253"/>
        <v>0</v>
      </c>
      <c r="AA554" s="33">
        <f t="shared" si="253"/>
        <v>0</v>
      </c>
      <c r="AB554" s="32">
        <f t="shared" si="253"/>
        <v>0</v>
      </c>
      <c r="AC554" s="33">
        <f t="shared" si="253"/>
        <v>0</v>
      </c>
      <c r="AD554" s="33">
        <f t="shared" si="253"/>
        <v>0</v>
      </c>
      <c r="AE554" s="34">
        <f t="shared" si="253"/>
        <v>0</v>
      </c>
      <c r="AF554" s="26">
        <f t="shared" si="233"/>
        <v>0</v>
      </c>
      <c r="AG554" s="26"/>
    </row>
    <row r="555" spans="2:33" ht="12.75" x14ac:dyDescent="0.3">
      <c r="B555" s="27"/>
      <c r="C555" s="28"/>
      <c r="D555" s="28" t="s">
        <v>489</v>
      </c>
      <c r="E555" s="76">
        <v>5217000</v>
      </c>
      <c r="F555" s="36" t="s">
        <v>528</v>
      </c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8"/>
      <c r="S555" s="40">
        <f t="shared" si="231"/>
        <v>0</v>
      </c>
      <c r="T555" s="37"/>
      <c r="U555" s="37"/>
      <c r="V555" s="37"/>
      <c r="W555" s="37"/>
      <c r="X555" s="37"/>
      <c r="Y555" s="38"/>
      <c r="Z555" s="38"/>
      <c r="AA555" s="39"/>
      <c r="AB555" s="37"/>
      <c r="AC555" s="39"/>
      <c r="AD555" s="39"/>
      <c r="AE555" s="38"/>
      <c r="AF555" s="40">
        <f t="shared" si="233"/>
        <v>0</v>
      </c>
      <c r="AG555" s="40"/>
    </row>
    <row r="556" spans="2:33" ht="12.75" x14ac:dyDescent="0.3">
      <c r="B556" s="27"/>
      <c r="C556" s="28"/>
      <c r="D556" s="28" t="s">
        <v>489</v>
      </c>
      <c r="E556" s="76">
        <v>5216000</v>
      </c>
      <c r="F556" s="36" t="s">
        <v>529</v>
      </c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8"/>
      <c r="S556" s="40">
        <f t="shared" si="231"/>
        <v>0</v>
      </c>
      <c r="T556" s="37"/>
      <c r="U556" s="37"/>
      <c r="V556" s="37"/>
      <c r="W556" s="37"/>
      <c r="X556" s="37"/>
      <c r="Y556" s="38"/>
      <c r="Z556" s="38"/>
      <c r="AA556" s="39"/>
      <c r="AB556" s="37"/>
      <c r="AC556" s="39"/>
      <c r="AD556" s="39"/>
      <c r="AE556" s="38"/>
      <c r="AF556" s="40">
        <f t="shared" si="233"/>
        <v>0</v>
      </c>
      <c r="AG556" s="40"/>
    </row>
    <row r="557" spans="2:33" ht="12.75" x14ac:dyDescent="0.3">
      <c r="B557" s="27"/>
      <c r="C557" s="29" t="s">
        <v>530</v>
      </c>
      <c r="D557" s="30"/>
      <c r="E557" s="74"/>
      <c r="F557" s="31"/>
      <c r="G557" s="33">
        <v>8770</v>
      </c>
      <c r="H557" s="33">
        <v>13249</v>
      </c>
      <c r="I557" s="33">
        <v>13350</v>
      </c>
      <c r="J557" s="33">
        <v>11642</v>
      </c>
      <c r="K557" s="33">
        <v>10706</v>
      </c>
      <c r="L557" s="33">
        <v>9077</v>
      </c>
      <c r="M557" s="33">
        <v>8049</v>
      </c>
      <c r="N557" s="33">
        <v>6716</v>
      </c>
      <c r="O557" s="33">
        <v>5206</v>
      </c>
      <c r="P557" s="33">
        <f t="shared" ref="P557:R557" si="254">P558+P560+P567+P569+P573+P577+P579+P581+P596+P602+P605</f>
        <v>0</v>
      </c>
      <c r="Q557" s="33">
        <f t="shared" si="254"/>
        <v>0</v>
      </c>
      <c r="R557" s="34">
        <f t="shared" si="254"/>
        <v>0</v>
      </c>
      <c r="S557" s="26">
        <f t="shared" si="231"/>
        <v>86765</v>
      </c>
      <c r="T557" s="32">
        <f t="shared" ref="T557:AE557" si="255">T558+T560+T567+T569+T573+T577+T579+T581+T596+T602+T605</f>
        <v>0</v>
      </c>
      <c r="U557" s="33">
        <f t="shared" si="255"/>
        <v>0</v>
      </c>
      <c r="V557" s="33">
        <f t="shared" si="255"/>
        <v>0</v>
      </c>
      <c r="W557" s="33">
        <f t="shared" si="255"/>
        <v>0</v>
      </c>
      <c r="X557" s="33">
        <f t="shared" si="255"/>
        <v>0</v>
      </c>
      <c r="Y557" s="34">
        <f t="shared" si="255"/>
        <v>0</v>
      </c>
      <c r="Z557" s="34">
        <f t="shared" si="255"/>
        <v>0</v>
      </c>
      <c r="AA557" s="33">
        <f t="shared" si="255"/>
        <v>0</v>
      </c>
      <c r="AB557" s="32">
        <f t="shared" si="255"/>
        <v>0</v>
      </c>
      <c r="AC557" s="33">
        <f t="shared" si="255"/>
        <v>0</v>
      </c>
      <c r="AD557" s="33">
        <f t="shared" si="255"/>
        <v>0</v>
      </c>
      <c r="AE557" s="34">
        <f t="shared" si="255"/>
        <v>0</v>
      </c>
      <c r="AF557" s="26">
        <f t="shared" si="233"/>
        <v>0</v>
      </c>
      <c r="AG557" s="26"/>
    </row>
    <row r="558" spans="2:33" ht="12.75" x14ac:dyDescent="0.3">
      <c r="B558" s="27"/>
      <c r="C558" s="28"/>
      <c r="D558" s="29" t="s">
        <v>531</v>
      </c>
      <c r="E558" s="74"/>
      <c r="F558" s="31"/>
      <c r="G558" s="33">
        <v>0</v>
      </c>
      <c r="H558" s="33">
        <v>0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f t="shared" ref="P558:R558" si="256">SUM(P559:P559)</f>
        <v>0</v>
      </c>
      <c r="Q558" s="33">
        <f t="shared" si="256"/>
        <v>0</v>
      </c>
      <c r="R558" s="34">
        <f t="shared" si="256"/>
        <v>0</v>
      </c>
      <c r="S558" s="26">
        <f t="shared" si="231"/>
        <v>0</v>
      </c>
      <c r="T558" s="32">
        <f t="shared" ref="T558:AE558" si="257">SUM(T559:T559)</f>
        <v>0</v>
      </c>
      <c r="U558" s="33">
        <f t="shared" si="257"/>
        <v>0</v>
      </c>
      <c r="V558" s="33">
        <f t="shared" si="257"/>
        <v>0</v>
      </c>
      <c r="W558" s="33">
        <f t="shared" si="257"/>
        <v>0</v>
      </c>
      <c r="X558" s="33">
        <f t="shared" si="257"/>
        <v>0</v>
      </c>
      <c r="Y558" s="34">
        <f t="shared" si="257"/>
        <v>0</v>
      </c>
      <c r="Z558" s="34">
        <f t="shared" si="257"/>
        <v>0</v>
      </c>
      <c r="AA558" s="33">
        <f t="shared" si="257"/>
        <v>0</v>
      </c>
      <c r="AB558" s="32">
        <f t="shared" si="257"/>
        <v>0</v>
      </c>
      <c r="AC558" s="33">
        <f t="shared" si="257"/>
        <v>0</v>
      </c>
      <c r="AD558" s="33">
        <f t="shared" si="257"/>
        <v>0</v>
      </c>
      <c r="AE558" s="34">
        <f t="shared" si="257"/>
        <v>0</v>
      </c>
      <c r="AF558" s="26">
        <f t="shared" si="233"/>
        <v>0</v>
      </c>
      <c r="AG558" s="26"/>
    </row>
    <row r="559" spans="2:33" ht="12.75" x14ac:dyDescent="0.3">
      <c r="B559" s="27"/>
      <c r="C559" s="28"/>
      <c r="D559" s="28" t="s">
        <v>489</v>
      </c>
      <c r="E559" s="76">
        <v>9103220</v>
      </c>
      <c r="F559" s="55" t="s">
        <v>531</v>
      </c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8"/>
      <c r="S559" s="40">
        <f t="shared" si="231"/>
        <v>0</v>
      </c>
      <c r="T559" s="37"/>
      <c r="U559" s="37"/>
      <c r="V559" s="37"/>
      <c r="W559" s="37"/>
      <c r="X559" s="37"/>
      <c r="Y559" s="38"/>
      <c r="Z559" s="38"/>
      <c r="AA559" s="39"/>
      <c r="AB559" s="37"/>
      <c r="AC559" s="39"/>
      <c r="AD559" s="39"/>
      <c r="AE559" s="38"/>
      <c r="AF559" s="40">
        <f t="shared" si="233"/>
        <v>0</v>
      </c>
      <c r="AG559" s="40"/>
    </row>
    <row r="560" spans="2:33" ht="12.75" x14ac:dyDescent="0.3">
      <c r="B560" s="27"/>
      <c r="C560" s="28"/>
      <c r="D560" s="29" t="s">
        <v>532</v>
      </c>
      <c r="E560" s="74"/>
      <c r="F560" s="31"/>
      <c r="G560" s="33">
        <v>8770</v>
      </c>
      <c r="H560" s="33">
        <v>13249</v>
      </c>
      <c r="I560" s="33">
        <v>13350</v>
      </c>
      <c r="J560" s="33">
        <v>11642</v>
      </c>
      <c r="K560" s="33">
        <v>10706</v>
      </c>
      <c r="L560" s="33">
        <v>9077</v>
      </c>
      <c r="M560" s="33">
        <v>8049</v>
      </c>
      <c r="N560" s="33">
        <v>6716</v>
      </c>
      <c r="O560" s="33">
        <v>5206</v>
      </c>
      <c r="P560" s="33">
        <f t="shared" ref="P560:R560" si="258">SUM(P561:P566)</f>
        <v>0</v>
      </c>
      <c r="Q560" s="33">
        <f t="shared" si="258"/>
        <v>0</v>
      </c>
      <c r="R560" s="34">
        <f t="shared" si="258"/>
        <v>0</v>
      </c>
      <c r="S560" s="26">
        <f t="shared" si="231"/>
        <v>86765</v>
      </c>
      <c r="T560" s="32">
        <f t="shared" ref="T560:AE560" si="259">SUM(T561:T566)</f>
        <v>0</v>
      </c>
      <c r="U560" s="33">
        <f t="shared" si="259"/>
        <v>0</v>
      </c>
      <c r="V560" s="33">
        <f t="shared" si="259"/>
        <v>0</v>
      </c>
      <c r="W560" s="33">
        <f t="shared" si="259"/>
        <v>0</v>
      </c>
      <c r="X560" s="33">
        <f t="shared" si="259"/>
        <v>0</v>
      </c>
      <c r="Y560" s="34">
        <f t="shared" si="259"/>
        <v>0</v>
      </c>
      <c r="Z560" s="34">
        <f t="shared" si="259"/>
        <v>0</v>
      </c>
      <c r="AA560" s="33">
        <f t="shared" si="259"/>
        <v>0</v>
      </c>
      <c r="AB560" s="32">
        <f t="shared" si="259"/>
        <v>0</v>
      </c>
      <c r="AC560" s="33">
        <f t="shared" si="259"/>
        <v>0</v>
      </c>
      <c r="AD560" s="33">
        <f t="shared" si="259"/>
        <v>0</v>
      </c>
      <c r="AE560" s="34">
        <f t="shared" si="259"/>
        <v>0</v>
      </c>
      <c r="AF560" s="26">
        <f t="shared" si="233"/>
        <v>0</v>
      </c>
      <c r="AG560" s="26"/>
    </row>
    <row r="561" spans="2:33" ht="12.75" x14ac:dyDescent="0.3">
      <c r="B561" s="27"/>
      <c r="C561" s="28"/>
      <c r="D561" s="28" t="s">
        <v>489</v>
      </c>
      <c r="E561" s="76">
        <v>6201010</v>
      </c>
      <c r="F561" s="55" t="s">
        <v>533</v>
      </c>
      <c r="G561" s="37">
        <v>0</v>
      </c>
      <c r="H561" s="37">
        <v>0</v>
      </c>
      <c r="I561" s="37">
        <v>0</v>
      </c>
      <c r="J561" s="37">
        <v>0</v>
      </c>
      <c r="K561" s="37">
        <v>0</v>
      </c>
      <c r="L561" s="38">
        <v>0</v>
      </c>
      <c r="M561" s="38">
        <v>0</v>
      </c>
      <c r="N561" s="39">
        <v>0</v>
      </c>
      <c r="O561" s="37">
        <v>0</v>
      </c>
      <c r="P561" s="39"/>
      <c r="Q561" s="39"/>
      <c r="R561" s="38"/>
      <c r="S561" s="40">
        <f t="shared" si="231"/>
        <v>0</v>
      </c>
      <c r="T561" s="37"/>
      <c r="U561" s="37"/>
      <c r="V561" s="37"/>
      <c r="W561" s="37"/>
      <c r="X561" s="37"/>
      <c r="Y561" s="38"/>
      <c r="Z561" s="38"/>
      <c r="AA561" s="39"/>
      <c r="AB561" s="37"/>
      <c r="AC561" s="39"/>
      <c r="AD561" s="39"/>
      <c r="AE561" s="38"/>
      <c r="AF561" s="40">
        <f t="shared" si="233"/>
        <v>0</v>
      </c>
      <c r="AG561" s="40"/>
    </row>
    <row r="562" spans="2:33" ht="12.75" x14ac:dyDescent="0.3">
      <c r="B562" s="27"/>
      <c r="C562" s="28"/>
      <c r="D562" s="28" t="s">
        <v>489</v>
      </c>
      <c r="E562" s="76">
        <v>6201020</v>
      </c>
      <c r="F562" s="55" t="s">
        <v>534</v>
      </c>
      <c r="G562" s="37">
        <v>0</v>
      </c>
      <c r="H562" s="37">
        <v>0</v>
      </c>
      <c r="I562" s="37">
        <v>0</v>
      </c>
      <c r="J562" s="37">
        <v>0</v>
      </c>
      <c r="K562" s="37">
        <v>0</v>
      </c>
      <c r="L562" s="38">
        <v>0</v>
      </c>
      <c r="M562" s="38">
        <v>0</v>
      </c>
      <c r="N562" s="39">
        <v>0</v>
      </c>
      <c r="O562" s="37">
        <v>0</v>
      </c>
      <c r="P562" s="39"/>
      <c r="Q562" s="39"/>
      <c r="R562" s="38"/>
      <c r="S562" s="40">
        <f t="shared" si="231"/>
        <v>0</v>
      </c>
      <c r="T562" s="37"/>
      <c r="U562" s="37"/>
      <c r="V562" s="37"/>
      <c r="W562" s="37"/>
      <c r="X562" s="37"/>
      <c r="Y562" s="38"/>
      <c r="Z562" s="38"/>
      <c r="AA562" s="39"/>
      <c r="AB562" s="37"/>
      <c r="AC562" s="39"/>
      <c r="AD562" s="39"/>
      <c r="AE562" s="38"/>
      <c r="AF562" s="40">
        <f t="shared" si="233"/>
        <v>0</v>
      </c>
      <c r="AG562" s="40"/>
    </row>
    <row r="563" spans="2:33" ht="12.75" x14ac:dyDescent="0.3">
      <c r="B563" s="27"/>
      <c r="C563" s="28"/>
      <c r="D563" s="28" t="s">
        <v>489</v>
      </c>
      <c r="E563" s="76">
        <v>6201030</v>
      </c>
      <c r="F563" s="55" t="s">
        <v>535</v>
      </c>
      <c r="G563" s="37">
        <v>0</v>
      </c>
      <c r="H563" s="37">
        <v>0</v>
      </c>
      <c r="I563" s="37">
        <v>0</v>
      </c>
      <c r="J563" s="37">
        <v>0</v>
      </c>
      <c r="K563" s="37">
        <v>0</v>
      </c>
      <c r="L563" s="38">
        <v>0</v>
      </c>
      <c r="M563" s="38">
        <v>0</v>
      </c>
      <c r="N563" s="39">
        <v>0</v>
      </c>
      <c r="O563" s="37">
        <v>0</v>
      </c>
      <c r="P563" s="39"/>
      <c r="Q563" s="39"/>
      <c r="R563" s="38"/>
      <c r="S563" s="40">
        <f t="shared" si="231"/>
        <v>0</v>
      </c>
      <c r="T563" s="37"/>
      <c r="U563" s="37"/>
      <c r="V563" s="37"/>
      <c r="W563" s="37"/>
      <c r="X563" s="37"/>
      <c r="Y563" s="38"/>
      <c r="Z563" s="38"/>
      <c r="AA563" s="39"/>
      <c r="AB563" s="37"/>
      <c r="AC563" s="39"/>
      <c r="AD563" s="39"/>
      <c r="AE563" s="38"/>
      <c r="AF563" s="40">
        <f t="shared" si="233"/>
        <v>0</v>
      </c>
      <c r="AG563" s="40"/>
    </row>
    <row r="564" spans="2:33" ht="12.75" x14ac:dyDescent="0.3">
      <c r="B564" s="27"/>
      <c r="C564" s="28"/>
      <c r="D564" s="28" t="s">
        <v>489</v>
      </c>
      <c r="E564" s="76">
        <v>6201090</v>
      </c>
      <c r="F564" s="55" t="s">
        <v>536</v>
      </c>
      <c r="G564" s="37">
        <v>0</v>
      </c>
      <c r="H564" s="37">
        <v>0</v>
      </c>
      <c r="I564" s="37">
        <v>0</v>
      </c>
      <c r="J564" s="37">
        <v>0</v>
      </c>
      <c r="K564" s="37">
        <v>0</v>
      </c>
      <c r="L564" s="38">
        <v>0</v>
      </c>
      <c r="M564" s="38">
        <v>0</v>
      </c>
      <c r="N564" s="39">
        <v>0</v>
      </c>
      <c r="O564" s="37">
        <v>0</v>
      </c>
      <c r="P564" s="39"/>
      <c r="Q564" s="39"/>
      <c r="R564" s="38"/>
      <c r="S564" s="40">
        <f t="shared" si="231"/>
        <v>0</v>
      </c>
      <c r="T564" s="37"/>
      <c r="U564" s="37"/>
      <c r="V564" s="37"/>
      <c r="W564" s="37"/>
      <c r="X564" s="37"/>
      <c r="Y564" s="38"/>
      <c r="Z564" s="38"/>
      <c r="AA564" s="39"/>
      <c r="AB564" s="37"/>
      <c r="AC564" s="39"/>
      <c r="AD564" s="39"/>
      <c r="AE564" s="38"/>
      <c r="AF564" s="40">
        <f t="shared" si="233"/>
        <v>0</v>
      </c>
      <c r="AG564" s="40"/>
    </row>
    <row r="565" spans="2:33" ht="12.75" x14ac:dyDescent="0.3">
      <c r="B565" s="27"/>
      <c r="C565" s="28"/>
      <c r="D565" s="28"/>
      <c r="E565" s="76">
        <v>6201110</v>
      </c>
      <c r="F565" s="55" t="s">
        <v>537</v>
      </c>
      <c r="G565" s="37">
        <v>8770</v>
      </c>
      <c r="H565" s="37">
        <v>13249</v>
      </c>
      <c r="I565" s="37">
        <v>13350</v>
      </c>
      <c r="J565" s="37">
        <v>11642</v>
      </c>
      <c r="K565" s="37">
        <v>10706</v>
      </c>
      <c r="L565" s="38">
        <v>9077</v>
      </c>
      <c r="M565" s="38">
        <v>8049</v>
      </c>
      <c r="N565" s="39">
        <v>6716</v>
      </c>
      <c r="O565" s="37">
        <v>5206</v>
      </c>
      <c r="P565" s="39"/>
      <c r="Q565" s="39"/>
      <c r="R565" s="38"/>
      <c r="S565" s="40">
        <f t="shared" si="231"/>
        <v>86765</v>
      </c>
      <c r="T565" s="37"/>
      <c r="U565" s="37"/>
      <c r="V565" s="37"/>
      <c r="W565" s="37"/>
      <c r="X565" s="37"/>
      <c r="Y565" s="38"/>
      <c r="Z565" s="38"/>
      <c r="AA565" s="39"/>
      <c r="AB565" s="37"/>
      <c r="AC565" s="39"/>
      <c r="AD565" s="39"/>
      <c r="AE565" s="38"/>
      <c r="AF565" s="40">
        <f t="shared" si="233"/>
        <v>0</v>
      </c>
      <c r="AG565" s="40"/>
    </row>
    <row r="566" spans="2:33" ht="12.75" x14ac:dyDescent="0.3">
      <c r="B566" s="27"/>
      <c r="C566" s="28"/>
      <c r="D566" s="28" t="s">
        <v>489</v>
      </c>
      <c r="E566" s="76">
        <v>6201040</v>
      </c>
      <c r="F566" s="55" t="s">
        <v>538</v>
      </c>
      <c r="G566" s="37">
        <v>0</v>
      </c>
      <c r="H566" s="37">
        <v>0</v>
      </c>
      <c r="I566" s="37">
        <v>0</v>
      </c>
      <c r="J566" s="37">
        <v>0</v>
      </c>
      <c r="K566" s="37">
        <v>0</v>
      </c>
      <c r="L566" s="38">
        <v>0</v>
      </c>
      <c r="M566" s="38">
        <v>0</v>
      </c>
      <c r="N566" s="39">
        <v>0</v>
      </c>
      <c r="O566" s="37">
        <v>0</v>
      </c>
      <c r="P566" s="39"/>
      <c r="Q566" s="39"/>
      <c r="R566" s="38"/>
      <c r="S566" s="40">
        <f t="shared" si="231"/>
        <v>0</v>
      </c>
      <c r="T566" s="37"/>
      <c r="U566" s="37"/>
      <c r="V566" s="37"/>
      <c r="W566" s="37"/>
      <c r="X566" s="37"/>
      <c r="Y566" s="38"/>
      <c r="Z566" s="38"/>
      <c r="AA566" s="39"/>
      <c r="AB566" s="37"/>
      <c r="AC566" s="39"/>
      <c r="AD566" s="39"/>
      <c r="AE566" s="38"/>
      <c r="AF566" s="40">
        <f t="shared" si="233"/>
        <v>0</v>
      </c>
      <c r="AG566" s="40"/>
    </row>
    <row r="567" spans="2:33" ht="12.75" x14ac:dyDescent="0.3">
      <c r="B567" s="27"/>
      <c r="C567" s="28"/>
      <c r="D567" s="29" t="s">
        <v>539</v>
      </c>
      <c r="E567" s="74"/>
      <c r="F567" s="31"/>
      <c r="G567" s="33">
        <v>0</v>
      </c>
      <c r="H567" s="33">
        <v>0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f t="shared" ref="P567:R567" si="260">SUM(P568:P568)</f>
        <v>0</v>
      </c>
      <c r="Q567" s="33">
        <f t="shared" si="260"/>
        <v>0</v>
      </c>
      <c r="R567" s="34">
        <f t="shared" si="260"/>
        <v>0</v>
      </c>
      <c r="S567" s="26">
        <f t="shared" si="231"/>
        <v>0</v>
      </c>
      <c r="T567" s="32">
        <f t="shared" ref="T567:AE567" si="261">SUM(T568:T568)</f>
        <v>0</v>
      </c>
      <c r="U567" s="33">
        <f t="shared" si="261"/>
        <v>0</v>
      </c>
      <c r="V567" s="33">
        <f t="shared" si="261"/>
        <v>0</v>
      </c>
      <c r="W567" s="33">
        <f t="shared" si="261"/>
        <v>0</v>
      </c>
      <c r="X567" s="33">
        <f t="shared" si="261"/>
        <v>0</v>
      </c>
      <c r="Y567" s="34">
        <f t="shared" si="261"/>
        <v>0</v>
      </c>
      <c r="Z567" s="34">
        <f t="shared" si="261"/>
        <v>0</v>
      </c>
      <c r="AA567" s="33">
        <f t="shared" si="261"/>
        <v>0</v>
      </c>
      <c r="AB567" s="32">
        <f t="shared" si="261"/>
        <v>0</v>
      </c>
      <c r="AC567" s="33">
        <f t="shared" si="261"/>
        <v>0</v>
      </c>
      <c r="AD567" s="33">
        <f t="shared" si="261"/>
        <v>0</v>
      </c>
      <c r="AE567" s="34">
        <f t="shared" si="261"/>
        <v>0</v>
      </c>
      <c r="AF567" s="26">
        <f t="shared" si="233"/>
        <v>0</v>
      </c>
      <c r="AG567" s="26"/>
    </row>
    <row r="568" spans="2:33" ht="12.75" x14ac:dyDescent="0.3">
      <c r="B568" s="27"/>
      <c r="C568" s="28"/>
      <c r="D568" s="28" t="s">
        <v>489</v>
      </c>
      <c r="E568" s="76">
        <v>6201100</v>
      </c>
      <c r="F568" s="55" t="s">
        <v>539</v>
      </c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8"/>
      <c r="S568" s="40">
        <f t="shared" si="231"/>
        <v>0</v>
      </c>
      <c r="T568" s="37"/>
      <c r="U568" s="37"/>
      <c r="V568" s="37"/>
      <c r="W568" s="37"/>
      <c r="X568" s="37"/>
      <c r="Y568" s="38"/>
      <c r="Z568" s="38"/>
      <c r="AA568" s="39"/>
      <c r="AB568" s="37"/>
      <c r="AC568" s="39"/>
      <c r="AD568" s="39"/>
      <c r="AE568" s="38"/>
      <c r="AF568" s="40">
        <f t="shared" si="233"/>
        <v>0</v>
      </c>
      <c r="AG568" s="40"/>
    </row>
    <row r="569" spans="2:33" ht="12.75" x14ac:dyDescent="0.3">
      <c r="B569" s="27"/>
      <c r="C569" s="28"/>
      <c r="D569" s="29" t="s">
        <v>540</v>
      </c>
      <c r="E569" s="74"/>
      <c r="F569" s="31"/>
      <c r="G569" s="33">
        <v>0</v>
      </c>
      <c r="H569" s="33">
        <v>0</v>
      </c>
      <c r="I569" s="33">
        <v>0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f t="shared" ref="P569:R569" si="262">SUM(P570:P572)</f>
        <v>0</v>
      </c>
      <c r="Q569" s="33">
        <f t="shared" si="262"/>
        <v>0</v>
      </c>
      <c r="R569" s="34">
        <f t="shared" si="262"/>
        <v>0</v>
      </c>
      <c r="S569" s="26">
        <f t="shared" si="231"/>
        <v>0</v>
      </c>
      <c r="T569" s="32">
        <f t="shared" ref="T569:AE569" si="263">SUM(T570:T572)</f>
        <v>0</v>
      </c>
      <c r="U569" s="33">
        <f t="shared" si="263"/>
        <v>0</v>
      </c>
      <c r="V569" s="33">
        <f t="shared" si="263"/>
        <v>0</v>
      </c>
      <c r="W569" s="33">
        <f t="shared" si="263"/>
        <v>0</v>
      </c>
      <c r="X569" s="33">
        <f t="shared" si="263"/>
        <v>0</v>
      </c>
      <c r="Y569" s="34">
        <f t="shared" si="263"/>
        <v>0</v>
      </c>
      <c r="Z569" s="34">
        <f t="shared" si="263"/>
        <v>0</v>
      </c>
      <c r="AA569" s="33">
        <f t="shared" si="263"/>
        <v>0</v>
      </c>
      <c r="AB569" s="32">
        <f t="shared" si="263"/>
        <v>0</v>
      </c>
      <c r="AC569" s="33">
        <f t="shared" si="263"/>
        <v>0</v>
      </c>
      <c r="AD569" s="33">
        <f t="shared" si="263"/>
        <v>0</v>
      </c>
      <c r="AE569" s="34">
        <f t="shared" si="263"/>
        <v>0</v>
      </c>
      <c r="AF569" s="26">
        <f t="shared" si="233"/>
        <v>0</v>
      </c>
      <c r="AG569" s="26"/>
    </row>
    <row r="570" spans="2:33" ht="12.75" x14ac:dyDescent="0.3">
      <c r="B570" s="27"/>
      <c r="C570" s="28"/>
      <c r="D570" s="28" t="s">
        <v>489</v>
      </c>
      <c r="E570" s="76">
        <v>6202000</v>
      </c>
      <c r="F570" s="55" t="s">
        <v>541</v>
      </c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8"/>
      <c r="S570" s="40">
        <f t="shared" si="231"/>
        <v>0</v>
      </c>
      <c r="T570" s="37"/>
      <c r="U570" s="37"/>
      <c r="V570" s="37"/>
      <c r="W570" s="37"/>
      <c r="X570" s="37"/>
      <c r="Y570" s="38"/>
      <c r="Z570" s="38"/>
      <c r="AA570" s="39"/>
      <c r="AB570" s="37"/>
      <c r="AC570" s="39"/>
      <c r="AD570" s="39"/>
      <c r="AE570" s="38"/>
      <c r="AF570" s="40">
        <f t="shared" si="233"/>
        <v>0</v>
      </c>
      <c r="AG570" s="40"/>
    </row>
    <row r="571" spans="2:33" ht="12.75" x14ac:dyDescent="0.3">
      <c r="B571" s="27"/>
      <c r="C571" s="28"/>
      <c r="D571" s="28" t="s">
        <v>489</v>
      </c>
      <c r="E571" s="76">
        <v>5301001</v>
      </c>
      <c r="F571" s="55" t="s">
        <v>542</v>
      </c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8"/>
      <c r="S571" s="40">
        <f t="shared" si="231"/>
        <v>0</v>
      </c>
      <c r="T571" s="37"/>
      <c r="U571" s="37"/>
      <c r="V571" s="37"/>
      <c r="W571" s="37"/>
      <c r="X571" s="37"/>
      <c r="Y571" s="38"/>
      <c r="Z571" s="38"/>
      <c r="AA571" s="39"/>
      <c r="AB571" s="37"/>
      <c r="AC571" s="39"/>
      <c r="AD571" s="39"/>
      <c r="AE571" s="38"/>
      <c r="AF571" s="40">
        <f t="shared" si="233"/>
        <v>0</v>
      </c>
      <c r="AG571" s="40"/>
    </row>
    <row r="572" spans="2:33" ht="12.75" x14ac:dyDescent="0.3">
      <c r="B572" s="27"/>
      <c r="C572" s="28"/>
      <c r="D572" s="28" t="s">
        <v>489</v>
      </c>
      <c r="E572" s="76">
        <v>5301000</v>
      </c>
      <c r="F572" s="55" t="s">
        <v>543</v>
      </c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8"/>
      <c r="S572" s="40">
        <f t="shared" ref="S572:S621" si="264">SUM(G572:R572)</f>
        <v>0</v>
      </c>
      <c r="T572" s="37"/>
      <c r="U572" s="37"/>
      <c r="V572" s="37"/>
      <c r="W572" s="37"/>
      <c r="X572" s="37"/>
      <c r="Y572" s="38"/>
      <c r="Z572" s="38"/>
      <c r="AA572" s="39"/>
      <c r="AB572" s="37"/>
      <c r="AC572" s="39"/>
      <c r="AD572" s="39"/>
      <c r="AE572" s="38"/>
      <c r="AF572" s="40">
        <f t="shared" ref="AF572:AF621" si="265">SUM(T572:AE572)</f>
        <v>0</v>
      </c>
      <c r="AG572" s="40"/>
    </row>
    <row r="573" spans="2:33" ht="12.75" x14ac:dyDescent="0.3">
      <c r="B573" s="27"/>
      <c r="C573" s="28"/>
      <c r="D573" s="29" t="s">
        <v>544</v>
      </c>
      <c r="E573" s="74"/>
      <c r="F573" s="31"/>
      <c r="G573" s="33">
        <v>0</v>
      </c>
      <c r="H573" s="33">
        <v>0</v>
      </c>
      <c r="I573" s="33">
        <v>0</v>
      </c>
      <c r="J573" s="33">
        <v>0</v>
      </c>
      <c r="K573" s="33">
        <v>0</v>
      </c>
      <c r="L573" s="33">
        <v>0</v>
      </c>
      <c r="M573" s="33">
        <v>0</v>
      </c>
      <c r="N573" s="33">
        <v>0</v>
      </c>
      <c r="O573" s="33">
        <v>0</v>
      </c>
      <c r="P573" s="33">
        <f t="shared" ref="P573:R573" si="266">SUM(P574:P576)</f>
        <v>0</v>
      </c>
      <c r="Q573" s="33">
        <f t="shared" si="266"/>
        <v>0</v>
      </c>
      <c r="R573" s="34">
        <f t="shared" si="266"/>
        <v>0</v>
      </c>
      <c r="S573" s="26">
        <f t="shared" si="264"/>
        <v>0</v>
      </c>
      <c r="T573" s="32">
        <f t="shared" ref="T573:AE573" si="267">SUM(T574:T576)</f>
        <v>0</v>
      </c>
      <c r="U573" s="33">
        <f t="shared" si="267"/>
        <v>0</v>
      </c>
      <c r="V573" s="33">
        <f t="shared" si="267"/>
        <v>0</v>
      </c>
      <c r="W573" s="33">
        <f t="shared" si="267"/>
        <v>0</v>
      </c>
      <c r="X573" s="33">
        <f t="shared" si="267"/>
        <v>0</v>
      </c>
      <c r="Y573" s="34">
        <f t="shared" si="267"/>
        <v>0</v>
      </c>
      <c r="Z573" s="34">
        <f t="shared" si="267"/>
        <v>0</v>
      </c>
      <c r="AA573" s="33">
        <f t="shared" si="267"/>
        <v>0</v>
      </c>
      <c r="AB573" s="32">
        <f t="shared" si="267"/>
        <v>0</v>
      </c>
      <c r="AC573" s="33">
        <f t="shared" si="267"/>
        <v>0</v>
      </c>
      <c r="AD573" s="33">
        <f t="shared" si="267"/>
        <v>0</v>
      </c>
      <c r="AE573" s="34">
        <f t="shared" si="267"/>
        <v>0</v>
      </c>
      <c r="AF573" s="26">
        <f t="shared" si="265"/>
        <v>0</v>
      </c>
      <c r="AG573" s="26"/>
    </row>
    <row r="574" spans="2:33" ht="12.75" x14ac:dyDescent="0.3">
      <c r="B574" s="27"/>
      <c r="C574" s="28"/>
      <c r="D574" s="28" t="s">
        <v>489</v>
      </c>
      <c r="E574" s="76">
        <v>5302000</v>
      </c>
      <c r="F574" s="55" t="s">
        <v>545</v>
      </c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8"/>
      <c r="S574" s="40">
        <f t="shared" si="264"/>
        <v>0</v>
      </c>
      <c r="T574" s="37"/>
      <c r="U574" s="37"/>
      <c r="V574" s="37"/>
      <c r="W574" s="37"/>
      <c r="X574" s="37"/>
      <c r="Y574" s="38"/>
      <c r="Z574" s="38"/>
      <c r="AA574" s="39"/>
      <c r="AB574" s="37"/>
      <c r="AC574" s="39"/>
      <c r="AD574" s="39"/>
      <c r="AE574" s="38"/>
      <c r="AF574" s="40">
        <f t="shared" si="265"/>
        <v>0</v>
      </c>
      <c r="AG574" s="40"/>
    </row>
    <row r="575" spans="2:33" ht="12.75" x14ac:dyDescent="0.3">
      <c r="B575" s="27"/>
      <c r="C575" s="28"/>
      <c r="D575" s="28" t="s">
        <v>489</v>
      </c>
      <c r="E575" s="76">
        <v>5302001</v>
      </c>
      <c r="F575" s="55" t="s">
        <v>546</v>
      </c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8"/>
      <c r="S575" s="40">
        <f t="shared" si="264"/>
        <v>0</v>
      </c>
      <c r="T575" s="37"/>
      <c r="U575" s="37"/>
      <c r="V575" s="37"/>
      <c r="W575" s="37"/>
      <c r="X575" s="37"/>
      <c r="Y575" s="38"/>
      <c r="Z575" s="38"/>
      <c r="AA575" s="39"/>
      <c r="AB575" s="37"/>
      <c r="AC575" s="39"/>
      <c r="AD575" s="39"/>
      <c r="AE575" s="38"/>
      <c r="AF575" s="40">
        <f t="shared" si="265"/>
        <v>0</v>
      </c>
      <c r="AG575" s="40"/>
    </row>
    <row r="576" spans="2:33" ht="12.75" x14ac:dyDescent="0.3">
      <c r="B576" s="27"/>
      <c r="C576" s="28"/>
      <c r="D576" s="28" t="s">
        <v>489</v>
      </c>
      <c r="E576" s="76">
        <v>6203000</v>
      </c>
      <c r="F576" s="55" t="s">
        <v>547</v>
      </c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8"/>
      <c r="S576" s="40">
        <f t="shared" si="264"/>
        <v>0</v>
      </c>
      <c r="T576" s="37"/>
      <c r="U576" s="37"/>
      <c r="V576" s="37"/>
      <c r="W576" s="37"/>
      <c r="X576" s="37"/>
      <c r="Y576" s="38"/>
      <c r="Z576" s="38"/>
      <c r="AA576" s="39"/>
      <c r="AB576" s="37"/>
      <c r="AC576" s="39"/>
      <c r="AD576" s="39"/>
      <c r="AE576" s="38"/>
      <c r="AF576" s="40">
        <f t="shared" si="265"/>
        <v>0</v>
      </c>
      <c r="AG576" s="40"/>
    </row>
    <row r="577" spans="2:33" ht="12.75" x14ac:dyDescent="0.3">
      <c r="B577" s="27"/>
      <c r="C577" s="28"/>
      <c r="D577" s="29" t="s">
        <v>548</v>
      </c>
      <c r="E577" s="74"/>
      <c r="F577" s="31"/>
      <c r="G577" s="33">
        <v>0</v>
      </c>
      <c r="H577" s="33">
        <v>0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f t="shared" ref="P577:R577" si="268">SUM(P578:P578)</f>
        <v>0</v>
      </c>
      <c r="Q577" s="33">
        <f t="shared" si="268"/>
        <v>0</v>
      </c>
      <c r="R577" s="34">
        <f t="shared" si="268"/>
        <v>0</v>
      </c>
      <c r="S577" s="26">
        <f t="shared" si="264"/>
        <v>0</v>
      </c>
      <c r="T577" s="32">
        <f t="shared" ref="T577:AE577" si="269">SUM(T578:T578)</f>
        <v>0</v>
      </c>
      <c r="U577" s="33">
        <f t="shared" si="269"/>
        <v>0</v>
      </c>
      <c r="V577" s="33">
        <f t="shared" si="269"/>
        <v>0</v>
      </c>
      <c r="W577" s="33">
        <f t="shared" si="269"/>
        <v>0</v>
      </c>
      <c r="X577" s="33">
        <f t="shared" si="269"/>
        <v>0</v>
      </c>
      <c r="Y577" s="34">
        <f t="shared" si="269"/>
        <v>0</v>
      </c>
      <c r="Z577" s="34">
        <f t="shared" si="269"/>
        <v>0</v>
      </c>
      <c r="AA577" s="33">
        <f t="shared" si="269"/>
        <v>0</v>
      </c>
      <c r="AB577" s="32">
        <f t="shared" si="269"/>
        <v>0</v>
      </c>
      <c r="AC577" s="33">
        <f t="shared" si="269"/>
        <v>0</v>
      </c>
      <c r="AD577" s="33">
        <f t="shared" si="269"/>
        <v>0</v>
      </c>
      <c r="AE577" s="34">
        <f t="shared" si="269"/>
        <v>0</v>
      </c>
      <c r="AF577" s="26">
        <f t="shared" si="265"/>
        <v>0</v>
      </c>
      <c r="AG577" s="26"/>
    </row>
    <row r="578" spans="2:33" ht="12.75" x14ac:dyDescent="0.3">
      <c r="B578" s="27"/>
      <c r="C578" s="28"/>
      <c r="D578" s="28" t="s">
        <v>489</v>
      </c>
      <c r="E578" s="76">
        <v>6226000</v>
      </c>
      <c r="F578" s="55" t="s">
        <v>548</v>
      </c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8"/>
      <c r="S578" s="40">
        <f t="shared" si="264"/>
        <v>0</v>
      </c>
      <c r="T578" s="37"/>
      <c r="U578" s="37"/>
      <c r="V578" s="37"/>
      <c r="W578" s="37"/>
      <c r="X578" s="37"/>
      <c r="Y578" s="38"/>
      <c r="Z578" s="38"/>
      <c r="AA578" s="39"/>
      <c r="AB578" s="37"/>
      <c r="AC578" s="39"/>
      <c r="AD578" s="39"/>
      <c r="AE578" s="38"/>
      <c r="AF578" s="40">
        <f t="shared" si="265"/>
        <v>0</v>
      </c>
      <c r="AG578" s="40"/>
    </row>
    <row r="579" spans="2:33" ht="12.75" x14ac:dyDescent="0.3">
      <c r="B579" s="27"/>
      <c r="C579" s="28"/>
      <c r="D579" s="29" t="s">
        <v>549</v>
      </c>
      <c r="E579" s="74"/>
      <c r="F579" s="31"/>
      <c r="G579" s="33">
        <v>0</v>
      </c>
      <c r="H579" s="33">
        <v>0</v>
      </c>
      <c r="I579" s="33">
        <v>0</v>
      </c>
      <c r="J579" s="33">
        <v>0</v>
      </c>
      <c r="K579" s="33">
        <v>0</v>
      </c>
      <c r="L579" s="33">
        <v>0</v>
      </c>
      <c r="M579" s="33">
        <v>0</v>
      </c>
      <c r="N579" s="33">
        <v>0</v>
      </c>
      <c r="O579" s="33">
        <v>0</v>
      </c>
      <c r="P579" s="33">
        <f t="shared" ref="P579:R579" si="270">SUM(P580:P580)</f>
        <v>0</v>
      </c>
      <c r="Q579" s="33">
        <f t="shared" si="270"/>
        <v>0</v>
      </c>
      <c r="R579" s="34">
        <f t="shared" si="270"/>
        <v>0</v>
      </c>
      <c r="S579" s="26">
        <f t="shared" si="264"/>
        <v>0</v>
      </c>
      <c r="T579" s="32">
        <f t="shared" ref="T579:AE579" si="271">SUM(T580:T580)</f>
        <v>0</v>
      </c>
      <c r="U579" s="33">
        <f t="shared" si="271"/>
        <v>0</v>
      </c>
      <c r="V579" s="33">
        <f t="shared" si="271"/>
        <v>0</v>
      </c>
      <c r="W579" s="33">
        <f t="shared" si="271"/>
        <v>0</v>
      </c>
      <c r="X579" s="33">
        <f t="shared" si="271"/>
        <v>0</v>
      </c>
      <c r="Y579" s="34">
        <f t="shared" si="271"/>
        <v>0</v>
      </c>
      <c r="Z579" s="34">
        <f t="shared" si="271"/>
        <v>0</v>
      </c>
      <c r="AA579" s="33">
        <f t="shared" si="271"/>
        <v>0</v>
      </c>
      <c r="AB579" s="32">
        <f t="shared" si="271"/>
        <v>0</v>
      </c>
      <c r="AC579" s="33">
        <f t="shared" si="271"/>
        <v>0</v>
      </c>
      <c r="AD579" s="33">
        <f t="shared" si="271"/>
        <v>0</v>
      </c>
      <c r="AE579" s="34">
        <f t="shared" si="271"/>
        <v>0</v>
      </c>
      <c r="AF579" s="26">
        <f t="shared" si="265"/>
        <v>0</v>
      </c>
      <c r="AG579" s="26"/>
    </row>
    <row r="580" spans="2:33" ht="12.75" x14ac:dyDescent="0.3">
      <c r="B580" s="27"/>
      <c r="C580" s="28"/>
      <c r="D580" s="28" t="s">
        <v>489</v>
      </c>
      <c r="E580" s="76">
        <v>6230000</v>
      </c>
      <c r="F580" s="55" t="s">
        <v>549</v>
      </c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8"/>
      <c r="S580" s="40">
        <f t="shared" si="264"/>
        <v>0</v>
      </c>
      <c r="T580" s="37"/>
      <c r="U580" s="37"/>
      <c r="V580" s="37"/>
      <c r="W580" s="37"/>
      <c r="X580" s="37"/>
      <c r="Y580" s="38"/>
      <c r="Z580" s="38"/>
      <c r="AA580" s="39"/>
      <c r="AB580" s="37"/>
      <c r="AC580" s="39"/>
      <c r="AD580" s="39"/>
      <c r="AE580" s="38"/>
      <c r="AF580" s="40">
        <f t="shared" si="265"/>
        <v>0</v>
      </c>
      <c r="AG580" s="40"/>
    </row>
    <row r="581" spans="2:33" ht="12.75" x14ac:dyDescent="0.3">
      <c r="B581" s="27"/>
      <c r="C581" s="28"/>
      <c r="D581" s="29" t="s">
        <v>550</v>
      </c>
      <c r="E581" s="74"/>
      <c r="F581" s="31"/>
      <c r="G581" s="33">
        <v>0</v>
      </c>
      <c r="H581" s="33">
        <v>0</v>
      </c>
      <c r="I581" s="33">
        <v>0</v>
      </c>
      <c r="J581" s="33">
        <v>0</v>
      </c>
      <c r="K581" s="33">
        <v>0</v>
      </c>
      <c r="L581" s="33">
        <v>0</v>
      </c>
      <c r="M581" s="33">
        <v>0</v>
      </c>
      <c r="N581" s="33">
        <v>0</v>
      </c>
      <c r="O581" s="33">
        <v>0</v>
      </c>
      <c r="P581" s="33">
        <f t="shared" ref="P581:R581" si="272">SUM(P582:P595)</f>
        <v>0</v>
      </c>
      <c r="Q581" s="33">
        <f t="shared" si="272"/>
        <v>0</v>
      </c>
      <c r="R581" s="34">
        <f t="shared" si="272"/>
        <v>0</v>
      </c>
      <c r="S581" s="26">
        <f t="shared" si="264"/>
        <v>0</v>
      </c>
      <c r="T581" s="32">
        <f t="shared" ref="T581:AE581" si="273">SUM(T582:T595)</f>
        <v>0</v>
      </c>
      <c r="U581" s="33">
        <f t="shared" si="273"/>
        <v>0</v>
      </c>
      <c r="V581" s="33">
        <f t="shared" si="273"/>
        <v>0</v>
      </c>
      <c r="W581" s="33">
        <f t="shared" si="273"/>
        <v>0</v>
      </c>
      <c r="X581" s="33">
        <f t="shared" si="273"/>
        <v>0</v>
      </c>
      <c r="Y581" s="34">
        <f t="shared" si="273"/>
        <v>0</v>
      </c>
      <c r="Z581" s="34">
        <f t="shared" si="273"/>
        <v>0</v>
      </c>
      <c r="AA581" s="33">
        <f t="shared" si="273"/>
        <v>0</v>
      </c>
      <c r="AB581" s="32">
        <f t="shared" si="273"/>
        <v>0</v>
      </c>
      <c r="AC581" s="33">
        <f t="shared" si="273"/>
        <v>0</v>
      </c>
      <c r="AD581" s="33">
        <f t="shared" si="273"/>
        <v>0</v>
      </c>
      <c r="AE581" s="34">
        <f t="shared" si="273"/>
        <v>0</v>
      </c>
      <c r="AF581" s="26">
        <f t="shared" si="265"/>
        <v>0</v>
      </c>
      <c r="AG581" s="26"/>
    </row>
    <row r="582" spans="2:33" ht="12.75" x14ac:dyDescent="0.3">
      <c r="B582" s="27"/>
      <c r="C582" s="28"/>
      <c r="D582" s="28" t="s">
        <v>489</v>
      </c>
      <c r="E582" s="76">
        <v>6206000</v>
      </c>
      <c r="F582" s="55" t="s">
        <v>551</v>
      </c>
      <c r="G582" s="37">
        <v>0</v>
      </c>
      <c r="H582" s="37">
        <v>0</v>
      </c>
      <c r="I582" s="37">
        <v>0</v>
      </c>
      <c r="J582" s="37">
        <v>0</v>
      </c>
      <c r="K582" s="37">
        <v>0</v>
      </c>
      <c r="L582" s="38">
        <v>0</v>
      </c>
      <c r="M582" s="38">
        <v>0</v>
      </c>
      <c r="N582" s="39">
        <v>0</v>
      </c>
      <c r="O582" s="37">
        <v>0</v>
      </c>
      <c r="P582" s="39"/>
      <c r="Q582" s="39"/>
      <c r="R582" s="38"/>
      <c r="S582" s="40">
        <f t="shared" si="264"/>
        <v>0</v>
      </c>
      <c r="T582" s="37"/>
      <c r="U582" s="37"/>
      <c r="V582" s="37"/>
      <c r="W582" s="37"/>
      <c r="X582" s="37"/>
      <c r="Y582" s="38"/>
      <c r="Z582" s="38"/>
      <c r="AA582" s="39"/>
      <c r="AB582" s="37"/>
      <c r="AC582" s="39"/>
      <c r="AD582" s="39"/>
      <c r="AE582" s="38"/>
      <c r="AF582" s="40">
        <f t="shared" si="265"/>
        <v>0</v>
      </c>
      <c r="AG582" s="40"/>
    </row>
    <row r="583" spans="2:33" ht="12.75" x14ac:dyDescent="0.3">
      <c r="B583" s="27"/>
      <c r="C583" s="28"/>
      <c r="D583" s="28" t="s">
        <v>489</v>
      </c>
      <c r="E583" s="76">
        <v>6207000</v>
      </c>
      <c r="F583" s="55" t="s">
        <v>552</v>
      </c>
      <c r="G583" s="37">
        <v>0</v>
      </c>
      <c r="H583" s="37">
        <v>0</v>
      </c>
      <c r="I583" s="37">
        <v>0</v>
      </c>
      <c r="J583" s="37">
        <v>0</v>
      </c>
      <c r="K583" s="37">
        <v>0</v>
      </c>
      <c r="L583" s="38">
        <v>0</v>
      </c>
      <c r="M583" s="38">
        <v>0</v>
      </c>
      <c r="N583" s="39">
        <v>0</v>
      </c>
      <c r="O583" s="37">
        <v>0</v>
      </c>
      <c r="P583" s="39"/>
      <c r="Q583" s="39"/>
      <c r="R583" s="38"/>
      <c r="S583" s="40">
        <f t="shared" si="264"/>
        <v>0</v>
      </c>
      <c r="T583" s="37"/>
      <c r="U583" s="37"/>
      <c r="V583" s="37"/>
      <c r="W583" s="37"/>
      <c r="X583" s="37"/>
      <c r="Y583" s="38"/>
      <c r="Z583" s="38"/>
      <c r="AA583" s="39"/>
      <c r="AB583" s="37"/>
      <c r="AC583" s="39"/>
      <c r="AD583" s="39"/>
      <c r="AE583" s="38"/>
      <c r="AF583" s="40">
        <f t="shared" si="265"/>
        <v>0</v>
      </c>
      <c r="AG583" s="40"/>
    </row>
    <row r="584" spans="2:33" ht="12.75" x14ac:dyDescent="0.3">
      <c r="B584" s="27"/>
      <c r="C584" s="28"/>
      <c r="D584" s="28" t="s">
        <v>489</v>
      </c>
      <c r="E584" s="76">
        <v>6209000</v>
      </c>
      <c r="F584" s="55" t="s">
        <v>553</v>
      </c>
      <c r="G584" s="37">
        <v>0</v>
      </c>
      <c r="H584" s="37">
        <v>0</v>
      </c>
      <c r="I584" s="37">
        <v>0</v>
      </c>
      <c r="J584" s="37">
        <v>0</v>
      </c>
      <c r="K584" s="37">
        <v>0</v>
      </c>
      <c r="L584" s="38">
        <v>0</v>
      </c>
      <c r="M584" s="38">
        <v>0</v>
      </c>
      <c r="N584" s="39">
        <v>0</v>
      </c>
      <c r="O584" s="37">
        <v>0</v>
      </c>
      <c r="P584" s="39"/>
      <c r="Q584" s="39"/>
      <c r="R584" s="38"/>
      <c r="S584" s="40">
        <f t="shared" si="264"/>
        <v>0</v>
      </c>
      <c r="T584" s="37"/>
      <c r="U584" s="37"/>
      <c r="V584" s="37"/>
      <c r="W584" s="37"/>
      <c r="X584" s="37"/>
      <c r="Y584" s="38"/>
      <c r="Z584" s="38"/>
      <c r="AA584" s="39"/>
      <c r="AB584" s="37"/>
      <c r="AC584" s="39"/>
      <c r="AD584" s="39"/>
      <c r="AE584" s="38"/>
      <c r="AF584" s="40">
        <f t="shared" si="265"/>
        <v>0</v>
      </c>
      <c r="AG584" s="40"/>
    </row>
    <row r="585" spans="2:33" ht="12.75" x14ac:dyDescent="0.3">
      <c r="B585" s="27"/>
      <c r="C585" s="28"/>
      <c r="D585" s="28"/>
      <c r="E585" s="76">
        <v>6205000</v>
      </c>
      <c r="F585" s="55" t="s">
        <v>554</v>
      </c>
      <c r="G585" s="37">
        <v>0</v>
      </c>
      <c r="H585" s="37">
        <v>0</v>
      </c>
      <c r="I585" s="37">
        <v>0</v>
      </c>
      <c r="J585" s="37">
        <v>0</v>
      </c>
      <c r="K585" s="37">
        <v>0</v>
      </c>
      <c r="L585" s="38">
        <v>0</v>
      </c>
      <c r="M585" s="38">
        <v>0</v>
      </c>
      <c r="N585" s="39">
        <v>0</v>
      </c>
      <c r="O585" s="37">
        <v>0</v>
      </c>
      <c r="P585" s="39"/>
      <c r="Q585" s="39"/>
      <c r="R585" s="38"/>
      <c r="S585" s="40">
        <f t="shared" si="264"/>
        <v>0</v>
      </c>
      <c r="T585" s="37"/>
      <c r="U585" s="37"/>
      <c r="V585" s="37"/>
      <c r="W585" s="37"/>
      <c r="X585" s="37"/>
      <c r="Y585" s="38"/>
      <c r="Z585" s="38"/>
      <c r="AA585" s="39"/>
      <c r="AB585" s="37"/>
      <c r="AC585" s="39"/>
      <c r="AD585" s="39"/>
      <c r="AE585" s="38"/>
      <c r="AF585" s="40">
        <f t="shared" si="265"/>
        <v>0</v>
      </c>
      <c r="AG585" s="40"/>
    </row>
    <row r="586" spans="2:33" ht="12.75" x14ac:dyDescent="0.3">
      <c r="B586" s="27"/>
      <c r="C586" s="28"/>
      <c r="D586" s="28" t="s">
        <v>489</v>
      </c>
      <c r="E586" s="76">
        <v>6210000</v>
      </c>
      <c r="F586" s="55" t="s">
        <v>555</v>
      </c>
      <c r="G586" s="37">
        <v>0</v>
      </c>
      <c r="H586" s="37">
        <v>0</v>
      </c>
      <c r="I586" s="37">
        <v>0</v>
      </c>
      <c r="J586" s="37">
        <v>0</v>
      </c>
      <c r="K586" s="37">
        <v>0</v>
      </c>
      <c r="L586" s="38">
        <v>0</v>
      </c>
      <c r="M586" s="38">
        <v>0</v>
      </c>
      <c r="N586" s="39">
        <v>0</v>
      </c>
      <c r="O586" s="37">
        <v>0</v>
      </c>
      <c r="P586" s="39"/>
      <c r="Q586" s="39"/>
      <c r="R586" s="38"/>
      <c r="S586" s="40">
        <f t="shared" si="264"/>
        <v>0</v>
      </c>
      <c r="T586" s="37"/>
      <c r="U586" s="37"/>
      <c r="V586" s="37"/>
      <c r="W586" s="37"/>
      <c r="X586" s="37"/>
      <c r="Y586" s="38"/>
      <c r="Z586" s="38"/>
      <c r="AA586" s="39"/>
      <c r="AB586" s="37"/>
      <c r="AC586" s="39"/>
      <c r="AD586" s="39"/>
      <c r="AE586" s="38"/>
      <c r="AF586" s="40">
        <f t="shared" si="265"/>
        <v>0</v>
      </c>
      <c r="AG586" s="40"/>
    </row>
    <row r="587" spans="2:33" ht="12.75" x14ac:dyDescent="0.3">
      <c r="B587" s="27"/>
      <c r="C587" s="28"/>
      <c r="D587" s="28" t="s">
        <v>489</v>
      </c>
      <c r="E587" s="76">
        <v>6211000</v>
      </c>
      <c r="F587" s="55" t="s">
        <v>556</v>
      </c>
      <c r="G587" s="37">
        <v>0</v>
      </c>
      <c r="H587" s="37">
        <v>0</v>
      </c>
      <c r="I587" s="37">
        <v>0</v>
      </c>
      <c r="J587" s="37">
        <v>0</v>
      </c>
      <c r="K587" s="37">
        <v>0</v>
      </c>
      <c r="L587" s="38">
        <v>0</v>
      </c>
      <c r="M587" s="38">
        <v>0</v>
      </c>
      <c r="N587" s="39">
        <v>0</v>
      </c>
      <c r="O587" s="37">
        <v>0</v>
      </c>
      <c r="P587" s="39"/>
      <c r="Q587" s="39"/>
      <c r="R587" s="38"/>
      <c r="S587" s="40">
        <f t="shared" si="264"/>
        <v>0</v>
      </c>
      <c r="T587" s="37"/>
      <c r="U587" s="37"/>
      <c r="V587" s="37"/>
      <c r="W587" s="37"/>
      <c r="X587" s="37"/>
      <c r="Y587" s="38"/>
      <c r="Z587" s="38"/>
      <c r="AA587" s="39"/>
      <c r="AB587" s="37"/>
      <c r="AC587" s="39"/>
      <c r="AD587" s="39"/>
      <c r="AE587" s="38"/>
      <c r="AF587" s="40">
        <f t="shared" si="265"/>
        <v>0</v>
      </c>
      <c r="AG587" s="40"/>
    </row>
    <row r="588" spans="2:33" ht="12.75" x14ac:dyDescent="0.3">
      <c r="B588" s="27"/>
      <c r="C588" s="28"/>
      <c r="D588" s="28" t="s">
        <v>489</v>
      </c>
      <c r="E588" s="76">
        <v>6212000</v>
      </c>
      <c r="F588" s="55" t="s">
        <v>557</v>
      </c>
      <c r="G588" s="37">
        <v>0</v>
      </c>
      <c r="H588" s="37">
        <v>0</v>
      </c>
      <c r="I588" s="37">
        <v>0</v>
      </c>
      <c r="J588" s="37">
        <v>0</v>
      </c>
      <c r="K588" s="37">
        <v>0</v>
      </c>
      <c r="L588" s="38">
        <v>0</v>
      </c>
      <c r="M588" s="38">
        <v>0</v>
      </c>
      <c r="N588" s="39">
        <v>0</v>
      </c>
      <c r="O588" s="37">
        <v>0</v>
      </c>
      <c r="P588" s="39"/>
      <c r="Q588" s="39"/>
      <c r="R588" s="38"/>
      <c r="S588" s="40">
        <f t="shared" si="264"/>
        <v>0</v>
      </c>
      <c r="T588" s="37"/>
      <c r="U588" s="37"/>
      <c r="V588" s="37"/>
      <c r="W588" s="37"/>
      <c r="X588" s="37"/>
      <c r="Y588" s="38"/>
      <c r="Z588" s="38"/>
      <c r="AA588" s="39"/>
      <c r="AB588" s="37"/>
      <c r="AC588" s="39"/>
      <c r="AD588" s="39"/>
      <c r="AE588" s="38"/>
      <c r="AF588" s="40">
        <f t="shared" si="265"/>
        <v>0</v>
      </c>
      <c r="AG588" s="40"/>
    </row>
    <row r="589" spans="2:33" ht="12.75" x14ac:dyDescent="0.3">
      <c r="B589" s="27"/>
      <c r="C589" s="28"/>
      <c r="D589" s="28" t="s">
        <v>489</v>
      </c>
      <c r="E589" s="76">
        <v>6213000</v>
      </c>
      <c r="F589" s="55" t="s">
        <v>558</v>
      </c>
      <c r="G589" s="37">
        <v>0</v>
      </c>
      <c r="H589" s="37">
        <v>0</v>
      </c>
      <c r="I589" s="37">
        <v>0</v>
      </c>
      <c r="J589" s="37">
        <v>0</v>
      </c>
      <c r="K589" s="37">
        <v>0</v>
      </c>
      <c r="L589" s="38">
        <v>0</v>
      </c>
      <c r="M589" s="38">
        <v>0</v>
      </c>
      <c r="N589" s="39">
        <v>0</v>
      </c>
      <c r="O589" s="37">
        <v>0</v>
      </c>
      <c r="P589" s="39"/>
      <c r="Q589" s="39"/>
      <c r="R589" s="38"/>
      <c r="S589" s="40">
        <f t="shared" si="264"/>
        <v>0</v>
      </c>
      <c r="T589" s="37"/>
      <c r="U589" s="37"/>
      <c r="V589" s="37"/>
      <c r="W589" s="37"/>
      <c r="X589" s="37"/>
      <c r="Y589" s="38"/>
      <c r="Z589" s="38"/>
      <c r="AA589" s="39"/>
      <c r="AB589" s="37"/>
      <c r="AC589" s="39"/>
      <c r="AD589" s="39"/>
      <c r="AE589" s="38"/>
      <c r="AF589" s="40">
        <f t="shared" si="265"/>
        <v>0</v>
      </c>
      <c r="AG589" s="40"/>
    </row>
    <row r="590" spans="2:33" ht="12.75" x14ac:dyDescent="0.3">
      <c r="B590" s="27"/>
      <c r="C590" s="28"/>
      <c r="D590" s="28" t="s">
        <v>489</v>
      </c>
      <c r="E590" s="76">
        <v>6216000</v>
      </c>
      <c r="F590" s="55" t="s">
        <v>559</v>
      </c>
      <c r="G590" s="37">
        <v>0</v>
      </c>
      <c r="H590" s="37">
        <v>0</v>
      </c>
      <c r="I590" s="37">
        <v>0</v>
      </c>
      <c r="J590" s="37">
        <v>0</v>
      </c>
      <c r="K590" s="37">
        <v>0</v>
      </c>
      <c r="L590" s="38">
        <v>0</v>
      </c>
      <c r="M590" s="38">
        <v>0</v>
      </c>
      <c r="N590" s="39">
        <v>0</v>
      </c>
      <c r="O590" s="37">
        <v>0</v>
      </c>
      <c r="P590" s="39"/>
      <c r="Q590" s="39"/>
      <c r="R590" s="38"/>
      <c r="S590" s="40">
        <f t="shared" si="264"/>
        <v>0</v>
      </c>
      <c r="T590" s="37"/>
      <c r="U590" s="37"/>
      <c r="V590" s="37"/>
      <c r="W590" s="37"/>
      <c r="X590" s="37"/>
      <c r="Y590" s="38"/>
      <c r="Z590" s="38"/>
      <c r="AA590" s="39"/>
      <c r="AB590" s="37"/>
      <c r="AC590" s="39"/>
      <c r="AD590" s="39"/>
      <c r="AE590" s="38"/>
      <c r="AF590" s="40">
        <f t="shared" si="265"/>
        <v>0</v>
      </c>
      <c r="AG590" s="40"/>
    </row>
    <row r="591" spans="2:33" ht="12.75" x14ac:dyDescent="0.3">
      <c r="B591" s="27"/>
      <c r="C591" s="28"/>
      <c r="D591" s="28" t="s">
        <v>489</v>
      </c>
      <c r="E591" s="76">
        <v>6222000</v>
      </c>
      <c r="F591" s="55" t="s">
        <v>560</v>
      </c>
      <c r="G591" s="37">
        <v>0</v>
      </c>
      <c r="H591" s="37">
        <v>0</v>
      </c>
      <c r="I591" s="37">
        <v>0</v>
      </c>
      <c r="J591" s="37">
        <v>0</v>
      </c>
      <c r="K591" s="37">
        <v>0</v>
      </c>
      <c r="L591" s="38">
        <v>0</v>
      </c>
      <c r="M591" s="38">
        <v>0</v>
      </c>
      <c r="N591" s="39">
        <v>0</v>
      </c>
      <c r="O591" s="37">
        <v>0</v>
      </c>
      <c r="P591" s="39"/>
      <c r="Q591" s="39"/>
      <c r="R591" s="38"/>
      <c r="S591" s="40">
        <f t="shared" si="264"/>
        <v>0</v>
      </c>
      <c r="T591" s="37"/>
      <c r="U591" s="37"/>
      <c r="V591" s="37"/>
      <c r="W591" s="37"/>
      <c r="X591" s="37"/>
      <c r="Y591" s="38"/>
      <c r="Z591" s="38"/>
      <c r="AA591" s="39"/>
      <c r="AB591" s="37"/>
      <c r="AC591" s="39"/>
      <c r="AD591" s="39"/>
      <c r="AE591" s="38"/>
      <c r="AF591" s="40">
        <f t="shared" si="265"/>
        <v>0</v>
      </c>
      <c r="AG591" s="40"/>
    </row>
    <row r="592" spans="2:33" ht="12.75" x14ac:dyDescent="0.3">
      <c r="B592" s="27"/>
      <c r="C592" s="28"/>
      <c r="D592" s="28"/>
      <c r="E592" s="76">
        <v>6228000</v>
      </c>
      <c r="F592" s="55" t="s">
        <v>561</v>
      </c>
      <c r="G592" s="37">
        <v>0</v>
      </c>
      <c r="H592" s="37">
        <v>0</v>
      </c>
      <c r="I592" s="37">
        <v>0</v>
      </c>
      <c r="J592" s="37">
        <v>0</v>
      </c>
      <c r="K592" s="37">
        <v>0</v>
      </c>
      <c r="L592" s="38">
        <v>0</v>
      </c>
      <c r="M592" s="38">
        <v>0</v>
      </c>
      <c r="N592" s="39">
        <v>0</v>
      </c>
      <c r="O592" s="37">
        <v>0</v>
      </c>
      <c r="P592" s="39"/>
      <c r="Q592" s="39"/>
      <c r="R592" s="38"/>
      <c r="S592" s="40">
        <f t="shared" si="264"/>
        <v>0</v>
      </c>
      <c r="T592" s="37"/>
      <c r="U592" s="37"/>
      <c r="V592" s="37"/>
      <c r="W592" s="37"/>
      <c r="X592" s="37"/>
      <c r="Y592" s="38"/>
      <c r="Z592" s="38"/>
      <c r="AA592" s="39"/>
      <c r="AB592" s="37"/>
      <c r="AC592" s="39"/>
      <c r="AD592" s="39"/>
      <c r="AE592" s="38"/>
      <c r="AF592" s="40">
        <f t="shared" si="265"/>
        <v>0</v>
      </c>
      <c r="AG592" s="40"/>
    </row>
    <row r="593" spans="2:33" ht="12.75" x14ac:dyDescent="0.3">
      <c r="B593" s="27"/>
      <c r="C593" s="28"/>
      <c r="D593" s="28" t="s">
        <v>489</v>
      </c>
      <c r="E593" s="76">
        <v>6229000</v>
      </c>
      <c r="F593" s="55" t="s">
        <v>562</v>
      </c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8"/>
      <c r="S593" s="40">
        <f t="shared" si="264"/>
        <v>0</v>
      </c>
      <c r="T593" s="37"/>
      <c r="U593" s="37"/>
      <c r="V593" s="37"/>
      <c r="W593" s="37"/>
      <c r="X593" s="37"/>
      <c r="Y593" s="38"/>
      <c r="Z593" s="38"/>
      <c r="AA593" s="39"/>
      <c r="AB593" s="37"/>
      <c r="AC593" s="39"/>
      <c r="AD593" s="39"/>
      <c r="AE593" s="38"/>
      <c r="AF593" s="40">
        <f t="shared" si="265"/>
        <v>0</v>
      </c>
      <c r="AG593" s="40"/>
    </row>
    <row r="594" spans="2:33" ht="12.75" x14ac:dyDescent="0.3">
      <c r="B594" s="27"/>
      <c r="C594" s="28"/>
      <c r="D594" s="28" t="s">
        <v>489</v>
      </c>
      <c r="E594" s="76">
        <v>6290000</v>
      </c>
      <c r="F594" s="55" t="s">
        <v>563</v>
      </c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8"/>
      <c r="S594" s="40">
        <f t="shared" si="264"/>
        <v>0</v>
      </c>
      <c r="T594" s="37"/>
      <c r="U594" s="37"/>
      <c r="V594" s="37"/>
      <c r="W594" s="37"/>
      <c r="X594" s="37"/>
      <c r="Y594" s="38"/>
      <c r="Z594" s="38"/>
      <c r="AA594" s="39"/>
      <c r="AB594" s="37"/>
      <c r="AC594" s="39"/>
      <c r="AD594" s="39"/>
      <c r="AE594" s="38"/>
      <c r="AF594" s="40">
        <f t="shared" si="265"/>
        <v>0</v>
      </c>
      <c r="AG594" s="40"/>
    </row>
    <row r="595" spans="2:33" ht="12.75" x14ac:dyDescent="0.3">
      <c r="B595" s="27"/>
      <c r="C595" s="28"/>
      <c r="D595" s="28" t="s">
        <v>489</v>
      </c>
      <c r="E595" s="76">
        <v>6201200</v>
      </c>
      <c r="F595" s="55" t="s">
        <v>564</v>
      </c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8"/>
      <c r="S595" s="40">
        <f t="shared" si="264"/>
        <v>0</v>
      </c>
      <c r="T595" s="37"/>
      <c r="U595" s="37"/>
      <c r="V595" s="37"/>
      <c r="W595" s="37"/>
      <c r="X595" s="37"/>
      <c r="Y595" s="38"/>
      <c r="Z595" s="38"/>
      <c r="AA595" s="39"/>
      <c r="AB595" s="37"/>
      <c r="AC595" s="39"/>
      <c r="AD595" s="39"/>
      <c r="AE595" s="38"/>
      <c r="AF595" s="40">
        <f t="shared" si="265"/>
        <v>0</v>
      </c>
      <c r="AG595" s="40"/>
    </row>
    <row r="596" spans="2:33" ht="12.75" x14ac:dyDescent="0.3">
      <c r="B596" s="27"/>
      <c r="C596" s="28"/>
      <c r="D596" s="29" t="s">
        <v>565</v>
      </c>
      <c r="E596" s="74"/>
      <c r="F596" s="31"/>
      <c r="G596" s="33">
        <v>0</v>
      </c>
      <c r="H596" s="33">
        <v>0</v>
      </c>
      <c r="I596" s="33">
        <v>0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f t="shared" ref="P596:R596" si="274">SUM(P597:P601)</f>
        <v>0</v>
      </c>
      <c r="Q596" s="33">
        <f t="shared" si="274"/>
        <v>0</v>
      </c>
      <c r="R596" s="34">
        <f t="shared" si="274"/>
        <v>0</v>
      </c>
      <c r="S596" s="26">
        <f t="shared" si="264"/>
        <v>0</v>
      </c>
      <c r="T596" s="32">
        <f t="shared" ref="T596:AE596" si="275">SUM(T597:T601)</f>
        <v>0</v>
      </c>
      <c r="U596" s="33">
        <f t="shared" si="275"/>
        <v>0</v>
      </c>
      <c r="V596" s="33">
        <f t="shared" si="275"/>
        <v>0</v>
      </c>
      <c r="W596" s="33">
        <f t="shared" si="275"/>
        <v>0</v>
      </c>
      <c r="X596" s="33">
        <f t="shared" si="275"/>
        <v>0</v>
      </c>
      <c r="Y596" s="34">
        <f t="shared" si="275"/>
        <v>0</v>
      </c>
      <c r="Z596" s="34">
        <f t="shared" si="275"/>
        <v>0</v>
      </c>
      <c r="AA596" s="33">
        <f t="shared" si="275"/>
        <v>0</v>
      </c>
      <c r="AB596" s="32">
        <f t="shared" si="275"/>
        <v>0</v>
      </c>
      <c r="AC596" s="33">
        <f t="shared" si="275"/>
        <v>0</v>
      </c>
      <c r="AD596" s="33">
        <f t="shared" si="275"/>
        <v>0</v>
      </c>
      <c r="AE596" s="34">
        <f t="shared" si="275"/>
        <v>0</v>
      </c>
      <c r="AF596" s="26">
        <f t="shared" si="265"/>
        <v>0</v>
      </c>
      <c r="AG596" s="26"/>
    </row>
    <row r="597" spans="2:33" ht="12.75" x14ac:dyDescent="0.3">
      <c r="B597" s="27"/>
      <c r="C597" s="28"/>
      <c r="D597" s="28" t="s">
        <v>489</v>
      </c>
      <c r="E597" s="76">
        <v>5308000</v>
      </c>
      <c r="F597" s="55" t="s">
        <v>566</v>
      </c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8"/>
      <c r="S597" s="40">
        <f t="shared" si="264"/>
        <v>0</v>
      </c>
      <c r="T597" s="37"/>
      <c r="U597" s="37"/>
      <c r="V597" s="37"/>
      <c r="W597" s="37"/>
      <c r="X597" s="37"/>
      <c r="Y597" s="38"/>
      <c r="Z597" s="38"/>
      <c r="AA597" s="39"/>
      <c r="AB597" s="37"/>
      <c r="AC597" s="39"/>
      <c r="AD597" s="39"/>
      <c r="AE597" s="38"/>
      <c r="AF597" s="40">
        <f t="shared" si="265"/>
        <v>0</v>
      </c>
      <c r="AG597" s="40"/>
    </row>
    <row r="598" spans="2:33" ht="12.75" x14ac:dyDescent="0.3">
      <c r="B598" s="27"/>
      <c r="C598" s="28"/>
      <c r="D598" s="28" t="s">
        <v>489</v>
      </c>
      <c r="E598" s="76">
        <v>5307000</v>
      </c>
      <c r="F598" s="55" t="s">
        <v>567</v>
      </c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8"/>
      <c r="S598" s="40">
        <f t="shared" si="264"/>
        <v>0</v>
      </c>
      <c r="T598" s="37"/>
      <c r="U598" s="37"/>
      <c r="V598" s="37"/>
      <c r="W598" s="37"/>
      <c r="X598" s="37"/>
      <c r="Y598" s="38"/>
      <c r="Z598" s="38"/>
      <c r="AA598" s="39"/>
      <c r="AB598" s="37"/>
      <c r="AC598" s="39"/>
      <c r="AD598" s="39"/>
      <c r="AE598" s="38"/>
      <c r="AF598" s="40">
        <f t="shared" si="265"/>
        <v>0</v>
      </c>
      <c r="AG598" s="40"/>
    </row>
    <row r="599" spans="2:33" ht="12.75" x14ac:dyDescent="0.3">
      <c r="B599" s="27"/>
      <c r="C599" s="28"/>
      <c r="D599" s="28" t="s">
        <v>489</v>
      </c>
      <c r="E599" s="76">
        <v>5309000</v>
      </c>
      <c r="F599" s="55" t="s">
        <v>568</v>
      </c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8"/>
      <c r="S599" s="40">
        <f t="shared" si="264"/>
        <v>0</v>
      </c>
      <c r="T599" s="37"/>
      <c r="U599" s="37"/>
      <c r="V599" s="37"/>
      <c r="W599" s="37"/>
      <c r="X599" s="37"/>
      <c r="Y599" s="38"/>
      <c r="Z599" s="38"/>
      <c r="AA599" s="39"/>
      <c r="AB599" s="37"/>
      <c r="AC599" s="39"/>
      <c r="AD599" s="39"/>
      <c r="AE599" s="38"/>
      <c r="AF599" s="40">
        <f t="shared" si="265"/>
        <v>0</v>
      </c>
      <c r="AG599" s="40"/>
    </row>
    <row r="600" spans="2:33" ht="12.75" x14ac:dyDescent="0.3">
      <c r="B600" s="27"/>
      <c r="C600" s="28"/>
      <c r="D600" s="28" t="s">
        <v>489</v>
      </c>
      <c r="E600" s="76">
        <v>5303100</v>
      </c>
      <c r="F600" s="55" t="s">
        <v>569</v>
      </c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8"/>
      <c r="S600" s="40">
        <f t="shared" si="264"/>
        <v>0</v>
      </c>
      <c r="T600" s="37"/>
      <c r="U600" s="37"/>
      <c r="V600" s="37"/>
      <c r="W600" s="37"/>
      <c r="X600" s="37"/>
      <c r="Y600" s="38"/>
      <c r="Z600" s="38"/>
      <c r="AA600" s="39"/>
      <c r="AB600" s="37"/>
      <c r="AC600" s="39"/>
      <c r="AD600" s="39"/>
      <c r="AE600" s="38"/>
      <c r="AF600" s="40">
        <f t="shared" si="265"/>
        <v>0</v>
      </c>
      <c r="AG600" s="40"/>
    </row>
    <row r="601" spans="2:33" ht="12.75" x14ac:dyDescent="0.3">
      <c r="B601" s="27"/>
      <c r="C601" s="28"/>
      <c r="D601" s="28" t="s">
        <v>489</v>
      </c>
      <c r="E601" s="76">
        <v>5305100</v>
      </c>
      <c r="F601" s="55" t="s">
        <v>570</v>
      </c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8"/>
      <c r="S601" s="40">
        <f t="shared" si="264"/>
        <v>0</v>
      </c>
      <c r="T601" s="37"/>
      <c r="U601" s="37"/>
      <c r="V601" s="37"/>
      <c r="W601" s="37"/>
      <c r="X601" s="37"/>
      <c r="Y601" s="38"/>
      <c r="Z601" s="38"/>
      <c r="AA601" s="39"/>
      <c r="AB601" s="37"/>
      <c r="AC601" s="39"/>
      <c r="AD601" s="39"/>
      <c r="AE601" s="38"/>
      <c r="AF601" s="40">
        <f t="shared" si="265"/>
        <v>0</v>
      </c>
      <c r="AG601" s="40"/>
    </row>
    <row r="602" spans="2:33" ht="12.75" x14ac:dyDescent="0.3">
      <c r="B602" s="27"/>
      <c r="C602" s="28"/>
      <c r="D602" s="29" t="s">
        <v>571</v>
      </c>
      <c r="E602" s="74"/>
      <c r="F602" s="31"/>
      <c r="G602" s="33">
        <v>0</v>
      </c>
      <c r="H602" s="33">
        <v>0</v>
      </c>
      <c r="I602" s="33">
        <v>0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f t="shared" ref="P602:R602" si="276">SUM(P603:P604)</f>
        <v>0</v>
      </c>
      <c r="Q602" s="33">
        <f t="shared" si="276"/>
        <v>0</v>
      </c>
      <c r="R602" s="34">
        <f t="shared" si="276"/>
        <v>0</v>
      </c>
      <c r="S602" s="26">
        <f t="shared" si="264"/>
        <v>0</v>
      </c>
      <c r="T602" s="32">
        <f t="shared" ref="T602:AE602" si="277">SUM(T603:T604)</f>
        <v>0</v>
      </c>
      <c r="U602" s="33">
        <f t="shared" si="277"/>
        <v>0</v>
      </c>
      <c r="V602" s="33">
        <f t="shared" si="277"/>
        <v>0</v>
      </c>
      <c r="W602" s="33">
        <f t="shared" si="277"/>
        <v>0</v>
      </c>
      <c r="X602" s="33">
        <f t="shared" si="277"/>
        <v>0</v>
      </c>
      <c r="Y602" s="34">
        <f t="shared" si="277"/>
        <v>0</v>
      </c>
      <c r="Z602" s="34">
        <f t="shared" si="277"/>
        <v>0</v>
      </c>
      <c r="AA602" s="33">
        <f t="shared" si="277"/>
        <v>0</v>
      </c>
      <c r="AB602" s="32">
        <f t="shared" si="277"/>
        <v>0</v>
      </c>
      <c r="AC602" s="33">
        <f t="shared" si="277"/>
        <v>0</v>
      </c>
      <c r="AD602" s="33">
        <f t="shared" si="277"/>
        <v>0</v>
      </c>
      <c r="AE602" s="34">
        <f t="shared" si="277"/>
        <v>0</v>
      </c>
      <c r="AF602" s="26">
        <f t="shared" si="265"/>
        <v>0</v>
      </c>
      <c r="AG602" s="26"/>
    </row>
    <row r="603" spans="2:33" ht="12.75" x14ac:dyDescent="0.3">
      <c r="B603" s="27"/>
      <c r="C603" s="28"/>
      <c r="D603" s="28" t="s">
        <v>489</v>
      </c>
      <c r="E603" s="76">
        <v>5313000</v>
      </c>
      <c r="F603" s="55" t="s">
        <v>572</v>
      </c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8"/>
      <c r="S603" s="40">
        <f t="shared" si="264"/>
        <v>0</v>
      </c>
      <c r="T603" s="37"/>
      <c r="U603" s="37"/>
      <c r="V603" s="37"/>
      <c r="W603" s="37"/>
      <c r="X603" s="37"/>
      <c r="Y603" s="38"/>
      <c r="Z603" s="38"/>
      <c r="AA603" s="39"/>
      <c r="AB603" s="37"/>
      <c r="AC603" s="39"/>
      <c r="AD603" s="39"/>
      <c r="AE603" s="38"/>
      <c r="AF603" s="40">
        <f t="shared" si="265"/>
        <v>0</v>
      </c>
      <c r="AG603" s="40"/>
    </row>
    <row r="604" spans="2:33" ht="12.75" x14ac:dyDescent="0.3">
      <c r="B604" s="27"/>
      <c r="C604" s="28"/>
      <c r="D604" s="28" t="s">
        <v>489</v>
      </c>
      <c r="E604" s="76">
        <v>5314000</v>
      </c>
      <c r="F604" s="55" t="s">
        <v>573</v>
      </c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8"/>
      <c r="S604" s="40">
        <f t="shared" si="264"/>
        <v>0</v>
      </c>
      <c r="T604" s="37"/>
      <c r="U604" s="37"/>
      <c r="V604" s="37"/>
      <c r="W604" s="37"/>
      <c r="X604" s="37"/>
      <c r="Y604" s="38"/>
      <c r="Z604" s="38"/>
      <c r="AA604" s="39"/>
      <c r="AB604" s="37"/>
      <c r="AC604" s="39"/>
      <c r="AD604" s="39"/>
      <c r="AE604" s="38"/>
      <c r="AF604" s="40">
        <f t="shared" si="265"/>
        <v>0</v>
      </c>
      <c r="AG604" s="40"/>
    </row>
    <row r="605" spans="2:33" ht="12.75" x14ac:dyDescent="0.3">
      <c r="B605" s="27"/>
      <c r="C605" s="28"/>
      <c r="D605" s="29" t="s">
        <v>574</v>
      </c>
      <c r="E605" s="74"/>
      <c r="F605" s="31"/>
      <c r="G605" s="33">
        <v>0</v>
      </c>
      <c r="H605" s="33">
        <v>0</v>
      </c>
      <c r="I605" s="33">
        <v>0</v>
      </c>
      <c r="J605" s="33">
        <v>0</v>
      </c>
      <c r="K605" s="33">
        <v>0</v>
      </c>
      <c r="L605" s="33">
        <v>0</v>
      </c>
      <c r="M605" s="33">
        <v>0</v>
      </c>
      <c r="N605" s="33">
        <v>0</v>
      </c>
      <c r="O605" s="33">
        <v>0</v>
      </c>
      <c r="P605" s="33">
        <f t="shared" ref="P605:R605" si="278">SUM(P606:P611)</f>
        <v>0</v>
      </c>
      <c r="Q605" s="33">
        <f t="shared" si="278"/>
        <v>0</v>
      </c>
      <c r="R605" s="34">
        <f t="shared" si="278"/>
        <v>0</v>
      </c>
      <c r="S605" s="26">
        <f t="shared" si="264"/>
        <v>0</v>
      </c>
      <c r="T605" s="32">
        <f t="shared" ref="T605:AE605" si="279">SUM(T606:T611)</f>
        <v>0</v>
      </c>
      <c r="U605" s="33">
        <f t="shared" si="279"/>
        <v>0</v>
      </c>
      <c r="V605" s="33">
        <f t="shared" si="279"/>
        <v>0</v>
      </c>
      <c r="W605" s="33">
        <f t="shared" si="279"/>
        <v>0</v>
      </c>
      <c r="X605" s="33">
        <f t="shared" si="279"/>
        <v>0</v>
      </c>
      <c r="Y605" s="34">
        <f t="shared" si="279"/>
        <v>0</v>
      </c>
      <c r="Z605" s="34">
        <f t="shared" si="279"/>
        <v>0</v>
      </c>
      <c r="AA605" s="33">
        <f t="shared" si="279"/>
        <v>0</v>
      </c>
      <c r="AB605" s="32">
        <f t="shared" si="279"/>
        <v>0</v>
      </c>
      <c r="AC605" s="33">
        <f t="shared" si="279"/>
        <v>0</v>
      </c>
      <c r="AD605" s="33">
        <f t="shared" si="279"/>
        <v>0</v>
      </c>
      <c r="AE605" s="34">
        <f t="shared" si="279"/>
        <v>0</v>
      </c>
      <c r="AF605" s="26">
        <f t="shared" si="265"/>
        <v>0</v>
      </c>
      <c r="AG605" s="26"/>
    </row>
    <row r="606" spans="2:33" ht="12.75" x14ac:dyDescent="0.3">
      <c r="B606" s="27"/>
      <c r="C606" s="28"/>
      <c r="D606" s="28" t="s">
        <v>489</v>
      </c>
      <c r="E606" s="76">
        <v>5311000</v>
      </c>
      <c r="F606" s="55" t="s">
        <v>575</v>
      </c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8"/>
      <c r="S606" s="40">
        <f t="shared" si="264"/>
        <v>0</v>
      </c>
      <c r="T606" s="37"/>
      <c r="U606" s="37"/>
      <c r="V606" s="37"/>
      <c r="W606" s="37"/>
      <c r="X606" s="37"/>
      <c r="Y606" s="38"/>
      <c r="Z606" s="38"/>
      <c r="AA606" s="39"/>
      <c r="AB606" s="37"/>
      <c r="AC606" s="39"/>
      <c r="AD606" s="39"/>
      <c r="AE606" s="38"/>
      <c r="AF606" s="40">
        <f t="shared" si="265"/>
        <v>0</v>
      </c>
      <c r="AG606" s="40"/>
    </row>
    <row r="607" spans="2:33" ht="12.75" x14ac:dyDescent="0.3">
      <c r="B607" s="27"/>
      <c r="C607" s="28"/>
      <c r="D607" s="28" t="s">
        <v>489</v>
      </c>
      <c r="E607" s="76">
        <v>5318110</v>
      </c>
      <c r="F607" s="55" t="s">
        <v>576</v>
      </c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8"/>
      <c r="S607" s="40">
        <f t="shared" si="264"/>
        <v>0</v>
      </c>
      <c r="T607" s="37"/>
      <c r="U607" s="37"/>
      <c r="V607" s="37"/>
      <c r="W607" s="37"/>
      <c r="X607" s="37"/>
      <c r="Y607" s="38"/>
      <c r="Z607" s="38"/>
      <c r="AA607" s="39"/>
      <c r="AB607" s="37"/>
      <c r="AC607" s="39"/>
      <c r="AD607" s="39"/>
      <c r="AE607" s="38"/>
      <c r="AF607" s="40">
        <f t="shared" si="265"/>
        <v>0</v>
      </c>
      <c r="AG607" s="40"/>
    </row>
    <row r="608" spans="2:33" ht="12.75" x14ac:dyDescent="0.3">
      <c r="B608" s="27"/>
      <c r="C608" s="28"/>
      <c r="D608" s="28" t="s">
        <v>489</v>
      </c>
      <c r="E608" s="76">
        <v>5312000</v>
      </c>
      <c r="F608" s="55" t="s">
        <v>577</v>
      </c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8"/>
      <c r="S608" s="40">
        <f t="shared" si="264"/>
        <v>0</v>
      </c>
      <c r="T608" s="37"/>
      <c r="U608" s="37"/>
      <c r="V608" s="37"/>
      <c r="W608" s="37"/>
      <c r="X608" s="37"/>
      <c r="Y608" s="38"/>
      <c r="Z608" s="38"/>
      <c r="AA608" s="39"/>
      <c r="AB608" s="37"/>
      <c r="AC608" s="39"/>
      <c r="AD608" s="39"/>
      <c r="AE608" s="38"/>
      <c r="AF608" s="40">
        <f t="shared" si="265"/>
        <v>0</v>
      </c>
      <c r="AG608" s="40"/>
    </row>
    <row r="609" spans="2:33" ht="12.75" x14ac:dyDescent="0.3">
      <c r="B609" s="27"/>
      <c r="C609" s="28"/>
      <c r="D609" s="28" t="s">
        <v>489</v>
      </c>
      <c r="E609" s="76">
        <v>5318100</v>
      </c>
      <c r="F609" s="55" t="s">
        <v>578</v>
      </c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8"/>
      <c r="S609" s="40">
        <f t="shared" si="264"/>
        <v>0</v>
      </c>
      <c r="T609" s="37"/>
      <c r="U609" s="37"/>
      <c r="V609" s="37"/>
      <c r="W609" s="37"/>
      <c r="X609" s="37"/>
      <c r="Y609" s="38"/>
      <c r="Z609" s="38"/>
      <c r="AA609" s="39"/>
      <c r="AB609" s="37"/>
      <c r="AC609" s="39"/>
      <c r="AD609" s="39"/>
      <c r="AE609" s="38"/>
      <c r="AF609" s="40">
        <f t="shared" si="265"/>
        <v>0</v>
      </c>
      <c r="AG609" s="40"/>
    </row>
    <row r="610" spans="2:33" ht="12.75" x14ac:dyDescent="0.3">
      <c r="B610" s="27"/>
      <c r="C610" s="28"/>
      <c r="D610" s="28" t="s">
        <v>489</v>
      </c>
      <c r="E610" s="76">
        <v>5319000</v>
      </c>
      <c r="F610" s="55" t="s">
        <v>579</v>
      </c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8"/>
      <c r="S610" s="40">
        <f t="shared" si="264"/>
        <v>0</v>
      </c>
      <c r="T610" s="37"/>
      <c r="U610" s="37"/>
      <c r="V610" s="37"/>
      <c r="W610" s="37"/>
      <c r="X610" s="37"/>
      <c r="Y610" s="38"/>
      <c r="Z610" s="38"/>
      <c r="AA610" s="39"/>
      <c r="AB610" s="37"/>
      <c r="AC610" s="39"/>
      <c r="AD610" s="39"/>
      <c r="AE610" s="38"/>
      <c r="AF610" s="40">
        <f t="shared" si="265"/>
        <v>0</v>
      </c>
      <c r="AG610" s="40"/>
    </row>
    <row r="611" spans="2:33" ht="12.75" x14ac:dyDescent="0.3">
      <c r="B611" s="27"/>
      <c r="C611" s="28"/>
      <c r="D611" s="28" t="s">
        <v>489</v>
      </c>
      <c r="E611" s="76">
        <v>5318190</v>
      </c>
      <c r="F611" s="55" t="s">
        <v>580</v>
      </c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8"/>
      <c r="S611" s="40">
        <f t="shared" si="264"/>
        <v>0</v>
      </c>
      <c r="T611" s="37"/>
      <c r="U611" s="37"/>
      <c r="V611" s="37"/>
      <c r="W611" s="37"/>
      <c r="X611" s="37"/>
      <c r="Y611" s="38"/>
      <c r="Z611" s="38"/>
      <c r="AA611" s="39"/>
      <c r="AB611" s="37"/>
      <c r="AC611" s="39"/>
      <c r="AD611" s="39"/>
      <c r="AE611" s="38"/>
      <c r="AF611" s="40">
        <f t="shared" si="265"/>
        <v>0</v>
      </c>
      <c r="AG611" s="40"/>
    </row>
    <row r="612" spans="2:33" ht="12.75" x14ac:dyDescent="0.3">
      <c r="B612" s="27"/>
      <c r="C612" s="29" t="s">
        <v>581</v>
      </c>
      <c r="D612" s="30"/>
      <c r="E612" s="74"/>
      <c r="F612" s="31"/>
      <c r="G612" s="33">
        <v>0</v>
      </c>
      <c r="H612" s="33">
        <v>0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f t="shared" ref="P612:R612" si="280">SUM(P613:P616)</f>
        <v>0</v>
      </c>
      <c r="Q612" s="33">
        <f t="shared" si="280"/>
        <v>0</v>
      </c>
      <c r="R612" s="34">
        <f t="shared" si="280"/>
        <v>0</v>
      </c>
      <c r="S612" s="26">
        <f t="shared" si="264"/>
        <v>0</v>
      </c>
      <c r="T612" s="32">
        <f t="shared" ref="T612:AE612" si="281">SUM(T613:T616)</f>
        <v>0</v>
      </c>
      <c r="U612" s="33">
        <f t="shared" si="281"/>
        <v>0</v>
      </c>
      <c r="V612" s="33">
        <f t="shared" si="281"/>
        <v>0</v>
      </c>
      <c r="W612" s="33">
        <f t="shared" si="281"/>
        <v>0</v>
      </c>
      <c r="X612" s="33">
        <f t="shared" si="281"/>
        <v>0</v>
      </c>
      <c r="Y612" s="34">
        <f t="shared" si="281"/>
        <v>0</v>
      </c>
      <c r="Z612" s="34">
        <f t="shared" si="281"/>
        <v>0</v>
      </c>
      <c r="AA612" s="33">
        <f t="shared" si="281"/>
        <v>0</v>
      </c>
      <c r="AB612" s="32">
        <f t="shared" si="281"/>
        <v>0</v>
      </c>
      <c r="AC612" s="33">
        <f t="shared" si="281"/>
        <v>0</v>
      </c>
      <c r="AD612" s="33">
        <f t="shared" si="281"/>
        <v>0</v>
      </c>
      <c r="AE612" s="34">
        <f t="shared" si="281"/>
        <v>0</v>
      </c>
      <c r="AF612" s="26">
        <f t="shared" si="265"/>
        <v>0</v>
      </c>
      <c r="AG612" s="26"/>
    </row>
    <row r="613" spans="2:33" ht="12.75" x14ac:dyDescent="0.3">
      <c r="B613" s="27"/>
      <c r="C613" s="28"/>
      <c r="D613" s="28" t="s">
        <v>489</v>
      </c>
      <c r="E613" s="76">
        <v>5208000</v>
      </c>
      <c r="F613" s="36" t="s">
        <v>582</v>
      </c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8"/>
      <c r="S613" s="40">
        <f t="shared" si="264"/>
        <v>0</v>
      </c>
      <c r="T613" s="37"/>
      <c r="U613" s="37"/>
      <c r="V613" s="37"/>
      <c r="W613" s="37"/>
      <c r="X613" s="37"/>
      <c r="Y613" s="38"/>
      <c r="Z613" s="38"/>
      <c r="AA613" s="39"/>
      <c r="AB613" s="37"/>
      <c r="AC613" s="39"/>
      <c r="AD613" s="39"/>
      <c r="AE613" s="38"/>
      <c r="AF613" s="40">
        <f t="shared" si="265"/>
        <v>0</v>
      </c>
      <c r="AG613" s="40"/>
    </row>
    <row r="614" spans="2:33" ht="12.75" x14ac:dyDescent="0.3">
      <c r="B614" s="27"/>
      <c r="C614" s="28"/>
      <c r="D614" s="28"/>
      <c r="E614" s="76">
        <v>5207000</v>
      </c>
      <c r="F614" s="36" t="s">
        <v>583</v>
      </c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8"/>
      <c r="S614" s="40">
        <f t="shared" si="264"/>
        <v>0</v>
      </c>
      <c r="T614" s="37"/>
      <c r="U614" s="37"/>
      <c r="V614" s="37"/>
      <c r="W614" s="37"/>
      <c r="X614" s="37"/>
      <c r="Y614" s="38"/>
      <c r="Z614" s="38"/>
      <c r="AA614" s="39"/>
      <c r="AB614" s="37"/>
      <c r="AC614" s="39"/>
      <c r="AD614" s="39"/>
      <c r="AE614" s="38"/>
      <c r="AF614" s="40">
        <f t="shared" si="265"/>
        <v>0</v>
      </c>
      <c r="AG614" s="40"/>
    </row>
    <row r="615" spans="2:33" ht="12.75" x14ac:dyDescent="0.3">
      <c r="B615" s="27"/>
      <c r="C615" s="28"/>
      <c r="D615" s="28" t="s">
        <v>489</v>
      </c>
      <c r="E615" s="76">
        <v>5303000</v>
      </c>
      <c r="F615" s="36" t="s">
        <v>584</v>
      </c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8"/>
      <c r="S615" s="40">
        <f t="shared" si="264"/>
        <v>0</v>
      </c>
      <c r="T615" s="37"/>
      <c r="U615" s="37"/>
      <c r="V615" s="37"/>
      <c r="W615" s="37"/>
      <c r="X615" s="37"/>
      <c r="Y615" s="38"/>
      <c r="Z615" s="38"/>
      <c r="AA615" s="39"/>
      <c r="AB615" s="37"/>
      <c r="AC615" s="39"/>
      <c r="AD615" s="39"/>
      <c r="AE615" s="38"/>
      <c r="AF615" s="40">
        <f t="shared" si="265"/>
        <v>0</v>
      </c>
      <c r="AG615" s="40"/>
    </row>
    <row r="616" spans="2:33" ht="12.75" x14ac:dyDescent="0.3">
      <c r="B616" s="27"/>
      <c r="C616" s="28"/>
      <c r="D616" s="28" t="s">
        <v>489</v>
      </c>
      <c r="E616" s="76">
        <v>5304000</v>
      </c>
      <c r="F616" s="36" t="s">
        <v>585</v>
      </c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8"/>
      <c r="S616" s="40">
        <f t="shared" si="264"/>
        <v>0</v>
      </c>
      <c r="T616" s="37"/>
      <c r="U616" s="37"/>
      <c r="V616" s="37"/>
      <c r="W616" s="37"/>
      <c r="X616" s="37"/>
      <c r="Y616" s="38"/>
      <c r="Z616" s="38"/>
      <c r="AA616" s="39"/>
      <c r="AB616" s="37"/>
      <c r="AC616" s="39"/>
      <c r="AD616" s="39"/>
      <c r="AE616" s="38"/>
      <c r="AF616" s="40">
        <f t="shared" si="265"/>
        <v>0</v>
      </c>
      <c r="AG616" s="40"/>
    </row>
    <row r="617" spans="2:33" ht="12.75" x14ac:dyDescent="0.3">
      <c r="B617" s="20" t="s">
        <v>586</v>
      </c>
      <c r="C617" s="21"/>
      <c r="D617" s="21"/>
      <c r="E617" s="21"/>
      <c r="F617" s="77"/>
      <c r="G617" s="24">
        <v>-8770</v>
      </c>
      <c r="H617" s="24">
        <v>-13249</v>
      </c>
      <c r="I617" s="24">
        <v>-13350</v>
      </c>
      <c r="J617" s="24">
        <v>-11642</v>
      </c>
      <c r="K617" s="24">
        <v>-10706</v>
      </c>
      <c r="L617" s="24">
        <v>-9077</v>
      </c>
      <c r="M617" s="24">
        <v>-8049</v>
      </c>
      <c r="N617" s="24">
        <v>-6716</v>
      </c>
      <c r="O617" s="24">
        <v>-5206</v>
      </c>
      <c r="P617" s="24">
        <f t="shared" ref="P617:R617" si="282">P504+P505-P612</f>
        <v>-127728740</v>
      </c>
      <c r="Q617" s="24">
        <f t="shared" si="282"/>
        <v>-130833490</v>
      </c>
      <c r="R617" s="25">
        <f t="shared" si="282"/>
        <v>-137159161.23893803</v>
      </c>
      <c r="S617" s="26">
        <f t="shared" si="264"/>
        <v>-395808156.23893803</v>
      </c>
      <c r="T617" s="23">
        <f t="shared" ref="T617:AE617" si="283">T504+T505-T612</f>
        <v>-130911823.33333333</v>
      </c>
      <c r="U617" s="24">
        <f t="shared" si="283"/>
        <v>-147373073.33333331</v>
      </c>
      <c r="V617" s="24">
        <f t="shared" si="283"/>
        <v>-186317073.33333334</v>
      </c>
      <c r="W617" s="24">
        <f t="shared" si="283"/>
        <v>-143907073.33333331</v>
      </c>
      <c r="X617" s="24">
        <f t="shared" si="283"/>
        <v>-174907073.33333331</v>
      </c>
      <c r="Y617" s="25">
        <f t="shared" si="283"/>
        <v>-136437073.33333331</v>
      </c>
      <c r="Z617" s="25">
        <f t="shared" si="283"/>
        <v>-181611823.33333334</v>
      </c>
      <c r="AA617" s="24">
        <f t="shared" si="283"/>
        <v>-147167073.33333331</v>
      </c>
      <c r="AB617" s="23">
        <f t="shared" si="283"/>
        <v>-207557073.33333331</v>
      </c>
      <c r="AC617" s="24">
        <f t="shared" si="283"/>
        <v>-193687073.33333331</v>
      </c>
      <c r="AD617" s="24">
        <f t="shared" si="283"/>
        <v>-135957073.33333331</v>
      </c>
      <c r="AE617" s="25">
        <f t="shared" si="283"/>
        <v>-144550326.43067846</v>
      </c>
      <c r="AF617" s="26">
        <f t="shared" si="265"/>
        <v>-1930383633.0973444</v>
      </c>
      <c r="AG617" s="26"/>
    </row>
    <row r="618" spans="2:33" ht="12.75" x14ac:dyDescent="0.3">
      <c r="B618" s="20" t="s">
        <v>587</v>
      </c>
      <c r="C618" s="21"/>
      <c r="D618" s="21"/>
      <c r="E618" s="21"/>
      <c r="F618" s="77"/>
      <c r="G618" s="24">
        <v>0</v>
      </c>
      <c r="H618" s="24">
        <v>0</v>
      </c>
      <c r="I618" s="24">
        <v>0</v>
      </c>
      <c r="J618" s="24">
        <v>0</v>
      </c>
      <c r="K618" s="24">
        <v>0</v>
      </c>
      <c r="L618" s="24">
        <v>0</v>
      </c>
      <c r="M618" s="24">
        <v>0</v>
      </c>
      <c r="N618" s="24">
        <v>0</v>
      </c>
      <c r="O618" s="24">
        <v>0</v>
      </c>
      <c r="P618" s="24">
        <f t="shared" ref="P618:R618" si="284">SUM(P619:P620)</f>
        <v>0</v>
      </c>
      <c r="Q618" s="24">
        <f t="shared" si="284"/>
        <v>0</v>
      </c>
      <c r="R618" s="25">
        <f t="shared" si="284"/>
        <v>0</v>
      </c>
      <c r="S618" s="26">
        <f t="shared" si="264"/>
        <v>0</v>
      </c>
      <c r="T618" s="23">
        <f t="shared" ref="T618:AE618" si="285">SUM(T619:T620)</f>
        <v>0</v>
      </c>
      <c r="U618" s="24">
        <f t="shared" si="285"/>
        <v>0</v>
      </c>
      <c r="V618" s="24">
        <f t="shared" si="285"/>
        <v>0</v>
      </c>
      <c r="W618" s="24">
        <f t="shared" si="285"/>
        <v>0</v>
      </c>
      <c r="X618" s="24">
        <f t="shared" si="285"/>
        <v>0</v>
      </c>
      <c r="Y618" s="25">
        <f t="shared" si="285"/>
        <v>0</v>
      </c>
      <c r="Z618" s="25">
        <f t="shared" si="285"/>
        <v>0</v>
      </c>
      <c r="AA618" s="24">
        <f t="shared" si="285"/>
        <v>0</v>
      </c>
      <c r="AB618" s="23">
        <f t="shared" si="285"/>
        <v>0</v>
      </c>
      <c r="AC618" s="24">
        <f t="shared" si="285"/>
        <v>0</v>
      </c>
      <c r="AD618" s="24">
        <f t="shared" si="285"/>
        <v>0</v>
      </c>
      <c r="AE618" s="25">
        <f t="shared" si="285"/>
        <v>0</v>
      </c>
      <c r="AF618" s="26">
        <f t="shared" si="265"/>
        <v>0</v>
      </c>
      <c r="AG618" s="26"/>
    </row>
    <row r="619" spans="2:33" ht="12.75" x14ac:dyDescent="0.3">
      <c r="B619" s="53"/>
      <c r="C619" s="78"/>
      <c r="D619" s="79" t="s">
        <v>489</v>
      </c>
      <c r="E619" s="76">
        <v>9200001</v>
      </c>
      <c r="F619" s="36" t="s">
        <v>588</v>
      </c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0"/>
      <c r="S619" s="70">
        <f t="shared" si="264"/>
        <v>0</v>
      </c>
      <c r="T619" s="37"/>
      <c r="U619" s="37"/>
      <c r="V619" s="37"/>
      <c r="W619" s="37"/>
      <c r="X619" s="37"/>
      <c r="Y619" s="80"/>
      <c r="Z619" s="80"/>
      <c r="AA619" s="81"/>
      <c r="AB619" s="82"/>
      <c r="AC619" s="81"/>
      <c r="AD619" s="81"/>
      <c r="AE619" s="80"/>
      <c r="AF619" s="70">
        <f t="shared" si="265"/>
        <v>0</v>
      </c>
      <c r="AG619" s="70"/>
    </row>
    <row r="620" spans="2:33" ht="12.75" x14ac:dyDescent="0.3">
      <c r="B620" s="83"/>
      <c r="C620" s="84"/>
      <c r="D620" s="85" t="s">
        <v>489</v>
      </c>
      <c r="E620" s="76">
        <v>9200002</v>
      </c>
      <c r="F620" s="36" t="s">
        <v>589</v>
      </c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50"/>
      <c r="S620" s="51">
        <f t="shared" si="264"/>
        <v>0</v>
      </c>
      <c r="T620" s="37"/>
      <c r="U620" s="37"/>
      <c r="V620" s="37"/>
      <c r="W620" s="37"/>
      <c r="X620" s="37"/>
      <c r="Y620" s="50"/>
      <c r="Z620" s="50"/>
      <c r="AA620" s="49"/>
      <c r="AB620" s="86"/>
      <c r="AC620" s="49"/>
      <c r="AD620" s="49"/>
      <c r="AE620" s="50"/>
      <c r="AF620" s="51">
        <f t="shared" si="265"/>
        <v>0</v>
      </c>
      <c r="AG620" s="51"/>
    </row>
    <row r="621" spans="2:33" ht="13.5" thickBot="1" x14ac:dyDescent="0.35">
      <c r="B621" s="20" t="s">
        <v>590</v>
      </c>
      <c r="C621" s="21"/>
      <c r="D621" s="21"/>
      <c r="E621" s="21"/>
      <c r="F621" s="77"/>
      <c r="G621" s="24">
        <v>-8770</v>
      </c>
      <c r="H621" s="24">
        <v>-13249</v>
      </c>
      <c r="I621" s="24">
        <v>-13350</v>
      </c>
      <c r="J621" s="24">
        <v>-11642</v>
      </c>
      <c r="K621" s="24">
        <v>-10706</v>
      </c>
      <c r="L621" s="24">
        <v>-9077</v>
      </c>
      <c r="M621" s="24">
        <v>-8049</v>
      </c>
      <c r="N621" s="24">
        <v>-6716</v>
      </c>
      <c r="O621" s="24">
        <v>-5206</v>
      </c>
      <c r="P621" s="24">
        <f t="shared" ref="P621:R621" si="286">+P617-P618</f>
        <v>-127728740</v>
      </c>
      <c r="Q621" s="24">
        <f t="shared" si="286"/>
        <v>-130833490</v>
      </c>
      <c r="R621" s="25">
        <f t="shared" si="286"/>
        <v>-137159161.23893803</v>
      </c>
      <c r="S621" s="87">
        <f t="shared" si="264"/>
        <v>-395808156.23893803</v>
      </c>
      <c r="T621" s="23">
        <f t="shared" ref="T621:AE621" si="287">+T617-T618</f>
        <v>-130911823.33333333</v>
      </c>
      <c r="U621" s="24">
        <f t="shared" si="287"/>
        <v>-147373073.33333331</v>
      </c>
      <c r="V621" s="24">
        <f t="shared" si="287"/>
        <v>-186317073.33333334</v>
      </c>
      <c r="W621" s="24">
        <f t="shared" si="287"/>
        <v>-143907073.33333331</v>
      </c>
      <c r="X621" s="24">
        <f t="shared" si="287"/>
        <v>-174907073.33333331</v>
      </c>
      <c r="Y621" s="25">
        <f t="shared" si="287"/>
        <v>-136437073.33333331</v>
      </c>
      <c r="Z621" s="25">
        <f t="shared" si="287"/>
        <v>-181611823.33333334</v>
      </c>
      <c r="AA621" s="24">
        <f t="shared" si="287"/>
        <v>-147167073.33333331</v>
      </c>
      <c r="AB621" s="23">
        <f t="shared" si="287"/>
        <v>-207557073.33333331</v>
      </c>
      <c r="AC621" s="24">
        <f t="shared" si="287"/>
        <v>-193687073.33333331</v>
      </c>
      <c r="AD621" s="24">
        <f t="shared" si="287"/>
        <v>-135957073.33333331</v>
      </c>
      <c r="AE621" s="25">
        <f t="shared" si="287"/>
        <v>-144550326.43067846</v>
      </c>
      <c r="AF621" s="87">
        <f t="shared" si="265"/>
        <v>-1930383633.0973444</v>
      </c>
      <c r="AG621" s="87"/>
    </row>
  </sheetData>
  <autoFilter ref="B10:AF621" xr:uid="{00000000-0009-0000-0000-000001000000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CB18-02C5-4606-99F9-957EA0542A9D}">
  <dimension ref="A1:D11"/>
  <sheetViews>
    <sheetView showGridLines="0" workbookViewId="0">
      <pane ySplit="1" topLeftCell="A2" activePane="bottomLeft" state="frozen"/>
      <selection pane="bottomLeft" activeCell="C24" sqref="C24"/>
    </sheetView>
  </sheetViews>
  <sheetFormatPr defaultRowHeight="16.5" x14ac:dyDescent="0.3"/>
  <cols>
    <col min="2" max="2" width="18.875" customWidth="1"/>
    <col min="3" max="3" width="36.625" bestFit="1" customWidth="1"/>
    <col min="4" max="4" width="17.75" customWidth="1"/>
  </cols>
  <sheetData>
    <row r="1" spans="1:4" x14ac:dyDescent="0.3">
      <c r="A1" s="89" t="s">
        <v>704</v>
      </c>
      <c r="B1" s="89" t="s">
        <v>706</v>
      </c>
      <c r="C1" s="89" t="s">
        <v>707</v>
      </c>
      <c r="D1" s="89" t="s">
        <v>708</v>
      </c>
    </row>
    <row r="2" spans="1:4" x14ac:dyDescent="0.3">
      <c r="A2" s="90" t="s">
        <v>702</v>
      </c>
      <c r="B2" s="90" t="s">
        <v>709</v>
      </c>
      <c r="C2" s="90" t="s">
        <v>710</v>
      </c>
      <c r="D2" s="94">
        <v>460000</v>
      </c>
    </row>
    <row r="3" spans="1:4" x14ac:dyDescent="0.3">
      <c r="A3" s="90" t="s">
        <v>715</v>
      </c>
      <c r="B3" s="93" t="s">
        <v>714</v>
      </c>
      <c r="C3" s="93" t="s">
        <v>754</v>
      </c>
      <c r="D3" s="99">
        <v>1500000</v>
      </c>
    </row>
    <row r="4" spans="1:4" x14ac:dyDescent="0.3">
      <c r="A4" s="90" t="s">
        <v>716</v>
      </c>
      <c r="B4" s="93" t="s">
        <v>714</v>
      </c>
      <c r="C4" s="93" t="s">
        <v>753</v>
      </c>
      <c r="D4" s="99">
        <v>1500000</v>
      </c>
    </row>
    <row r="5" spans="1:4" x14ac:dyDescent="0.3">
      <c r="A5" s="90" t="s">
        <v>618</v>
      </c>
      <c r="B5" s="97" t="s">
        <v>714</v>
      </c>
      <c r="C5" s="97" t="s">
        <v>752</v>
      </c>
      <c r="D5" s="98">
        <v>1500000</v>
      </c>
    </row>
    <row r="6" spans="1:4" x14ac:dyDescent="0.3">
      <c r="A6" s="91" t="s">
        <v>619</v>
      </c>
      <c r="B6" s="91" t="s">
        <v>620</v>
      </c>
      <c r="C6" s="91" t="s">
        <v>621</v>
      </c>
      <c r="D6" s="95">
        <v>630000</v>
      </c>
    </row>
    <row r="7" spans="1:4" x14ac:dyDescent="0.3">
      <c r="A7" s="91" t="s">
        <v>619</v>
      </c>
      <c r="B7" s="91" t="s">
        <v>718</v>
      </c>
      <c r="C7" s="91" t="s">
        <v>719</v>
      </c>
      <c r="D7" s="95">
        <v>900000</v>
      </c>
    </row>
    <row r="8" spans="1:4" x14ac:dyDescent="0.3">
      <c r="A8" s="92" t="s">
        <v>705</v>
      </c>
      <c r="B8" s="92" t="s">
        <v>711</v>
      </c>
      <c r="C8" s="92" t="s">
        <v>712</v>
      </c>
      <c r="D8" s="96">
        <v>460000</v>
      </c>
    </row>
    <row r="9" spans="1:4" x14ac:dyDescent="0.3">
      <c r="A9" s="92" t="s">
        <v>720</v>
      </c>
      <c r="B9" s="91" t="s">
        <v>718</v>
      </c>
      <c r="C9" s="91" t="s">
        <v>719</v>
      </c>
      <c r="D9" s="95">
        <v>900000</v>
      </c>
    </row>
    <row r="10" spans="1:4" x14ac:dyDescent="0.3">
      <c r="A10" s="92" t="s">
        <v>703</v>
      </c>
      <c r="B10" s="92" t="s">
        <v>711</v>
      </c>
      <c r="C10" s="92" t="s">
        <v>713</v>
      </c>
      <c r="D10" s="96">
        <v>630000</v>
      </c>
    </row>
    <row r="11" spans="1:4" x14ac:dyDescent="0.3">
      <c r="A11" s="110"/>
      <c r="B11" s="110"/>
      <c r="C11" s="111" t="s">
        <v>729</v>
      </c>
      <c r="D11" s="100">
        <f>SUM(D2:D10)</f>
        <v>8480000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F028-EC7E-4392-987F-6139E871B8F7}">
  <dimension ref="A1:I86"/>
  <sheetViews>
    <sheetView showGridLines="0" workbookViewId="0">
      <pane ySplit="1" topLeftCell="A56" activePane="bottomLeft" state="frozen"/>
      <selection pane="bottomLeft" activeCell="F65" sqref="F65"/>
    </sheetView>
  </sheetViews>
  <sheetFormatPr defaultRowHeight="12" x14ac:dyDescent="0.3"/>
  <cols>
    <col min="1" max="1" width="19.5" style="115" customWidth="1"/>
    <col min="2" max="2" width="29.375" style="115" bestFit="1" customWidth="1"/>
    <col min="3" max="8" width="12.75" style="115" customWidth="1"/>
    <col min="9" max="9" width="54.125" style="115" bestFit="1" customWidth="1"/>
    <col min="10" max="16384" width="9" style="115"/>
  </cols>
  <sheetData>
    <row r="1" spans="1:9" ht="24" x14ac:dyDescent="0.3">
      <c r="A1" s="112" t="s">
        <v>731</v>
      </c>
      <c r="B1" s="112" t="s">
        <v>625</v>
      </c>
      <c r="C1" s="112" t="s">
        <v>626</v>
      </c>
      <c r="D1" s="112" t="s">
        <v>627</v>
      </c>
      <c r="E1" s="113" t="s">
        <v>628</v>
      </c>
      <c r="F1" s="114" t="s">
        <v>701</v>
      </c>
      <c r="G1" s="113" t="s">
        <v>760</v>
      </c>
      <c r="H1" s="113" t="s">
        <v>759</v>
      </c>
      <c r="I1" s="113" t="s">
        <v>733</v>
      </c>
    </row>
    <row r="2" spans="1:9" x14ac:dyDescent="0.3">
      <c r="A2" s="116" t="s">
        <v>732</v>
      </c>
      <c r="B2" s="117" t="s">
        <v>629</v>
      </c>
      <c r="C2" s="118">
        <v>13</v>
      </c>
      <c r="D2" s="118" t="s">
        <v>630</v>
      </c>
      <c r="E2" s="119"/>
      <c r="F2" s="119"/>
      <c r="G2" s="119"/>
      <c r="H2" s="119"/>
      <c r="I2" s="139" t="s">
        <v>734</v>
      </c>
    </row>
    <row r="3" spans="1:9" x14ac:dyDescent="0.3">
      <c r="A3" s="120" t="s">
        <v>766</v>
      </c>
      <c r="B3" s="116" t="s">
        <v>631</v>
      </c>
      <c r="C3" s="121">
        <v>36</v>
      </c>
      <c r="D3" s="121" t="s">
        <v>630</v>
      </c>
      <c r="E3" s="122"/>
      <c r="F3" s="122"/>
      <c r="G3" s="122"/>
      <c r="H3" s="122"/>
      <c r="I3" s="140" t="s">
        <v>736</v>
      </c>
    </row>
    <row r="4" spans="1:9" x14ac:dyDescent="0.3">
      <c r="A4" s="120" t="s">
        <v>767</v>
      </c>
      <c r="B4" s="123" t="s">
        <v>632</v>
      </c>
      <c r="C4" s="124">
        <v>40</v>
      </c>
      <c r="D4" s="124" t="s">
        <v>633</v>
      </c>
      <c r="E4" s="125">
        <v>80000</v>
      </c>
      <c r="F4" s="125"/>
      <c r="G4" s="125">
        <v>20000</v>
      </c>
      <c r="H4" s="125"/>
      <c r="I4" s="141" t="s">
        <v>735</v>
      </c>
    </row>
    <row r="5" spans="1:9" x14ac:dyDescent="0.3">
      <c r="A5" s="120"/>
      <c r="B5" s="123" t="s">
        <v>634</v>
      </c>
      <c r="C5" s="124">
        <v>187</v>
      </c>
      <c r="D5" s="124" t="s">
        <v>633</v>
      </c>
      <c r="E5" s="125"/>
      <c r="F5" s="125">
        <f>C5*2*300</f>
        <v>112200</v>
      </c>
      <c r="G5" s="125">
        <v>20000</v>
      </c>
      <c r="H5" s="125"/>
      <c r="I5" s="141" t="s">
        <v>737</v>
      </c>
    </row>
    <row r="6" spans="1:9" x14ac:dyDescent="0.3">
      <c r="A6" s="120"/>
      <c r="B6" s="123" t="s">
        <v>635</v>
      </c>
      <c r="C6" s="124">
        <v>55</v>
      </c>
      <c r="D6" s="124" t="s">
        <v>633</v>
      </c>
      <c r="E6" s="125">
        <v>100000</v>
      </c>
      <c r="F6" s="125"/>
      <c r="G6" s="125">
        <v>20000</v>
      </c>
      <c r="H6" s="125"/>
      <c r="I6" s="141"/>
    </row>
    <row r="7" spans="1:9" x14ac:dyDescent="0.3">
      <c r="A7" s="120"/>
      <c r="B7" s="123" t="s">
        <v>636</v>
      </c>
      <c r="C7" s="124">
        <v>186</v>
      </c>
      <c r="D7" s="124" t="s">
        <v>633</v>
      </c>
      <c r="E7" s="125"/>
      <c r="F7" s="125">
        <f>C7*2*300</f>
        <v>111600</v>
      </c>
      <c r="G7" s="125">
        <v>20000</v>
      </c>
      <c r="H7" s="125"/>
      <c r="I7" s="141"/>
    </row>
    <row r="8" spans="1:9" x14ac:dyDescent="0.3">
      <c r="A8" s="120"/>
      <c r="B8" s="123" t="s">
        <v>637</v>
      </c>
      <c r="C8" s="124">
        <v>190</v>
      </c>
      <c r="D8" s="124" t="s">
        <v>633</v>
      </c>
      <c r="E8" s="125"/>
      <c r="F8" s="125">
        <f>C8*2*300</f>
        <v>114000</v>
      </c>
      <c r="G8" s="125">
        <v>20000</v>
      </c>
      <c r="H8" s="125"/>
      <c r="I8" s="141"/>
    </row>
    <row r="9" spans="1:9" x14ac:dyDescent="0.3">
      <c r="A9" s="120"/>
      <c r="B9" s="123" t="s">
        <v>638</v>
      </c>
      <c r="C9" s="124">
        <v>42</v>
      </c>
      <c r="D9" s="124" t="s">
        <v>633</v>
      </c>
      <c r="E9" s="125">
        <v>80000</v>
      </c>
      <c r="F9" s="125"/>
      <c r="G9" s="125">
        <v>20000</v>
      </c>
      <c r="H9" s="125"/>
      <c r="I9" s="141"/>
    </row>
    <row r="10" spans="1:9" x14ac:dyDescent="0.3">
      <c r="A10" s="120"/>
      <c r="B10" s="123" t="s">
        <v>639</v>
      </c>
      <c r="C10" s="124">
        <v>175</v>
      </c>
      <c r="D10" s="124" t="s">
        <v>633</v>
      </c>
      <c r="E10" s="125"/>
      <c r="F10" s="125">
        <f>C10*2*300</f>
        <v>105000</v>
      </c>
      <c r="G10" s="125">
        <v>20000</v>
      </c>
      <c r="H10" s="125"/>
      <c r="I10" s="141"/>
    </row>
    <row r="11" spans="1:9" x14ac:dyDescent="0.3">
      <c r="A11" s="120"/>
      <c r="B11" s="123" t="s">
        <v>640</v>
      </c>
      <c r="C11" s="124">
        <v>53</v>
      </c>
      <c r="D11" s="124" t="s">
        <v>633</v>
      </c>
      <c r="E11" s="125">
        <v>100000</v>
      </c>
      <c r="F11" s="125"/>
      <c r="G11" s="125">
        <v>20000</v>
      </c>
      <c r="H11" s="125"/>
      <c r="I11" s="141"/>
    </row>
    <row r="12" spans="1:9" x14ac:dyDescent="0.3">
      <c r="A12" s="120"/>
      <c r="B12" s="126" t="s">
        <v>641</v>
      </c>
      <c r="C12" s="127">
        <v>21</v>
      </c>
      <c r="D12" s="127" t="s">
        <v>630</v>
      </c>
      <c r="E12" s="128"/>
      <c r="F12" s="128"/>
      <c r="G12" s="128"/>
      <c r="H12" s="128"/>
      <c r="I12" s="128"/>
    </row>
    <row r="13" spans="1:9" x14ac:dyDescent="0.3">
      <c r="A13" s="120"/>
      <c r="B13" s="123" t="s">
        <v>642</v>
      </c>
      <c r="C13" s="124">
        <v>310</v>
      </c>
      <c r="D13" s="124" t="s">
        <v>633</v>
      </c>
      <c r="E13" s="125">
        <v>300000</v>
      </c>
      <c r="F13" s="125"/>
      <c r="G13" s="125">
        <v>20000</v>
      </c>
      <c r="H13" s="125">
        <v>100000</v>
      </c>
      <c r="I13" s="141"/>
    </row>
    <row r="14" spans="1:9" x14ac:dyDescent="0.3">
      <c r="A14" s="120"/>
      <c r="B14" s="123" t="s">
        <v>643</v>
      </c>
      <c r="C14" s="124">
        <v>404</v>
      </c>
      <c r="D14" s="124" t="s">
        <v>633</v>
      </c>
      <c r="E14" s="125">
        <v>300000</v>
      </c>
      <c r="F14" s="125"/>
      <c r="G14" s="125">
        <v>20000</v>
      </c>
      <c r="H14" s="125">
        <v>100000</v>
      </c>
      <c r="I14" s="141"/>
    </row>
    <row r="15" spans="1:9" x14ac:dyDescent="0.3">
      <c r="A15" s="120"/>
      <c r="B15" s="123" t="s">
        <v>644</v>
      </c>
      <c r="C15" s="124">
        <v>305</v>
      </c>
      <c r="D15" s="124" t="s">
        <v>633</v>
      </c>
      <c r="E15" s="125">
        <v>300000</v>
      </c>
      <c r="F15" s="125"/>
      <c r="G15" s="125">
        <v>20000</v>
      </c>
      <c r="H15" s="125">
        <v>100000</v>
      </c>
      <c r="I15" s="141"/>
    </row>
    <row r="16" spans="1:9" x14ac:dyDescent="0.3">
      <c r="A16" s="120"/>
      <c r="B16" s="123" t="s">
        <v>645</v>
      </c>
      <c r="C16" s="124">
        <v>412</v>
      </c>
      <c r="D16" s="124" t="s">
        <v>633</v>
      </c>
      <c r="E16" s="125">
        <v>300000</v>
      </c>
      <c r="F16" s="125"/>
      <c r="G16" s="125">
        <v>20000</v>
      </c>
      <c r="H16" s="125">
        <v>100000</v>
      </c>
      <c r="I16" s="141"/>
    </row>
    <row r="17" spans="1:9" x14ac:dyDescent="0.3">
      <c r="A17" s="120"/>
      <c r="B17" s="123" t="s">
        <v>646</v>
      </c>
      <c r="C17" s="124">
        <v>415</v>
      </c>
      <c r="D17" s="124" t="s">
        <v>633</v>
      </c>
      <c r="E17" s="125">
        <v>300000</v>
      </c>
      <c r="F17" s="125"/>
      <c r="G17" s="125">
        <v>20000</v>
      </c>
      <c r="H17" s="125">
        <v>100000</v>
      </c>
      <c r="I17" s="141"/>
    </row>
    <row r="18" spans="1:9" x14ac:dyDescent="0.3">
      <c r="A18" s="120"/>
      <c r="B18" s="123" t="s">
        <v>647</v>
      </c>
      <c r="C18" s="124">
        <v>315</v>
      </c>
      <c r="D18" s="124" t="s">
        <v>633</v>
      </c>
      <c r="E18" s="125">
        <v>300000</v>
      </c>
      <c r="F18" s="125"/>
      <c r="G18" s="125">
        <v>20000</v>
      </c>
      <c r="H18" s="125">
        <v>100000</v>
      </c>
      <c r="I18" s="141"/>
    </row>
    <row r="19" spans="1:9" x14ac:dyDescent="0.3">
      <c r="A19" s="120"/>
      <c r="B19" s="123" t="s">
        <v>648</v>
      </c>
      <c r="C19" s="124">
        <v>128</v>
      </c>
      <c r="D19" s="124" t="s">
        <v>633</v>
      </c>
      <c r="E19" s="125"/>
      <c r="F19" s="125">
        <f>C19*2*300</f>
        <v>76800</v>
      </c>
      <c r="G19" s="125">
        <v>20000</v>
      </c>
      <c r="H19" s="125"/>
      <c r="I19" s="141"/>
    </row>
    <row r="20" spans="1:9" x14ac:dyDescent="0.3">
      <c r="A20" s="120"/>
      <c r="B20" s="123" t="s">
        <v>649</v>
      </c>
      <c r="C20" s="124">
        <v>128</v>
      </c>
      <c r="D20" s="124" t="s">
        <v>633</v>
      </c>
      <c r="E20" s="125"/>
      <c r="F20" s="125">
        <f>C20*2*300</f>
        <v>76800</v>
      </c>
      <c r="G20" s="125">
        <v>20000</v>
      </c>
      <c r="H20" s="125"/>
      <c r="I20" s="141"/>
    </row>
    <row r="21" spans="1:9" x14ac:dyDescent="0.3">
      <c r="A21" s="120"/>
      <c r="B21" s="126" t="s">
        <v>650</v>
      </c>
      <c r="C21" s="127">
        <v>17</v>
      </c>
      <c r="D21" s="127" t="s">
        <v>630</v>
      </c>
      <c r="E21" s="128"/>
      <c r="F21" s="128"/>
      <c r="G21" s="128"/>
      <c r="H21" s="128"/>
      <c r="I21" s="128"/>
    </row>
    <row r="22" spans="1:9" x14ac:dyDescent="0.3">
      <c r="A22" s="120"/>
      <c r="B22" s="123" t="s">
        <v>651</v>
      </c>
      <c r="C22" s="124">
        <v>310</v>
      </c>
      <c r="D22" s="124" t="s">
        <v>633</v>
      </c>
      <c r="E22" s="125">
        <v>300000</v>
      </c>
      <c r="F22" s="125"/>
      <c r="G22" s="125">
        <v>20000</v>
      </c>
      <c r="H22" s="125">
        <v>100000</v>
      </c>
      <c r="I22" s="141"/>
    </row>
    <row r="23" spans="1:9" x14ac:dyDescent="0.3">
      <c r="A23" s="129"/>
      <c r="B23" s="130" t="s">
        <v>652</v>
      </c>
      <c r="C23" s="124">
        <v>359</v>
      </c>
      <c r="D23" s="124" t="s">
        <v>633</v>
      </c>
      <c r="E23" s="125">
        <v>300000</v>
      </c>
      <c r="F23" s="125"/>
      <c r="G23" s="125">
        <v>20000</v>
      </c>
      <c r="H23" s="125">
        <v>100000</v>
      </c>
      <c r="I23" s="141"/>
    </row>
    <row r="24" spans="1:9" x14ac:dyDescent="0.3">
      <c r="A24" s="120"/>
      <c r="B24" s="126" t="s">
        <v>653</v>
      </c>
      <c r="C24" s="127">
        <v>8</v>
      </c>
      <c r="D24" s="127" t="s">
        <v>630</v>
      </c>
      <c r="E24" s="128"/>
      <c r="F24" s="128"/>
      <c r="G24" s="128"/>
      <c r="H24" s="128"/>
      <c r="I24" s="128"/>
    </row>
    <row r="25" spans="1:9" x14ac:dyDescent="0.3">
      <c r="A25" s="120"/>
      <c r="B25" s="123" t="s">
        <v>654</v>
      </c>
      <c r="C25" s="124">
        <v>328</v>
      </c>
      <c r="D25" s="124" t="s">
        <v>633</v>
      </c>
      <c r="E25" s="125">
        <v>300000</v>
      </c>
      <c r="F25" s="125"/>
      <c r="G25" s="125">
        <v>20000</v>
      </c>
      <c r="H25" s="125">
        <v>100000</v>
      </c>
      <c r="I25" s="141"/>
    </row>
    <row r="26" spans="1:9" x14ac:dyDescent="0.3">
      <c r="A26" s="120"/>
      <c r="B26" s="123" t="s">
        <v>655</v>
      </c>
      <c r="C26" s="124">
        <v>230</v>
      </c>
      <c r="D26" s="124" t="s">
        <v>633</v>
      </c>
      <c r="E26" s="125">
        <v>300000</v>
      </c>
      <c r="F26" s="125"/>
      <c r="G26" s="125">
        <v>20000</v>
      </c>
      <c r="H26" s="125">
        <v>100000</v>
      </c>
      <c r="I26" s="141"/>
    </row>
    <row r="27" spans="1:9" x14ac:dyDescent="0.3">
      <c r="A27" s="120"/>
      <c r="B27" s="123" t="s">
        <v>656</v>
      </c>
      <c r="C27" s="124">
        <v>328</v>
      </c>
      <c r="D27" s="124" t="s">
        <v>633</v>
      </c>
      <c r="E27" s="125">
        <v>300000</v>
      </c>
      <c r="F27" s="125"/>
      <c r="G27" s="125">
        <v>20000</v>
      </c>
      <c r="H27" s="125">
        <v>100000</v>
      </c>
      <c r="I27" s="141"/>
    </row>
    <row r="28" spans="1:9" x14ac:dyDescent="0.3">
      <c r="A28" s="120"/>
      <c r="B28" s="123" t="s">
        <v>657</v>
      </c>
      <c r="C28" s="124">
        <v>327</v>
      </c>
      <c r="D28" s="124" t="s">
        <v>633</v>
      </c>
      <c r="E28" s="125">
        <v>300000</v>
      </c>
      <c r="F28" s="125"/>
      <c r="G28" s="125">
        <v>20000</v>
      </c>
      <c r="H28" s="125">
        <v>100000</v>
      </c>
      <c r="I28" s="141"/>
    </row>
    <row r="29" spans="1:9" x14ac:dyDescent="0.3">
      <c r="A29" s="120"/>
      <c r="B29" s="126" t="s">
        <v>658</v>
      </c>
      <c r="C29" s="127">
        <v>29</v>
      </c>
      <c r="D29" s="127" t="s">
        <v>630</v>
      </c>
      <c r="E29" s="128"/>
      <c r="F29" s="128"/>
      <c r="G29" s="128"/>
      <c r="H29" s="128"/>
      <c r="I29" s="128"/>
    </row>
    <row r="30" spans="1:9" x14ac:dyDescent="0.3">
      <c r="A30" s="120"/>
      <c r="B30" s="123" t="s">
        <v>659</v>
      </c>
      <c r="C30" s="124">
        <v>228</v>
      </c>
      <c r="D30" s="124" t="s">
        <v>633</v>
      </c>
      <c r="E30" s="125">
        <v>300000</v>
      </c>
      <c r="F30" s="125"/>
      <c r="G30" s="125">
        <v>20000</v>
      </c>
      <c r="H30" s="125">
        <v>100000</v>
      </c>
      <c r="I30" s="141"/>
    </row>
    <row r="31" spans="1:9" x14ac:dyDescent="0.3">
      <c r="A31" s="120"/>
      <c r="B31" s="131" t="s">
        <v>660</v>
      </c>
      <c r="C31" s="118">
        <v>15</v>
      </c>
      <c r="D31" s="118" t="s">
        <v>630</v>
      </c>
      <c r="E31" s="119"/>
      <c r="F31" s="119"/>
      <c r="G31" s="119"/>
      <c r="H31" s="119"/>
      <c r="I31" s="128"/>
    </row>
    <row r="32" spans="1:9" x14ac:dyDescent="0.3">
      <c r="A32" s="120"/>
      <c r="B32" s="123" t="s">
        <v>661</v>
      </c>
      <c r="C32" s="124">
        <v>27</v>
      </c>
      <c r="D32" s="124" t="s">
        <v>630</v>
      </c>
      <c r="E32" s="132"/>
      <c r="F32" s="132"/>
      <c r="G32" s="132"/>
      <c r="H32" s="132"/>
      <c r="I32" s="128"/>
    </row>
    <row r="33" spans="1:9" x14ac:dyDescent="0.3">
      <c r="A33" s="120"/>
      <c r="B33" s="123" t="s">
        <v>662</v>
      </c>
      <c r="C33" s="124">
        <v>23</v>
      </c>
      <c r="D33" s="124" t="s">
        <v>630</v>
      </c>
      <c r="E33" s="132"/>
      <c r="F33" s="132"/>
      <c r="G33" s="132"/>
      <c r="H33" s="132"/>
      <c r="I33" s="128"/>
    </row>
    <row r="34" spans="1:9" x14ac:dyDescent="0.3">
      <c r="A34" s="120"/>
      <c r="B34" s="123" t="s">
        <v>663</v>
      </c>
      <c r="C34" s="124">
        <v>26</v>
      </c>
      <c r="D34" s="124" t="s">
        <v>630</v>
      </c>
      <c r="E34" s="132"/>
      <c r="F34" s="132"/>
      <c r="G34" s="132"/>
      <c r="H34" s="132"/>
      <c r="I34" s="128"/>
    </row>
    <row r="35" spans="1:9" x14ac:dyDescent="0.3">
      <c r="A35" s="120"/>
      <c r="B35" s="133" t="s">
        <v>664</v>
      </c>
      <c r="C35" s="121">
        <v>37</v>
      </c>
      <c r="D35" s="121" t="s">
        <v>630</v>
      </c>
      <c r="E35" s="122"/>
      <c r="F35" s="122"/>
      <c r="G35" s="122"/>
      <c r="H35" s="122"/>
      <c r="I35" s="128"/>
    </row>
    <row r="36" spans="1:9" x14ac:dyDescent="0.3">
      <c r="A36" s="120"/>
      <c r="B36" s="123" t="s">
        <v>665</v>
      </c>
      <c r="C36" s="124">
        <v>68</v>
      </c>
      <c r="D36" s="124" t="s">
        <v>633</v>
      </c>
      <c r="E36" s="125"/>
      <c r="F36" s="125">
        <f>C36*2*300</f>
        <v>40800</v>
      </c>
      <c r="G36" s="125">
        <v>20000</v>
      </c>
      <c r="H36" s="125"/>
      <c r="I36" s="141"/>
    </row>
    <row r="37" spans="1:9" x14ac:dyDescent="0.3">
      <c r="A37" s="120"/>
      <c r="B37" s="123" t="s">
        <v>666</v>
      </c>
      <c r="C37" s="124">
        <v>327</v>
      </c>
      <c r="D37" s="124" t="s">
        <v>633</v>
      </c>
      <c r="E37" s="125">
        <v>300000</v>
      </c>
      <c r="F37" s="125"/>
      <c r="G37" s="125">
        <v>20000</v>
      </c>
      <c r="H37" s="125">
        <v>100000</v>
      </c>
      <c r="I37" s="141"/>
    </row>
    <row r="38" spans="1:9" x14ac:dyDescent="0.3">
      <c r="A38" s="120"/>
      <c r="B38" s="123" t="s">
        <v>667</v>
      </c>
      <c r="C38" s="124">
        <v>48</v>
      </c>
      <c r="D38" s="124" t="s">
        <v>633</v>
      </c>
      <c r="E38" s="125">
        <v>80000</v>
      </c>
      <c r="F38" s="125"/>
      <c r="G38" s="125">
        <v>20000</v>
      </c>
      <c r="H38" s="125"/>
      <c r="I38" s="141"/>
    </row>
    <row r="39" spans="1:9" x14ac:dyDescent="0.3">
      <c r="A39" s="120"/>
      <c r="B39" s="131" t="s">
        <v>668</v>
      </c>
      <c r="C39" s="118">
        <v>26</v>
      </c>
      <c r="D39" s="118" t="s">
        <v>630</v>
      </c>
      <c r="E39" s="119"/>
      <c r="F39" s="119"/>
      <c r="G39" s="119"/>
      <c r="H39" s="119"/>
      <c r="I39" s="128"/>
    </row>
    <row r="40" spans="1:9" x14ac:dyDescent="0.3">
      <c r="A40" s="120"/>
      <c r="B40" s="123" t="s">
        <v>669</v>
      </c>
      <c r="C40" s="124">
        <v>26</v>
      </c>
      <c r="D40" s="124" t="s">
        <v>630</v>
      </c>
      <c r="E40" s="132"/>
      <c r="F40" s="132"/>
      <c r="G40" s="132"/>
      <c r="H40" s="132"/>
      <c r="I40" s="128"/>
    </row>
    <row r="41" spans="1:9" x14ac:dyDescent="0.3">
      <c r="A41" s="120"/>
      <c r="B41" s="123" t="s">
        <v>670</v>
      </c>
      <c r="C41" s="124">
        <v>13</v>
      </c>
      <c r="D41" s="124" t="s">
        <v>630</v>
      </c>
      <c r="E41" s="132"/>
      <c r="F41" s="132"/>
      <c r="G41" s="132"/>
      <c r="H41" s="132"/>
      <c r="I41" s="128"/>
    </row>
    <row r="42" spans="1:9" x14ac:dyDescent="0.3">
      <c r="A42" s="120"/>
      <c r="B42" s="133" t="s">
        <v>671</v>
      </c>
      <c r="C42" s="121">
        <v>5</v>
      </c>
      <c r="D42" s="121" t="s">
        <v>630</v>
      </c>
      <c r="E42" s="122"/>
      <c r="F42" s="122"/>
      <c r="G42" s="122"/>
      <c r="H42" s="122"/>
      <c r="I42" s="128"/>
    </row>
    <row r="43" spans="1:9" x14ac:dyDescent="0.3">
      <c r="A43" s="120"/>
      <c r="B43" s="123" t="s">
        <v>672</v>
      </c>
      <c r="C43" s="124">
        <v>342</v>
      </c>
      <c r="D43" s="124" t="s">
        <v>633</v>
      </c>
      <c r="E43" s="125">
        <v>300000</v>
      </c>
      <c r="F43" s="125"/>
      <c r="G43" s="125">
        <v>20000</v>
      </c>
      <c r="H43" s="125">
        <v>100000</v>
      </c>
      <c r="I43" s="141"/>
    </row>
    <row r="44" spans="1:9" x14ac:dyDescent="0.3">
      <c r="A44" s="120"/>
      <c r="B44" s="131" t="s">
        <v>673</v>
      </c>
      <c r="C44" s="118">
        <v>33</v>
      </c>
      <c r="D44" s="118" t="s">
        <v>630</v>
      </c>
      <c r="E44" s="119"/>
      <c r="F44" s="119"/>
      <c r="G44" s="119"/>
      <c r="H44" s="119"/>
      <c r="I44" s="128"/>
    </row>
    <row r="45" spans="1:9" x14ac:dyDescent="0.3">
      <c r="A45" s="120"/>
      <c r="B45" s="134" t="s">
        <v>674</v>
      </c>
      <c r="C45" s="124">
        <v>25</v>
      </c>
      <c r="D45" s="124" t="s">
        <v>630</v>
      </c>
      <c r="E45" s="132"/>
      <c r="F45" s="132"/>
      <c r="G45" s="132"/>
      <c r="H45" s="132"/>
      <c r="I45" s="128"/>
    </row>
    <row r="46" spans="1:9" x14ac:dyDescent="0.3">
      <c r="A46" s="120"/>
      <c r="B46" s="133" t="s">
        <v>675</v>
      </c>
      <c r="C46" s="121">
        <v>29</v>
      </c>
      <c r="D46" s="121" t="s">
        <v>630</v>
      </c>
      <c r="E46" s="122"/>
      <c r="F46" s="122"/>
      <c r="G46" s="122"/>
      <c r="H46" s="122"/>
      <c r="I46" s="128"/>
    </row>
    <row r="47" spans="1:9" x14ac:dyDescent="0.3">
      <c r="A47" s="120"/>
      <c r="B47" s="123" t="s">
        <v>676</v>
      </c>
      <c r="C47" s="124">
        <v>43</v>
      </c>
      <c r="D47" s="124" t="s">
        <v>633</v>
      </c>
      <c r="E47" s="125">
        <v>80000</v>
      </c>
      <c r="F47" s="125"/>
      <c r="G47" s="125">
        <v>20000</v>
      </c>
      <c r="H47" s="125"/>
      <c r="I47" s="141"/>
    </row>
    <row r="48" spans="1:9" x14ac:dyDescent="0.3">
      <c r="A48" s="120"/>
      <c r="B48" s="131" t="s">
        <v>677</v>
      </c>
      <c r="C48" s="118">
        <v>32</v>
      </c>
      <c r="D48" s="118" t="s">
        <v>630</v>
      </c>
      <c r="E48" s="119"/>
      <c r="F48" s="119"/>
      <c r="G48" s="119"/>
      <c r="H48" s="119"/>
      <c r="I48" s="128"/>
    </row>
    <row r="49" spans="1:9" x14ac:dyDescent="0.3">
      <c r="A49" s="120"/>
      <c r="B49" s="133" t="s">
        <v>678</v>
      </c>
      <c r="C49" s="121">
        <v>33</v>
      </c>
      <c r="D49" s="121" t="s">
        <v>630</v>
      </c>
      <c r="E49" s="122"/>
      <c r="F49" s="122"/>
      <c r="G49" s="122"/>
      <c r="H49" s="122"/>
      <c r="I49" s="128"/>
    </row>
    <row r="50" spans="1:9" x14ac:dyDescent="0.3">
      <c r="A50" s="120"/>
      <c r="B50" s="123" t="s">
        <v>679</v>
      </c>
      <c r="C50" s="124">
        <v>160</v>
      </c>
      <c r="D50" s="124" t="s">
        <v>633</v>
      </c>
      <c r="E50" s="125"/>
      <c r="F50" s="125">
        <f>C50*2*300</f>
        <v>96000</v>
      </c>
      <c r="G50" s="125">
        <v>20000</v>
      </c>
      <c r="H50" s="125"/>
      <c r="I50" s="141"/>
    </row>
    <row r="51" spans="1:9" x14ac:dyDescent="0.3">
      <c r="A51" s="120"/>
      <c r="B51" s="123" t="s">
        <v>680</v>
      </c>
      <c r="C51" s="124">
        <v>45</v>
      </c>
      <c r="D51" s="124" t="s">
        <v>633</v>
      </c>
      <c r="E51" s="125">
        <v>80000</v>
      </c>
      <c r="F51" s="125"/>
      <c r="G51" s="125">
        <v>20000</v>
      </c>
      <c r="H51" s="125"/>
      <c r="I51" s="141"/>
    </row>
    <row r="52" spans="1:9" x14ac:dyDescent="0.3">
      <c r="A52" s="120"/>
      <c r="B52" s="123" t="s">
        <v>681</v>
      </c>
      <c r="C52" s="124">
        <v>415</v>
      </c>
      <c r="D52" s="124" t="s">
        <v>633</v>
      </c>
      <c r="E52" s="125">
        <v>300000</v>
      </c>
      <c r="F52" s="125"/>
      <c r="G52" s="125">
        <v>20000</v>
      </c>
      <c r="H52" s="125">
        <v>100000</v>
      </c>
      <c r="I52" s="141"/>
    </row>
    <row r="53" spans="1:9" x14ac:dyDescent="0.3">
      <c r="A53" s="120"/>
      <c r="B53" s="123" t="s">
        <v>682</v>
      </c>
      <c r="C53" s="124">
        <v>313</v>
      </c>
      <c r="D53" s="124" t="s">
        <v>633</v>
      </c>
      <c r="E53" s="125">
        <v>300000</v>
      </c>
      <c r="F53" s="125"/>
      <c r="G53" s="125">
        <v>20000</v>
      </c>
      <c r="H53" s="125">
        <v>100000</v>
      </c>
      <c r="I53" s="141"/>
    </row>
    <row r="54" spans="1:9" x14ac:dyDescent="0.3">
      <c r="A54" s="120"/>
      <c r="B54" s="123" t="s">
        <v>683</v>
      </c>
      <c r="C54" s="124">
        <v>388</v>
      </c>
      <c r="D54" s="124" t="s">
        <v>633</v>
      </c>
      <c r="E54" s="125">
        <v>300000</v>
      </c>
      <c r="F54" s="125"/>
      <c r="G54" s="125">
        <v>20000</v>
      </c>
      <c r="H54" s="125">
        <v>100000</v>
      </c>
      <c r="I54" s="141"/>
    </row>
    <row r="55" spans="1:9" x14ac:dyDescent="0.3">
      <c r="A55" s="120"/>
      <c r="B55" s="123" t="s">
        <v>684</v>
      </c>
      <c r="C55" s="124">
        <v>395</v>
      </c>
      <c r="D55" s="124" t="s">
        <v>633</v>
      </c>
      <c r="E55" s="125">
        <v>300000</v>
      </c>
      <c r="F55" s="125"/>
      <c r="G55" s="125">
        <v>20000</v>
      </c>
      <c r="H55" s="125">
        <v>100000</v>
      </c>
      <c r="I55" s="141"/>
    </row>
    <row r="56" spans="1:9" x14ac:dyDescent="0.3">
      <c r="A56" s="120"/>
      <c r="B56" s="123" t="s">
        <v>685</v>
      </c>
      <c r="C56" s="124">
        <v>321</v>
      </c>
      <c r="D56" s="124" t="s">
        <v>633</v>
      </c>
      <c r="E56" s="125">
        <v>300000</v>
      </c>
      <c r="F56" s="125"/>
      <c r="G56" s="125">
        <v>20000</v>
      </c>
      <c r="H56" s="125">
        <v>100000</v>
      </c>
      <c r="I56" s="141"/>
    </row>
    <row r="57" spans="1:9" x14ac:dyDescent="0.3">
      <c r="A57" s="120"/>
      <c r="B57" s="131" t="s">
        <v>686</v>
      </c>
      <c r="C57" s="118">
        <v>22</v>
      </c>
      <c r="D57" s="118" t="s">
        <v>630</v>
      </c>
      <c r="E57" s="119"/>
      <c r="F57" s="119"/>
      <c r="G57" s="119"/>
      <c r="H57" s="119"/>
      <c r="I57" s="128"/>
    </row>
    <row r="58" spans="1:9" x14ac:dyDescent="0.3">
      <c r="A58" s="120"/>
      <c r="B58" s="123" t="s">
        <v>687</v>
      </c>
      <c r="C58" s="124">
        <v>21</v>
      </c>
      <c r="D58" s="124" t="s">
        <v>630</v>
      </c>
      <c r="E58" s="132"/>
      <c r="F58" s="132"/>
      <c r="G58" s="132"/>
      <c r="H58" s="132"/>
      <c r="I58" s="128"/>
    </row>
    <row r="59" spans="1:9" x14ac:dyDescent="0.3">
      <c r="A59" s="120"/>
      <c r="B59" s="133" t="s">
        <v>688</v>
      </c>
      <c r="C59" s="121">
        <v>30</v>
      </c>
      <c r="D59" s="121" t="s">
        <v>630</v>
      </c>
      <c r="E59" s="122"/>
      <c r="F59" s="122"/>
      <c r="G59" s="122"/>
      <c r="H59" s="122"/>
      <c r="I59" s="128"/>
    </row>
    <row r="60" spans="1:9" x14ac:dyDescent="0.3">
      <c r="A60" s="120"/>
      <c r="B60" s="123" t="s">
        <v>689</v>
      </c>
      <c r="C60" s="124">
        <v>79</v>
      </c>
      <c r="D60" s="124" t="s">
        <v>633</v>
      </c>
      <c r="E60" s="125"/>
      <c r="F60" s="125">
        <f t="shared" ref="F60:F66" si="0">C60*2*300</f>
        <v>47400</v>
      </c>
      <c r="G60" s="125">
        <v>20000</v>
      </c>
      <c r="H60" s="125"/>
      <c r="I60" s="141"/>
    </row>
    <row r="61" spans="1:9" x14ac:dyDescent="0.3">
      <c r="A61" s="120"/>
      <c r="B61" s="123" t="s">
        <v>690</v>
      </c>
      <c r="C61" s="124">
        <v>73</v>
      </c>
      <c r="D61" s="124" t="s">
        <v>633</v>
      </c>
      <c r="E61" s="125"/>
      <c r="F61" s="125">
        <f t="shared" si="0"/>
        <v>43800</v>
      </c>
      <c r="G61" s="125">
        <v>20000</v>
      </c>
      <c r="H61" s="125"/>
      <c r="I61" s="141"/>
    </row>
    <row r="62" spans="1:9" x14ac:dyDescent="0.3">
      <c r="A62" s="129"/>
      <c r="B62" s="124" t="s">
        <v>691</v>
      </c>
      <c r="C62" s="124">
        <v>100</v>
      </c>
      <c r="D62" s="124" t="s">
        <v>633</v>
      </c>
      <c r="E62" s="125"/>
      <c r="F62" s="125">
        <f t="shared" si="0"/>
        <v>60000</v>
      </c>
      <c r="G62" s="125">
        <v>20000</v>
      </c>
      <c r="H62" s="125"/>
      <c r="I62" s="141"/>
    </row>
    <row r="63" spans="1:9" x14ac:dyDescent="0.3">
      <c r="A63" s="129"/>
      <c r="B63" s="124" t="s">
        <v>692</v>
      </c>
      <c r="C63" s="124">
        <v>100</v>
      </c>
      <c r="D63" s="124" t="s">
        <v>633</v>
      </c>
      <c r="E63" s="125"/>
      <c r="F63" s="125">
        <f t="shared" si="0"/>
        <v>60000</v>
      </c>
      <c r="G63" s="125">
        <v>20000</v>
      </c>
      <c r="H63" s="125"/>
      <c r="I63" s="141"/>
    </row>
    <row r="64" spans="1:9" x14ac:dyDescent="0.3">
      <c r="A64" s="129"/>
      <c r="B64" s="124" t="s">
        <v>693</v>
      </c>
      <c r="C64" s="124">
        <v>100</v>
      </c>
      <c r="D64" s="124" t="s">
        <v>633</v>
      </c>
      <c r="E64" s="125"/>
      <c r="F64" s="125">
        <f t="shared" si="0"/>
        <v>60000</v>
      </c>
      <c r="G64" s="125">
        <v>20000</v>
      </c>
      <c r="H64" s="125"/>
      <c r="I64" s="141"/>
    </row>
    <row r="65" spans="1:9" x14ac:dyDescent="0.3">
      <c r="A65" s="129"/>
      <c r="B65" s="124" t="s">
        <v>694</v>
      </c>
      <c r="C65" s="124">
        <v>100</v>
      </c>
      <c r="D65" s="124" t="s">
        <v>633</v>
      </c>
      <c r="E65" s="125"/>
      <c r="F65" s="125">
        <f t="shared" si="0"/>
        <v>60000</v>
      </c>
      <c r="G65" s="125">
        <v>20000</v>
      </c>
      <c r="H65" s="125"/>
      <c r="I65" s="141"/>
    </row>
    <row r="66" spans="1:9" x14ac:dyDescent="0.3">
      <c r="A66" s="129"/>
      <c r="B66" s="124" t="s">
        <v>695</v>
      </c>
      <c r="C66" s="124">
        <v>100</v>
      </c>
      <c r="D66" s="124" t="s">
        <v>633</v>
      </c>
      <c r="E66" s="125"/>
      <c r="F66" s="125">
        <f t="shared" si="0"/>
        <v>60000</v>
      </c>
      <c r="G66" s="125">
        <v>20000</v>
      </c>
      <c r="H66" s="125"/>
      <c r="I66" s="141"/>
    </row>
    <row r="67" spans="1:9" x14ac:dyDescent="0.3">
      <c r="A67" s="129"/>
      <c r="B67" s="124" t="s">
        <v>696</v>
      </c>
      <c r="C67" s="124">
        <v>300</v>
      </c>
      <c r="D67" s="124" t="s">
        <v>633</v>
      </c>
      <c r="E67" s="125">
        <v>300000</v>
      </c>
      <c r="F67" s="125"/>
      <c r="G67" s="125">
        <v>20000</v>
      </c>
      <c r="H67" s="125">
        <v>100000</v>
      </c>
      <c r="I67" s="141"/>
    </row>
    <row r="68" spans="1:9" x14ac:dyDescent="0.3">
      <c r="A68" s="129"/>
      <c r="B68" s="124" t="s">
        <v>697</v>
      </c>
      <c r="C68" s="124">
        <v>300</v>
      </c>
      <c r="D68" s="124" t="s">
        <v>633</v>
      </c>
      <c r="E68" s="125">
        <v>300000</v>
      </c>
      <c r="F68" s="125"/>
      <c r="G68" s="125">
        <v>20000</v>
      </c>
      <c r="H68" s="125">
        <v>100000</v>
      </c>
      <c r="I68" s="141"/>
    </row>
    <row r="69" spans="1:9" x14ac:dyDescent="0.3">
      <c r="A69" s="129"/>
      <c r="B69" s="124" t="s">
        <v>698</v>
      </c>
      <c r="C69" s="124">
        <v>300</v>
      </c>
      <c r="D69" s="124" t="s">
        <v>633</v>
      </c>
      <c r="E69" s="125">
        <v>300000</v>
      </c>
      <c r="F69" s="125"/>
      <c r="G69" s="125">
        <v>20000</v>
      </c>
      <c r="H69" s="125">
        <v>100000</v>
      </c>
      <c r="I69" s="141"/>
    </row>
    <row r="70" spans="1:9" x14ac:dyDescent="0.3">
      <c r="A70" s="129"/>
      <c r="B70" s="124" t="s">
        <v>699</v>
      </c>
      <c r="C70" s="124">
        <v>300</v>
      </c>
      <c r="D70" s="124" t="s">
        <v>633</v>
      </c>
      <c r="E70" s="125">
        <v>300000</v>
      </c>
      <c r="F70" s="125"/>
      <c r="G70" s="125">
        <v>20000</v>
      </c>
      <c r="H70" s="125">
        <v>100000</v>
      </c>
      <c r="I70" s="141"/>
    </row>
    <row r="71" spans="1:9" x14ac:dyDescent="0.3">
      <c r="A71" s="129"/>
      <c r="B71" s="124" t="s">
        <v>700</v>
      </c>
      <c r="C71" s="124">
        <v>300</v>
      </c>
      <c r="D71" s="124" t="s">
        <v>633</v>
      </c>
      <c r="E71" s="125">
        <v>300000</v>
      </c>
      <c r="F71" s="125"/>
      <c r="G71" s="125">
        <v>20000</v>
      </c>
      <c r="H71" s="125">
        <v>100000</v>
      </c>
      <c r="I71" s="142"/>
    </row>
    <row r="72" spans="1:9" x14ac:dyDescent="0.3">
      <c r="A72" s="135"/>
      <c r="B72" s="136" t="s">
        <v>730</v>
      </c>
      <c r="C72" s="136"/>
      <c r="D72" s="136"/>
      <c r="E72" s="137">
        <f>SUM(E4:E71)</f>
        <v>8100000</v>
      </c>
      <c r="F72" s="137">
        <f>SUM(F4:F71)</f>
        <v>1124400</v>
      </c>
      <c r="G72" s="137">
        <f>SUM(G4:G71)</f>
        <v>940000</v>
      </c>
      <c r="H72" s="137">
        <f>SUM(H4:H71)</f>
        <v>2500000</v>
      </c>
      <c r="I72" s="137"/>
    </row>
    <row r="73" spans="1:9" x14ac:dyDescent="0.3">
      <c r="A73" s="116" t="s">
        <v>738</v>
      </c>
      <c r="B73" s="134" t="s">
        <v>757</v>
      </c>
      <c r="C73" s="124">
        <v>400</v>
      </c>
      <c r="D73" s="124" t="s">
        <v>633</v>
      </c>
      <c r="E73" s="144">
        <f>100000*2*12*2</f>
        <v>4800000</v>
      </c>
      <c r="F73" s="144"/>
      <c r="G73" s="144">
        <f>10000*2*12*2</f>
        <v>480000</v>
      </c>
      <c r="H73" s="144">
        <f>2*50000*4</f>
        <v>400000</v>
      </c>
      <c r="I73" s="139" t="s">
        <v>734</v>
      </c>
    </row>
    <row r="74" spans="1:9" x14ac:dyDescent="0.3">
      <c r="A74" s="120"/>
      <c r="B74" s="117" t="s">
        <v>758</v>
      </c>
      <c r="C74" s="121">
        <v>100</v>
      </c>
      <c r="D74" s="124" t="s">
        <v>633</v>
      </c>
      <c r="E74" s="143"/>
      <c r="F74" s="144">
        <f>C74*2*300*12</f>
        <v>720000</v>
      </c>
      <c r="G74" s="143"/>
      <c r="H74" s="143"/>
      <c r="I74" s="141" t="s">
        <v>735</v>
      </c>
    </row>
    <row r="75" spans="1:9" x14ac:dyDescent="0.3">
      <c r="A75" s="117"/>
      <c r="B75" s="136" t="s">
        <v>730</v>
      </c>
      <c r="C75" s="136"/>
      <c r="D75" s="136"/>
      <c r="E75" s="137">
        <f>SUM(E73:E74)</f>
        <v>4800000</v>
      </c>
      <c r="F75" s="137">
        <f t="shared" ref="F75:H75" si="1">SUM(F73:F74)</f>
        <v>720000</v>
      </c>
      <c r="G75" s="137">
        <f t="shared" si="1"/>
        <v>480000</v>
      </c>
      <c r="H75" s="137">
        <f t="shared" si="1"/>
        <v>400000</v>
      </c>
      <c r="I75" s="142" t="s">
        <v>737</v>
      </c>
    </row>
    <row r="76" spans="1:9" x14ac:dyDescent="0.3">
      <c r="A76" s="116" t="s">
        <v>756</v>
      </c>
      <c r="B76" s="134" t="s">
        <v>761</v>
      </c>
      <c r="C76" s="121">
        <v>250</v>
      </c>
      <c r="D76" s="124"/>
      <c r="E76" s="143">
        <f>2*1*150000*12</f>
        <v>3600000</v>
      </c>
      <c r="F76" s="144"/>
      <c r="G76" s="143">
        <f>2*3*1*10000*12</f>
        <v>720000</v>
      </c>
      <c r="H76" s="143">
        <f>2*1*50000*12</f>
        <v>1200000</v>
      </c>
      <c r="I76" s="139" t="s">
        <v>762</v>
      </c>
    </row>
    <row r="77" spans="1:9" x14ac:dyDescent="0.3">
      <c r="A77" s="120" t="s">
        <v>786</v>
      </c>
      <c r="B77" s="117" t="s">
        <v>764</v>
      </c>
      <c r="C77" s="121">
        <v>50</v>
      </c>
      <c r="D77" s="124"/>
      <c r="E77" s="143">
        <f>2*2*50000*12</f>
        <v>2400000</v>
      </c>
      <c r="F77" s="144"/>
      <c r="G77" s="143">
        <f>2*2*3*10000*12</f>
        <v>1440000</v>
      </c>
      <c r="H77" s="143">
        <f>2*2*50000*12</f>
        <v>2400000</v>
      </c>
      <c r="I77" s="147" t="s">
        <v>763</v>
      </c>
    </row>
    <row r="78" spans="1:9" x14ac:dyDescent="0.3">
      <c r="A78" s="120"/>
      <c r="B78" s="134" t="s">
        <v>758</v>
      </c>
      <c r="C78" s="124">
        <v>350</v>
      </c>
      <c r="D78" s="124"/>
      <c r="E78" s="144"/>
      <c r="F78" s="125">
        <f t="shared" ref="F78" si="2">C78*2*300</f>
        <v>210000</v>
      </c>
      <c r="G78" s="143">
        <f>2*1*3*10000*12</f>
        <v>720000</v>
      </c>
      <c r="H78" s="143">
        <f>2*1*50000*12</f>
        <v>1200000</v>
      </c>
      <c r="I78" s="140" t="s">
        <v>765</v>
      </c>
    </row>
    <row r="79" spans="1:9" x14ac:dyDescent="0.3">
      <c r="A79" s="117"/>
      <c r="B79" s="136" t="s">
        <v>730</v>
      </c>
      <c r="C79" s="136"/>
      <c r="D79" s="136"/>
      <c r="E79" s="137">
        <f>SUM(E76:E78)</f>
        <v>6000000</v>
      </c>
      <c r="F79" s="137">
        <f>SUM(F76:F78)</f>
        <v>210000</v>
      </c>
      <c r="G79" s="137">
        <f>SUM(G76:G78)</f>
        <v>2880000</v>
      </c>
      <c r="H79" s="137">
        <f>SUM(H76:H78)</f>
        <v>4800000</v>
      </c>
      <c r="I79" s="138" t="s">
        <v>785</v>
      </c>
    </row>
    <row r="80" spans="1:9" x14ac:dyDescent="0.3">
      <c r="A80" s="150"/>
      <c r="B80" s="136" t="s">
        <v>744</v>
      </c>
      <c r="C80" s="136"/>
      <c r="D80" s="136"/>
      <c r="E80" s="137">
        <f>E72+E75+E79</f>
        <v>18900000</v>
      </c>
      <c r="F80" s="137">
        <f t="shared" ref="F80:H80" si="3">F72+F75+F79</f>
        <v>2054400</v>
      </c>
      <c r="G80" s="137">
        <f t="shared" si="3"/>
        <v>4300000</v>
      </c>
      <c r="H80" s="137">
        <f t="shared" si="3"/>
        <v>7700000</v>
      </c>
      <c r="I80" s="142"/>
    </row>
    <row r="82" spans="5:8" x14ac:dyDescent="0.3">
      <c r="H82" s="146">
        <f>SUM(E80:H80)</f>
        <v>32954400</v>
      </c>
    </row>
    <row r="84" spans="5:8" x14ac:dyDescent="0.3">
      <c r="E84" s="145"/>
      <c r="F84" s="145"/>
      <c r="G84" s="145"/>
      <c r="H84" s="145"/>
    </row>
    <row r="85" spans="5:8" x14ac:dyDescent="0.3">
      <c r="H85" s="145"/>
    </row>
    <row r="86" spans="5:8" x14ac:dyDescent="0.3">
      <c r="H86" s="145"/>
    </row>
  </sheetData>
  <autoFilter ref="B1:H71" xr:uid="{DFF7D81C-C64E-4AB8-8E34-CE8A74AFD37C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PD팀</vt:lpstr>
      <vt:lpstr>사외교육</vt:lpstr>
      <vt:lpstr>국내출장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Ucjh</cp:lastModifiedBy>
  <dcterms:created xsi:type="dcterms:W3CDTF">2022-09-14T07:03:49Z</dcterms:created>
  <dcterms:modified xsi:type="dcterms:W3CDTF">2022-10-26T07:29:15Z</dcterms:modified>
</cp:coreProperties>
</file>