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"/>
    </mc:Choice>
  </mc:AlternateContent>
  <xr:revisionPtr revIDLastSave="0" documentId="13_ncr:1_{20322E8E-A206-41A7-8015-41B89BDAD77C}" xr6:coauthVersionLast="36" xr6:coauthVersionMax="47" xr10:uidLastSave="{00000000-0000-0000-0000-000000000000}"/>
  <bookViews>
    <workbookView xWindow="4755" yWindow="-105" windowWidth="30930" windowHeight="16770" activeTab="10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  <sheet name="Sheet2" sheetId="11" r:id="rId9"/>
    <sheet name="A2USGW" sheetId="13" r:id="rId10"/>
    <sheet name="Sheet3" sheetId="14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6" hidden="1">EMS!$A$2:$C$62</definedName>
    <definedName name="_xlnm._FilterDatabase" localSheetId="0" hidden="1">RMS!$B$2:$C$155</definedName>
    <definedName name="_xlnm._FilterDatabase" localSheetId="7" hidden="1">RMS재구축비!$B$4:$H$444</definedName>
    <definedName name="_xlnm._FilterDatabase" localSheetId="10" hidden="1">Sheet3!$A$4:$L$14</definedName>
    <definedName name="_xlnm._FilterDatabase" localSheetId="5" hidden="1">열원설비!$A$2:$E$10</definedName>
    <definedName name="_xlnm._FilterDatabase" localSheetId="3" hidden="1">화장실IoT!$A$2:$C$13</definedName>
    <definedName name="_xlnm._FilterDatabase" localSheetId="1" hidden="1">화재수신반!$A$2:$E$154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보안알림!$C$2:$W$10</definedName>
    <definedName name="_xlnm.Print_Area" localSheetId="5">열원설비!$A$1:$F$10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pivotCaches>
    <pivotCache cacheId="0" r:id="rId4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14" l="1"/>
  <c r="J15" i="14"/>
  <c r="I15" i="14"/>
  <c r="H15" i="14"/>
  <c r="G15" i="14"/>
  <c r="F15" i="14"/>
  <c r="E15" i="14"/>
  <c r="D15" i="14"/>
  <c r="C15" i="14"/>
  <c r="C16" i="14" s="1"/>
  <c r="L5" i="14" l="1"/>
  <c r="L6" i="14"/>
  <c r="L7" i="14"/>
  <c r="L8" i="14"/>
  <c r="L9" i="14"/>
  <c r="L10" i="14"/>
  <c r="L11" i="14"/>
  <c r="L12" i="14"/>
  <c r="L13" i="14"/>
  <c r="L14" i="14"/>
  <c r="M5" i="13"/>
  <c r="M6" i="13"/>
  <c r="M7" i="13"/>
  <c r="M8" i="13"/>
  <c r="M20" i="13" s="1"/>
  <c r="M9" i="13"/>
  <c r="M10" i="13"/>
  <c r="M11" i="13"/>
  <c r="M12" i="13"/>
  <c r="M13" i="13"/>
  <c r="M14" i="13"/>
  <c r="M15" i="13"/>
  <c r="M16" i="13"/>
  <c r="M17" i="13"/>
  <c r="M18" i="13"/>
  <c r="L15" i="14" l="1"/>
  <c r="S21" i="12"/>
  <c r="E207" i="12"/>
  <c r="E287" i="12"/>
  <c r="E288" i="12"/>
  <c r="E289" i="12"/>
  <c r="E290" i="12"/>
  <c r="E291" i="12"/>
  <c r="E292" i="12" s="1"/>
  <c r="E293" i="12" s="1"/>
  <c r="E294" i="12" s="1"/>
  <c r="E295" i="12" s="1"/>
  <c r="E296" i="12" s="1"/>
  <c r="E297" i="12" s="1"/>
  <c r="E357" i="12"/>
  <c r="E358" i="12"/>
  <c r="E359" i="12"/>
  <c r="E360" i="12" s="1"/>
  <c r="E361" i="12" s="1"/>
  <c r="E363" i="12"/>
  <c r="E364" i="12"/>
  <c r="E365" i="12"/>
  <c r="E366" i="12" s="1"/>
  <c r="D11" i="3" l="1"/>
  <c r="G63" i="7" l="1"/>
  <c r="D63" i="7"/>
  <c r="E63" i="7" l="1"/>
  <c r="P37" i="7"/>
  <c r="B14" i="8" l="1"/>
  <c r="Q37" i="7" l="1"/>
  <c r="O37" i="7"/>
  <c r="N37" i="7"/>
  <c r="H36" i="7"/>
  <c r="G36" i="7"/>
  <c r="Q29" i="7" s="1"/>
  <c r="E36" i="7"/>
  <c r="D36" i="7"/>
  <c r="P29" i="7"/>
  <c r="O29" i="7"/>
  <c r="N29" i="7"/>
  <c r="G28" i="7"/>
  <c r="Q12" i="7" s="1"/>
  <c r="E28" i="7"/>
  <c r="D28" i="7"/>
  <c r="O12" i="7"/>
  <c r="N12" i="7"/>
  <c r="M11" i="7"/>
  <c r="K11" i="7"/>
  <c r="J11" i="7"/>
  <c r="I11" i="7"/>
  <c r="H11" i="7"/>
  <c r="G11" i="7"/>
  <c r="F11" i="7"/>
  <c r="D11" i="7"/>
  <c r="P3" i="7"/>
  <c r="O3" i="7"/>
  <c r="N3" i="7"/>
  <c r="T3" i="7" l="1"/>
  <c r="R3" i="7"/>
  <c r="S3" i="7"/>
  <c r="Q3" i="7"/>
  <c r="U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<sst xmlns="http://schemas.openxmlformats.org/spreadsheetml/2006/main" count="3377" uniqueCount="1263">
  <si>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</si>
  <si>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</si>
  <si>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</si>
  <si>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</si>
  <si>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</si>
  <si>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</si>
  <si>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</si>
  <si>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</si>
  <si>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</si>
  <si>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</si>
  <si>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</si>
  <si>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</si>
  <si>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</si>
  <si>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</si>
  <si>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</si>
  <si>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</si>
  <si>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</si>
  <si>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</si>
  <si>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</si>
  <si>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</si>
  <si>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</si>
  <si>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</si>
  <si>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</si>
  <si>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</si>
  <si>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</si>
  <si>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</si>
  <si>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</si>
  <si>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</si>
  <si>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</si>
  <si>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</si>
  <si>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</si>
  <si>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</si>
  <si>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</si>
  <si>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</si>
  <si>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</si>
  <si>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</si>
  <si>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</si>
  <si>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</si>
  <si>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</si>
  <si>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</si>
  <si>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</si>
  <si>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</si>
  <si>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</si>
  <si>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</si>
  <si>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</si>
  <si>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</si>
  <si>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</si>
  <si>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</si>
  <si>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</si>
  <si>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</si>
  <si>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</si>
  <si>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</si>
  <si>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</si>
  <si>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</si>
  <si>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</si>
  <si>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</si>
  <si>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</si>
  <si>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</si>
  <si>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</si>
  <si>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</si>
  <si>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</si>
  <si>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</si>
  <si>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</si>
  <si>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</si>
  <si>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</si>
  <si>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</si>
  <si>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</si>
  <si>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</si>
  <si>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</si>
  <si>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</si>
  <si>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</si>
  <si>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</si>
  <si>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</si>
  <si>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</si>
  <si>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</si>
  <si>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</si>
  <si>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</si>
  <si>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</si>
  <si>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</si>
  <si>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</si>
  <si>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</si>
  <si>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</si>
  <si>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</si>
  <si>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</si>
  <si>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</si>
  <si>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</si>
  <si>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</si>
  <si>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</si>
  <si>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</si>
  <si>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</si>
  <si>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</si>
  <si>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</si>
  <si>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</si>
  <si>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</si>
  <si>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</si>
  <si>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</si>
  <si>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</si>
  <si>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</si>
  <si>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</si>
  <si>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</si>
  <si>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</si>
  <si>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</si>
  <si>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</si>
  <si>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</si>
  <si>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</si>
  <si>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</si>
  <si>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</si>
  <si>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</si>
  <si>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</si>
  <si>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</si>
  <si>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</si>
  <si>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</si>
  <si>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</si>
  <si>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</si>
  <si>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</si>
  <si>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</si>
  <si>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</si>
  <si>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</si>
  <si>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</si>
  <si>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</si>
  <si>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</si>
  <si>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</si>
  <si>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</si>
  <si>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</si>
  <si>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</si>
  <si>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</si>
  <si>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</si>
  <si>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</si>
  <si>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</si>
  <si>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</si>
  <si>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</si>
  <si>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</si>
  <si>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</si>
  <si>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</si>
  <si>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</si>
  <si>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</si>
  <si>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</si>
  <si>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</si>
  <si>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</si>
  <si>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</si>
  <si>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</si>
  <si>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</si>
  <si>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</si>
  <si>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</si>
  <si>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</si>
  <si>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</si>
  <si>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</si>
  <si>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</si>
  <si>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천안신세계</t>
  </si>
  <si>
    <t>디큐브시티</t>
  </si>
  <si>
    <t>롯데몰(김포공항)</t>
  </si>
  <si>
    <t>센텀시티</t>
  </si>
  <si>
    <t>원마운트</t>
  </si>
  <si>
    <t>스퀘어원</t>
  </si>
  <si>
    <t>홍대점</t>
  </si>
  <si>
    <t>가로수길</t>
  </si>
  <si>
    <t>업스퀘어</t>
  </si>
  <si>
    <t>와이즈파크</t>
  </si>
  <si>
    <t>동성로</t>
  </si>
  <si>
    <t>지웰시티몰</t>
  </si>
  <si>
    <t>롯데월드몰</t>
  </si>
  <si>
    <t>아이파크몰</t>
  </si>
  <si>
    <t>타임스퀘어</t>
  </si>
  <si>
    <t>판교현대백화점</t>
  </si>
  <si>
    <t>NC서면점</t>
  </si>
  <si>
    <t>NC강서점</t>
  </si>
  <si>
    <t>NC부산대</t>
  </si>
  <si>
    <t>하남스타필드</t>
  </si>
  <si>
    <t>송도트리플스트리트</t>
  </si>
  <si>
    <t>고양스타필드</t>
  </si>
  <si>
    <t>코엑스 스타필드</t>
  </si>
  <si>
    <t>대전둔산점</t>
  </si>
  <si>
    <t>강남신세계</t>
  </si>
  <si>
    <t>세종점</t>
  </si>
  <si>
    <t>용인수지</t>
  </si>
  <si>
    <t>부천옥길</t>
  </si>
  <si>
    <t>파주프리미엄아울렛</t>
  </si>
  <si>
    <t>창원더시티세븐</t>
  </si>
  <si>
    <t>부산명지스타필드</t>
  </si>
  <si>
    <t>수원AK플라자</t>
  </si>
  <si>
    <t>안성스타필드</t>
  </si>
  <si>
    <t>가산 마리오몰</t>
  </si>
  <si>
    <t>광양 LF스퀘어</t>
  </si>
  <si>
    <t>잠실롯데</t>
  </si>
  <si>
    <t>판교 현대백화점</t>
  </si>
  <si>
    <t>청담</t>
  </si>
  <si>
    <t>대구 신세계</t>
  </si>
  <si>
    <t>코엑스 현대백화점</t>
  </si>
  <si>
    <t>한남점</t>
  </si>
  <si>
    <t>IFC몰</t>
  </si>
  <si>
    <t>광교갤러리아</t>
  </si>
  <si>
    <t>대전 갤러리아</t>
  </si>
  <si>
    <t>중동 현대백화점</t>
  </si>
  <si>
    <t>청담점</t>
  </si>
  <si>
    <t>IFC MALL</t>
  </si>
  <si>
    <t>강남 코엑스</t>
  </si>
  <si>
    <t>파크원</t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</si>
  <si>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</si>
  <si>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</si>
  <si>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</si>
  <si>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</si>
  <si>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</si>
  <si>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</si>
  <si>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</si>
  <si>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</si>
  <si>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EK타워운영센터</t>
  </si>
  <si>
    <t>철거</t>
    <phoneticPr fontId="3" type="noConversion"/>
  </si>
  <si>
    <t>JS타워운영센터</t>
  </si>
  <si>
    <t>신한은행광교운영센터(백년관)</t>
    <phoneticPr fontId="3" type="noConversion"/>
  </si>
  <si>
    <t>송암빌딩</t>
  </si>
  <si>
    <t>'20년 9월</t>
    <phoneticPr fontId="3" type="noConversion"/>
  </si>
  <si>
    <t>서울창업허브_공공기관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</si>
  <si>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</si>
  <si>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</si>
  <si>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</si>
  <si>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</si>
  <si>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</si>
  <si>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</si>
  <si>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</si>
  <si>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</si>
  <si>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</si>
  <si>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</si>
  <si>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</si>
  <si>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F0432</t>
    <phoneticPr fontId="6" type="noConversion"/>
  </si>
  <si>
    <t>팜한농안성운영센터</t>
  </si>
  <si>
    <t>2020.04.21</t>
    <phoneticPr fontId="1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</si>
  <si>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</si>
  <si>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</si>
  <si>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</si>
  <si>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</si>
  <si>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</si>
  <si>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</si>
  <si>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F0138</t>
    <phoneticPr fontId="6" type="noConversion"/>
  </si>
  <si>
    <t>GS남촌리더십운영센터</t>
    <phoneticPr fontId="6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</si>
  <si>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</si>
  <si>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</si>
  <si>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</si>
  <si>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</si>
  <si>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</si>
  <si>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</si>
  <si>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</si>
  <si>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</si>
  <si>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</si>
  <si>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</si>
  <si>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</si>
  <si>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</si>
  <si>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GS강남타워운영센터(21년재설치완료)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</si>
  <si>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</si>
  <si>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</si>
  <si>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</si>
  <si>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</si>
  <si>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</si>
  <si>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</si>
  <si>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</si>
  <si>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</si>
  <si>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F0129</t>
    <phoneticPr fontId="6" type="noConversion"/>
  </si>
  <si>
    <t>GS건설용인연구소 글로벌관</t>
    <phoneticPr fontId="1" type="noConversion"/>
  </si>
  <si>
    <t>2018.07.20</t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</si>
  <si>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</si>
  <si>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</si>
  <si>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</si>
  <si>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</si>
  <si>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</si>
  <si>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</si>
  <si>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</si>
  <si>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</si>
  <si>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</si>
  <si>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</si>
  <si>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</si>
  <si>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GS건설용인연구소 본관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</si>
  <si>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</si>
  <si>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</si>
  <si>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</si>
  <si>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</si>
  <si>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</si>
  <si>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</si>
  <si>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</si>
  <si>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</si>
  <si>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</si>
  <si>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</si>
  <si>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</si>
  <si>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</si>
  <si>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</si>
  <si>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</si>
  <si>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</si>
  <si>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</si>
  <si>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</si>
  <si>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신한은행 구하안중앙점</t>
    <phoneticPr fontId="6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</si>
  <si>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</si>
  <si>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</si>
  <si>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</si>
  <si>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</si>
  <si>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</si>
  <si>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</si>
  <si>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</si>
  <si>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</si>
  <si>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</si>
  <si>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</si>
  <si>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</si>
  <si>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</si>
  <si>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</si>
  <si>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</si>
  <si>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</si>
  <si>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</si>
  <si>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</si>
  <si>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</si>
  <si>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</si>
  <si>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</si>
  <si>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</si>
  <si>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</si>
  <si>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</si>
  <si>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</si>
  <si>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</si>
  <si>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</si>
  <si>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</si>
  <si>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</si>
  <si>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</si>
  <si>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</si>
  <si>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</si>
  <si>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</si>
  <si>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</si>
  <si>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</si>
  <si>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</si>
  <si>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</si>
  <si>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</si>
  <si>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</si>
  <si>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</si>
  <si>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</si>
  <si>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</si>
  <si>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</si>
  <si>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</si>
  <si>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</si>
  <si>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</si>
  <si>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</si>
  <si>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</si>
  <si>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건대기숙사 1차</t>
    <phoneticPr fontId="1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</si>
  <si>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</si>
  <si>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</si>
  <si>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</si>
  <si>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</si>
  <si>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</si>
  <si>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</si>
  <si>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</si>
  <si>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건대기숙사 글로벌관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</si>
  <si>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</si>
  <si>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</si>
  <si>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</si>
  <si>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</si>
  <si>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</si>
  <si>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</si>
  <si>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</si>
  <si>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</si>
  <si>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</si>
  <si>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</si>
  <si>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</si>
  <si>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</si>
  <si>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U+대구황금운영센터(20년재설치완료)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</si>
  <si>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</si>
  <si>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</si>
  <si>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</si>
  <si>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</si>
  <si>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</si>
  <si>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</si>
  <si>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</si>
  <si>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</si>
  <si>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</si>
  <si>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</si>
  <si>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</si>
  <si>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</si>
  <si>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</si>
  <si>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</si>
  <si>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</si>
  <si>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</si>
  <si>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</si>
  <si>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</si>
  <si>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</si>
  <si>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</si>
  <si>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</si>
  <si>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</si>
  <si>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</si>
  <si>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</si>
  <si>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</si>
  <si>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</si>
  <si>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</si>
  <si>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</si>
  <si>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</si>
  <si>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</si>
  <si>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</si>
  <si>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</si>
  <si>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</si>
  <si>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</si>
  <si>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</si>
  <si>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</si>
  <si>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</si>
  <si>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</si>
  <si>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</si>
  <si>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</si>
  <si>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</si>
  <si>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</si>
  <si>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</si>
  <si>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</si>
  <si>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</si>
  <si>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</si>
  <si>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</si>
  <si>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</si>
  <si>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</si>
  <si>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</si>
  <si>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</si>
  <si>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</si>
  <si>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</si>
  <si>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</si>
  <si>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</si>
  <si>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</si>
  <si>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</si>
  <si>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</si>
  <si>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</si>
  <si>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</si>
  <si>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</si>
  <si>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</si>
  <si>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</si>
  <si>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</si>
  <si>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</si>
  <si>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</si>
  <si>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</si>
  <si>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</si>
  <si>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</si>
  <si>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</si>
  <si>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</si>
  <si>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</si>
  <si>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</si>
  <si>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</si>
  <si>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</si>
  <si>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</si>
  <si>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</si>
  <si>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</si>
  <si>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</si>
  <si>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</si>
  <si>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</si>
  <si>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</si>
  <si>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</si>
  <si>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</si>
  <si>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</si>
  <si>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</si>
  <si>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</si>
  <si>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</si>
  <si>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</si>
  <si>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</si>
  <si>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</si>
  <si>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</si>
  <si>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</si>
  <si>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</si>
  <si>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</si>
  <si>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</si>
  <si>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</si>
  <si>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</si>
  <si>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</si>
  <si>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</si>
  <si>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</si>
  <si>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</si>
  <si>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</si>
  <si>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</si>
  <si>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</si>
  <si>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</si>
  <si>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</si>
  <si>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</si>
  <si>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</si>
  <si>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</si>
  <si>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LS미래원(20년재설치완료)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</si>
  <si>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</si>
  <si>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</si>
  <si>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</si>
  <si>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</si>
  <si>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</si>
  <si>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</si>
  <si>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</si>
  <si>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</si>
  <si>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</si>
  <si>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</si>
  <si>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</si>
  <si>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</si>
  <si>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</si>
  <si>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</si>
  <si>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</si>
  <si>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</si>
  <si>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</si>
  <si>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</si>
  <si>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</si>
  <si>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</si>
  <si>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</si>
  <si>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</si>
  <si>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</si>
  <si>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</si>
  <si>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</si>
  <si>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</si>
  <si>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</si>
  <si>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</si>
  <si>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</si>
  <si>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</si>
  <si>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</si>
  <si>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</si>
  <si>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</si>
  <si>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</si>
  <si>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</si>
  <si>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</si>
  <si>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</si>
  <si>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</si>
  <si>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연암기념관(스마트서비스)</t>
  </si>
  <si>
    <t>F0041</t>
    <phoneticPr fontId="6" type="noConversion"/>
  </si>
  <si>
    <t>이노텍안산R&amp;D운영센터</t>
  </si>
  <si>
    <t>F0126</t>
    <phoneticPr fontId="6" type="noConversion"/>
  </si>
  <si>
    <t>인화원운영센터(21년재설치완료)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</si>
  <si>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</si>
  <si>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</si>
  <si>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</si>
  <si>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</si>
  <si>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</si>
  <si>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</si>
  <si>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</si>
  <si>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U+독산운영센터(21년재설치완료)</t>
    <phoneticPr fontId="1" type="noConversion"/>
  </si>
  <si>
    <t>F0020</t>
    <phoneticPr fontId="6" type="noConversion"/>
  </si>
  <si>
    <t>광화문빌딩운영센터(20년11월13일 재설치 완료)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</si>
  <si>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</si>
  <si>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</si>
  <si>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</si>
  <si>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</si>
  <si>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</si>
  <si>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</si>
  <si>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</si>
  <si>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</si>
  <si>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</si>
  <si>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</si>
  <si>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</si>
  <si>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</si>
  <si>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AP</t>
    <phoneticPr fontId="1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</si>
  <si>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</si>
  <si>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</si>
  <si>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</si>
  <si>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</si>
  <si>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</si>
  <si>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</si>
  <si>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</si>
  <si>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</si>
  <si>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</si>
  <si>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</si>
  <si>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</si>
  <si>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</si>
  <si>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</si>
  <si>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</si>
  <si>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</si>
  <si>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</si>
  <si>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</si>
  <si>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</si>
  <si>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</si>
  <si>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</si>
  <si>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LTE
라우터</t>
    <phoneticPr fontId="1" type="noConversion"/>
  </si>
  <si>
    <t>내부
공유기</t>
    <phoneticPr fontId="1" type="noConversion"/>
  </si>
  <si>
    <t xml:space="preserve">화재
감지기 </t>
    <phoneticPr fontId="1" type="noConversion"/>
  </si>
  <si>
    <t>보안
카메라</t>
    <phoneticPr fontId="1" type="noConversion"/>
  </si>
  <si>
    <t>문열림
센서</t>
    <phoneticPr fontId="1" type="noConversion"/>
  </si>
  <si>
    <t>움직임
감시센서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</si>
  <si>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</si>
  <si>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</si>
  <si>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</si>
  <si>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>AP
개수</t>
    <phoneticPr fontId="1" type="noConversion"/>
  </si>
  <si>
    <t>공유기
개수</t>
    <phoneticPr fontId="1" type="noConversion"/>
  </si>
  <si>
    <t>카메라
개수</t>
    <phoneticPr fontId="1" type="noConversion"/>
  </si>
  <si>
    <t>센서
개수</t>
    <phoneticPr fontId="1" type="noConversion"/>
  </si>
  <si>
    <t>센서
총 개수</t>
    <phoneticPr fontId="1" type="noConversion"/>
  </si>
  <si>
    <t>주소</t>
    <phoneticPr fontId="1" type="noConversion"/>
  </si>
  <si>
    <t>담당자</t>
    <phoneticPr fontId="1" type="noConversion"/>
  </si>
  <si>
    <t xml:space="preserve"> 설치현황</t>
    <phoneticPr fontId="1" type="noConversion"/>
  </si>
  <si>
    <t>서비스센터</t>
    <phoneticPr fontId="1" type="noConversion"/>
  </si>
  <si>
    <t>부산광역시 강서구 유통단지로 125동 212호</t>
    <phoneticPr fontId="1" type="noConversion"/>
  </si>
  <si>
    <t>이지훈 사원 010-6471-1165</t>
    <phoneticPr fontId="1" type="noConversion"/>
  </si>
  <si>
    <t>대구</t>
    <phoneticPr fontId="1" type="noConversion"/>
  </si>
  <si>
    <t>대구광역시 동구 동부로30길 59 덕유빌딩 202호</t>
    <phoneticPr fontId="1" type="noConversion"/>
  </si>
  <si>
    <t>권준모 주임 010-2330-4780</t>
  </si>
  <si>
    <t>광주</t>
    <phoneticPr fontId="1" type="noConversion"/>
  </si>
  <si>
    <t>광주광역시 북구 무등로 239 한국시멘트 4층</t>
    <phoneticPr fontId="1" type="noConversion"/>
  </si>
  <si>
    <t>최남선 주임 010-6621-0316</t>
    <phoneticPr fontId="1" type="noConversion"/>
  </si>
  <si>
    <t>동부산</t>
    <phoneticPr fontId="1" type="noConversion"/>
  </si>
  <si>
    <t>부산광역시 연제구 거제천로 183 3층</t>
    <phoneticPr fontId="1" type="noConversion"/>
  </si>
  <si>
    <t>전계환 사원 010-7707-0452</t>
  </si>
  <si>
    <t>경기남부(안양)</t>
    <phoneticPr fontId="1" type="noConversion"/>
  </si>
  <si>
    <t>경기도 안양시 동안구 엘에스로 116 / 25-32 SK V1센터 410호</t>
    <phoneticPr fontId="1" type="noConversion"/>
  </si>
  <si>
    <t>노민호 사원 010-2540-7637</t>
    <phoneticPr fontId="1" type="noConversion"/>
  </si>
  <si>
    <t>경기동부(판교)</t>
    <phoneticPr fontId="1" type="noConversion"/>
  </si>
  <si>
    <t>경기도 성남시 분당구 야탑동 361-3 금탑프라자 512호</t>
    <phoneticPr fontId="1" type="noConversion"/>
  </si>
  <si>
    <t>서동환 주임 010-9158-7709</t>
  </si>
  <si>
    <t>대전</t>
    <phoneticPr fontId="1" type="noConversion"/>
  </si>
  <si>
    <t>대전광역시 중구 중앙로 119 11층 에스앤아이 코퍼레이션</t>
    <phoneticPr fontId="1" type="noConversion"/>
  </si>
  <si>
    <t xml:space="preserve">이안순 주임 010-9215-4605 </t>
    <phoneticPr fontId="1" type="noConversion"/>
  </si>
  <si>
    <t>인천</t>
    <phoneticPr fontId="1" type="noConversion"/>
  </si>
  <si>
    <t>인천광역시 남구 주안서로 57 탑스퀘어 204호</t>
    <phoneticPr fontId="1" type="noConversion"/>
  </si>
  <si>
    <t>이윤기 주임 010-7739-5356</t>
    <phoneticPr fontId="1" type="noConversion"/>
  </si>
  <si>
    <t>LG생활연수원</t>
    <phoneticPr fontId="1" type="noConversion"/>
  </si>
  <si>
    <t>본관</t>
    <phoneticPr fontId="1" type="noConversion"/>
  </si>
  <si>
    <t>경상북도 울진군 온정면 온천로 105 LG생활연수원</t>
    <phoneticPr fontId="1" type="noConversion"/>
  </si>
  <si>
    <t>한상덕 선임 : 010-4333-3076
안승립 책임 : 010-5518-3278</t>
    <phoneticPr fontId="1" type="noConversion"/>
  </si>
  <si>
    <t>2F</t>
    <phoneticPr fontId="1" type="noConversion"/>
  </si>
  <si>
    <t>3F</t>
    <phoneticPr fontId="1" type="noConversion"/>
  </si>
  <si>
    <t>4F</t>
    <phoneticPr fontId="1" type="noConversion"/>
  </si>
  <si>
    <t>5F</t>
    <phoneticPr fontId="1" type="noConversion"/>
  </si>
  <si>
    <t>6F</t>
    <phoneticPr fontId="1" type="noConversion"/>
  </si>
  <si>
    <t>7F</t>
    <phoneticPr fontId="1" type="noConversion"/>
  </si>
  <si>
    <t>별관</t>
    <phoneticPr fontId="1" type="noConversion"/>
  </si>
  <si>
    <t>1F</t>
    <phoneticPr fontId="1" type="noConversion"/>
  </si>
  <si>
    <t>식당</t>
    <phoneticPr fontId="1" type="noConversion"/>
  </si>
  <si>
    <t xml:space="preserve"> 양식당</t>
    <phoneticPr fontId="1" type="noConversion"/>
  </si>
  <si>
    <t>한식당</t>
    <phoneticPr fontId="1" type="noConversion"/>
  </si>
  <si>
    <t>자율식당</t>
    <phoneticPr fontId="1" type="noConversion"/>
  </si>
  <si>
    <t>YTN</t>
    <phoneticPr fontId="1" type="noConversion"/>
  </si>
  <si>
    <t>딤머실</t>
    <phoneticPr fontId="1" type="noConversion"/>
  </si>
  <si>
    <t>서울 마포구 상암산로 76</t>
    <phoneticPr fontId="1" type="noConversion"/>
  </si>
  <si>
    <t>전용현센터장님 010-5112-6000 
김경수사원님 010-3783-7904</t>
    <phoneticPr fontId="1" type="noConversion"/>
  </si>
  <si>
    <t>미디어조정실</t>
    <phoneticPr fontId="1" type="noConversion"/>
  </si>
  <si>
    <t>신한은행
임대매장</t>
    <phoneticPr fontId="1" type="noConversion"/>
  </si>
  <si>
    <t>구.일산강촌</t>
    <phoneticPr fontId="1" type="noConversion"/>
  </si>
  <si>
    <t>경기도 고양시 일산동구 마두동 783 강촌마을 한신상가 201호</t>
    <phoneticPr fontId="1" type="noConversion"/>
  </si>
  <si>
    <t>각 지역 인근 서비스센터
SOS</t>
    <phoneticPr fontId="1" type="noConversion"/>
  </si>
  <si>
    <t>구.김포고촌</t>
    <phoneticPr fontId="1" type="noConversion"/>
  </si>
  <si>
    <t>경기도 김포시 고촌읍 산곡리 1256 수기마을 힐스테이트 202~206호</t>
    <phoneticPr fontId="1" type="noConversion"/>
  </si>
  <si>
    <t>구.서현동</t>
    <phoneticPr fontId="1" type="noConversion"/>
  </si>
  <si>
    <t>경기도 성남시 분당구 서현동 성남분당우체국 93 현대카스올림픽파크텔 101호</t>
    <phoneticPr fontId="1" type="noConversion"/>
  </si>
  <si>
    <t>구.도촌동</t>
    <phoneticPr fontId="1" type="noConversion"/>
  </si>
  <si>
    <t>경기도 성남시 중원구 도촌동 569외 1필지 도촌대덕프라자2 206호</t>
    <phoneticPr fontId="1" type="noConversion"/>
  </si>
  <si>
    <t>구.동탄시범단지</t>
    <phoneticPr fontId="1" type="noConversion"/>
  </si>
  <si>
    <t>경기도 화성시 반송동 103-11 엔터프라임빌딩 201호</t>
    <phoneticPr fontId="1" type="noConversion"/>
  </si>
  <si>
    <t>구.간석역</t>
    <phoneticPr fontId="1" type="noConversion"/>
  </si>
  <si>
    <t>인천광역시 동구 송현동 129외 2필지(송림동294,295) 인천산업용품유통단지 편익상가 C동 101호</t>
    <phoneticPr fontId="1" type="noConversion"/>
  </si>
  <si>
    <t>구.송림동</t>
    <phoneticPr fontId="1" type="noConversion"/>
  </si>
  <si>
    <t>인천 남구 주안동 1614 더월드스테이트 상가 221호</t>
    <phoneticPr fontId="1" type="noConversion"/>
  </si>
  <si>
    <t>구.주안</t>
    <phoneticPr fontId="1" type="noConversion"/>
  </si>
  <si>
    <t>인천광역시 부평구 백범로 557</t>
    <phoneticPr fontId="1" type="noConversion"/>
  </si>
  <si>
    <t>구.부평금호</t>
    <phoneticPr fontId="1" type="noConversion"/>
  </si>
  <si>
    <t>인천광역시 부평구 청천동 200-58 부평2차금호타운상가 203호</t>
    <phoneticPr fontId="1" type="noConversion"/>
  </si>
  <si>
    <t>구.산남동1</t>
    <phoneticPr fontId="1" type="noConversion"/>
  </si>
  <si>
    <t>충청북도 청주시 흥덕구 산남로 60,(RS타워)</t>
    <phoneticPr fontId="1" type="noConversion"/>
  </si>
  <si>
    <t>구.산남동2</t>
    <phoneticPr fontId="1" type="noConversion"/>
  </si>
  <si>
    <t>구.과천원문동</t>
    <phoneticPr fontId="1" type="noConversion"/>
  </si>
  <si>
    <t>경기도 과천시 원문동 4번지 래미안 슈르 상가(4번지)동 2층 2057-2066호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</si>
  <si>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</si>
  <si>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</si>
  <si>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</si>
  <si>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</si>
  <si>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</si>
  <si>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</si>
  <si>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</si>
  <si>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</si>
  <si>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</si>
  <si>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</si>
  <si>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</si>
  <si>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</si>
  <si>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</si>
  <si>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</si>
  <si>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</si>
  <si>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</si>
  <si>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</si>
  <si>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</si>
  <si>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</si>
  <si>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</si>
  <si>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</si>
  <si>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</si>
  <si>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</si>
  <si>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</si>
  <si>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</si>
  <si>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</si>
  <si>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</si>
  <si>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</si>
  <si>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</si>
  <si>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</si>
  <si>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</si>
  <si>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</si>
  <si>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</si>
  <si>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</si>
  <si>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</si>
  <si>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</si>
  <si>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</si>
  <si>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</si>
  <si>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</si>
  <si>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</si>
  <si>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</si>
  <si>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</si>
  <si>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</si>
  <si>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</si>
  <si>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</si>
  <si>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</si>
  <si>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</si>
  <si>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</si>
  <si>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</si>
  <si>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</si>
  <si>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</si>
  <si>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</si>
  <si>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</si>
  <si>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소계</t>
    <phoneticPr fontId="1" type="noConversion"/>
  </si>
  <si>
    <t>구김포노블점1</t>
  </si>
  <si>
    <t>구미금동지점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</si>
  <si>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</si>
  <si>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</si>
  <si>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</si>
  <si>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</si>
  <si>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</si>
  <si>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</si>
  <si>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</si>
  <si>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22년8월3주차</t>
    <phoneticPr fontId="1" type="noConversion"/>
  </si>
  <si>
    <t>22년8월4주차</t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</si>
  <si>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</si>
  <si>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</si>
  <si>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</si>
  <si>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</si>
  <si>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</si>
  <si>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</si>
  <si>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</si>
  <si>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</si>
  <si>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</si>
  <si>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</si>
  <si>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F0021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</si>
  <si>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</si>
  <si>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</si>
  <si>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</si>
  <si>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</si>
  <si>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</si>
  <si>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</si>
  <si>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H&amp;M EMS</t>
    <phoneticPr fontId="1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</si>
  <si>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</si>
  <si>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</si>
  <si>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</si>
  <si>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</si>
  <si>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</si>
  <si>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</si>
  <si>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</si>
  <si>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F0298</t>
  </si>
  <si>
    <t>EK타워</t>
  </si>
  <si>
    <t>2018.06.07</t>
  </si>
  <si>
    <t>SGW</t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</si>
  <si>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</si>
  <si>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</si>
  <si>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</si>
  <si>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</si>
  <si>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</si>
  <si>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</si>
  <si>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</si>
  <si>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</si>
  <si>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</si>
  <si>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</si>
  <si>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</si>
  <si>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</si>
  <si>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</si>
  <si>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</si>
  <si>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</si>
  <si>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</si>
  <si>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CIMON-PLCS</t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</si>
  <si>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</si>
  <si>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</si>
  <si>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</si>
  <si>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</si>
  <si>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</si>
  <si>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</si>
  <si>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</si>
  <si>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</si>
  <si>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</si>
  <si>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</si>
  <si>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</si>
  <si>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</si>
  <si>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</si>
  <si>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</si>
  <si>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</si>
  <si>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</si>
  <si>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</si>
  <si>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</si>
  <si>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</si>
  <si>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</si>
  <si>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</si>
  <si>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</si>
  <si>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</si>
  <si>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</si>
  <si>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</si>
  <si>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</si>
  <si>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</si>
  <si>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</si>
  <si>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</si>
  <si>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</si>
  <si>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</si>
  <si>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</si>
  <si>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</si>
  <si>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</si>
  <si>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</si>
  <si>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</si>
  <si>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A2U-SED</t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</si>
  <si>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</si>
  <si>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</si>
  <si>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</si>
  <si>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</si>
  <si>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</si>
  <si>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</si>
  <si>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</si>
  <si>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</si>
  <si>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</si>
  <si>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</si>
  <si>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</si>
  <si>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</si>
  <si>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</si>
  <si>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</si>
  <si>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</si>
  <si>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</si>
  <si>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</si>
  <si>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</si>
  <si>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</si>
  <si>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</si>
  <si>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</si>
  <si>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</si>
  <si>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</si>
  <si>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</si>
  <si>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</si>
  <si>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</si>
  <si>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</si>
  <si>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</si>
  <si>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</si>
  <si>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</si>
  <si>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</si>
  <si>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</si>
  <si>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</si>
  <si>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</si>
  <si>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</si>
  <si>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</si>
  <si>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</si>
  <si>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</si>
  <si>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</si>
  <si>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</si>
  <si>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</si>
  <si>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</si>
  <si>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</si>
  <si>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</si>
  <si>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</si>
  <si>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</si>
  <si>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</si>
  <si>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</si>
  <si>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</si>
  <si>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</si>
  <si>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</si>
  <si>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</si>
  <si>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</si>
  <si>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</si>
  <si>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</si>
  <si>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</si>
  <si>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</si>
  <si>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</si>
  <si>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</si>
  <si>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</si>
  <si>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</si>
  <si>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</si>
  <si>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</si>
  <si>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</si>
  <si>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</si>
  <si>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</si>
  <si>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</si>
  <si>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</si>
  <si>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</si>
  <si>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</si>
  <si>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</si>
  <si>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</si>
  <si>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</si>
  <si>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</si>
  <si>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</si>
  <si>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</si>
  <si>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</si>
  <si>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</si>
  <si>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</si>
  <si>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</si>
  <si>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</si>
  <si>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</si>
  <si>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</si>
  <si>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</si>
  <si>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</si>
  <si>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</si>
  <si>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</si>
  <si>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</si>
  <si>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</si>
  <si>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</si>
  <si>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</si>
  <si>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</si>
  <si>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</si>
  <si>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</si>
  <si>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</si>
  <si>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</si>
  <si>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</si>
  <si>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</si>
  <si>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</si>
  <si>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</si>
  <si>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</si>
  <si>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</si>
  <si>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</si>
  <si>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</si>
  <si>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</si>
  <si>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</si>
  <si>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</si>
  <si>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</si>
  <si>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</si>
  <si>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</si>
  <si>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</si>
  <si>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</si>
  <si>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</si>
  <si>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</si>
  <si>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</si>
  <si>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</si>
  <si>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</si>
  <si>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</si>
  <si>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</si>
  <si>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</si>
  <si>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</si>
  <si>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</si>
  <si>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</si>
  <si>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</si>
  <si>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</si>
  <si>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</si>
  <si>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</si>
  <si>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</si>
  <si>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</si>
  <si>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</si>
  <si>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</si>
  <si>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</si>
  <si>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</si>
  <si>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</si>
  <si>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</si>
  <si>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</si>
  <si>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</si>
  <si>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</si>
  <si>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</si>
  <si>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</si>
  <si>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</si>
  <si>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</si>
  <si>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</si>
  <si>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</si>
  <si>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</si>
  <si>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</si>
  <si>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</si>
  <si>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</si>
  <si>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</si>
  <si>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</si>
  <si>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</si>
  <si>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</si>
  <si>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</si>
  <si>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</si>
  <si>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</si>
  <si>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</si>
  <si>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</si>
  <si>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</si>
  <si>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</si>
  <si>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</si>
  <si>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</si>
  <si>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</si>
  <si>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</si>
  <si>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</si>
  <si>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</si>
  <si>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</si>
  <si>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</si>
  <si>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</si>
  <si>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</si>
  <si>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</si>
  <si>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</si>
  <si>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</si>
  <si>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</si>
  <si>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</si>
  <si>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</si>
  <si>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</si>
  <si>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</si>
  <si>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</si>
  <si>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</si>
  <si>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</si>
  <si>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</si>
  <si>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</si>
  <si>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</si>
  <si>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</si>
  <si>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</si>
  <si>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</si>
  <si>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</si>
  <si>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</si>
  <si>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</si>
  <si>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</si>
  <si>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</si>
  <si>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</si>
  <si>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</si>
  <si>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</si>
  <si>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</si>
  <si>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</si>
  <si>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</si>
  <si>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</si>
  <si>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</si>
  <si>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</si>
  <si>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</si>
  <si>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</si>
  <si>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</si>
  <si>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</si>
  <si>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</si>
  <si>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</si>
  <si>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</si>
  <si>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</si>
  <si>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</si>
  <si>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</si>
  <si>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</si>
  <si>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</si>
  <si>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</si>
  <si>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</si>
  <si>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</si>
  <si>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</si>
  <si>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</si>
  <si>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</si>
  <si>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</si>
  <si>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</si>
  <si>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</si>
  <si>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</si>
  <si>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</si>
  <si>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</si>
  <si>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</si>
  <si>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</si>
  <si>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</si>
  <si>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</si>
  <si>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</si>
  <si>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</si>
  <si>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</si>
  <si>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</si>
  <si>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</si>
  <si>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</si>
  <si>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</si>
  <si>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</si>
  <si>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</si>
  <si>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</si>
  <si>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</si>
  <si>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</si>
  <si>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</si>
  <si>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</si>
  <si>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</si>
  <si>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</si>
  <si>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</si>
  <si>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</si>
  <si>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</si>
  <si>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</si>
  <si>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</si>
  <si>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</si>
  <si>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</si>
  <si>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</si>
  <si>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</si>
  <si>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</si>
  <si>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</si>
  <si>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</si>
  <si>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</si>
  <si>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</si>
  <si>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</si>
  <si>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</si>
  <si>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</si>
  <si>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</si>
  <si>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</si>
  <si>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</si>
  <si>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</si>
  <si>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</si>
  <si>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</si>
  <si>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</si>
  <si>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</si>
  <si>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</si>
  <si>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</si>
  <si>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</si>
  <si>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</si>
  <si>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</si>
  <si>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</si>
  <si>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</si>
  <si>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</si>
  <si>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</si>
  <si>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</si>
  <si>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</si>
  <si>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</si>
  <si>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</si>
  <si>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</si>
  <si>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</si>
  <si>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</si>
  <si>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</si>
  <si>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</si>
  <si>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</si>
  <si>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</si>
  <si>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</si>
  <si>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</si>
  <si>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</si>
  <si>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</si>
  <si>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</si>
  <si>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</si>
  <si>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</si>
  <si>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</si>
  <si>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</si>
  <si>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</si>
  <si>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</si>
  <si>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</si>
  <si>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</si>
  <si>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</si>
  <si>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</si>
  <si>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</si>
  <si>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</si>
  <si>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</si>
  <si>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</si>
  <si>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</si>
  <si>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</si>
  <si>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</si>
  <si>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</si>
  <si>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</si>
  <si>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</si>
  <si>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</si>
  <si>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</si>
  <si>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</si>
  <si>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</si>
  <si>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</si>
  <si>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</si>
  <si>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</si>
  <si>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</si>
  <si>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</si>
  <si>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</si>
  <si>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</si>
  <si>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</si>
  <si>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</si>
  <si>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</si>
  <si>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</si>
  <si>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</si>
  <si>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</si>
  <si>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</si>
  <si>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</si>
  <si>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</si>
  <si>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</si>
  <si>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</si>
  <si>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</si>
  <si>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</si>
  <si>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</si>
  <si>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</si>
  <si>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</si>
  <si>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</si>
  <si>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</si>
  <si>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</si>
  <si>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</si>
  <si>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</si>
  <si>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</si>
  <si>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</si>
  <si>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</si>
  <si>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</si>
  <si>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</si>
  <si>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</si>
  <si>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</si>
  <si>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</si>
  <si>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</si>
  <si>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</si>
  <si>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</si>
  <si>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</si>
  <si>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</si>
  <si>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</si>
  <si>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</si>
  <si>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</si>
  <si>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</si>
  <si>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</si>
  <si>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</si>
  <si>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</si>
  <si>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</si>
  <si>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</si>
  <si>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</si>
  <si>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</si>
  <si>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</si>
  <si>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</si>
  <si>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</si>
  <si>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</si>
  <si>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A2U-NSGW</t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</si>
  <si>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</si>
  <si>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</si>
  <si>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</si>
  <si>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</si>
  <si>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</si>
  <si>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</si>
  <si>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</si>
  <si>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</si>
  <si>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</si>
  <si>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</si>
  <si>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</si>
  <si>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제주 나인몰</t>
    <phoneticPr fontId="1" type="noConversion"/>
  </si>
  <si>
    <t>2022년 10월</t>
    <phoneticPr fontId="1" type="noConversion"/>
  </si>
  <si>
    <t>서부산(22년10월 철수)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</si>
  <si>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</si>
  <si>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</si>
  <si>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</si>
  <si>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</si>
  <si>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</si>
  <si>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</si>
  <si>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</si>
  <si>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22년 4월</t>
    <phoneticPr fontId="1" type="noConversion"/>
  </si>
  <si>
    <t>계</t>
    <phoneticPr fontId="1" type="noConversion"/>
  </si>
  <si>
    <t>LGCNS</t>
    <phoneticPr fontId="1" type="noConversion"/>
  </si>
  <si>
    <t>KISAN</t>
    <phoneticPr fontId="1" type="noConversion"/>
  </si>
  <si>
    <t>CIMON</t>
    <phoneticPr fontId="1" type="noConversion"/>
  </si>
  <si>
    <t>장비대수</t>
    <phoneticPr fontId="1" type="noConversion"/>
  </si>
  <si>
    <t>설치년도</t>
    <phoneticPr fontId="1" type="noConversion"/>
  </si>
  <si>
    <t>총합계</t>
  </si>
  <si>
    <t>LGCNS-VPN</t>
  </si>
  <si>
    <t>KISAN-HIBOX</t>
  </si>
  <si>
    <t>KISAN-BOARD</t>
  </si>
  <si>
    <t>KISAN-GW</t>
  </si>
  <si>
    <t>A2U-NSED</t>
  </si>
  <si>
    <t>A2U-MESH</t>
  </si>
  <si>
    <t>행 레이블</t>
  </si>
  <si>
    <t>L 요약</t>
  </si>
  <si>
    <t>L</t>
  </si>
  <si>
    <t>K 요약</t>
  </si>
  <si>
    <t>K</t>
  </si>
  <si>
    <t>C 요약</t>
  </si>
  <si>
    <t>C</t>
  </si>
  <si>
    <t>A 요약</t>
  </si>
  <si>
    <t>A</t>
  </si>
  <si>
    <t>열 레이블</t>
  </si>
  <si>
    <t>개수 : 원격장비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</si>
  <si>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</si>
  <si>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</si>
  <si>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</si>
  <si>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</si>
  <si>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</si>
  <si>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</si>
  <si>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</si>
  <si>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</si>
  <si>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</si>
  <si>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</si>
  <si>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</si>
  <si>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</si>
  <si>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</si>
  <si>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</si>
  <si>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</si>
  <si>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</si>
  <si>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</si>
  <si>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</si>
  <si>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</si>
  <si>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</si>
  <si>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</si>
  <si>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</si>
  <si>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</si>
  <si>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</si>
  <si>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</si>
  <si>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</si>
  <si>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</si>
  <si>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</si>
  <si>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</si>
  <si>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</si>
  <si>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</si>
  <si>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</si>
  <si>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</si>
  <si>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</si>
  <si>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</si>
  <si>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장비수량 합계</t>
    <phoneticPr fontId="1" type="noConversion"/>
  </si>
  <si>
    <t>장비수량</t>
    <phoneticPr fontId="1" type="noConversion"/>
  </si>
  <si>
    <t>구축현장(수)</t>
    <phoneticPr fontId="1" type="noConversion"/>
  </si>
  <si>
    <t>LPR (스타벅스)</t>
    <phoneticPr fontId="1" type="noConversion"/>
  </si>
  <si>
    <t>GS슈퍼</t>
    <phoneticPr fontId="1" type="noConversion"/>
  </si>
  <si>
    <t>원격기동(효율관리포함)</t>
    <phoneticPr fontId="1" type="noConversion"/>
  </si>
  <si>
    <t>EMS (H&amp;M)</t>
    <phoneticPr fontId="1" type="noConversion"/>
  </si>
  <si>
    <t>RMS</t>
    <phoneticPr fontId="1" type="noConversion"/>
  </si>
  <si>
    <t>총합</t>
    <phoneticPr fontId="1" type="noConversion"/>
  </si>
  <si>
    <t>구분/년도</t>
    <phoneticPr fontId="1" type="noConversion"/>
  </si>
  <si>
    <t>서비스명</t>
    <phoneticPr fontId="1" type="noConversion"/>
  </si>
  <si>
    <t>※ A2U정보통신 원격 주장비(SGW) 설치현황</t>
    <phoneticPr fontId="1" type="noConversion"/>
  </si>
  <si>
    <t>LGCNS</t>
  </si>
  <si>
    <t>KISAN</t>
  </si>
  <si>
    <t>CIMON</t>
  </si>
  <si>
    <t>업체구분</t>
    <phoneticPr fontId="1" type="noConversion"/>
  </si>
  <si>
    <t>■ 원격통신장비(SGW) 설치 수량 현황</t>
    <phoneticPr fontId="1" type="noConversion"/>
  </si>
  <si>
    <t>14~18년도 소계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</si>
</sst>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yyyy&quot;년&quot;\ m&quot;월&quot;;@"/>
    <numFmt numFmtId="177" formatCode="#,##0_ "/>
    <numFmt numFmtId="178" formatCode="#,##0&quot; EA&quot;"/>
    <numFmt numFmtId="179" formatCode="0_ "/>
  </numFmts>
  <fonts count="3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trike/>
      <sz val="10"/>
      <color theme="0" tint="-0.24997711111789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6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63377788628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249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Continuous" vertical="center"/>
    </xf>
    <xf numFmtId="0" fontId="17" fillId="0" borderId="0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1" fillId="3" borderId="27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14" fontId="11" fillId="0" borderId="0" xfId="0" applyNumberFormat="1" applyFont="1" applyAlignment="1">
      <alignment vertical="center"/>
    </xf>
    <xf numFmtId="0" fontId="11" fillId="0" borderId="25" xfId="0" applyFont="1" applyFill="1" applyBorder="1" applyAlignment="1">
      <alignment horizontal="left" vertical="center"/>
    </xf>
    <xf numFmtId="0" fontId="11" fillId="0" borderId="28" xfId="0" applyFont="1" applyFill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1" fillId="0" borderId="3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5" xfId="0" applyFont="1" applyFill="1" applyBorder="1" applyAlignment="1">
      <alignment vertical="center"/>
    </xf>
    <xf numFmtId="0" fontId="11" fillId="0" borderId="17" xfId="0" applyFont="1" applyFill="1" applyBorder="1" applyAlignment="1">
      <alignment vertical="center"/>
    </xf>
    <xf numFmtId="0" fontId="11" fillId="0" borderId="6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 wrapText="1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 wrapText="1"/>
    </xf>
    <xf numFmtId="0" fontId="10" fillId="4" borderId="23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6" fillId="0" borderId="0" xfId="4" applyFont="1" applyBorder="1" applyAlignment="1">
      <alignment horizontal="left" vertical="center" wrapText="1" readingOrder="1"/>
    </xf>
    <xf numFmtId="0" fontId="16" fillId="0" borderId="0" xfId="4" applyNumberFormat="1" applyFont="1" applyBorder="1" applyAlignment="1">
      <alignment horizontal="center" vertical="center" wrapText="1" readingOrder="1"/>
    </xf>
    <xf numFmtId="41" fontId="16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5" fillId="0" borderId="0" xfId="1" applyFont="1" applyFill="1" applyBorder="1" applyAlignment="1">
      <alignment vertical="center"/>
    </xf>
    <xf numFmtId="0" fontId="15" fillId="0" borderId="0" xfId="1" quotePrefix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2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readingOrder="1"/>
    </xf>
    <xf numFmtId="0" fontId="11" fillId="0" borderId="5" xfId="0" applyFont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4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1" fillId="3" borderId="0" xfId="2" applyFont="1" applyFill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8" fillId="4" borderId="0" xfId="4" applyFont="1" applyFill="1" applyBorder="1" applyAlignment="1">
      <alignment horizontal="center" vertical="center" wrapText="1" readingOrder="1"/>
    </xf>
    <xf numFmtId="41" fontId="16" fillId="4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/>
    </xf>
    <xf numFmtId="177" fontId="14" fillId="0" borderId="0" xfId="1" applyNumberFormat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177" fontId="11" fillId="0" borderId="0" xfId="1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5" borderId="38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43" xfId="0" applyBorder="1">
      <alignment vertical="center"/>
    </xf>
    <xf numFmtId="0" fontId="0" fillId="0" borderId="1" xfId="0" applyBorder="1">
      <alignment vertical="center"/>
    </xf>
    <xf numFmtId="0" fontId="0" fillId="3" borderId="4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45" xfId="0" applyFont="1" applyBorder="1" applyAlignment="1">
      <alignment horizontal="center" vertical="center"/>
    </xf>
    <xf numFmtId="0" fontId="0" fillId="0" borderId="46" xfId="0" applyBorder="1">
      <alignment vertical="center"/>
    </xf>
    <xf numFmtId="0" fontId="0" fillId="3" borderId="46" xfId="0" applyFill="1" applyBorder="1">
      <alignment vertical="center"/>
    </xf>
    <xf numFmtId="0" fontId="0" fillId="3" borderId="47" xfId="0" applyFill="1" applyBorder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6" borderId="41" xfId="0" applyFill="1" applyBorder="1">
      <alignment vertical="center"/>
    </xf>
    <xf numFmtId="0" fontId="0" fillId="3" borderId="41" xfId="0" applyFill="1" applyBorder="1">
      <alignment vertical="center"/>
    </xf>
    <xf numFmtId="0" fontId="0" fillId="3" borderId="9" xfId="0" applyFill="1" applyBorder="1">
      <alignment vertical="center"/>
    </xf>
    <xf numFmtId="0" fontId="0" fillId="6" borderId="1" xfId="0" applyFill="1" applyBorder="1">
      <alignment vertical="center"/>
    </xf>
    <xf numFmtId="0" fontId="0" fillId="0" borderId="4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4" xfId="0" applyNumberFormat="1" applyBorder="1">
      <alignment vertical="center"/>
    </xf>
    <xf numFmtId="0" fontId="0" fillId="0" borderId="48" xfId="0" applyBorder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3" fontId="20" fillId="0" borderId="0" xfId="0" applyNumberFormat="1" applyFont="1">
      <alignment vertical="center"/>
    </xf>
    <xf numFmtId="0" fontId="23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vertical="center"/>
    </xf>
    <xf numFmtId="176" fontId="23" fillId="0" borderId="0" xfId="0" applyNumberFormat="1" applyFont="1" applyFill="1" applyBorder="1" applyAlignment="1">
      <alignment horizontal="center" vertical="center"/>
    </xf>
    <xf numFmtId="41" fontId="25" fillId="0" borderId="1" xfId="0" applyNumberFormat="1" applyFont="1" applyFill="1" applyBorder="1" applyAlignment="1">
      <alignment horizontal="center" vertical="center"/>
    </xf>
    <xf numFmtId="0" fontId="26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1" fontId="0" fillId="0" borderId="41" xfId="0" applyNumberFormat="1" applyFill="1" applyBorder="1" applyAlignment="1">
      <alignment horizontal="center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1" fillId="0" borderId="40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left" vertical="center" indent="1"/>
    </xf>
    <xf numFmtId="0" fontId="21" fillId="0" borderId="41" xfId="0" applyFont="1" applyFill="1" applyBorder="1" applyAlignment="1">
      <alignment horizontal="center" vertical="center"/>
    </xf>
    <xf numFmtId="177" fontId="11" fillId="3" borderId="0" xfId="1" applyNumberFormat="1" applyFont="1" applyFill="1" applyBorder="1" applyAlignment="1">
      <alignment horizontal="center" vertical="center"/>
    </xf>
    <xf numFmtId="0" fontId="10" fillId="0" borderId="12" xfId="1" applyFont="1" applyFill="1" applyBorder="1" applyAlignment="1">
      <alignment horizontal="center" vertical="center"/>
    </xf>
    <xf numFmtId="0" fontId="10" fillId="0" borderId="12" xfId="4" applyNumberFormat="1" applyFont="1" applyFill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6" fillId="0" borderId="43" xfId="0" applyFont="1" applyBorder="1" applyAlignment="1">
      <alignment horizontal="left" vertical="center"/>
    </xf>
    <xf numFmtId="0" fontId="11" fillId="0" borderId="49" xfId="0" applyFont="1" applyFill="1" applyBorder="1" applyAlignment="1">
      <alignment horizontal="center" vertical="center"/>
    </xf>
    <xf numFmtId="0" fontId="11" fillId="0" borderId="49" xfId="0" applyFont="1" applyFill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21" fillId="0" borderId="44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>
      <alignment vertical="center"/>
    </xf>
    <xf numFmtId="0" fontId="24" fillId="0" borderId="1" xfId="0" applyFont="1" applyFill="1" applyBorder="1" applyAlignment="1">
      <alignment vertical="center"/>
    </xf>
    <xf numFmtId="0" fontId="20" fillId="5" borderId="37" xfId="0" applyFont="1" applyFill="1" applyBorder="1" applyAlignment="1">
      <alignment horizontal="center" vertical="center"/>
    </xf>
    <xf numFmtId="14" fontId="0" fillId="0" borderId="36" xfId="0" applyNumberFormat="1" applyBorder="1" applyAlignment="1">
      <alignment vertical="center"/>
    </xf>
    <xf numFmtId="0" fontId="27" fillId="7" borderId="0" xfId="0" applyFont="1" applyFill="1">
      <alignment vertical="center"/>
    </xf>
    <xf numFmtId="178" fontId="28" fillId="8" borderId="13" xfId="0" applyNumberFormat="1" applyFont="1" applyFill="1" applyBorder="1">
      <alignment vertical="center"/>
    </xf>
    <xf numFmtId="178" fontId="28" fillId="9" borderId="55" xfId="0" applyNumberFormat="1" applyFont="1" applyFill="1" applyBorder="1">
      <alignment vertical="center"/>
    </xf>
    <xf numFmtId="179" fontId="27" fillId="9" borderId="56" xfId="0" applyNumberFormat="1" applyFont="1" applyFill="1" applyBorder="1">
      <alignment vertical="center"/>
    </xf>
    <xf numFmtId="0" fontId="27" fillId="7" borderId="56" xfId="0" applyFont="1" applyFill="1" applyBorder="1" applyAlignment="1">
      <alignment horizontal="center" vertical="center"/>
    </xf>
    <xf numFmtId="179" fontId="28" fillId="7" borderId="57" xfId="0" applyNumberFormat="1" applyFont="1" applyFill="1" applyBorder="1">
      <alignment vertical="center"/>
    </xf>
    <xf numFmtId="179" fontId="27" fillId="7" borderId="58" xfId="0" applyNumberFormat="1" applyFont="1" applyFill="1" applyBorder="1">
      <alignment vertical="center"/>
    </xf>
    <xf numFmtId="0" fontId="27" fillId="7" borderId="59" xfId="0" applyFont="1" applyFill="1" applyBorder="1" applyAlignment="1">
      <alignment horizontal="center" vertical="center"/>
    </xf>
    <xf numFmtId="178" fontId="28" fillId="9" borderId="60" xfId="0" applyNumberFormat="1" applyFont="1" applyFill="1" applyBorder="1">
      <alignment vertical="center"/>
    </xf>
    <xf numFmtId="179" fontId="27" fillId="9" borderId="31" xfId="0" applyNumberFormat="1" applyFont="1" applyFill="1" applyBorder="1">
      <alignment vertical="center"/>
    </xf>
    <xf numFmtId="0" fontId="27" fillId="7" borderId="31" xfId="0" applyFont="1" applyFill="1" applyBorder="1" applyAlignment="1">
      <alignment horizontal="center" vertical="center"/>
    </xf>
    <xf numFmtId="179" fontId="28" fillId="7" borderId="61" xfId="0" applyNumberFormat="1" applyFont="1" applyFill="1" applyBorder="1">
      <alignment vertical="center"/>
    </xf>
    <xf numFmtId="179" fontId="27" fillId="7" borderId="59" xfId="0" applyNumberFormat="1" applyFont="1" applyFill="1" applyBorder="1">
      <alignment vertical="center"/>
    </xf>
    <xf numFmtId="0" fontId="28" fillId="5" borderId="62" xfId="0" applyFont="1" applyFill="1" applyBorder="1" applyAlignment="1">
      <alignment horizontal="center" vertical="center"/>
    </xf>
    <xf numFmtId="0" fontId="28" fillId="5" borderId="63" xfId="0" applyFont="1" applyFill="1" applyBorder="1" applyAlignment="1">
      <alignment horizontal="center" vertical="center"/>
    </xf>
    <xf numFmtId="0" fontId="28" fillId="5" borderId="64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7" borderId="0" xfId="0" applyFont="1" applyFill="1" applyBorder="1" applyAlignment="1">
      <alignment vertical="center"/>
    </xf>
    <xf numFmtId="0" fontId="30" fillId="7" borderId="0" xfId="0" applyFont="1" applyFill="1">
      <alignment vertical="center"/>
    </xf>
    <xf numFmtId="0" fontId="0" fillId="0" borderId="0" xfId="0" applyFill="1" applyBorder="1">
      <alignment vertical="center"/>
    </xf>
    <xf numFmtId="0" fontId="22" fillId="0" borderId="0" xfId="0" applyFont="1" applyFill="1" applyBorder="1">
      <alignment vertical="center"/>
    </xf>
    <xf numFmtId="0" fontId="22" fillId="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33" fillId="0" borderId="0" xfId="0" applyFont="1" applyFill="1" applyBorder="1">
      <alignment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0" xfId="0" applyFont="1" applyFill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5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29" fillId="7" borderId="0" xfId="0" applyNumberFormat="1" applyFont="1" applyFill="1" applyBorder="1" applyAlignment="1">
      <alignment horizontal="right"/>
    </xf>
    <xf numFmtId="0" fontId="28" fillId="7" borderId="44" xfId="0" applyFont="1" applyFill="1" applyBorder="1" applyAlignment="1">
      <alignment horizontal="left" vertical="center" indent="1"/>
    </xf>
    <xf numFmtId="0" fontId="28" fillId="7" borderId="48" xfId="0" applyFont="1" applyFill="1" applyBorder="1" applyAlignment="1">
      <alignment horizontal="left" vertical="center" indent="1"/>
    </xf>
    <xf numFmtId="0" fontId="27" fillId="7" borderId="23" xfId="0" applyFont="1" applyFill="1" applyBorder="1" applyAlignment="1">
      <alignment horizontal="center" vertical="center"/>
    </xf>
    <xf numFmtId="0" fontId="27" fillId="7" borderId="54" xfId="0" applyFont="1" applyFill="1" applyBorder="1" applyAlignment="1">
      <alignment horizontal="center" vertical="center"/>
    </xf>
    <xf numFmtId="0" fontId="28" fillId="7" borderId="40" xfId="0" applyFont="1" applyFill="1" applyBorder="1" applyAlignment="1">
      <alignment horizontal="left" vertical="center" indent="1"/>
    </xf>
    <xf numFmtId="0" fontId="22" fillId="0" borderId="5" xfId="0" applyFont="1" applyFill="1" applyBorder="1" applyAlignment="1">
      <alignment horizontal="center" vertical="center"/>
    </xf>
    <xf numFmtId="0" fontId="22" fillId="0" borderId="7" xfId="0" applyFont="1" applyFill="1" applyBorder="1" applyAlignment="1">
      <alignment horizontal="center" vertical="center"/>
    </xf>
    <xf numFmtId="0" fontId="22" fillId="0" borderId="41" xfId="0" applyFont="1" applyFill="1" applyBorder="1" applyAlignment="1">
      <alignment horizontal="center" vertical="center"/>
    </xf>
    <xf numFmtId="0" fontId="34" fillId="5" borderId="1" xfId="0" applyFont="1" applyFill="1" applyBorder="1" applyAlignment="1">
      <alignment horizontal="center" vertical="center"/>
    </xf>
    <xf numFmtId="41" fontId="34" fillId="5" borderId="1" xfId="4" applyFont="1" applyFill="1" applyBorder="1">
      <alignment vertical="center"/>
    </xf>
    <xf numFmtId="0" fontId="20" fillId="0" borderId="6" xfId="0" applyFont="1" applyFill="1" applyBorder="1" applyAlignment="1">
      <alignment vertical="center"/>
    </xf>
    <xf numFmtId="0" fontId="20" fillId="0" borderId="1" xfId="0" applyFont="1" applyFill="1" applyBorder="1" applyAlignment="1">
      <alignment horizontal="center" vertical="center"/>
    </xf>
    <xf numFmtId="179" fontId="20" fillId="5" borderId="2" xfId="0" applyNumberFormat="1" applyFont="1" applyFill="1" applyBorder="1" applyAlignment="1">
      <alignment horizontal="center" vertical="center"/>
    </xf>
    <xf numFmtId="179" fontId="20" fillId="5" borderId="53" xfId="0" applyNumberFormat="1" applyFont="1" applyFill="1" applyBorder="1" applyAlignment="1">
      <alignment horizontal="center" vertical="center"/>
    </xf>
    <xf numFmtId="179" fontId="20" fillId="5" borderId="3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0" fontId="20" fillId="0" borderId="65" xfId="0" applyFont="1" applyFill="1" applyBorder="1" applyAlignment="1">
      <alignment vertical="center"/>
    </xf>
    <xf numFmtId="178" fontId="20" fillId="0" borderId="65" xfId="0" applyNumberFormat="1" applyFont="1" applyFill="1" applyBorder="1">
      <alignment vertical="center"/>
    </xf>
    <xf numFmtId="41" fontId="22" fillId="0" borderId="1" xfId="4" applyFont="1" applyFill="1" applyBorder="1" applyAlignment="1">
      <alignment horizontal="center" vertical="center"/>
    </xf>
    <xf numFmtId="41" fontId="20" fillId="0" borderId="1" xfId="4" applyFont="1" applyFill="1" applyBorder="1">
      <alignment vertical="center"/>
    </xf>
    <xf numFmtId="41" fontId="22" fillId="0" borderId="1" xfId="4" applyFont="1" applyFill="1" applyBorder="1">
      <alignment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28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0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&#9733;&#48716;&#46377;RMS_EMS_&#44396;&#52629;&#54788;&#51109;_ver1.7_220725&#51060;&#54980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cjh" refreshedDate="44852.719925810183" createdVersion="6" refreshedVersion="6" minRefreshableVersion="3" recordCount="440" xr:uid="{4D4F8A48-E298-456C-98E7-1B5A64E4B1C1}">
  <cacheSource type="worksheet">
    <worksheetSource ref="B4:G444" sheet="RMS재구축비 (2)" r:id="rId2"/>
  </cacheSource>
  <cacheFields count="6">
    <cacheField name="WBS" numFmtId="0">
      <sharedItems/>
    </cacheField>
    <cacheField name="현장명" numFmtId="0">
      <sharedItems count="145">
        <s v="LG광화문빌딩"/>
        <s v="디지털큐브빌딩"/>
        <s v="LS엠트론 HTC"/>
        <s v="LS미래원"/>
        <s v="LS타워"/>
        <s v="신한카드역삼점"/>
        <s v="연산자이갤러리"/>
        <s v="U+강릉명주"/>
        <s v="U+김해부원"/>
        <s v="U+밀양내이"/>
        <s v="U+춘천소양"/>
        <s v="U+통영도천"/>
        <s v="LF동관"/>
        <s v="LF서관"/>
        <s v="LG이노텍 소재부품연구소"/>
        <s v="LS어린이집"/>
        <s v="건국대학교기숙사"/>
        <s v="건국대학교기숙사2차"/>
        <s v="대한제지사옥"/>
        <s v="서울대기숙사"/>
        <s v="서울예대기숙사"/>
        <s v="파스퇴르연구소"/>
        <s v="현담원"/>
        <s v="GS강서N타워"/>
        <s v="GS강서타워"/>
        <s v="GS타워 (강남)"/>
        <s v="LG마포빌딩"/>
        <s v="대전LG화학기술연구소"/>
        <s v="트윈타워"/>
        <s v="U+광주광천"/>
        <s v="U+광주중흥"/>
        <s v="U+구로"/>
        <s v="U+대구동인"/>
        <s v="U+대구신천"/>
        <s v="U+대구효목"/>
        <s v="U+방배"/>
        <s v="U+부산감전"/>
        <s v="U+부산고객"/>
        <s v="U+부산초량"/>
        <s v="U+북수원"/>
        <s v="U+수원우만"/>
        <s v="U+수원인계"/>
        <s v="U+안양"/>
        <s v="U+인천구월"/>
        <s v="U+전주우아"/>
        <s v="BIFC"/>
        <s v="연암대학교"/>
        <s v="신한은행 광주금융센터 별관"/>
        <s v="신한은행 광주금융센터 본관"/>
        <s v="신한은행 부산 범일점"/>
        <s v="신한은행 순천 중앙점"/>
        <s v="신한은행 여수 교동점"/>
        <s v="신한은행 청주 용암점"/>
        <s v="KT&amp;G 강동지사"/>
        <s v="KT&amp;G 대구지사"/>
        <s v="KT&amp;G 서대전지사"/>
        <s v="KT&amp;G 수원지사"/>
        <s v="신한은행 영주점"/>
        <s v="신한은행 울산금융센터"/>
        <s v="한국교직원공제회 The-K 본사"/>
        <s v="D&amp;o 강서사옥"/>
        <s v="미래에셋대우_여의도"/>
        <s v="미래에셋대우_주안"/>
        <s v="신한은행 수원금융센서"/>
        <s v="신한은행 안양금융센터"/>
        <s v="휴맥스빌리지"/>
        <s v="GS건설용인"/>
        <s v="U+대구황금"/>
        <s v="신한은행 신평금융센터"/>
        <s v="신한은행 장림서고"/>
        <s v="LG서울역빌딩"/>
        <s v="D&amp;O 강남빌딩"/>
        <s v="대신금융 위레교육연구시설"/>
        <s v="U+논현고객센터"/>
        <s v="금융투자교육원"/>
        <s v="금융투자협회 사옥"/>
        <s v="미래에셋대우_청주"/>
        <s v="대치자이갤러리"/>
        <s v="한국타이어 계룡물류센터"/>
        <s v="DGB재해복구센터"/>
        <s v="KB증권 남울산지점"/>
        <s v="KB증권 대구점"/>
        <s v="KB증권 대치점"/>
        <s v="KB증권 수원점"/>
        <s v="YTN 뉴스퀘어"/>
        <s v="구.구산"/>
        <s v="구.충북전산센터"/>
        <s v="구.하안중앙"/>
        <s v="미래에셋대우_광주"/>
        <s v="미래에셋대우_진주"/>
        <s v="미래에셋대우_창원"/>
        <s v="미래에셋대우_포항"/>
        <s v="의정부합숙소"/>
        <s v="한국타이어 생산기술연구소"/>
        <s v="한국타이어 양산물류센터"/>
        <s v="한국타이어 티스테이션 부천도당"/>
        <s v="한국타이어 티스테이션 서울신월"/>
        <s v="한국타이어 평택물류센터"/>
        <s v="한국테크노플렉스"/>
        <s v="KB국민은행본관"/>
        <s v="KB국민은행종암"/>
        <s v="오투타워"/>
        <s v="KB국민은행신관"/>
        <s v="U+광주우산"/>
        <s v="U+대전R&amp;D"/>
        <s v="U+대전오류"/>
        <s v="U+대전탄방"/>
        <s v="U+독산"/>
        <s v="U+마산합성"/>
        <s v="U+부산아미"/>
        <s v="U+성남수진"/>
        <s v="U+인천간석"/>
        <s v="U+전주중화산"/>
        <s v="U+청주복대"/>
        <s v="베네치아메가몰"/>
        <s v="부산NH증권"/>
        <s v="새마을금고 군자점"/>
        <s v="신한은행 부산역점"/>
        <s v="엘지가산디지털운영센터"/>
        <s v="연암기념관"/>
        <s v="LF삼영빌딩"/>
        <s v="한국교직원공제회 강원회관"/>
        <s v="한국교직원공제회 경남회관"/>
        <s v="한국교직원공제회 광주회관"/>
        <s v="한국교직원공제회 대구회관"/>
        <s v="한국교직원공제회 부산회관"/>
        <s v="한국교직원공제회 인천회관"/>
        <s v="LF스퀘어 광양"/>
        <s v="LF스퀘어 양주"/>
        <s v="LG생활건강인천"/>
        <s v="U+남울산"/>
        <s v="U+시흥고객"/>
        <s v="U+양산중부"/>
        <s v="U+진주혁신"/>
        <s v="대전LG생활건강연구원"/>
        <s v="명동헤지스"/>
        <s v="분당퍼스트타워"/>
        <s v="신한은행 동대신동점"/>
        <s v="신한은행 의정부점"/>
        <s v="판교아이스퀘어"/>
        <s v="한국교직원공제회 대전회관"/>
        <s v="한국교직원공제회 전북회관"/>
        <s v="한국교직원공제회 창녕회관"/>
        <s v="한국교직원공제회 충북회관"/>
        <s v="한국타이어 칠곡물류센터"/>
      </sharedItems>
    </cacheField>
    <cacheField name="설치일자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장비위치" numFmtId="0">
      <sharedItems/>
    </cacheField>
    <cacheField name="원격장비" numFmtId="0">
      <sharedItems count="10">
        <s v="A2U-SGW"/>
        <s v="CIMON-PLCS"/>
        <s v="KISAN-BOARD"/>
        <s v="KISAN-GW"/>
        <s v="A2U-NSGW"/>
        <s v="A2U-SED"/>
        <s v="LGCNS-VPN"/>
        <s v="KISAN-HIBOX"/>
        <s v="A2U-MESH"/>
        <s v="A2U-NSED"/>
      </sharedItems>
    </cacheField>
    <cacheField name="종류" numFmtId="0">
      <sharedItems count="4">
        <s v="A"/>
        <s v="C"/>
        <s v="K"/>
        <s v="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F0020"/>
    <x v="0"/>
    <x v="0"/>
    <s v="1F 방재실"/>
    <x v="0"/>
    <x v="0"/>
  </r>
  <r>
    <s v="F0322"/>
    <x v="1"/>
    <x v="0"/>
    <s v="B1F 방재실"/>
    <x v="0"/>
    <x v="0"/>
  </r>
  <r>
    <s v="F0322"/>
    <x v="1"/>
    <x v="0"/>
    <s v="B7F 냉동기실"/>
    <x v="1"/>
    <x v="1"/>
  </r>
  <r>
    <s v="F0322"/>
    <x v="1"/>
    <x v="0"/>
    <s v="B3F 기계실"/>
    <x v="1"/>
    <x v="1"/>
  </r>
  <r>
    <s v="F0322"/>
    <x v="1"/>
    <x v="0"/>
    <s v="B1F 공조실"/>
    <x v="1"/>
    <x v="1"/>
  </r>
  <r>
    <s v="F0322"/>
    <x v="1"/>
    <x v="0"/>
    <s v="22F 공조실"/>
    <x v="1"/>
    <x v="1"/>
  </r>
  <r>
    <s v="F0020"/>
    <x v="0"/>
    <x v="0"/>
    <s v="B4F 공조실"/>
    <x v="2"/>
    <x v="2"/>
  </r>
  <r>
    <s v="F0020"/>
    <x v="0"/>
    <x v="0"/>
    <s v="B5F 기계실"/>
    <x v="3"/>
    <x v="2"/>
  </r>
  <r>
    <s v="F0295"/>
    <x v="2"/>
    <x v="1"/>
    <s v="B1F 방재실"/>
    <x v="4"/>
    <x v="0"/>
  </r>
  <r>
    <s v="F0139"/>
    <x v="3"/>
    <x v="1"/>
    <s v="방재실"/>
    <x v="5"/>
    <x v="0"/>
  </r>
  <r>
    <s v="F0039"/>
    <x v="4"/>
    <x v="1"/>
    <s v="B1F 발전기실"/>
    <x v="5"/>
    <x v="0"/>
  </r>
  <r>
    <s v="F0039"/>
    <x v="4"/>
    <x v="1"/>
    <s v="B1F 방재실"/>
    <x v="0"/>
    <x v="0"/>
  </r>
  <r>
    <s v="F0094"/>
    <x v="5"/>
    <x v="1"/>
    <s v="방재실"/>
    <x v="0"/>
    <x v="0"/>
  </r>
  <r>
    <s v="F0290"/>
    <x v="6"/>
    <x v="1"/>
    <s v="1F 방재실"/>
    <x v="0"/>
    <x v="0"/>
  </r>
  <r>
    <s v="U+강릉명주"/>
    <x v="7"/>
    <x v="1"/>
    <s v="확인필요"/>
    <x v="6"/>
    <x v="3"/>
  </r>
  <r>
    <s v="U+김해부원"/>
    <x v="8"/>
    <x v="1"/>
    <s v="확인필요"/>
    <x v="6"/>
    <x v="3"/>
  </r>
  <r>
    <s v="U+밀양내이"/>
    <x v="9"/>
    <x v="1"/>
    <s v="확인필요"/>
    <x v="6"/>
    <x v="3"/>
  </r>
  <r>
    <s v="U+춘천소양"/>
    <x v="10"/>
    <x v="1"/>
    <s v="확인필요"/>
    <x v="6"/>
    <x v="3"/>
  </r>
  <r>
    <s v="U+통영도천"/>
    <x v="11"/>
    <x v="1"/>
    <s v="확인필요"/>
    <x v="6"/>
    <x v="3"/>
  </r>
  <r>
    <s v="F0095"/>
    <x v="12"/>
    <x v="1"/>
    <s v="B3F 기계실"/>
    <x v="7"/>
    <x v="2"/>
  </r>
  <r>
    <s v="F0095"/>
    <x v="12"/>
    <x v="1"/>
    <s v="B1F 방재실"/>
    <x v="7"/>
    <x v="2"/>
  </r>
  <r>
    <s v="F0095"/>
    <x v="12"/>
    <x v="1"/>
    <s v="PH 고가수조실"/>
    <x v="7"/>
    <x v="2"/>
  </r>
  <r>
    <s v="F0095"/>
    <x v="13"/>
    <x v="1"/>
    <s v="B4F 기계실"/>
    <x v="7"/>
    <x v="2"/>
  </r>
  <r>
    <s v="F0041"/>
    <x v="14"/>
    <x v="1"/>
    <s v="B1F 기계실"/>
    <x v="7"/>
    <x v="2"/>
  </r>
  <r>
    <s v="F0041"/>
    <x v="14"/>
    <x v="1"/>
    <s v="B1F 방재실"/>
    <x v="7"/>
    <x v="2"/>
  </r>
  <r>
    <s v="F0041"/>
    <x v="14"/>
    <x v="1"/>
    <s v="B1F 저수조실"/>
    <x v="7"/>
    <x v="2"/>
  </r>
  <r>
    <s v="F0041"/>
    <x v="14"/>
    <x v="1"/>
    <s v="B1F 연구소"/>
    <x v="7"/>
    <x v="2"/>
  </r>
  <r>
    <s v="F0041"/>
    <x v="14"/>
    <x v="1"/>
    <s v="B1F 발전기실"/>
    <x v="7"/>
    <x v="2"/>
  </r>
  <r>
    <s v="F0139"/>
    <x v="3"/>
    <x v="1"/>
    <s v="본관 기계실"/>
    <x v="7"/>
    <x v="2"/>
  </r>
  <r>
    <s v="F0139"/>
    <x v="3"/>
    <x v="1"/>
    <s v="본관 발전기실"/>
    <x v="7"/>
    <x v="2"/>
  </r>
  <r>
    <s v="F0139"/>
    <x v="3"/>
    <x v="1"/>
    <s v="본관 공조실"/>
    <x v="7"/>
    <x v="2"/>
  </r>
  <r>
    <s v="F0139"/>
    <x v="3"/>
    <x v="1"/>
    <s v="친교관 공조실"/>
    <x v="7"/>
    <x v="2"/>
  </r>
  <r>
    <s v="F0139"/>
    <x v="3"/>
    <x v="1"/>
    <s v="생활관 기계실"/>
    <x v="7"/>
    <x v="2"/>
  </r>
  <r>
    <s v="F0531"/>
    <x v="15"/>
    <x v="1"/>
    <s v="사무실"/>
    <x v="7"/>
    <x v="2"/>
  </r>
  <r>
    <s v="F0531"/>
    <x v="15"/>
    <x v="1"/>
    <s v="기계실"/>
    <x v="7"/>
    <x v="2"/>
  </r>
  <r>
    <s v="F0295"/>
    <x v="2"/>
    <x v="1"/>
    <s v="B3F 기계실"/>
    <x v="7"/>
    <x v="2"/>
  </r>
  <r>
    <s v="F0295"/>
    <x v="2"/>
    <x v="1"/>
    <s v="B3F 발전기실"/>
    <x v="7"/>
    <x v="2"/>
  </r>
  <r>
    <s v="F0295"/>
    <x v="2"/>
    <x v="1"/>
    <s v="4F 공조실"/>
    <x v="7"/>
    <x v="2"/>
  </r>
  <r>
    <s v="F0039"/>
    <x v="4"/>
    <x v="1"/>
    <s v="B1F 기계실"/>
    <x v="7"/>
    <x v="2"/>
  </r>
  <r>
    <s v="F0039"/>
    <x v="4"/>
    <x v="1"/>
    <s v="B1F 공조실"/>
    <x v="7"/>
    <x v="2"/>
  </r>
  <r>
    <s v="F0039"/>
    <x v="4"/>
    <x v="1"/>
    <s v="3F 공조실"/>
    <x v="7"/>
    <x v="2"/>
  </r>
  <r>
    <s v="F0131"/>
    <x v="16"/>
    <x v="1"/>
    <s v="건대1차 기계실"/>
    <x v="7"/>
    <x v="2"/>
  </r>
  <r>
    <s v="F0131"/>
    <x v="16"/>
    <x v="1"/>
    <s v="건대1차 방재실"/>
    <x v="7"/>
    <x v="2"/>
  </r>
  <r>
    <s v="F0131"/>
    <x v="16"/>
    <x v="1"/>
    <s v="건대 글로벌 기계실"/>
    <x v="7"/>
    <x v="2"/>
  </r>
  <r>
    <s v="F0131"/>
    <x v="16"/>
    <x v="1"/>
    <s v="건대 글로벌 방재실"/>
    <x v="7"/>
    <x v="2"/>
  </r>
  <r>
    <s v="F0142"/>
    <x v="17"/>
    <x v="1"/>
    <s v="건대2차 기계실"/>
    <x v="7"/>
    <x v="2"/>
  </r>
  <r>
    <s v="F0142"/>
    <x v="17"/>
    <x v="1"/>
    <s v="건대2차 방재실"/>
    <x v="7"/>
    <x v="2"/>
  </r>
  <r>
    <s v="F0091"/>
    <x v="18"/>
    <x v="1"/>
    <s v="B5F 팬룸"/>
    <x v="7"/>
    <x v="2"/>
  </r>
  <r>
    <s v="F0091"/>
    <x v="18"/>
    <x v="1"/>
    <s v="B2F 방재실"/>
    <x v="7"/>
    <x v="2"/>
  </r>
  <r>
    <s v="F0091"/>
    <x v="18"/>
    <x v="1"/>
    <s v="B6F 기계실"/>
    <x v="7"/>
    <x v="2"/>
  </r>
  <r>
    <s v="F0091"/>
    <x v="18"/>
    <x v="1"/>
    <s v="B7F 저수조실"/>
    <x v="7"/>
    <x v="2"/>
  </r>
  <r>
    <s v="F0143"/>
    <x v="19"/>
    <x v="1"/>
    <s v="방재실"/>
    <x v="7"/>
    <x v="2"/>
  </r>
  <r>
    <s v="F0143"/>
    <x v="19"/>
    <x v="1"/>
    <s v="기계실"/>
    <x v="7"/>
    <x v="2"/>
  </r>
  <r>
    <s v="F0132"/>
    <x v="20"/>
    <x v="1"/>
    <s v="기계실"/>
    <x v="7"/>
    <x v="2"/>
  </r>
  <r>
    <s v="F0132"/>
    <x v="20"/>
    <x v="1"/>
    <s v="방재실"/>
    <x v="7"/>
    <x v="2"/>
  </r>
  <r>
    <s v="F0094"/>
    <x v="5"/>
    <x v="1"/>
    <s v="기계실"/>
    <x v="7"/>
    <x v="2"/>
  </r>
  <r>
    <s v="F0290"/>
    <x v="6"/>
    <x v="1"/>
    <s v="3F 공조실"/>
    <x v="7"/>
    <x v="2"/>
  </r>
  <r>
    <s v="F0290"/>
    <x v="6"/>
    <x v="1"/>
    <s v="1F 공조실2"/>
    <x v="7"/>
    <x v="2"/>
  </r>
  <r>
    <s v="F0290"/>
    <x v="6"/>
    <x v="1"/>
    <s v="1F 공조실1"/>
    <x v="7"/>
    <x v="2"/>
  </r>
  <r>
    <s v="F0199"/>
    <x v="21"/>
    <x v="1"/>
    <s v="B1F 기계실"/>
    <x v="7"/>
    <x v="2"/>
  </r>
  <r>
    <s v="F0199"/>
    <x v="21"/>
    <x v="1"/>
    <s v="B2F 저수조실"/>
    <x v="7"/>
    <x v="2"/>
  </r>
  <r>
    <s v="F0199"/>
    <x v="21"/>
    <x v="1"/>
    <s v="1F 방재실"/>
    <x v="7"/>
    <x v="2"/>
  </r>
  <r>
    <s v="F0199"/>
    <x v="21"/>
    <x v="1"/>
    <s v="B1F 수변전실"/>
    <x v="7"/>
    <x v="2"/>
  </r>
  <r>
    <s v="F0199"/>
    <x v="21"/>
    <x v="1"/>
    <s v="1F 공조실"/>
    <x v="7"/>
    <x v="2"/>
  </r>
  <r>
    <s v="F0199"/>
    <x v="21"/>
    <x v="1"/>
    <s v="6F 실험실"/>
    <x v="7"/>
    <x v="2"/>
  </r>
  <r>
    <s v="F0199"/>
    <x v="21"/>
    <x v="1"/>
    <s v="PH 공조실1"/>
    <x v="7"/>
    <x v="2"/>
  </r>
  <r>
    <s v="F0199"/>
    <x v="21"/>
    <x v="1"/>
    <s v="PH 공조실2"/>
    <x v="7"/>
    <x v="2"/>
  </r>
  <r>
    <s v="F0371"/>
    <x v="22"/>
    <x v="1"/>
    <s v="1F 방재실"/>
    <x v="7"/>
    <x v="2"/>
  </r>
  <r>
    <s v="F0371"/>
    <x v="22"/>
    <x v="1"/>
    <s v="B2F 기계실"/>
    <x v="7"/>
    <x v="2"/>
  </r>
  <r>
    <s v="F0340"/>
    <x v="23"/>
    <x v="1"/>
    <s v="B1F 방재실"/>
    <x v="6"/>
    <x v="3"/>
  </r>
  <r>
    <s v="F0009"/>
    <x v="24"/>
    <x v="1"/>
    <s v="B1F 방재실"/>
    <x v="6"/>
    <x v="3"/>
  </r>
  <r>
    <s v="F0084"/>
    <x v="25"/>
    <x v="1"/>
    <s v="B1F 방재실"/>
    <x v="6"/>
    <x v="3"/>
  </r>
  <r>
    <s v="F0010"/>
    <x v="26"/>
    <x v="1"/>
    <s v="B1F 방재실"/>
    <x v="6"/>
    <x v="3"/>
  </r>
  <r>
    <s v="F0023"/>
    <x v="27"/>
    <x v="1"/>
    <s v="1F 방재실"/>
    <x v="6"/>
    <x v="3"/>
  </r>
  <r>
    <s v="F0014"/>
    <x v="28"/>
    <x v="1"/>
    <s v="B1F 방재실"/>
    <x v="6"/>
    <x v="3"/>
  </r>
  <r>
    <s v="U+광주광천"/>
    <x v="29"/>
    <x v="1"/>
    <s v="지하4층 운영실"/>
    <x v="6"/>
    <x v="3"/>
  </r>
  <r>
    <s v="U+광주중흥"/>
    <x v="30"/>
    <x v="1"/>
    <s v="지상1층 통신실"/>
    <x v="6"/>
    <x v="3"/>
  </r>
  <r>
    <s v="U+구로"/>
    <x v="31"/>
    <x v="1"/>
    <s v="지상1층 관리실"/>
    <x v="6"/>
    <x v="3"/>
  </r>
  <r>
    <s v="U+대구동인"/>
    <x v="32"/>
    <x v="1"/>
    <s v="지하1층 관리사무실"/>
    <x v="6"/>
    <x v="3"/>
  </r>
  <r>
    <s v="U+대구신천"/>
    <x v="33"/>
    <x v="1"/>
    <s v="지하4층 종합관제실"/>
    <x v="6"/>
    <x v="3"/>
  </r>
  <r>
    <s v="U+대구효목"/>
    <x v="34"/>
    <x v="1"/>
    <s v="지하3층 종합관제실"/>
    <x v="6"/>
    <x v="3"/>
  </r>
  <r>
    <s v="U+방배"/>
    <x v="35"/>
    <x v="1"/>
    <s v="지상1층 방재실"/>
    <x v="6"/>
    <x v="3"/>
  </r>
  <r>
    <s v="U+부산감전"/>
    <x v="36"/>
    <x v="1"/>
    <s v="지하1층 방재실"/>
    <x v="6"/>
    <x v="3"/>
  </r>
  <r>
    <s v="U+부산고객"/>
    <x v="37"/>
    <x v="1"/>
    <s v="지하5층 방재실"/>
    <x v="6"/>
    <x v="3"/>
  </r>
  <r>
    <s v="U+부산초량"/>
    <x v="38"/>
    <x v="1"/>
    <s v="지하3층 감시실"/>
    <x v="6"/>
    <x v="3"/>
  </r>
  <r>
    <s v="U+북수원"/>
    <x v="39"/>
    <x v="1"/>
    <s v="지하2층 중앙감시실"/>
    <x v="6"/>
    <x v="3"/>
  </r>
  <r>
    <s v="U+수원우만"/>
    <x v="40"/>
    <x v="1"/>
    <s v="지하1층 방재실"/>
    <x v="6"/>
    <x v="3"/>
  </r>
  <r>
    <s v="U+수원인계"/>
    <x v="41"/>
    <x v="1"/>
    <s v="지상1층 방재실"/>
    <x v="6"/>
    <x v="3"/>
  </r>
  <r>
    <s v="U+안양"/>
    <x v="42"/>
    <x v="1"/>
    <s v="지상1층 방재실"/>
    <x v="6"/>
    <x v="3"/>
  </r>
  <r>
    <s v="U+인천구월"/>
    <x v="43"/>
    <x v="1"/>
    <s v="지상1층 방재실"/>
    <x v="6"/>
    <x v="3"/>
  </r>
  <r>
    <s v="U+전주우아"/>
    <x v="44"/>
    <x v="1"/>
    <s v="지하1층 운영실"/>
    <x v="6"/>
    <x v="3"/>
  </r>
  <r>
    <s v="F0342"/>
    <x v="45"/>
    <x v="2"/>
    <s v="판매동 상황실"/>
    <x v="0"/>
    <x v="0"/>
  </r>
  <r>
    <s v="F0411"/>
    <x v="46"/>
    <x v="2"/>
    <s v="동물보호계열 기계실"/>
    <x v="0"/>
    <x v="0"/>
  </r>
  <r>
    <s v="F0411"/>
    <x v="46"/>
    <x v="2"/>
    <s v="동물보호계열 교육관"/>
    <x v="0"/>
    <x v="0"/>
  </r>
  <r>
    <s v="F0411"/>
    <x v="46"/>
    <x v="2"/>
    <s v="동물보호계열 실내실습훈련장"/>
    <x v="0"/>
    <x v="0"/>
  </r>
  <r>
    <s v="F0411"/>
    <x v="46"/>
    <x v="2"/>
    <s v="원예 옥외저수조"/>
    <x v="0"/>
    <x v="0"/>
  </r>
  <r>
    <s v="F0411"/>
    <x v="46"/>
    <x v="2"/>
    <s v="양계 육성사"/>
    <x v="0"/>
    <x v="0"/>
  </r>
  <r>
    <s v="F0411"/>
    <x v="46"/>
    <x v="2"/>
    <s v="양계 성계사"/>
    <x v="0"/>
    <x v="0"/>
  </r>
  <r>
    <s v="F0342"/>
    <x v="45"/>
    <x v="2"/>
    <s v="업무동 PH 기계실"/>
    <x v="3"/>
    <x v="2"/>
  </r>
  <r>
    <s v="F0342"/>
    <x v="45"/>
    <x v="2"/>
    <s v="업무동 48F 기계실"/>
    <x v="3"/>
    <x v="2"/>
  </r>
  <r>
    <s v="F0342"/>
    <x v="45"/>
    <x v="2"/>
    <s v="업무동 28F 기계실"/>
    <x v="3"/>
    <x v="2"/>
  </r>
  <r>
    <s v="F0342"/>
    <x v="45"/>
    <x v="2"/>
    <s v="업무동 상황실"/>
    <x v="3"/>
    <x v="2"/>
  </r>
  <r>
    <s v="F0342"/>
    <x v="45"/>
    <x v="2"/>
    <s v="업무동 발전기실"/>
    <x v="3"/>
    <x v="2"/>
  </r>
  <r>
    <s v="F0342"/>
    <x v="45"/>
    <x v="2"/>
    <s v="업무동 B3F 기계실"/>
    <x v="3"/>
    <x v="2"/>
  </r>
  <r>
    <s v="F0342"/>
    <x v="45"/>
    <x v="2"/>
    <s v="업무동 B3F 주차장"/>
    <x v="3"/>
    <x v="2"/>
  </r>
  <r>
    <s v="F0342"/>
    <x v="45"/>
    <x v="2"/>
    <s v="업무동 62F식당공조실"/>
    <x v="3"/>
    <x v="2"/>
  </r>
  <r>
    <s v="F0342"/>
    <x v="45"/>
    <x v="2"/>
    <s v="업무동 4F 공조실"/>
    <x v="3"/>
    <x v="2"/>
  </r>
  <r>
    <s v="F0411"/>
    <x v="46"/>
    <x v="2"/>
    <s v="본관 "/>
    <x v="3"/>
    <x v="2"/>
  </r>
  <r>
    <s v="F0411"/>
    <x v="46"/>
    <x v="2"/>
    <s v="연암관"/>
    <x v="3"/>
    <x v="2"/>
  </r>
  <r>
    <s v="F0411"/>
    <x v="46"/>
    <x v="2"/>
    <s v="사택1호"/>
    <x v="3"/>
    <x v="2"/>
  </r>
  <r>
    <s v="F0411"/>
    <x v="46"/>
    <x v="2"/>
    <s v="사택3호"/>
    <x v="3"/>
    <x v="2"/>
  </r>
  <r>
    <s v="F0411"/>
    <x v="46"/>
    <x v="2"/>
    <s v="기숙사기계실 "/>
    <x v="3"/>
    <x v="2"/>
  </r>
  <r>
    <s v="F0411"/>
    <x v="46"/>
    <x v="2"/>
    <s v="제1상남기숙사 "/>
    <x v="3"/>
    <x v="2"/>
  </r>
  <r>
    <s v="F0411"/>
    <x v="46"/>
    <x v="2"/>
    <s v="제2상남기숙사 "/>
    <x v="3"/>
    <x v="2"/>
  </r>
  <r>
    <s v="F0411"/>
    <x v="46"/>
    <x v="2"/>
    <s v="제3상남기숙사 "/>
    <x v="3"/>
    <x v="2"/>
  </r>
  <r>
    <s v="F0411"/>
    <x v="46"/>
    <x v="2"/>
    <s v="교수회관 "/>
    <x v="3"/>
    <x v="2"/>
  </r>
  <r>
    <s v="F0411"/>
    <x v="46"/>
    <x v="2"/>
    <s v="경비실 "/>
    <x v="3"/>
    <x v="2"/>
  </r>
  <r>
    <s v="F0411"/>
    <x v="46"/>
    <x v="2"/>
    <s v="인화원 "/>
    <x v="3"/>
    <x v="2"/>
  </r>
  <r>
    <s v="F0411"/>
    <x v="46"/>
    <x v="2"/>
    <s v="도서관 "/>
    <x v="3"/>
    <x v="2"/>
  </r>
  <r>
    <s v="F0411"/>
    <x v="46"/>
    <x v="2"/>
    <s v="원예관"/>
    <x v="3"/>
    <x v="2"/>
  </r>
  <r>
    <s v="F0411"/>
    <x v="46"/>
    <x v="2"/>
    <s v="분재원 "/>
    <x v="3"/>
    <x v="2"/>
  </r>
  <r>
    <s v="F0411"/>
    <x v="46"/>
    <x v="2"/>
    <s v="분재원창고 "/>
    <x v="3"/>
    <x v="2"/>
  </r>
  <r>
    <s v="F0411"/>
    <x v="46"/>
    <x v="2"/>
    <s v="채소온실 "/>
    <x v="3"/>
    <x v="2"/>
  </r>
  <r>
    <s v="F0411"/>
    <x v="46"/>
    <x v="2"/>
    <s v="원예 보일러실"/>
    <x v="3"/>
    <x v="2"/>
  </r>
  <r>
    <s v="F0411"/>
    <x v="46"/>
    <x v="2"/>
    <s v="표본실 "/>
    <x v="3"/>
    <x v="2"/>
  </r>
  <r>
    <s v="F0411"/>
    <x v="46"/>
    <x v="2"/>
    <s v="화훼온실 "/>
    <x v="3"/>
    <x v="2"/>
  </r>
  <r>
    <s v="F0411"/>
    <x v="46"/>
    <x v="2"/>
    <s v="국화온실 "/>
    <x v="3"/>
    <x v="2"/>
  </r>
  <r>
    <s v="F0411"/>
    <x v="46"/>
    <x v="2"/>
    <s v="LG생활관 "/>
    <x v="3"/>
    <x v="2"/>
  </r>
  <r>
    <s v="F0411"/>
    <x v="46"/>
    <x v="2"/>
    <s v="돈사 발전기실"/>
    <x v="3"/>
    <x v="2"/>
  </r>
  <r>
    <s v="F0411"/>
    <x v="46"/>
    <x v="2"/>
    <s v="낙동한우강의동 "/>
    <x v="3"/>
    <x v="2"/>
  </r>
  <r>
    <s v="F0411"/>
    <x v="46"/>
    <x v="2"/>
    <s v="정화조(컨테이너) "/>
    <x v="3"/>
    <x v="2"/>
  </r>
  <r>
    <s v="F0411"/>
    <x v="46"/>
    <x v="2"/>
    <s v="강의동"/>
    <x v="3"/>
    <x v="2"/>
  </r>
  <r>
    <s v="F0411"/>
    <x v="46"/>
    <x v="2"/>
    <s v="버섯기술지원센터 "/>
    <x v="3"/>
    <x v="2"/>
  </r>
  <r>
    <s v="F0411"/>
    <x v="46"/>
    <x v="2"/>
    <s v="예빈관 "/>
    <x v="3"/>
    <x v="2"/>
  </r>
  <r>
    <s v="F0411"/>
    <x v="46"/>
    <x v="2"/>
    <s v="스마트팜 비닐온실"/>
    <x v="3"/>
    <x v="2"/>
  </r>
  <r>
    <s v="F0411"/>
    <x v="46"/>
    <x v="2"/>
    <s v="선란실"/>
    <x v="3"/>
    <x v="2"/>
  </r>
  <r>
    <s v="F0411"/>
    <x v="46"/>
    <x v="2"/>
    <s v="스마트팜 유리온실"/>
    <x v="3"/>
    <x v="2"/>
  </r>
  <r>
    <s v="F0411"/>
    <x v="46"/>
    <x v="2"/>
    <s v="분만사(돈사)"/>
    <x v="7"/>
    <x v="2"/>
  </r>
  <r>
    <s v="F0411"/>
    <x v="46"/>
    <x v="2"/>
    <s v="네덜란드식(돈사)"/>
    <x v="7"/>
    <x v="2"/>
  </r>
  <r>
    <s v="F0411"/>
    <x v="46"/>
    <x v="2"/>
    <s v="유우육성사"/>
    <x v="7"/>
    <x v="2"/>
  </r>
  <r>
    <s v="F0411"/>
    <x v="46"/>
    <x v="2"/>
    <s v="착유우사"/>
    <x v="7"/>
    <x v="2"/>
  </r>
  <r>
    <s v="F0411"/>
    <x v="46"/>
    <x v="2"/>
    <s v="한우번식우사"/>
    <x v="7"/>
    <x v="2"/>
  </r>
  <r>
    <s v="F0411"/>
    <x v="46"/>
    <x v="2"/>
    <s v="한우육성비육우사"/>
    <x v="7"/>
    <x v="2"/>
  </r>
  <r>
    <s v="F0411"/>
    <x v="46"/>
    <x v="2"/>
    <s v="종부사(돈사)"/>
    <x v="7"/>
    <x v="2"/>
  </r>
  <r>
    <s v="F0421"/>
    <x v="47"/>
    <x v="3"/>
    <s v="방재실"/>
    <x v="0"/>
    <x v="0"/>
  </r>
  <r>
    <s v="F0421"/>
    <x v="48"/>
    <x v="3"/>
    <s v="방재실"/>
    <x v="0"/>
    <x v="0"/>
  </r>
  <r>
    <s v="F0421"/>
    <x v="49"/>
    <x v="3"/>
    <s v="1F 식당"/>
    <x v="0"/>
    <x v="0"/>
  </r>
  <r>
    <s v="F0421"/>
    <x v="50"/>
    <x v="3"/>
    <s v="방재실"/>
    <x v="0"/>
    <x v="0"/>
  </r>
  <r>
    <s v="F0421"/>
    <x v="51"/>
    <x v="3"/>
    <s v="방재실"/>
    <x v="0"/>
    <x v="0"/>
  </r>
  <r>
    <s v="F0421"/>
    <x v="52"/>
    <x v="3"/>
    <s v="방재실"/>
    <x v="0"/>
    <x v="0"/>
  </r>
  <r>
    <s v="F0423"/>
    <x v="53"/>
    <x v="3"/>
    <s v="B2F"/>
    <x v="3"/>
    <x v="2"/>
  </r>
  <r>
    <s v="F0423"/>
    <x v="53"/>
    <x v="3"/>
    <s v="PH 기계실"/>
    <x v="3"/>
    <x v="2"/>
  </r>
  <r>
    <s v="F0423"/>
    <x v="54"/>
    <x v="3"/>
    <s v="1F 관리실"/>
    <x v="3"/>
    <x v="2"/>
  </r>
  <r>
    <s v="F0423"/>
    <x v="54"/>
    <x v="3"/>
    <s v="주차장"/>
    <x v="3"/>
    <x v="2"/>
  </r>
  <r>
    <s v="F0423"/>
    <x v="54"/>
    <x v="3"/>
    <s v="B3F 기계실"/>
    <x v="3"/>
    <x v="2"/>
  </r>
  <r>
    <s v="F0423"/>
    <x v="54"/>
    <x v="3"/>
    <s v="PH 소화수조실"/>
    <x v="3"/>
    <x v="2"/>
  </r>
  <r>
    <s v="F0423"/>
    <x v="55"/>
    <x v="3"/>
    <s v="B2F 발전기실"/>
    <x v="3"/>
    <x v="2"/>
  </r>
  <r>
    <s v="F0423"/>
    <x v="55"/>
    <x v="3"/>
    <s v="B2F 방재실"/>
    <x v="3"/>
    <x v="2"/>
  </r>
  <r>
    <s v="F0423"/>
    <x v="56"/>
    <x v="3"/>
    <s v="B4F 기계실"/>
    <x v="3"/>
    <x v="2"/>
  </r>
  <r>
    <s v="F0423"/>
    <x v="56"/>
    <x v="3"/>
    <s v="B4F 발전기실"/>
    <x v="3"/>
    <x v="2"/>
  </r>
  <r>
    <s v="F0421"/>
    <x v="47"/>
    <x v="3"/>
    <s v="B2F 기계실"/>
    <x v="3"/>
    <x v="2"/>
  </r>
  <r>
    <s v="F0421"/>
    <x v="48"/>
    <x v="3"/>
    <s v="B3F 기계실"/>
    <x v="3"/>
    <x v="2"/>
  </r>
  <r>
    <s v="F0421"/>
    <x v="49"/>
    <x v="3"/>
    <s v="B1F 기계실"/>
    <x v="3"/>
    <x v="2"/>
  </r>
  <r>
    <s v="F0421"/>
    <x v="50"/>
    <x v="3"/>
    <s v="B2F 기계실"/>
    <x v="3"/>
    <x v="2"/>
  </r>
  <r>
    <s v="F0421"/>
    <x v="51"/>
    <x v="3"/>
    <s v="B1F 기계실"/>
    <x v="3"/>
    <x v="2"/>
  </r>
  <r>
    <s v="F0421"/>
    <x v="57"/>
    <x v="3"/>
    <s v="B1F 기계실"/>
    <x v="3"/>
    <x v="2"/>
  </r>
  <r>
    <s v="F0421"/>
    <x v="58"/>
    <x v="3"/>
    <s v="B2F 기계실"/>
    <x v="3"/>
    <x v="2"/>
  </r>
  <r>
    <s v="F0421"/>
    <x v="52"/>
    <x v="3"/>
    <s v="B2F 기계실"/>
    <x v="3"/>
    <x v="2"/>
  </r>
  <r>
    <s v="F0446"/>
    <x v="59"/>
    <x v="4"/>
    <s v="B5F 기계실"/>
    <x v="4"/>
    <x v="0"/>
  </r>
  <r>
    <s v="F0446"/>
    <x v="59"/>
    <x v="4"/>
    <s v="B1F 방재실"/>
    <x v="4"/>
    <x v="0"/>
  </r>
  <r>
    <s v="F0445"/>
    <x v="60"/>
    <x v="4"/>
    <s v="B5F 기계실(호텔)"/>
    <x v="5"/>
    <x v="0"/>
  </r>
  <r>
    <s v="F0445"/>
    <x v="60"/>
    <x v="4"/>
    <s v="B5F 발전기실"/>
    <x v="5"/>
    <x v="0"/>
  </r>
  <r>
    <s v="F0468"/>
    <x v="61"/>
    <x v="4"/>
    <s v="B3F 기계실 MCC"/>
    <x v="5"/>
    <x v="0"/>
  </r>
  <r>
    <s v="F0468"/>
    <x v="61"/>
    <x v="4"/>
    <s v="B3F 발전기실"/>
    <x v="5"/>
    <x v="0"/>
  </r>
  <r>
    <s v="F0468"/>
    <x v="61"/>
    <x v="4"/>
    <s v="B3F 주차장배수"/>
    <x v="5"/>
    <x v="0"/>
  </r>
  <r>
    <s v="F0468"/>
    <x v="61"/>
    <x v="4"/>
    <s v="B3F 창고배수"/>
    <x v="5"/>
    <x v="0"/>
  </r>
  <r>
    <s v="F0469"/>
    <x v="62"/>
    <x v="4"/>
    <s v="B4F 정화조"/>
    <x v="5"/>
    <x v="0"/>
  </r>
  <r>
    <s v="F0469"/>
    <x v="62"/>
    <x v="4"/>
    <s v="B4F 사무실"/>
    <x v="5"/>
    <x v="0"/>
  </r>
  <r>
    <s v="F0469"/>
    <x v="62"/>
    <x v="4"/>
    <s v="B4F 발전기실"/>
    <x v="5"/>
    <x v="0"/>
  </r>
  <r>
    <s v="F0421"/>
    <x v="63"/>
    <x v="4"/>
    <s v="B1F 사무실"/>
    <x v="5"/>
    <x v="0"/>
  </r>
  <r>
    <s v="F0421"/>
    <x v="63"/>
    <x v="4"/>
    <s v="B1F 발전기실"/>
    <x v="5"/>
    <x v="0"/>
  </r>
  <r>
    <s v="F0421"/>
    <x v="64"/>
    <x v="4"/>
    <s v="B3F 발전기실"/>
    <x v="5"/>
    <x v="0"/>
  </r>
  <r>
    <s v="F0446"/>
    <x v="59"/>
    <x v="4"/>
    <s v="B5F 발전기실"/>
    <x v="5"/>
    <x v="0"/>
  </r>
  <r>
    <s v="F0454"/>
    <x v="65"/>
    <x v="4"/>
    <s v="B6F 상황실"/>
    <x v="5"/>
    <x v="0"/>
  </r>
  <r>
    <s v="F0454"/>
    <x v="65"/>
    <x v="4"/>
    <s v="B6F 발전기실"/>
    <x v="5"/>
    <x v="0"/>
  </r>
  <r>
    <s v="F0445"/>
    <x v="60"/>
    <x v="4"/>
    <s v="B5F 기계실(오피스)"/>
    <x v="0"/>
    <x v="0"/>
  </r>
  <r>
    <s v="F0445"/>
    <x v="60"/>
    <x v="4"/>
    <s v="B2F 호텔 방재실"/>
    <x v="0"/>
    <x v="0"/>
  </r>
  <r>
    <s v="F0445"/>
    <x v="60"/>
    <x v="4"/>
    <s v="B1F 오피스 방재실"/>
    <x v="0"/>
    <x v="0"/>
  </r>
  <r>
    <s v="F0129"/>
    <x v="66"/>
    <x v="4"/>
    <s v="본관 B1F 방재실"/>
    <x v="0"/>
    <x v="0"/>
  </r>
  <r>
    <s v="F0129"/>
    <x v="66"/>
    <x v="4"/>
    <s v="글로벌관 1F 방재실"/>
    <x v="0"/>
    <x v="0"/>
  </r>
  <r>
    <s v="U+대구황금"/>
    <x v="67"/>
    <x v="4"/>
    <s v="옥상층"/>
    <x v="0"/>
    <x v="0"/>
  </r>
  <r>
    <s v="U+대구황금"/>
    <x v="67"/>
    <x v="4"/>
    <s v="2F 서버실"/>
    <x v="0"/>
    <x v="0"/>
  </r>
  <r>
    <s v="U+대구황금"/>
    <x v="67"/>
    <x v="4"/>
    <s v="B2F 기계실"/>
    <x v="0"/>
    <x v="0"/>
  </r>
  <r>
    <s v="F0468"/>
    <x v="61"/>
    <x v="4"/>
    <s v="B1F 방재실"/>
    <x v="0"/>
    <x v="0"/>
  </r>
  <r>
    <s v="F0468"/>
    <x v="61"/>
    <x v="4"/>
    <s v="B2F 사무실"/>
    <x v="0"/>
    <x v="0"/>
  </r>
  <r>
    <s v="F0468"/>
    <x v="61"/>
    <x v="4"/>
    <s v="B1F 식당"/>
    <x v="0"/>
    <x v="0"/>
  </r>
  <r>
    <s v="F0469"/>
    <x v="62"/>
    <x v="4"/>
    <s v="B4F 기계실"/>
    <x v="0"/>
    <x v="0"/>
  </r>
  <r>
    <s v="F0421"/>
    <x v="63"/>
    <x v="4"/>
    <s v="B1F 기계실"/>
    <x v="0"/>
    <x v="0"/>
  </r>
  <r>
    <s v="F0421"/>
    <x v="63"/>
    <x v="4"/>
    <s v="PH 고가수조실"/>
    <x v="0"/>
    <x v="0"/>
  </r>
  <r>
    <s v="F0421"/>
    <x v="68"/>
    <x v="4"/>
    <s v="1F 금고실"/>
    <x v="0"/>
    <x v="0"/>
  </r>
  <r>
    <s v="F0421"/>
    <x v="64"/>
    <x v="4"/>
    <s v="B3F 기계실"/>
    <x v="0"/>
    <x v="0"/>
  </r>
  <r>
    <s v="F0421"/>
    <x v="64"/>
    <x v="4"/>
    <s v="B1F 관리실"/>
    <x v="0"/>
    <x v="0"/>
  </r>
  <r>
    <s v="F0421"/>
    <x v="69"/>
    <x v="4"/>
    <s v="B1F 관리실"/>
    <x v="0"/>
    <x v="0"/>
  </r>
  <r>
    <s v="F0454"/>
    <x v="65"/>
    <x v="4"/>
    <s v="B6F 기계실"/>
    <x v="0"/>
    <x v="0"/>
  </r>
  <r>
    <s v="F0454"/>
    <x v="65"/>
    <x v="4"/>
    <s v="B1F 방재실"/>
    <x v="0"/>
    <x v="0"/>
  </r>
  <r>
    <s v="F0414"/>
    <x v="70"/>
    <x v="5"/>
    <s v="B6F 발전기실"/>
    <x v="8"/>
    <x v="0"/>
  </r>
  <r>
    <s v="F0305"/>
    <x v="71"/>
    <x v="5"/>
    <s v="B6F 발전기실"/>
    <x v="5"/>
    <x v="0"/>
  </r>
  <r>
    <s v="F0414"/>
    <x v="70"/>
    <x v="5"/>
    <s v="B6F 사무실"/>
    <x v="5"/>
    <x v="0"/>
  </r>
  <r>
    <s v="F0414"/>
    <x v="70"/>
    <x v="5"/>
    <s v="B6F 발전기실"/>
    <x v="5"/>
    <x v="0"/>
  </r>
  <r>
    <s v="F0501"/>
    <x v="72"/>
    <x v="5"/>
    <s v="연수동 B2F 발전기실"/>
    <x v="5"/>
    <x v="0"/>
  </r>
  <r>
    <s v="F0501"/>
    <x v="72"/>
    <x v="5"/>
    <s v="전산동 1F 발전기실"/>
    <x v="5"/>
    <x v="0"/>
  </r>
  <r>
    <s v="F0305"/>
    <x v="71"/>
    <x v="5"/>
    <s v="B1F 방재실"/>
    <x v="0"/>
    <x v="0"/>
  </r>
  <r>
    <s v="F0305"/>
    <x v="71"/>
    <x v="5"/>
    <s v="B6F 기계실"/>
    <x v="0"/>
    <x v="0"/>
  </r>
  <r>
    <s v="F0414"/>
    <x v="70"/>
    <x v="5"/>
    <s v="B6F 기계실"/>
    <x v="0"/>
    <x v="0"/>
  </r>
  <r>
    <s v="F0414"/>
    <x v="70"/>
    <x v="5"/>
    <s v="B1F 방재실"/>
    <x v="0"/>
    <x v="0"/>
  </r>
  <r>
    <s v="F0414"/>
    <x v="70"/>
    <x v="5"/>
    <s v="2F 공조실"/>
    <x v="0"/>
    <x v="0"/>
  </r>
  <r>
    <s v="F0414"/>
    <x v="70"/>
    <x v="5"/>
    <s v="PH 고가수조실"/>
    <x v="0"/>
    <x v="0"/>
  </r>
  <r>
    <s v="F0501"/>
    <x v="72"/>
    <x v="5"/>
    <s v="연수동 B1F 전산실"/>
    <x v="0"/>
    <x v="0"/>
  </r>
  <r>
    <s v="F0501"/>
    <x v="72"/>
    <x v="5"/>
    <s v="연수동 B1F 방재실"/>
    <x v="0"/>
    <x v="0"/>
  </r>
  <r>
    <s v="F0501"/>
    <x v="72"/>
    <x v="5"/>
    <s v="연수동 B2F 기계실"/>
    <x v="0"/>
    <x v="0"/>
  </r>
  <r>
    <s v="F0501"/>
    <x v="72"/>
    <x v="5"/>
    <s v="전산동 1F 기계실"/>
    <x v="0"/>
    <x v="0"/>
  </r>
  <r>
    <s v="U+논현고객"/>
    <x v="73"/>
    <x v="6"/>
    <s v="지하3층 기계실"/>
    <x v="4"/>
    <x v="0"/>
  </r>
  <r>
    <s v="F0509"/>
    <x v="74"/>
    <x v="6"/>
    <s v="B1F 방재실"/>
    <x v="4"/>
    <x v="0"/>
  </r>
  <r>
    <s v="F0509"/>
    <x v="74"/>
    <x v="6"/>
    <s v="B2F 발전기실"/>
    <x v="4"/>
    <x v="0"/>
  </r>
  <r>
    <s v="F0509"/>
    <x v="75"/>
    <x v="6"/>
    <s v="B1F 방재실"/>
    <x v="4"/>
    <x v="0"/>
  </r>
  <r>
    <s v="F0522"/>
    <x v="76"/>
    <x v="6"/>
    <s v="B2F 방재실"/>
    <x v="4"/>
    <x v="0"/>
  </r>
  <r>
    <s v="F0522"/>
    <x v="76"/>
    <x v="6"/>
    <s v="B3F 발전기실"/>
    <x v="4"/>
    <x v="0"/>
  </r>
  <r>
    <s v="F0288"/>
    <x v="77"/>
    <x v="6"/>
    <s v="2F 창고"/>
    <x v="5"/>
    <x v="0"/>
  </r>
  <r>
    <s v="F0474"/>
    <x v="78"/>
    <x v="6"/>
    <s v="옥외 기계실"/>
    <x v="5"/>
    <x v="0"/>
  </r>
  <r>
    <s v="F0464"/>
    <x v="79"/>
    <x v="6"/>
    <s v="5F 서버룸 관제실"/>
    <x v="0"/>
    <x v="0"/>
  </r>
  <r>
    <s v="F0464"/>
    <x v="79"/>
    <x v="6"/>
    <s v="1F 발전기실"/>
    <x v="0"/>
    <x v="0"/>
  </r>
  <r>
    <s v="F0464"/>
    <x v="79"/>
    <x v="6"/>
    <s v="B1F 방재실"/>
    <x v="0"/>
    <x v="0"/>
  </r>
  <r>
    <s v="F0515"/>
    <x v="80"/>
    <x v="6"/>
    <s v="B1F 기계실"/>
    <x v="0"/>
    <x v="0"/>
  </r>
  <r>
    <s v="F0515"/>
    <x v="80"/>
    <x v="6"/>
    <s v="1F 방재실"/>
    <x v="0"/>
    <x v="0"/>
  </r>
  <r>
    <s v="F0515"/>
    <x v="81"/>
    <x v="6"/>
    <s v="B2F 기계실"/>
    <x v="0"/>
    <x v="0"/>
  </r>
  <r>
    <s v="F0515"/>
    <x v="81"/>
    <x v="6"/>
    <s v="B2F 발전기실"/>
    <x v="0"/>
    <x v="0"/>
  </r>
  <r>
    <s v="F0515"/>
    <x v="81"/>
    <x v="6"/>
    <s v="1F 방재실"/>
    <x v="0"/>
    <x v="0"/>
  </r>
  <r>
    <s v="F0515"/>
    <x v="81"/>
    <x v="6"/>
    <s v="9F 고가수조실"/>
    <x v="0"/>
    <x v="0"/>
  </r>
  <r>
    <s v="F0514"/>
    <x v="82"/>
    <x v="6"/>
    <s v="B1F 방재실"/>
    <x v="0"/>
    <x v="0"/>
  </r>
  <r>
    <s v="F0514"/>
    <x v="82"/>
    <x v="6"/>
    <s v="B2F 발전기실"/>
    <x v="0"/>
    <x v="0"/>
  </r>
  <r>
    <s v="F0514"/>
    <x v="83"/>
    <x v="6"/>
    <s v="B5F 기계실"/>
    <x v="0"/>
    <x v="0"/>
  </r>
  <r>
    <s v="F0508"/>
    <x v="84"/>
    <x v="6"/>
    <s v="B1F 방재실"/>
    <x v="0"/>
    <x v="0"/>
  </r>
  <r>
    <s v="F0508"/>
    <x v="84"/>
    <x v="6"/>
    <s v="B6F 기계실"/>
    <x v="0"/>
    <x v="0"/>
  </r>
  <r>
    <s v="F0508"/>
    <x v="84"/>
    <x v="6"/>
    <s v="B6F 발전기실"/>
    <x v="0"/>
    <x v="0"/>
  </r>
  <r>
    <s v="F0421"/>
    <x v="85"/>
    <x v="6"/>
    <s v="1F 숙직실"/>
    <x v="0"/>
    <x v="0"/>
  </r>
  <r>
    <s v="F0421"/>
    <x v="86"/>
    <x v="6"/>
    <s v="1F 방재실"/>
    <x v="0"/>
    <x v="0"/>
  </r>
  <r>
    <s v="F0421"/>
    <x v="87"/>
    <x v="6"/>
    <s v="2F 방재실"/>
    <x v="0"/>
    <x v="0"/>
  </r>
  <r>
    <s v="F0288"/>
    <x v="77"/>
    <x v="6"/>
    <s v="B1F 경비실"/>
    <x v="0"/>
    <x v="0"/>
  </r>
  <r>
    <s v="F0521"/>
    <x v="88"/>
    <x v="6"/>
    <s v="B3F 사무실"/>
    <x v="0"/>
    <x v="0"/>
  </r>
  <r>
    <s v="F0521"/>
    <x v="88"/>
    <x v="6"/>
    <s v="B3F 전기실"/>
    <x v="0"/>
    <x v="0"/>
  </r>
  <r>
    <s v="F0521"/>
    <x v="88"/>
    <x v="6"/>
    <s v="B1F 방재실"/>
    <x v="0"/>
    <x v="0"/>
  </r>
  <r>
    <s v="F0519"/>
    <x v="89"/>
    <x v="6"/>
    <s v="6F PH물탱크실"/>
    <x v="0"/>
    <x v="0"/>
  </r>
  <r>
    <s v="F0519"/>
    <x v="89"/>
    <x v="6"/>
    <s v="B1F 주차장"/>
    <x v="0"/>
    <x v="0"/>
  </r>
  <r>
    <s v="F0519"/>
    <x v="89"/>
    <x v="6"/>
    <s v="B2F 방재실"/>
    <x v="0"/>
    <x v="0"/>
  </r>
  <r>
    <s v="F0519"/>
    <x v="90"/>
    <x v="6"/>
    <s v="B4F 기계실"/>
    <x v="0"/>
    <x v="0"/>
  </r>
  <r>
    <s v="F0519"/>
    <x v="90"/>
    <x v="6"/>
    <s v="B4F 전기실"/>
    <x v="0"/>
    <x v="0"/>
  </r>
  <r>
    <s v="F0519"/>
    <x v="90"/>
    <x v="6"/>
    <s v="B1F 방재실"/>
    <x v="0"/>
    <x v="0"/>
  </r>
  <r>
    <s v="F0519"/>
    <x v="90"/>
    <x v="6"/>
    <s v="9F 공조실"/>
    <x v="0"/>
    <x v="0"/>
  </r>
  <r>
    <s v="F0519"/>
    <x v="91"/>
    <x v="6"/>
    <s v="B2F 기계실"/>
    <x v="0"/>
    <x v="0"/>
  </r>
  <r>
    <s v="F0519"/>
    <x v="91"/>
    <x v="6"/>
    <s v="B2F 전기실"/>
    <x v="0"/>
    <x v="0"/>
  </r>
  <r>
    <s v="F0421"/>
    <x v="92"/>
    <x v="6"/>
    <s v="1F 방재실"/>
    <x v="0"/>
    <x v="0"/>
  </r>
  <r>
    <s v="F0474"/>
    <x v="78"/>
    <x v="6"/>
    <s v="본관 2F 수신기실"/>
    <x v="0"/>
    <x v="0"/>
  </r>
  <r>
    <s v="F0474"/>
    <x v="78"/>
    <x v="6"/>
    <s v="옥외 수변전실"/>
    <x v="0"/>
    <x v="0"/>
  </r>
  <r>
    <s v="F0474"/>
    <x v="93"/>
    <x v="6"/>
    <s v="본관 방재실"/>
    <x v="0"/>
    <x v="0"/>
  </r>
  <r>
    <s v="F0474"/>
    <x v="93"/>
    <x v="6"/>
    <s v="본관 주차장"/>
    <x v="0"/>
    <x v="0"/>
  </r>
  <r>
    <s v="F0474"/>
    <x v="93"/>
    <x v="6"/>
    <s v="본관 B2F 저수조실"/>
    <x v="0"/>
    <x v="0"/>
  </r>
  <r>
    <s v="F0474"/>
    <x v="94"/>
    <x v="6"/>
    <s v="사무동 2F 사무실"/>
    <x v="0"/>
    <x v="0"/>
  </r>
  <r>
    <s v="F0474"/>
    <x v="94"/>
    <x v="6"/>
    <s v="기계동 발전기실"/>
    <x v="0"/>
    <x v="0"/>
  </r>
  <r>
    <s v="F0475"/>
    <x v="95"/>
    <x v="6"/>
    <s v="1F 로비"/>
    <x v="0"/>
    <x v="0"/>
  </r>
  <r>
    <s v="F0475"/>
    <x v="95"/>
    <x v="6"/>
    <s v="B2F 기계실"/>
    <x v="0"/>
    <x v="0"/>
  </r>
  <r>
    <s v="F0475"/>
    <x v="95"/>
    <x v="6"/>
    <s v="자하2F 발전기실"/>
    <x v="0"/>
    <x v="0"/>
  </r>
  <r>
    <s v="F0475"/>
    <x v="96"/>
    <x v="6"/>
    <s v="1F 로비"/>
    <x v="0"/>
    <x v="0"/>
  </r>
  <r>
    <s v="F0475"/>
    <x v="96"/>
    <x v="6"/>
    <s v="B2F 기계실"/>
    <x v="0"/>
    <x v="0"/>
  </r>
  <r>
    <s v="F0475"/>
    <x v="96"/>
    <x v="6"/>
    <s v="자하2F 발전기실"/>
    <x v="0"/>
    <x v="0"/>
  </r>
  <r>
    <s v="F0474"/>
    <x v="97"/>
    <x v="6"/>
    <s v="본관 2F 수신기실"/>
    <x v="0"/>
    <x v="0"/>
  </r>
  <r>
    <s v="F0474"/>
    <x v="97"/>
    <x v="6"/>
    <s v="옥외 기계실"/>
    <x v="0"/>
    <x v="0"/>
  </r>
  <r>
    <s v="F0474"/>
    <x v="97"/>
    <x v="6"/>
    <s v="옥외 전기실"/>
    <x v="0"/>
    <x v="0"/>
  </r>
  <r>
    <s v="F0504"/>
    <x v="98"/>
    <x v="6"/>
    <s v="B1F 방재실"/>
    <x v="0"/>
    <x v="0"/>
  </r>
  <r>
    <s v="F0504"/>
    <x v="98"/>
    <x v="6"/>
    <s v="B6F 기계실"/>
    <x v="0"/>
    <x v="0"/>
  </r>
  <r>
    <s v="F0504"/>
    <x v="98"/>
    <x v="6"/>
    <s v="B6F 발전기실"/>
    <x v="0"/>
    <x v="0"/>
  </r>
  <r>
    <s v="F0530"/>
    <x v="99"/>
    <x v="7"/>
    <s v="B4F 기계실"/>
    <x v="9"/>
    <x v="0"/>
  </r>
  <r>
    <s v="F0530"/>
    <x v="99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30"/>
    <x v="99"/>
    <x v="7"/>
    <s v="B3F 방재실"/>
    <x v="4"/>
    <x v="0"/>
  </r>
  <r>
    <s v="F0530"/>
    <x v="99"/>
    <x v="7"/>
    <s v="B4F 발전기실"/>
    <x v="4"/>
    <x v="0"/>
  </r>
  <r>
    <s v="F0530"/>
    <x v="99"/>
    <x v="7"/>
    <s v="15F 공조실"/>
    <x v="4"/>
    <x v="0"/>
  </r>
  <r>
    <s v="F0524"/>
    <x v="102"/>
    <x v="7"/>
    <s v="25F 공조실"/>
    <x v="4"/>
    <x v="0"/>
  </r>
  <r>
    <s v="F0524"/>
    <x v="102"/>
    <x v="7"/>
    <s v="5F 공조실"/>
    <x v="4"/>
    <x v="0"/>
  </r>
  <r>
    <s v="F0524"/>
    <x v="102"/>
    <x v="7"/>
    <s v="B1F 방재실"/>
    <x v="4"/>
    <x v="0"/>
  </r>
  <r>
    <s v="F0524"/>
    <x v="102"/>
    <x v="7"/>
    <s v="B6F 기계실"/>
    <x v="4"/>
    <x v="0"/>
  </r>
  <r>
    <s v="F0524"/>
    <x v="102"/>
    <x v="7"/>
    <s v="B6F 발전기실"/>
    <x v="4"/>
    <x v="0"/>
  </r>
  <r>
    <s v="F0533"/>
    <x v="100"/>
    <x v="7"/>
    <s v="1F 업무지원동 방재실"/>
    <x v="4"/>
    <x v="0"/>
  </r>
  <r>
    <s v="F0533"/>
    <x v="100"/>
    <x v="7"/>
    <s v="B2 업무지원동 기계실"/>
    <x v="4"/>
    <x v="0"/>
  </r>
  <r>
    <s v="F0533"/>
    <x v="100"/>
    <x v="7"/>
    <s v="B2 업무지원동 전기실"/>
    <x v="4"/>
    <x v="0"/>
  </r>
  <r>
    <s v="F0533"/>
    <x v="100"/>
    <x v="7"/>
    <s v="1F 합숙소 방재실"/>
    <x v="4"/>
    <x v="0"/>
  </r>
  <r>
    <s v="F0533"/>
    <x v="100"/>
    <x v="7"/>
    <s v="B2 합숙소 기계실"/>
    <x v="4"/>
    <x v="0"/>
  </r>
  <r>
    <s v="U+광주우산"/>
    <x v="103"/>
    <x v="7"/>
    <s v="B1F 방재실"/>
    <x v="4"/>
    <x v="0"/>
  </r>
  <r>
    <s v="U+대전R&amp;"/>
    <x v="104"/>
    <x v="7"/>
    <s v="지하1층 기계실"/>
    <x v="4"/>
    <x v="0"/>
  </r>
  <r>
    <s v="U+대전오류"/>
    <x v="105"/>
    <x v="7"/>
    <s v="지하4층 기계실"/>
    <x v="4"/>
    <x v="0"/>
  </r>
  <r>
    <s v="U+대전탄방"/>
    <x v="106"/>
    <x v="7"/>
    <s v="지하1층 배터리실"/>
    <x v="4"/>
    <x v="0"/>
  </r>
  <r>
    <s v="U+독산"/>
    <x v="107"/>
    <x v="7"/>
    <s v="지하2층 방재실"/>
    <x v="4"/>
    <x v="0"/>
  </r>
  <r>
    <s v="U+독산"/>
    <x v="107"/>
    <x v="7"/>
    <s v="지하4층 기계실"/>
    <x v="4"/>
    <x v="0"/>
  </r>
  <r>
    <s v="U+독산"/>
    <x v="107"/>
    <x v="7"/>
    <s v="지하4층 발전기실"/>
    <x v="4"/>
    <x v="0"/>
  </r>
  <r>
    <s v="U+마산합성"/>
    <x v="108"/>
    <x v="7"/>
    <s v="확인필요"/>
    <x v="4"/>
    <x v="0"/>
  </r>
  <r>
    <s v="U+부산아미"/>
    <x v="109"/>
    <x v="7"/>
    <s v="확인필요"/>
    <x v="4"/>
    <x v="0"/>
  </r>
  <r>
    <s v="U+성남수진"/>
    <x v="110"/>
    <x v="7"/>
    <s v="지하2층 기계실"/>
    <x v="4"/>
    <x v="0"/>
  </r>
  <r>
    <s v="U+인천간석"/>
    <x v="111"/>
    <x v="7"/>
    <s v="확인필요"/>
    <x v="4"/>
    <x v="0"/>
  </r>
  <r>
    <s v="U+전주중화"/>
    <x v="112"/>
    <x v="7"/>
    <s v="B1F 방재실"/>
    <x v="4"/>
    <x v="0"/>
  </r>
  <r>
    <s v="U+청주복대"/>
    <x v="113"/>
    <x v="7"/>
    <s v="지하1층 펌프실"/>
    <x v="4"/>
    <x v="0"/>
  </r>
  <r>
    <s v="F0529"/>
    <x v="114"/>
    <x v="7"/>
    <s v="A블럭_B1F 방재실"/>
    <x v="4"/>
    <x v="0"/>
  </r>
  <r>
    <s v="F0529"/>
    <x v="114"/>
    <x v="7"/>
    <s v="A블럭_B1F 쓰레기 하차장"/>
    <x v="4"/>
    <x v="0"/>
  </r>
  <r>
    <s v="F0529"/>
    <x v="114"/>
    <x v="7"/>
    <s v="A블럭_B2F 이마트하역장"/>
    <x v="4"/>
    <x v="0"/>
  </r>
  <r>
    <s v="F0529"/>
    <x v="114"/>
    <x v="7"/>
    <s v="A블럭_B3F 주차장1"/>
    <x v="4"/>
    <x v="0"/>
  </r>
  <r>
    <s v="F0529"/>
    <x v="114"/>
    <x v="7"/>
    <s v="A블럭_B3F 주차장2"/>
    <x v="4"/>
    <x v="0"/>
  </r>
  <r>
    <s v="F0529"/>
    <x v="114"/>
    <x v="7"/>
    <s v="A블럭_B4F 기계실"/>
    <x v="4"/>
    <x v="0"/>
  </r>
  <r>
    <s v="F0529"/>
    <x v="114"/>
    <x v="7"/>
    <s v="A블럭_B4F 발전기실"/>
    <x v="4"/>
    <x v="0"/>
  </r>
  <r>
    <s v="F0529"/>
    <x v="114"/>
    <x v="7"/>
    <s v="A블럭_B4F 주차장"/>
    <x v="4"/>
    <x v="0"/>
  </r>
  <r>
    <s v="F0529"/>
    <x v="114"/>
    <x v="7"/>
    <s v="B블럭_가동 1F 경비실"/>
    <x v="4"/>
    <x v="0"/>
  </r>
  <r>
    <s v="F0529"/>
    <x v="114"/>
    <x v="7"/>
    <s v="B블럭 가동 B1F 발전기실"/>
    <x v="4"/>
    <x v="0"/>
  </r>
  <r>
    <s v="F0529"/>
    <x v="114"/>
    <x v="7"/>
    <s v="B블럭 나동 1F 로비"/>
    <x v="4"/>
    <x v="0"/>
  </r>
  <r>
    <s v="F0114"/>
    <x v="115"/>
    <x v="7"/>
    <s v="B1F 관리소"/>
    <x v="4"/>
    <x v="0"/>
  </r>
  <r>
    <s v="F0541"/>
    <x v="116"/>
    <x v="7"/>
    <s v="B1F 방재실"/>
    <x v="4"/>
    <x v="0"/>
  </r>
  <r>
    <s v="F0541"/>
    <x v="116"/>
    <x v="7"/>
    <s v="B1F 발전기실"/>
    <x v="4"/>
    <x v="0"/>
  </r>
  <r>
    <s v="F0541"/>
    <x v="116"/>
    <x v="7"/>
    <s v="B2F 기계실"/>
    <x v="4"/>
    <x v="0"/>
  </r>
  <r>
    <s v="F0421"/>
    <x v="117"/>
    <x v="7"/>
    <s v="B1F 기계실"/>
    <x v="4"/>
    <x v="0"/>
  </r>
  <r>
    <s v="F0421"/>
    <x v="117"/>
    <x v="7"/>
    <s v="B1F 전기실"/>
    <x v="4"/>
    <x v="0"/>
  </r>
  <r>
    <s v="F0421"/>
    <x v="117"/>
    <x v="7"/>
    <s v="4F 물탱크실"/>
    <x v="4"/>
    <x v="0"/>
  </r>
  <r>
    <s v="F0080"/>
    <x v="118"/>
    <x v="7"/>
    <s v="B1F 기계실"/>
    <x v="4"/>
    <x v="0"/>
  </r>
  <r>
    <s v="F0080"/>
    <x v="118"/>
    <x v="7"/>
    <s v="1F 방재실"/>
    <x v="4"/>
    <x v="0"/>
  </r>
  <r>
    <s v="F0080"/>
    <x v="118"/>
    <x v="7"/>
    <s v="1F 발전기실"/>
    <x v="4"/>
    <x v="0"/>
  </r>
  <r>
    <s v="F0080"/>
    <x v="118"/>
    <x v="7"/>
    <s v="3F LGCNS 공조실"/>
    <x v="4"/>
    <x v="0"/>
  </r>
  <r>
    <s v="F0080"/>
    <x v="118"/>
    <x v="7"/>
    <s v="3F LGU+ 가스소화설비실"/>
    <x v="4"/>
    <x v="0"/>
  </r>
  <r>
    <s v="F0080"/>
    <x v="118"/>
    <x v="7"/>
    <s v="7F 공조실"/>
    <x v="4"/>
    <x v="0"/>
  </r>
  <r>
    <s v="F0080"/>
    <x v="118"/>
    <x v="7"/>
    <s v="7F 승강기기계실"/>
    <x v="4"/>
    <x v="0"/>
  </r>
  <r>
    <s v="F0080"/>
    <x v="118"/>
    <x v="7"/>
    <s v="PH1 옥탑F 승강기기계실"/>
    <x v="4"/>
    <x v="0"/>
  </r>
  <r>
    <s v="F0080"/>
    <x v="118"/>
    <x v="7"/>
    <s v="PH2 옥탑F 기계실"/>
    <x v="4"/>
    <x v="0"/>
  </r>
  <r>
    <s v="F0355"/>
    <x v="119"/>
    <x v="7"/>
    <s v="B1F 기계실"/>
    <x v="4"/>
    <x v="0"/>
  </r>
  <r>
    <s v="F0542"/>
    <x v="101"/>
    <x v="7"/>
    <s v="PH  옥상공조실"/>
    <x v="4"/>
    <x v="0"/>
  </r>
  <r>
    <s v="F0542"/>
    <x v="101"/>
    <x v="7"/>
    <s v="B1F 방재실"/>
    <x v="4"/>
    <x v="0"/>
  </r>
  <r>
    <s v="F0542"/>
    <x v="101"/>
    <x v="7"/>
    <s v="B2F EPS실"/>
    <x v="4"/>
    <x v="0"/>
  </r>
  <r>
    <s v="F0542"/>
    <x v="101"/>
    <x v="7"/>
    <s v="B7F 기계실"/>
    <x v="4"/>
    <x v="0"/>
  </r>
  <r>
    <s v="F0542"/>
    <x v="101"/>
    <x v="7"/>
    <s v="B7F 펌프실"/>
    <x v="4"/>
    <x v="0"/>
  </r>
  <r>
    <s v="F0095"/>
    <x v="120"/>
    <x v="8"/>
    <s v="B7F 펌프실"/>
    <x v="9"/>
    <x v="0"/>
  </r>
  <r>
    <s v="F0095"/>
    <x v="120"/>
    <x v="8"/>
    <s v="B7F 펌프실"/>
    <x v="9"/>
    <x v="0"/>
  </r>
  <r>
    <s v="F0568"/>
    <x v="121"/>
    <x v="8"/>
    <s v="B7F 펌프실"/>
    <x v="9"/>
    <x v="0"/>
  </r>
  <r>
    <s v="F0564"/>
    <x v="122"/>
    <x v="8"/>
    <s v="B7F 펌프실"/>
    <x v="9"/>
    <x v="0"/>
  </r>
  <r>
    <s v="F0564"/>
    <x v="122"/>
    <x v="8"/>
    <s v="B7F 펌프실"/>
    <x v="9"/>
    <x v="0"/>
  </r>
  <r>
    <s v="F0565"/>
    <x v="123"/>
    <x v="8"/>
    <s v="B3F 기계실"/>
    <x v="9"/>
    <x v="0"/>
  </r>
  <r>
    <s v="F0566"/>
    <x v="124"/>
    <x v="8"/>
    <s v="B3F 기계실"/>
    <x v="9"/>
    <x v="0"/>
  </r>
  <r>
    <s v="F0562"/>
    <x v="125"/>
    <x v="8"/>
    <s v="B3F 기계실"/>
    <x v="9"/>
    <x v="0"/>
  </r>
  <r>
    <s v="F0563"/>
    <x v="126"/>
    <x v="8"/>
    <s v="B3F 기계실"/>
    <x v="9"/>
    <x v="0"/>
  </r>
  <r>
    <s v="F0563"/>
    <x v="126"/>
    <x v="8"/>
    <s v="B3F 기계실"/>
    <x v="9"/>
    <x v="0"/>
  </r>
  <r>
    <s v="F0563"/>
    <x v="126"/>
    <x v="8"/>
    <s v="B4F 감시실"/>
    <x v="9"/>
    <x v="0"/>
  </r>
  <r>
    <s v="F0095"/>
    <x v="120"/>
    <x v="8"/>
    <s v="B1F 감시실"/>
    <x v="4"/>
    <x v="0"/>
  </r>
  <r>
    <s v="F0095"/>
    <x v="120"/>
    <x v="8"/>
    <s v="B3F 기계실"/>
    <x v="4"/>
    <x v="0"/>
  </r>
  <r>
    <s v="F0607"/>
    <x v="127"/>
    <x v="8"/>
    <s v="방재실"/>
    <x v="4"/>
    <x v="0"/>
  </r>
  <r>
    <s v="F0607"/>
    <x v="127"/>
    <x v="8"/>
    <s v="발전기실"/>
    <x v="4"/>
    <x v="0"/>
  </r>
  <r>
    <s v="F0607"/>
    <x v="127"/>
    <x v="8"/>
    <s v="기계실"/>
    <x v="4"/>
    <x v="0"/>
  </r>
  <r>
    <s v="F0608"/>
    <x v="127"/>
    <x v="8"/>
    <s v="B1F 방재실"/>
    <x v="4"/>
    <x v="0"/>
  </r>
  <r>
    <s v="F0608"/>
    <x v="127"/>
    <x v="8"/>
    <s v="B1F 주수변전실"/>
    <x v="4"/>
    <x v="0"/>
  </r>
  <r>
    <s v="F0608"/>
    <x v="127"/>
    <x v="8"/>
    <s v="B1F 부수변전실"/>
    <x v="4"/>
    <x v="0"/>
  </r>
  <r>
    <s v="F0606"/>
    <x v="128"/>
    <x v="8"/>
    <s v="방재실"/>
    <x v="4"/>
    <x v="0"/>
  </r>
  <r>
    <s v="F0606"/>
    <x v="128"/>
    <x v="8"/>
    <s v="발전기실"/>
    <x v="4"/>
    <x v="0"/>
  </r>
  <r>
    <s v="F0606"/>
    <x v="128"/>
    <x v="8"/>
    <s v="기계실"/>
    <x v="4"/>
    <x v="0"/>
  </r>
  <r>
    <s v="F0349"/>
    <x v="129"/>
    <x v="8"/>
    <s v="PH 고가수조실"/>
    <x v="4"/>
    <x v="0"/>
  </r>
  <r>
    <s v="F0349"/>
    <x v="129"/>
    <x v="8"/>
    <s v="4F EPS실"/>
    <x v="4"/>
    <x v="0"/>
  </r>
  <r>
    <s v="F0349"/>
    <x v="129"/>
    <x v="8"/>
    <s v="1F 폐수처리장"/>
    <x v="4"/>
    <x v="0"/>
  </r>
  <r>
    <s v="F0349"/>
    <x v="129"/>
    <x v="8"/>
    <s v="1F 보일러실"/>
    <x v="4"/>
    <x v="0"/>
  </r>
  <r>
    <s v="U+남울산"/>
    <x v="130"/>
    <x v="8"/>
    <s v="확인필요"/>
    <x v="4"/>
    <x v="0"/>
  </r>
  <r>
    <s v="U+시흥고객"/>
    <x v="131"/>
    <x v="8"/>
    <s v="B1F 방재실"/>
    <x v="4"/>
    <x v="0"/>
  </r>
  <r>
    <s v="U+시흥고객"/>
    <x v="131"/>
    <x v="8"/>
    <s v="B3F 발전기실"/>
    <x v="4"/>
    <x v="0"/>
  </r>
  <r>
    <s v="U+시흥고객"/>
    <x v="131"/>
    <x v="8"/>
    <s v="B3F 기계실"/>
    <x v="4"/>
    <x v="0"/>
  </r>
  <r>
    <s v="U+양산중부"/>
    <x v="132"/>
    <x v="8"/>
    <s v="확인필요"/>
    <x v="4"/>
    <x v="0"/>
  </r>
  <r>
    <s v="U+진주혁신"/>
    <x v="133"/>
    <x v="8"/>
    <s v="1F 사옥관리부"/>
    <x v="4"/>
    <x v="0"/>
  </r>
  <r>
    <s v="U+진주혁신"/>
    <x v="133"/>
    <x v="8"/>
    <s v="B2F 기계실"/>
    <x v="4"/>
    <x v="0"/>
  </r>
  <r>
    <s v="U+진주혁신"/>
    <x v="133"/>
    <x v="8"/>
    <s v="B2F 발전기실"/>
    <x v="4"/>
    <x v="0"/>
  </r>
  <r>
    <s v="F0022"/>
    <x v="134"/>
    <x v="8"/>
    <s v="1F 관리동 사무실"/>
    <x v="4"/>
    <x v="0"/>
  </r>
  <r>
    <s v="F0022"/>
    <x v="134"/>
    <x v="8"/>
    <s v="1F 발전기실"/>
    <x v="4"/>
    <x v="0"/>
  </r>
  <r>
    <s v="F0095"/>
    <x v="135"/>
    <x v="8"/>
    <s v="1F 감시실"/>
    <x v="4"/>
    <x v="0"/>
  </r>
  <r>
    <s v="F0560"/>
    <x v="136"/>
    <x v="8"/>
    <s v="B2F 방재실"/>
    <x v="4"/>
    <x v="0"/>
  </r>
  <r>
    <s v="F0560"/>
    <x v="136"/>
    <x v="8"/>
    <s v="B6F 감시실"/>
    <x v="4"/>
    <x v="0"/>
  </r>
  <r>
    <s v="F0560"/>
    <x v="136"/>
    <x v="8"/>
    <s v="B6F 전기실"/>
    <x v="4"/>
    <x v="0"/>
  </r>
  <r>
    <s v="F0421"/>
    <x v="137"/>
    <x v="8"/>
    <s v="B1F 기계실"/>
    <x v="4"/>
    <x v="0"/>
  </r>
  <r>
    <s v="F0421"/>
    <x v="137"/>
    <x v="8"/>
    <s v="1F 로비"/>
    <x v="4"/>
    <x v="0"/>
  </r>
  <r>
    <s v="F0421"/>
    <x v="138"/>
    <x v="8"/>
    <s v="B1F 기계실"/>
    <x v="4"/>
    <x v="0"/>
  </r>
  <r>
    <s v="F0538"/>
    <x v="139"/>
    <x v="8"/>
    <s v="C1 B1F 방재실"/>
    <x v="4"/>
    <x v="0"/>
  </r>
  <r>
    <s v="F0538"/>
    <x v="139"/>
    <x v="8"/>
    <s v="C1 B6F 발전기실"/>
    <x v="4"/>
    <x v="0"/>
  </r>
  <r>
    <s v="F0538"/>
    <x v="139"/>
    <x v="8"/>
    <s v="C2 B1F 방재실"/>
    <x v="4"/>
    <x v="0"/>
  </r>
  <r>
    <s v="F0538"/>
    <x v="139"/>
    <x v="8"/>
    <s v="C2 B5F 업무동 발전기실"/>
    <x v="4"/>
    <x v="0"/>
  </r>
  <r>
    <s v="F0538"/>
    <x v="139"/>
    <x v="8"/>
    <s v="C2 B5F 판매동 발전기실"/>
    <x v="4"/>
    <x v="0"/>
  </r>
  <r>
    <s v="F0538"/>
    <x v="139"/>
    <x v="8"/>
    <s v="C2 B5F 오피스텔 발전기실"/>
    <x v="4"/>
    <x v="0"/>
  </r>
  <r>
    <s v="F0568"/>
    <x v="121"/>
    <x v="8"/>
    <s v="B1F 방재실"/>
    <x v="4"/>
    <x v="0"/>
  </r>
  <r>
    <s v="F0568"/>
    <x v="121"/>
    <x v="8"/>
    <s v="B4F 발전기실"/>
    <x v="4"/>
    <x v="0"/>
  </r>
  <r>
    <s v="F0568"/>
    <x v="121"/>
    <x v="8"/>
    <s v="PH 공조실"/>
    <x v="4"/>
    <x v="0"/>
  </r>
  <r>
    <s v="F0568"/>
    <x v="121"/>
    <x v="8"/>
    <s v="B4F 기계실"/>
    <x v="4"/>
    <x v="0"/>
  </r>
  <r>
    <s v="F0564"/>
    <x v="122"/>
    <x v="8"/>
    <s v="B1F 방재실"/>
    <x v="4"/>
    <x v="0"/>
  </r>
  <r>
    <s v="F0564"/>
    <x v="122"/>
    <x v="8"/>
    <s v="B4F 기계실"/>
    <x v="4"/>
    <x v="0"/>
  </r>
  <r>
    <s v="F0564"/>
    <x v="122"/>
    <x v="8"/>
    <s v="B4F 전기실"/>
    <x v="4"/>
    <x v="0"/>
  </r>
  <r>
    <s v="F0564"/>
    <x v="122"/>
    <x v="8"/>
    <s v="16F 물탱크실"/>
    <x v="4"/>
    <x v="0"/>
  </r>
  <r>
    <s v="F0565"/>
    <x v="123"/>
    <x v="8"/>
    <s v="14F 공조실"/>
    <x v="4"/>
    <x v="0"/>
  </r>
  <r>
    <s v="F0565"/>
    <x v="123"/>
    <x v="8"/>
    <s v="B1F 공조실"/>
    <x v="4"/>
    <x v="0"/>
  </r>
  <r>
    <s v="F0565"/>
    <x v="123"/>
    <x v="8"/>
    <s v="B3F 발전기실"/>
    <x v="4"/>
    <x v="0"/>
  </r>
  <r>
    <s v="F0565"/>
    <x v="123"/>
    <x v="8"/>
    <s v="B3F 중앙감시실"/>
    <x v="4"/>
    <x v="0"/>
  </r>
  <r>
    <s v="F0566"/>
    <x v="124"/>
    <x v="8"/>
    <s v="16F 공조기실"/>
    <x v="4"/>
    <x v="0"/>
  </r>
  <r>
    <s v="F0566"/>
    <x v="124"/>
    <x v="8"/>
    <s v="1F 방재실"/>
    <x v="4"/>
    <x v="0"/>
  </r>
  <r>
    <s v="F0566"/>
    <x v="124"/>
    <x v="8"/>
    <s v="B5F 기계실"/>
    <x v="4"/>
    <x v="0"/>
  </r>
  <r>
    <s v="F0566"/>
    <x v="124"/>
    <x v="8"/>
    <s v="B5F 전기실"/>
    <x v="4"/>
    <x v="0"/>
  </r>
  <r>
    <s v="F0569"/>
    <x v="140"/>
    <x v="8"/>
    <s v="B1F 방재실"/>
    <x v="4"/>
    <x v="0"/>
  </r>
  <r>
    <s v="F0569"/>
    <x v="140"/>
    <x v="8"/>
    <s v="B3F 기계실"/>
    <x v="4"/>
    <x v="0"/>
  </r>
  <r>
    <s v="F0569"/>
    <x v="140"/>
    <x v="8"/>
    <s v="B1F 발전기실"/>
    <x v="4"/>
    <x v="0"/>
  </r>
  <r>
    <s v="F0562"/>
    <x v="125"/>
    <x v="8"/>
    <s v="13F 고가수조실"/>
    <x v="4"/>
    <x v="0"/>
  </r>
  <r>
    <s v="F0562"/>
    <x v="125"/>
    <x v="8"/>
    <s v="B1F 방재실"/>
    <x v="4"/>
    <x v="0"/>
  </r>
  <r>
    <s v="F0562"/>
    <x v="125"/>
    <x v="8"/>
    <s v="B2F 감시실"/>
    <x v="4"/>
    <x v="0"/>
  </r>
  <r>
    <s v="F0562"/>
    <x v="125"/>
    <x v="8"/>
    <s v="B2F 발전기실"/>
    <x v="4"/>
    <x v="0"/>
  </r>
  <r>
    <s v="F0563"/>
    <x v="126"/>
    <x v="8"/>
    <s v="14F 공조실"/>
    <x v="4"/>
    <x v="0"/>
  </r>
  <r>
    <s v="F0563"/>
    <x v="126"/>
    <x v="8"/>
    <s v="1F 방재실"/>
    <x v="4"/>
    <x v="0"/>
  </r>
  <r>
    <s v="F0563"/>
    <x v="126"/>
    <x v="8"/>
    <s v="B4F 발전기실"/>
    <x v="4"/>
    <x v="0"/>
  </r>
  <r>
    <s v="F0563"/>
    <x v="126"/>
    <x v="8"/>
    <s v="B4F 기계실"/>
    <x v="4"/>
    <x v="0"/>
  </r>
  <r>
    <s v="F0567"/>
    <x v="141"/>
    <x v="8"/>
    <s v="15F 공조실"/>
    <x v="4"/>
    <x v="0"/>
  </r>
  <r>
    <s v="F0567"/>
    <x v="141"/>
    <x v="8"/>
    <s v="B1F 방재실"/>
    <x v="4"/>
    <x v="0"/>
  </r>
  <r>
    <s v="F0567"/>
    <x v="141"/>
    <x v="8"/>
    <s v="B4F 발전기실"/>
    <x v="4"/>
    <x v="0"/>
  </r>
  <r>
    <s v="F0567"/>
    <x v="141"/>
    <x v="8"/>
    <s v="B4F 기계실"/>
    <x v="4"/>
    <x v="0"/>
  </r>
  <r>
    <s v="F0579"/>
    <x v="142"/>
    <x v="8"/>
    <s v="1F 방재실"/>
    <x v="4"/>
    <x v="0"/>
  </r>
  <r>
    <s v="F0579"/>
    <x v="142"/>
    <x v="8"/>
    <s v="B1F 기계실"/>
    <x v="4"/>
    <x v="0"/>
  </r>
  <r>
    <s v="F0579"/>
    <x v="142"/>
    <x v="8"/>
    <s v="B1F 전기실"/>
    <x v="4"/>
    <x v="0"/>
  </r>
  <r>
    <s v="F0579"/>
    <x v="142"/>
    <x v="8"/>
    <s v="B1F 공조실"/>
    <x v="4"/>
    <x v="0"/>
  </r>
  <r>
    <s v="F0579"/>
    <x v="142"/>
    <x v="8"/>
    <s v="B1F 수영장 기계실"/>
    <x v="4"/>
    <x v="0"/>
  </r>
  <r>
    <s v="F0569"/>
    <x v="143"/>
    <x v="8"/>
    <s v="1F 로비"/>
    <x v="4"/>
    <x v="0"/>
  </r>
  <r>
    <s v="F0474"/>
    <x v="144"/>
    <x v="8"/>
    <s v="사무동 2F 방재실"/>
    <x v="4"/>
    <x v="0"/>
  </r>
  <r>
    <s v="F0474"/>
    <x v="144"/>
    <x v="8"/>
    <s v="기계동 1F 발전기실"/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67445-E690-494D-9828-E6D7784594B1}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3:P15" firstHeaderRow="1" firstDataRow="3" firstDataCol="1"/>
  <pivotFields count="6"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dataField="1" showAll="0">
      <items count="11">
        <item x="0"/>
        <item x="4"/>
        <item x="8"/>
        <item x="9"/>
        <item x="5"/>
        <item x="1"/>
        <item x="3"/>
        <item x="2"/>
        <item x="7"/>
        <item x="6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5"/>
    <field x="4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 v="5"/>
    </i>
    <i t="default">
      <x v="1"/>
    </i>
    <i>
      <x v="2"/>
      <x v="6"/>
    </i>
    <i r="1">
      <x v="7"/>
    </i>
    <i r="1">
      <x v="8"/>
    </i>
    <i t="default">
      <x v="2"/>
    </i>
    <i>
      <x v="3"/>
      <x v="9"/>
    </i>
    <i t="default">
      <x v="3"/>
    </i>
    <i t="grand">
      <x/>
    </i>
  </colItems>
  <dataFields count="1">
    <dataField name="개수 : 원격장비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workbookViewId="0">
      <pane ySplit="2" topLeftCell="A129" activePane="bottomLeft" state="frozen"/>
      <selection activeCell="F20" sqref="F20"/>
      <selection pane="bottomLeft" activeCell="C134" sqref="C134"/>
    </sheetView>
  </sheetViews>
  <sheetFormatPr defaultRowHeight="16.5" customHeight="1" x14ac:dyDescent="0.3"/>
  <cols>
    <col min="1" max="1" width="12.375" style="56" customWidth="1"/>
    <col min="2" max="2" width="36.75" style="27" customWidth="1"/>
    <col min="3" max="3" width="13.25" style="56" customWidth="1"/>
    <col min="4" max="16384" width="9" style="27"/>
  </cols>
  <sheetData>
    <row r="1" spans="1:5" ht="20.25" customHeight="1" x14ac:dyDescent="0.3">
      <c r="A1" s="69" t="s">
        <v>718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102</v>
      </c>
      <c r="C3" s="74">
        <v>41275</v>
      </c>
    </row>
    <row r="4" spans="1:5" ht="16.5" customHeight="1" x14ac:dyDescent="0.3">
      <c r="A4" s="56">
        <v>2</v>
      </c>
      <c r="B4" s="27" t="s">
        <v>103</v>
      </c>
      <c r="C4" s="74">
        <v>41275</v>
      </c>
    </row>
    <row r="5" spans="1:5" ht="16.5" customHeight="1" x14ac:dyDescent="0.3">
      <c r="A5" s="56">
        <v>3</v>
      </c>
      <c r="B5" s="27" t="s">
        <v>104</v>
      </c>
      <c r="C5" s="74">
        <v>41275</v>
      </c>
    </row>
    <row r="6" spans="1:5" ht="16.5" customHeight="1" x14ac:dyDescent="0.3">
      <c r="A6" s="56">
        <v>4</v>
      </c>
      <c r="B6" s="27" t="s">
        <v>105</v>
      </c>
      <c r="C6" s="74">
        <v>41275</v>
      </c>
    </row>
    <row r="7" spans="1:5" ht="16.5" customHeight="1" x14ac:dyDescent="0.3">
      <c r="A7" s="56">
        <v>5</v>
      </c>
      <c r="B7" s="27" t="s">
        <v>106</v>
      </c>
      <c r="C7" s="74">
        <v>41275</v>
      </c>
    </row>
    <row r="8" spans="1:5" ht="16.5" customHeight="1" x14ac:dyDescent="0.3">
      <c r="A8" s="56">
        <v>6</v>
      </c>
      <c r="B8" s="27" t="s">
        <v>107</v>
      </c>
      <c r="C8" s="74">
        <v>41275</v>
      </c>
    </row>
    <row r="9" spans="1:5" ht="16.5" customHeight="1" x14ac:dyDescent="0.3">
      <c r="A9" s="56">
        <v>7</v>
      </c>
      <c r="B9" s="27" t="s">
        <v>108</v>
      </c>
      <c r="C9" s="74">
        <v>41275</v>
      </c>
    </row>
    <row r="10" spans="1:5" ht="16.5" customHeight="1" x14ac:dyDescent="0.3">
      <c r="A10" s="56">
        <v>8</v>
      </c>
      <c r="B10" s="27" t="s">
        <v>109</v>
      </c>
      <c r="C10" s="74">
        <v>41275</v>
      </c>
    </row>
    <row r="11" spans="1:5" ht="16.5" customHeight="1" x14ac:dyDescent="0.3">
      <c r="A11" s="56">
        <v>9</v>
      </c>
      <c r="B11" s="27" t="s">
        <v>110</v>
      </c>
      <c r="C11" s="74">
        <v>41275</v>
      </c>
    </row>
    <row r="12" spans="1:5" ht="16.5" customHeight="1" x14ac:dyDescent="0.3">
      <c r="A12" s="56">
        <v>10</v>
      </c>
      <c r="B12" s="27" t="s">
        <v>111</v>
      </c>
      <c r="C12" s="74">
        <v>41275</v>
      </c>
    </row>
    <row r="13" spans="1:5" ht="16.5" customHeight="1" x14ac:dyDescent="0.3">
      <c r="A13" s="56">
        <v>11</v>
      </c>
      <c r="B13" s="27" t="s">
        <v>112</v>
      </c>
      <c r="C13" s="74">
        <v>41275</v>
      </c>
    </row>
    <row r="14" spans="1:5" ht="16.5" customHeight="1" x14ac:dyDescent="0.3">
      <c r="A14" s="56">
        <v>12</v>
      </c>
      <c r="B14" s="27" t="s">
        <v>113</v>
      </c>
      <c r="C14" s="74">
        <v>41275</v>
      </c>
    </row>
    <row r="15" spans="1:5" ht="16.5" customHeight="1" x14ac:dyDescent="0.3">
      <c r="A15" s="56">
        <v>13</v>
      </c>
      <c r="B15" s="27" t="s">
        <v>114</v>
      </c>
      <c r="C15" s="74">
        <v>41275</v>
      </c>
    </row>
    <row r="16" spans="1:5" ht="16.5" customHeight="1" x14ac:dyDescent="0.3">
      <c r="A16" s="56">
        <v>14</v>
      </c>
      <c r="B16" s="27" t="s">
        <v>115</v>
      </c>
      <c r="C16" s="74">
        <v>41275</v>
      </c>
    </row>
    <row r="17" spans="1:3" ht="16.5" customHeight="1" x14ac:dyDescent="0.3">
      <c r="A17" s="56">
        <v>15</v>
      </c>
      <c r="B17" s="27" t="s">
        <v>116</v>
      </c>
      <c r="C17" s="74">
        <v>41275</v>
      </c>
    </row>
    <row r="18" spans="1:3" ht="16.5" customHeight="1" x14ac:dyDescent="0.3">
      <c r="A18" s="56">
        <v>16</v>
      </c>
      <c r="B18" s="27" t="s">
        <v>117</v>
      </c>
      <c r="C18" s="74">
        <v>41275</v>
      </c>
    </row>
    <row r="19" spans="1:3" ht="16.5" customHeight="1" x14ac:dyDescent="0.3">
      <c r="A19" s="56">
        <v>17</v>
      </c>
      <c r="B19" s="27" t="s">
        <v>118</v>
      </c>
      <c r="C19" s="74">
        <v>41275</v>
      </c>
    </row>
    <row r="20" spans="1:3" ht="16.5" customHeight="1" x14ac:dyDescent="0.3">
      <c r="A20" s="56">
        <v>18</v>
      </c>
      <c r="B20" s="27" t="s">
        <v>119</v>
      </c>
      <c r="C20" s="74">
        <v>41275</v>
      </c>
    </row>
    <row r="21" spans="1:3" ht="16.5" customHeight="1" x14ac:dyDescent="0.3">
      <c r="A21" s="56">
        <v>19</v>
      </c>
      <c r="B21" s="27" t="s">
        <v>120</v>
      </c>
      <c r="C21" s="74">
        <v>41275</v>
      </c>
    </row>
    <row r="22" spans="1:3" ht="16.5" customHeight="1" x14ac:dyDescent="0.3">
      <c r="A22" s="56">
        <v>20</v>
      </c>
      <c r="B22" s="27" t="s">
        <v>121</v>
      </c>
      <c r="C22" s="74">
        <v>41275</v>
      </c>
    </row>
    <row r="23" spans="1:3" ht="16.5" customHeight="1" x14ac:dyDescent="0.3">
      <c r="A23" s="56">
        <v>21</v>
      </c>
      <c r="B23" s="27" t="s">
        <v>122</v>
      </c>
      <c r="C23" s="74">
        <v>41275</v>
      </c>
    </row>
    <row r="24" spans="1:3" ht="16.5" customHeight="1" x14ac:dyDescent="0.3">
      <c r="A24" s="56">
        <v>22</v>
      </c>
      <c r="B24" s="27" t="s">
        <v>123</v>
      </c>
      <c r="C24" s="74">
        <v>41275</v>
      </c>
    </row>
    <row r="25" spans="1:3" ht="16.5" customHeight="1" x14ac:dyDescent="0.3">
      <c r="A25" s="56">
        <v>23</v>
      </c>
      <c r="B25" s="27" t="s">
        <v>124</v>
      </c>
      <c r="C25" s="74">
        <v>41275</v>
      </c>
    </row>
    <row r="26" spans="1:3" ht="16.5" customHeight="1" x14ac:dyDescent="0.3">
      <c r="A26" s="56">
        <v>24</v>
      </c>
      <c r="B26" s="27" t="s">
        <v>125</v>
      </c>
      <c r="C26" s="74">
        <v>41275</v>
      </c>
    </row>
    <row r="27" spans="1:3" ht="16.5" customHeight="1" x14ac:dyDescent="0.3">
      <c r="A27" s="56">
        <v>25</v>
      </c>
      <c r="B27" s="27" t="s">
        <v>126</v>
      </c>
      <c r="C27" s="74">
        <v>41275</v>
      </c>
    </row>
    <row r="28" spans="1:3" ht="16.5" customHeight="1" x14ac:dyDescent="0.3">
      <c r="A28" s="56">
        <v>26</v>
      </c>
      <c r="B28" s="27" t="s">
        <v>127</v>
      </c>
      <c r="C28" s="74">
        <v>41275</v>
      </c>
    </row>
    <row r="29" spans="1:3" ht="16.5" customHeight="1" x14ac:dyDescent="0.3">
      <c r="A29" s="56">
        <v>27</v>
      </c>
      <c r="B29" s="27" t="s">
        <v>128</v>
      </c>
      <c r="C29" s="74">
        <v>41275</v>
      </c>
    </row>
    <row r="30" spans="1:3" ht="16.5" customHeight="1" x14ac:dyDescent="0.3">
      <c r="A30" s="56">
        <v>28</v>
      </c>
      <c r="B30" s="27" t="s">
        <v>129</v>
      </c>
      <c r="C30" s="74">
        <v>41275</v>
      </c>
    </row>
    <row r="31" spans="1:3" ht="16.5" customHeight="1" x14ac:dyDescent="0.3">
      <c r="A31" s="56">
        <v>29</v>
      </c>
      <c r="B31" s="27" t="s">
        <v>130</v>
      </c>
      <c r="C31" s="74">
        <v>41275</v>
      </c>
    </row>
    <row r="32" spans="1:3" ht="16.5" customHeight="1" x14ac:dyDescent="0.3">
      <c r="A32" s="56">
        <v>30</v>
      </c>
      <c r="B32" s="27" t="s">
        <v>131</v>
      </c>
      <c r="C32" s="74">
        <v>41275</v>
      </c>
    </row>
    <row r="33" spans="1:3" ht="16.5" customHeight="1" x14ac:dyDescent="0.3">
      <c r="A33" s="56">
        <v>31</v>
      </c>
      <c r="B33" s="27" t="s">
        <v>132</v>
      </c>
      <c r="C33" s="74">
        <v>41275</v>
      </c>
    </row>
    <row r="34" spans="1:3" ht="16.5" customHeight="1" x14ac:dyDescent="0.3">
      <c r="A34" s="56">
        <v>32</v>
      </c>
      <c r="B34" s="27" t="s">
        <v>133</v>
      </c>
      <c r="C34" s="74">
        <v>41275</v>
      </c>
    </row>
    <row r="35" spans="1:3" ht="16.5" customHeight="1" x14ac:dyDescent="0.3">
      <c r="A35" s="56">
        <v>33</v>
      </c>
      <c r="B35" s="27" t="s">
        <v>134</v>
      </c>
      <c r="C35" s="74">
        <v>41275</v>
      </c>
    </row>
    <row r="36" spans="1:3" ht="16.5" customHeight="1" x14ac:dyDescent="0.3">
      <c r="A36" s="56">
        <v>34</v>
      </c>
      <c r="B36" s="27" t="s">
        <v>135</v>
      </c>
      <c r="C36" s="74">
        <v>41275</v>
      </c>
    </row>
    <row r="37" spans="1:3" ht="16.5" customHeight="1" x14ac:dyDescent="0.3">
      <c r="A37" s="56">
        <v>35</v>
      </c>
      <c r="B37" s="27" t="s">
        <v>136</v>
      </c>
      <c r="C37" s="74">
        <v>41275</v>
      </c>
    </row>
    <row r="38" spans="1:3" ht="16.5" customHeight="1" x14ac:dyDescent="0.3">
      <c r="A38" s="56">
        <v>36</v>
      </c>
      <c r="B38" s="27" t="s">
        <v>137</v>
      </c>
      <c r="C38" s="74">
        <v>41275</v>
      </c>
    </row>
    <row r="39" spans="1:3" ht="16.5" customHeight="1" x14ac:dyDescent="0.3">
      <c r="A39" s="56">
        <v>37</v>
      </c>
      <c r="B39" s="27" t="s">
        <v>138</v>
      </c>
      <c r="C39" s="74">
        <v>41275</v>
      </c>
    </row>
    <row r="40" spans="1:3" ht="16.5" customHeight="1" x14ac:dyDescent="0.3">
      <c r="A40" s="56">
        <v>38</v>
      </c>
      <c r="B40" s="27" t="s">
        <v>1</v>
      </c>
      <c r="C40" s="74">
        <v>41671</v>
      </c>
    </row>
    <row r="41" spans="1:3" ht="16.5" customHeight="1" x14ac:dyDescent="0.3">
      <c r="A41" s="56">
        <v>39</v>
      </c>
      <c r="B41" s="27" t="s">
        <v>0</v>
      </c>
      <c r="C41" s="74">
        <v>41699</v>
      </c>
    </row>
    <row r="42" spans="1:3" ht="16.5" customHeight="1" x14ac:dyDescent="0.3">
      <c r="A42" s="56">
        <v>40</v>
      </c>
      <c r="B42" s="27" t="s">
        <v>43</v>
      </c>
      <c r="C42" s="74">
        <v>42005</v>
      </c>
    </row>
    <row r="43" spans="1:3" ht="16.5" customHeight="1" x14ac:dyDescent="0.3">
      <c r="A43" s="56">
        <v>41</v>
      </c>
      <c r="B43" s="27" t="s">
        <v>87</v>
      </c>
      <c r="C43" s="74">
        <v>42005</v>
      </c>
    </row>
    <row r="44" spans="1:3" ht="16.5" customHeight="1" x14ac:dyDescent="0.3">
      <c r="A44" s="56">
        <v>42</v>
      </c>
      <c r="B44" s="27" t="s">
        <v>88</v>
      </c>
      <c r="C44" s="74">
        <v>42005</v>
      </c>
    </row>
    <row r="45" spans="1:3" ht="16.5" customHeight="1" x14ac:dyDescent="0.3">
      <c r="A45" s="56">
        <v>43</v>
      </c>
      <c r="B45" s="27" t="s">
        <v>89</v>
      </c>
      <c r="C45" s="74">
        <v>42005</v>
      </c>
    </row>
    <row r="46" spans="1:3" ht="16.5" customHeight="1" x14ac:dyDescent="0.3">
      <c r="A46" s="56">
        <v>44</v>
      </c>
      <c r="B46" s="27" t="s">
        <v>90</v>
      </c>
      <c r="C46" s="74">
        <v>42005</v>
      </c>
    </row>
    <row r="47" spans="1:3" ht="16.5" customHeight="1" x14ac:dyDescent="0.3">
      <c r="A47" s="118">
        <v>45</v>
      </c>
      <c r="B47" s="119" t="s">
        <v>91</v>
      </c>
      <c r="C47" s="120">
        <v>42005</v>
      </c>
    </row>
    <row r="48" spans="1:3" ht="16.5" customHeight="1" x14ac:dyDescent="0.3">
      <c r="A48" s="56">
        <v>46</v>
      </c>
      <c r="B48" s="27" t="s">
        <v>93</v>
      </c>
      <c r="C48" s="74">
        <v>42005</v>
      </c>
    </row>
    <row r="49" spans="1:3" ht="16.5" customHeight="1" x14ac:dyDescent="0.3">
      <c r="A49" s="56">
        <v>47</v>
      </c>
      <c r="B49" s="27" t="s">
        <v>94</v>
      </c>
      <c r="C49" s="74">
        <v>42005</v>
      </c>
    </row>
    <row r="50" spans="1:3" ht="16.5" customHeight="1" x14ac:dyDescent="0.3">
      <c r="A50" s="56">
        <v>48</v>
      </c>
      <c r="B50" s="27" t="s">
        <v>7</v>
      </c>
      <c r="C50" s="74">
        <v>42156</v>
      </c>
    </row>
    <row r="51" spans="1:3" ht="16.5" customHeight="1" x14ac:dyDescent="0.3">
      <c r="A51" s="56">
        <v>49</v>
      </c>
      <c r="B51" s="27" t="s">
        <v>8</v>
      </c>
      <c r="C51" s="74">
        <v>42156</v>
      </c>
    </row>
    <row r="52" spans="1:3" ht="16.5" customHeight="1" x14ac:dyDescent="0.3">
      <c r="A52" s="56">
        <v>50</v>
      </c>
      <c r="B52" s="27" t="s">
        <v>9</v>
      </c>
      <c r="C52" s="74">
        <v>42156</v>
      </c>
    </row>
    <row r="53" spans="1:3" ht="16.5" customHeight="1" x14ac:dyDescent="0.3">
      <c r="A53" s="56">
        <v>51</v>
      </c>
      <c r="B53" s="27" t="s">
        <v>10</v>
      </c>
      <c r="C53" s="74">
        <v>42156</v>
      </c>
    </row>
    <row r="54" spans="1:3" ht="16.5" customHeight="1" x14ac:dyDescent="0.3">
      <c r="A54" s="56">
        <v>52</v>
      </c>
      <c r="B54" s="27" t="s">
        <v>11</v>
      </c>
      <c r="C54" s="74">
        <v>42156</v>
      </c>
    </row>
    <row r="55" spans="1:3" ht="16.5" customHeight="1" x14ac:dyDescent="0.3">
      <c r="A55" s="56">
        <v>53</v>
      </c>
      <c r="B55" s="27" t="s">
        <v>12</v>
      </c>
      <c r="C55" s="74">
        <v>42186</v>
      </c>
    </row>
    <row r="56" spans="1:3" ht="16.5" customHeight="1" x14ac:dyDescent="0.3">
      <c r="A56" s="56">
        <v>54</v>
      </c>
      <c r="B56" s="27" t="s">
        <v>13</v>
      </c>
      <c r="C56" s="74">
        <v>42186</v>
      </c>
    </row>
    <row r="57" spans="1:3" ht="16.5" customHeight="1" x14ac:dyDescent="0.3">
      <c r="A57" s="56">
        <v>55</v>
      </c>
      <c r="B57" s="27" t="s">
        <v>14</v>
      </c>
      <c r="C57" s="74">
        <v>42217</v>
      </c>
    </row>
    <row r="58" spans="1:3" ht="16.5" customHeight="1" x14ac:dyDescent="0.3">
      <c r="A58" s="56">
        <v>56</v>
      </c>
      <c r="B58" s="27" t="s">
        <v>5</v>
      </c>
      <c r="C58" s="74">
        <v>42248</v>
      </c>
    </row>
    <row r="59" spans="1:3" ht="16.5" customHeight="1" x14ac:dyDescent="0.3">
      <c r="A59" s="56">
        <v>57</v>
      </c>
      <c r="B59" s="27" t="s">
        <v>6</v>
      </c>
      <c r="C59" s="74">
        <v>42248</v>
      </c>
    </row>
    <row r="60" spans="1:3" ht="16.5" customHeight="1" x14ac:dyDescent="0.3">
      <c r="A60" s="56">
        <v>58</v>
      </c>
      <c r="B60" s="27" t="s">
        <v>15</v>
      </c>
      <c r="C60" s="74">
        <v>42278</v>
      </c>
    </row>
    <row r="61" spans="1:3" ht="16.5" customHeight="1" x14ac:dyDescent="0.3">
      <c r="A61" s="56">
        <v>59</v>
      </c>
      <c r="B61" s="27" t="s">
        <v>16</v>
      </c>
      <c r="C61" s="74">
        <v>42278</v>
      </c>
    </row>
    <row r="62" spans="1:3" ht="16.5" customHeight="1" x14ac:dyDescent="0.3">
      <c r="A62" s="118">
        <v>60</v>
      </c>
      <c r="B62" s="119" t="s">
        <v>145</v>
      </c>
      <c r="C62" s="120">
        <v>42309</v>
      </c>
    </row>
    <row r="63" spans="1:3" ht="16.5" customHeight="1" x14ac:dyDescent="0.3">
      <c r="A63" s="118">
        <v>61</v>
      </c>
      <c r="B63" s="119" t="s">
        <v>146</v>
      </c>
      <c r="C63" s="120">
        <v>42309</v>
      </c>
    </row>
    <row r="64" spans="1:3" ht="16.5" customHeight="1" x14ac:dyDescent="0.3">
      <c r="A64" s="118">
        <v>62</v>
      </c>
      <c r="B64" s="119" t="s">
        <v>147</v>
      </c>
      <c r="C64" s="120">
        <v>42309</v>
      </c>
    </row>
    <row r="65" spans="1:3" ht="16.5" customHeight="1" x14ac:dyDescent="0.3">
      <c r="A65" s="56">
        <v>63</v>
      </c>
      <c r="B65" s="27" t="s">
        <v>17</v>
      </c>
      <c r="C65" s="74">
        <v>42339</v>
      </c>
    </row>
    <row r="66" spans="1:3" ht="16.5" customHeight="1" x14ac:dyDescent="0.3">
      <c r="A66" s="56">
        <v>64</v>
      </c>
      <c r="B66" s="27" t="s">
        <v>18</v>
      </c>
      <c r="C66" s="74">
        <v>42339</v>
      </c>
    </row>
    <row r="67" spans="1:3" ht="16.5" customHeight="1" x14ac:dyDescent="0.3">
      <c r="A67" s="56">
        <v>65</v>
      </c>
      <c r="B67" s="119" t="s">
        <v>19</v>
      </c>
      <c r="C67" s="74">
        <v>42339</v>
      </c>
    </row>
    <row r="68" spans="1:3" ht="16.5" customHeight="1" x14ac:dyDescent="0.3">
      <c r="A68" s="56">
        <v>66</v>
      </c>
      <c r="B68" s="119" t="s">
        <v>20</v>
      </c>
      <c r="C68" s="74">
        <v>42339</v>
      </c>
    </row>
    <row r="69" spans="1:3" ht="16.5" customHeight="1" x14ac:dyDescent="0.3">
      <c r="A69" s="56">
        <v>67</v>
      </c>
      <c r="B69" s="27" t="s">
        <v>21</v>
      </c>
      <c r="C69" s="74">
        <v>42339</v>
      </c>
    </row>
    <row r="70" spans="1:3" ht="16.5" customHeight="1" x14ac:dyDescent="0.3">
      <c r="A70" s="56">
        <v>68</v>
      </c>
      <c r="B70" s="27" t="s">
        <v>42</v>
      </c>
      <c r="C70" s="74">
        <v>42522</v>
      </c>
    </row>
    <row r="71" spans="1:3" ht="16.5" customHeight="1" x14ac:dyDescent="0.3">
      <c r="A71" s="56">
        <v>69</v>
      </c>
      <c r="B71" s="27" t="s">
        <v>22</v>
      </c>
      <c r="C71" s="74">
        <v>42705</v>
      </c>
    </row>
    <row r="72" spans="1:3" ht="16.5" customHeight="1" x14ac:dyDescent="0.3">
      <c r="A72" s="56">
        <v>70</v>
      </c>
      <c r="B72" s="27" t="s">
        <v>23</v>
      </c>
      <c r="C72" s="74">
        <v>42736</v>
      </c>
    </row>
    <row r="73" spans="1:3" ht="16.5" customHeight="1" x14ac:dyDescent="0.3">
      <c r="A73" s="56">
        <v>71</v>
      </c>
      <c r="B73" s="27" t="s">
        <v>24</v>
      </c>
      <c r="C73" s="74">
        <v>42736</v>
      </c>
    </row>
    <row r="74" spans="1:3" ht="16.5" customHeight="1" x14ac:dyDescent="0.3">
      <c r="A74" s="56">
        <v>72</v>
      </c>
      <c r="B74" s="27" t="s">
        <v>25</v>
      </c>
      <c r="C74" s="74">
        <v>42736</v>
      </c>
    </row>
    <row r="75" spans="1:3" ht="16.5" customHeight="1" x14ac:dyDescent="0.3">
      <c r="A75" s="56">
        <v>73</v>
      </c>
      <c r="B75" s="27" t="s">
        <v>26</v>
      </c>
      <c r="C75" s="74">
        <v>42736</v>
      </c>
    </row>
    <row r="76" spans="1:3" ht="16.5" customHeight="1" x14ac:dyDescent="0.3">
      <c r="A76" s="56">
        <v>74</v>
      </c>
      <c r="B76" s="27" t="s">
        <v>27</v>
      </c>
      <c r="C76" s="74">
        <v>42736</v>
      </c>
    </row>
    <row r="77" spans="1:3" ht="16.5" customHeight="1" x14ac:dyDescent="0.3">
      <c r="A77" s="56">
        <v>75</v>
      </c>
      <c r="B77" s="27" t="s">
        <v>28</v>
      </c>
      <c r="C77" s="74">
        <v>42736</v>
      </c>
    </row>
    <row r="78" spans="1:3" ht="16.5" customHeight="1" x14ac:dyDescent="0.3">
      <c r="A78" s="56">
        <v>76</v>
      </c>
      <c r="B78" s="27" t="s">
        <v>29</v>
      </c>
      <c r="C78" s="74">
        <v>42736</v>
      </c>
    </row>
    <row r="79" spans="1:3" ht="16.5" customHeight="1" x14ac:dyDescent="0.3">
      <c r="A79" s="56">
        <v>77</v>
      </c>
      <c r="B79" s="27" t="s">
        <v>30</v>
      </c>
      <c r="C79" s="74">
        <v>42736</v>
      </c>
    </row>
    <row r="80" spans="1:3" ht="16.5" customHeight="1" x14ac:dyDescent="0.3">
      <c r="A80" s="56">
        <v>78</v>
      </c>
      <c r="B80" s="27" t="s">
        <v>96</v>
      </c>
      <c r="C80" s="74">
        <v>42736</v>
      </c>
    </row>
    <row r="81" spans="1:3" ht="16.5" customHeight="1" x14ac:dyDescent="0.3">
      <c r="A81" s="56">
        <v>79</v>
      </c>
      <c r="B81" s="27" t="s">
        <v>97</v>
      </c>
      <c r="C81" s="74">
        <v>42736</v>
      </c>
    </row>
    <row r="82" spans="1:3" ht="16.5" customHeight="1" x14ac:dyDescent="0.3">
      <c r="A82" s="56">
        <v>80</v>
      </c>
      <c r="B82" s="27" t="s">
        <v>98</v>
      </c>
      <c r="C82" s="74">
        <v>42736</v>
      </c>
    </row>
    <row r="83" spans="1:3" ht="16.5" customHeight="1" x14ac:dyDescent="0.3">
      <c r="A83" s="56">
        <v>81</v>
      </c>
      <c r="B83" s="27" t="s">
        <v>99</v>
      </c>
      <c r="C83" s="74">
        <v>42736</v>
      </c>
    </row>
    <row r="84" spans="1:3" ht="16.5" customHeight="1" x14ac:dyDescent="0.3">
      <c r="A84" s="56">
        <v>82</v>
      </c>
      <c r="B84" s="27" t="s">
        <v>31</v>
      </c>
      <c r="C84" s="74">
        <v>43160</v>
      </c>
    </row>
    <row r="85" spans="1:3" ht="16.5" customHeight="1" x14ac:dyDescent="0.3">
      <c r="A85" s="56">
        <v>83</v>
      </c>
      <c r="B85" s="27" t="s">
        <v>32</v>
      </c>
      <c r="C85" s="74">
        <v>43160</v>
      </c>
    </row>
    <row r="86" spans="1:3" ht="16.5" customHeight="1" x14ac:dyDescent="0.3">
      <c r="A86" s="56">
        <v>84</v>
      </c>
      <c r="B86" s="27" t="s">
        <v>33</v>
      </c>
      <c r="C86" s="74">
        <v>43191</v>
      </c>
    </row>
    <row r="87" spans="1:3" ht="16.5" customHeight="1" x14ac:dyDescent="0.3">
      <c r="A87" s="56">
        <v>85</v>
      </c>
      <c r="B87" s="27" t="s">
        <v>34</v>
      </c>
      <c r="C87" s="74">
        <v>43191</v>
      </c>
    </row>
    <row r="88" spans="1:3" ht="16.5" customHeight="1" x14ac:dyDescent="0.3">
      <c r="A88" s="56">
        <v>86</v>
      </c>
      <c r="B88" s="27" t="s">
        <v>44</v>
      </c>
      <c r="C88" s="74">
        <v>43191</v>
      </c>
    </row>
    <row r="89" spans="1:3" ht="16.5" customHeight="1" x14ac:dyDescent="0.3">
      <c r="A89" s="56">
        <v>87</v>
      </c>
      <c r="B89" s="27" t="s">
        <v>45</v>
      </c>
      <c r="C89" s="74">
        <v>43282</v>
      </c>
    </row>
    <row r="90" spans="1:3" ht="16.5" customHeight="1" x14ac:dyDescent="0.3">
      <c r="A90" s="56">
        <v>88</v>
      </c>
      <c r="B90" s="27" t="s">
        <v>55</v>
      </c>
      <c r="C90" s="74">
        <v>43313</v>
      </c>
    </row>
    <row r="91" spans="1:3" ht="16.5" customHeight="1" x14ac:dyDescent="0.3">
      <c r="A91" s="56">
        <v>89</v>
      </c>
      <c r="B91" s="27" t="s">
        <v>56</v>
      </c>
      <c r="C91" s="74">
        <v>43525</v>
      </c>
    </row>
    <row r="92" spans="1:3" ht="16.5" customHeight="1" x14ac:dyDescent="0.3">
      <c r="A92" s="56">
        <v>90</v>
      </c>
      <c r="B92" s="27" t="s">
        <v>57</v>
      </c>
      <c r="C92" s="74">
        <v>43617</v>
      </c>
    </row>
    <row r="93" spans="1:3" ht="16.5" customHeight="1" x14ac:dyDescent="0.3">
      <c r="A93" s="56">
        <v>91</v>
      </c>
      <c r="B93" s="27" t="s">
        <v>58</v>
      </c>
      <c r="C93" s="74">
        <v>43617</v>
      </c>
    </row>
    <row r="94" spans="1:3" ht="16.5" customHeight="1" x14ac:dyDescent="0.3">
      <c r="A94" s="56">
        <v>92</v>
      </c>
      <c r="B94" s="27" t="s">
        <v>64</v>
      </c>
      <c r="C94" s="74">
        <v>43739</v>
      </c>
    </row>
    <row r="95" spans="1:3" ht="16.5" customHeight="1" x14ac:dyDescent="0.3">
      <c r="A95" s="56">
        <v>93</v>
      </c>
      <c r="B95" s="27" t="s">
        <v>65</v>
      </c>
      <c r="C95" s="74">
        <v>43739</v>
      </c>
    </row>
    <row r="96" spans="1:3" ht="16.5" customHeight="1" x14ac:dyDescent="0.3">
      <c r="A96" s="56">
        <v>94</v>
      </c>
      <c r="B96" s="27" t="s">
        <v>66</v>
      </c>
      <c r="C96" s="74">
        <v>43862</v>
      </c>
    </row>
    <row r="97" spans="1:3" ht="16.5" customHeight="1" x14ac:dyDescent="0.3">
      <c r="A97" s="56">
        <v>95</v>
      </c>
      <c r="B97" s="27" t="s">
        <v>67</v>
      </c>
      <c r="C97" s="74">
        <v>43862</v>
      </c>
    </row>
    <row r="98" spans="1:3" ht="16.5" customHeight="1" x14ac:dyDescent="0.3">
      <c r="A98" s="56">
        <v>96</v>
      </c>
      <c r="B98" s="27" t="s">
        <v>68</v>
      </c>
      <c r="C98" s="74">
        <v>43862</v>
      </c>
    </row>
    <row r="99" spans="1:3" ht="16.5" customHeight="1" x14ac:dyDescent="0.3">
      <c r="A99" s="56">
        <v>97</v>
      </c>
      <c r="B99" s="27" t="s">
        <v>69</v>
      </c>
      <c r="C99" s="74">
        <v>43862</v>
      </c>
    </row>
    <row r="100" spans="1:3" ht="16.5" customHeight="1" x14ac:dyDescent="0.3">
      <c r="A100" s="56">
        <v>98</v>
      </c>
      <c r="B100" s="27" t="s">
        <v>35</v>
      </c>
      <c r="C100" s="74">
        <v>43922</v>
      </c>
    </row>
    <row r="101" spans="1:3" ht="16.5" customHeight="1" x14ac:dyDescent="0.3">
      <c r="A101" s="56">
        <v>99</v>
      </c>
      <c r="B101" s="27" t="s">
        <v>36</v>
      </c>
      <c r="C101" s="74">
        <v>43922</v>
      </c>
    </row>
    <row r="102" spans="1:3" ht="16.5" customHeight="1" x14ac:dyDescent="0.3">
      <c r="A102" s="56">
        <v>100</v>
      </c>
      <c r="B102" s="27" t="s">
        <v>37</v>
      </c>
      <c r="C102" s="74">
        <v>43922</v>
      </c>
    </row>
    <row r="103" spans="1:3" ht="16.5" customHeight="1" x14ac:dyDescent="0.3">
      <c r="A103" s="56">
        <v>101</v>
      </c>
      <c r="B103" s="27" t="s">
        <v>38</v>
      </c>
      <c r="C103" s="74">
        <v>43922</v>
      </c>
    </row>
    <row r="104" spans="1:3" ht="16.5" customHeight="1" x14ac:dyDescent="0.3">
      <c r="A104" s="56">
        <v>102</v>
      </c>
      <c r="B104" s="27" t="s">
        <v>70</v>
      </c>
      <c r="C104" s="74">
        <v>44013</v>
      </c>
    </row>
    <row r="105" spans="1:3" ht="16.5" customHeight="1" x14ac:dyDescent="0.3">
      <c r="A105" s="56">
        <v>103</v>
      </c>
      <c r="B105" s="27" t="s">
        <v>71</v>
      </c>
      <c r="C105" s="74">
        <v>44013</v>
      </c>
    </row>
    <row r="106" spans="1:3" ht="16.5" customHeight="1" x14ac:dyDescent="0.3">
      <c r="A106" s="56">
        <v>104</v>
      </c>
      <c r="B106" s="27" t="s">
        <v>72</v>
      </c>
      <c r="C106" s="74">
        <v>44013</v>
      </c>
    </row>
    <row r="107" spans="1:3" ht="16.5" customHeight="1" x14ac:dyDescent="0.3">
      <c r="A107" s="56">
        <v>105</v>
      </c>
      <c r="B107" s="27" t="s">
        <v>73</v>
      </c>
      <c r="C107" s="74">
        <v>44013</v>
      </c>
    </row>
    <row r="108" spans="1:3" ht="16.5" customHeight="1" x14ac:dyDescent="0.3">
      <c r="A108" s="56">
        <v>106</v>
      </c>
      <c r="B108" s="27" t="s">
        <v>74</v>
      </c>
      <c r="C108" s="74">
        <v>44013</v>
      </c>
    </row>
    <row r="109" spans="1:3" ht="16.5" customHeight="1" x14ac:dyDescent="0.3">
      <c r="A109" s="56">
        <v>107</v>
      </c>
      <c r="B109" s="27" t="s">
        <v>75</v>
      </c>
      <c r="C109" s="74">
        <v>44013</v>
      </c>
    </row>
    <row r="110" spans="1:3" ht="16.5" customHeight="1" x14ac:dyDescent="0.3">
      <c r="A110" s="56">
        <v>108</v>
      </c>
      <c r="B110" s="27" t="s">
        <v>82</v>
      </c>
      <c r="C110" s="74">
        <v>44013</v>
      </c>
    </row>
    <row r="111" spans="1:3" ht="16.5" customHeight="1" x14ac:dyDescent="0.3">
      <c r="A111" s="56">
        <v>109</v>
      </c>
      <c r="B111" s="27" t="s">
        <v>76</v>
      </c>
      <c r="C111" s="74">
        <v>44075</v>
      </c>
    </row>
    <row r="112" spans="1:3" ht="16.5" customHeight="1" x14ac:dyDescent="0.3">
      <c r="A112" s="56">
        <v>110</v>
      </c>
      <c r="B112" s="27" t="s">
        <v>77</v>
      </c>
      <c r="C112" s="74">
        <v>44075</v>
      </c>
    </row>
    <row r="113" spans="1:3" ht="16.5" customHeight="1" x14ac:dyDescent="0.3">
      <c r="A113" s="56">
        <v>111</v>
      </c>
      <c r="B113" s="27" t="s">
        <v>78</v>
      </c>
      <c r="C113" s="74">
        <v>44075</v>
      </c>
    </row>
    <row r="114" spans="1:3" ht="16.5" customHeight="1" x14ac:dyDescent="0.3">
      <c r="A114" s="56">
        <v>112</v>
      </c>
      <c r="B114" s="27" t="s">
        <v>59</v>
      </c>
      <c r="C114" s="74">
        <v>44136</v>
      </c>
    </row>
    <row r="115" spans="1:3" ht="16.5" customHeight="1" x14ac:dyDescent="0.3">
      <c r="A115" s="56">
        <v>113</v>
      </c>
      <c r="B115" s="27" t="s">
        <v>60</v>
      </c>
      <c r="C115" s="74">
        <v>44136</v>
      </c>
    </row>
    <row r="116" spans="1:3" ht="16.5" customHeight="1" x14ac:dyDescent="0.3">
      <c r="A116" s="56">
        <v>114</v>
      </c>
      <c r="B116" s="27" t="s">
        <v>61</v>
      </c>
      <c r="C116" s="74">
        <v>44136</v>
      </c>
    </row>
    <row r="117" spans="1:3" ht="16.5" customHeight="1" x14ac:dyDescent="0.3">
      <c r="A117" s="56">
        <v>115</v>
      </c>
      <c r="B117" s="27" t="s">
        <v>62</v>
      </c>
      <c r="C117" s="74">
        <v>44136</v>
      </c>
    </row>
    <row r="118" spans="1:3" ht="16.5" customHeight="1" x14ac:dyDescent="0.3">
      <c r="A118" s="56">
        <v>116</v>
      </c>
      <c r="B118" s="27" t="s">
        <v>63</v>
      </c>
      <c r="C118" s="74">
        <v>44136</v>
      </c>
    </row>
    <row r="119" spans="1:3" ht="16.5" customHeight="1" x14ac:dyDescent="0.3">
      <c r="A119" s="56">
        <v>117</v>
      </c>
      <c r="B119" s="27" t="s">
        <v>79</v>
      </c>
      <c r="C119" s="74">
        <v>44136</v>
      </c>
    </row>
    <row r="120" spans="1:3" ht="16.5" customHeight="1" x14ac:dyDescent="0.3">
      <c r="A120" s="56">
        <v>118</v>
      </c>
      <c r="B120" s="27" t="s">
        <v>80</v>
      </c>
      <c r="C120" s="74">
        <v>44228</v>
      </c>
    </row>
    <row r="121" spans="1:3" ht="16.5" customHeight="1" x14ac:dyDescent="0.3">
      <c r="A121" s="56">
        <v>119</v>
      </c>
      <c r="B121" s="27" t="s">
        <v>81</v>
      </c>
      <c r="C121" s="74">
        <v>44228</v>
      </c>
    </row>
    <row r="122" spans="1:3" ht="16.5" customHeight="1" x14ac:dyDescent="0.3">
      <c r="A122" s="56">
        <v>120</v>
      </c>
      <c r="B122" s="27" t="s">
        <v>83</v>
      </c>
      <c r="C122" s="74">
        <v>44256</v>
      </c>
    </row>
    <row r="123" spans="1:3" ht="16.5" customHeight="1" x14ac:dyDescent="0.3">
      <c r="A123" s="56">
        <v>121</v>
      </c>
      <c r="B123" s="27" t="s">
        <v>85</v>
      </c>
      <c r="C123" s="74">
        <v>44256</v>
      </c>
    </row>
    <row r="124" spans="1:3" ht="16.5" customHeight="1" x14ac:dyDescent="0.3">
      <c r="A124" s="56">
        <v>122</v>
      </c>
      <c r="B124" s="27" t="s">
        <v>2</v>
      </c>
      <c r="C124" s="74">
        <v>44287</v>
      </c>
    </row>
    <row r="125" spans="1:3" ht="16.5" customHeight="1" x14ac:dyDescent="0.3">
      <c r="A125" s="56">
        <v>123</v>
      </c>
      <c r="B125" s="27" t="s">
        <v>3</v>
      </c>
      <c r="C125" s="74">
        <v>44287</v>
      </c>
    </row>
    <row r="126" spans="1:3" ht="16.5" customHeight="1" x14ac:dyDescent="0.3">
      <c r="A126" s="56">
        <v>124</v>
      </c>
      <c r="B126" s="27" t="s">
        <v>4</v>
      </c>
      <c r="C126" s="74">
        <v>44287</v>
      </c>
    </row>
    <row r="127" spans="1:3" ht="16.5" customHeight="1" x14ac:dyDescent="0.3">
      <c r="A127" s="56">
        <v>125</v>
      </c>
      <c r="B127" s="27" t="s">
        <v>84</v>
      </c>
      <c r="C127" s="74">
        <v>44337</v>
      </c>
    </row>
    <row r="128" spans="1:3" ht="16.5" customHeight="1" x14ac:dyDescent="0.3">
      <c r="A128" s="56">
        <v>126</v>
      </c>
      <c r="B128" s="27" t="s">
        <v>86</v>
      </c>
      <c r="C128" s="74">
        <v>44348</v>
      </c>
    </row>
    <row r="129" spans="1:3" ht="16.5" customHeight="1" x14ac:dyDescent="0.3">
      <c r="A129" s="56">
        <v>127</v>
      </c>
      <c r="B129" s="27" t="s">
        <v>39</v>
      </c>
      <c r="C129" s="74">
        <v>44409</v>
      </c>
    </row>
    <row r="130" spans="1:3" ht="16.5" customHeight="1" x14ac:dyDescent="0.3">
      <c r="A130" s="56">
        <v>128</v>
      </c>
      <c r="B130" s="27" t="s">
        <v>92</v>
      </c>
      <c r="C130" s="74">
        <v>44562</v>
      </c>
    </row>
    <row r="131" spans="1:3" ht="16.5" customHeight="1" x14ac:dyDescent="0.3">
      <c r="A131" s="56">
        <v>129</v>
      </c>
      <c r="B131" s="27" t="s">
        <v>95</v>
      </c>
      <c r="C131" s="74">
        <v>44562</v>
      </c>
    </row>
    <row r="132" spans="1:3" ht="16.5" customHeight="1" x14ac:dyDescent="0.3">
      <c r="A132" s="56">
        <v>130</v>
      </c>
      <c r="B132" s="64" t="s">
        <v>674</v>
      </c>
      <c r="C132" s="74" t="s">
        <v>1178</v>
      </c>
    </row>
    <row r="133" spans="1:3" ht="16.5" customHeight="1" x14ac:dyDescent="0.3">
      <c r="A133" s="56">
        <v>131</v>
      </c>
      <c r="B133" s="64" t="s">
        <v>40</v>
      </c>
      <c r="C133" s="74" t="s">
        <v>1179</v>
      </c>
    </row>
    <row r="134" spans="1:3" ht="16.5" customHeight="1" x14ac:dyDescent="0.3">
      <c r="A134" s="56">
        <v>132</v>
      </c>
      <c r="B134" s="64" t="s">
        <v>41</v>
      </c>
      <c r="C134" s="74" t="s">
        <v>1179</v>
      </c>
    </row>
    <row r="135" spans="1:3" ht="16.5" customHeight="1" x14ac:dyDescent="0.3">
      <c r="A135" s="56">
        <v>133</v>
      </c>
      <c r="B135" s="64" t="s">
        <v>47</v>
      </c>
      <c r="C135" s="74" t="s">
        <v>1179</v>
      </c>
    </row>
    <row r="136" spans="1:3" ht="16.5" customHeight="1" x14ac:dyDescent="0.3">
      <c r="A136" s="56">
        <v>134</v>
      </c>
      <c r="B136" s="64" t="s">
        <v>48</v>
      </c>
      <c r="C136" s="74" t="s">
        <v>1179</v>
      </c>
    </row>
    <row r="137" spans="1:3" ht="16.5" customHeight="1" x14ac:dyDescent="0.3">
      <c r="A137" s="56">
        <v>135</v>
      </c>
      <c r="B137" s="64" t="s">
        <v>50</v>
      </c>
      <c r="C137" s="74" t="s">
        <v>1179</v>
      </c>
    </row>
    <row r="138" spans="1:3" ht="16.5" customHeight="1" x14ac:dyDescent="0.3">
      <c r="A138" s="56">
        <v>136</v>
      </c>
      <c r="B138" s="64" t="s">
        <v>51</v>
      </c>
      <c r="C138" s="74" t="s">
        <v>1179</v>
      </c>
    </row>
    <row r="139" spans="1:3" ht="16.5" customHeight="1" x14ac:dyDescent="0.3">
      <c r="A139" s="56">
        <v>137</v>
      </c>
      <c r="B139" s="64" t="s">
        <v>52</v>
      </c>
      <c r="C139" s="74" t="s">
        <v>1179</v>
      </c>
    </row>
    <row r="140" spans="1:3" ht="16.5" customHeight="1" x14ac:dyDescent="0.3">
      <c r="A140" s="56">
        <v>138</v>
      </c>
      <c r="B140" s="64" t="s">
        <v>54</v>
      </c>
      <c r="C140" s="74" t="s">
        <v>1179</v>
      </c>
    </row>
    <row r="141" spans="1:3" ht="16.5" customHeight="1" x14ac:dyDescent="0.3">
      <c r="A141" s="56">
        <v>139</v>
      </c>
      <c r="B141" s="64" t="s">
        <v>100</v>
      </c>
      <c r="C141" s="74" t="s">
        <v>1179</v>
      </c>
    </row>
    <row r="142" spans="1:3" ht="16.5" customHeight="1" x14ac:dyDescent="0.3">
      <c r="A142" s="56">
        <v>140</v>
      </c>
      <c r="B142" s="64" t="s">
        <v>101</v>
      </c>
      <c r="C142" s="74" t="s">
        <v>1179</v>
      </c>
    </row>
    <row r="143" spans="1:3" ht="16.5" customHeight="1" x14ac:dyDescent="0.3">
      <c r="A143" s="56">
        <v>141</v>
      </c>
      <c r="B143" s="64" t="s">
        <v>46</v>
      </c>
      <c r="C143" s="74" t="s">
        <v>1180</v>
      </c>
    </row>
    <row r="144" spans="1:3" ht="16.5" customHeight="1" x14ac:dyDescent="0.3">
      <c r="A144" s="56">
        <v>142</v>
      </c>
      <c r="B144" s="64" t="s">
        <v>49</v>
      </c>
      <c r="C144" s="74" t="s">
        <v>1180</v>
      </c>
    </row>
    <row r="145" spans="1:3" ht="16.5" customHeight="1" x14ac:dyDescent="0.3">
      <c r="A145" s="56">
        <v>143</v>
      </c>
      <c r="B145" s="64" t="s">
        <v>53</v>
      </c>
      <c r="C145" s="74" t="s">
        <v>1180</v>
      </c>
    </row>
    <row r="146" spans="1:3" ht="16.5" customHeight="1" x14ac:dyDescent="0.3">
      <c r="A146" s="56">
        <v>144</v>
      </c>
      <c r="B146" s="64" t="s">
        <v>139</v>
      </c>
      <c r="C146" s="74" t="s">
        <v>1180</v>
      </c>
    </row>
    <row r="147" spans="1:3" ht="16.5" customHeight="1" x14ac:dyDescent="0.3">
      <c r="A147" s="56">
        <v>145</v>
      </c>
      <c r="B147" s="64" t="s">
        <v>140</v>
      </c>
      <c r="C147" s="74" t="s">
        <v>1181</v>
      </c>
    </row>
    <row r="148" spans="1:3" ht="16.5" customHeight="1" x14ac:dyDescent="0.3">
      <c r="A148" s="56">
        <v>146</v>
      </c>
      <c r="B148" s="64" t="s">
        <v>141</v>
      </c>
      <c r="C148" s="74" t="s">
        <v>1181</v>
      </c>
    </row>
    <row r="149" spans="1:3" ht="16.5" customHeight="1" x14ac:dyDescent="0.3">
      <c r="A149" s="56">
        <v>147</v>
      </c>
      <c r="B149" s="64" t="s">
        <v>142</v>
      </c>
      <c r="C149" s="74" t="s">
        <v>1182</v>
      </c>
    </row>
    <row r="150" spans="1:3" ht="16.5" customHeight="1" x14ac:dyDescent="0.3">
      <c r="A150" s="56">
        <v>148</v>
      </c>
      <c r="B150" s="64" t="s">
        <v>143</v>
      </c>
      <c r="C150" s="74" t="s">
        <v>1182</v>
      </c>
    </row>
    <row r="151" spans="1:3" ht="16.5" customHeight="1" x14ac:dyDescent="0.3">
      <c r="A151" s="56">
        <v>149</v>
      </c>
      <c r="B151" s="64" t="s">
        <v>735</v>
      </c>
      <c r="C151" s="74" t="s">
        <v>1183</v>
      </c>
    </row>
    <row r="152" spans="1:3" ht="16.5" customHeight="1" x14ac:dyDescent="0.3">
      <c r="A152" s="75">
        <v>150</v>
      </c>
      <c r="B152" s="64" t="s">
        <v>736</v>
      </c>
      <c r="C152" s="74" t="s">
        <v>1184</v>
      </c>
    </row>
    <row r="153" spans="1:3" ht="16.5" customHeight="1" x14ac:dyDescent="0.3">
      <c r="A153" s="135"/>
      <c r="C153" s="74"/>
    </row>
    <row r="154" spans="1:3" ht="16.5" customHeight="1" x14ac:dyDescent="0.3">
      <c r="A154" s="135"/>
      <c r="C154" s="74"/>
    </row>
    <row r="155" spans="1:3" ht="16.5" customHeight="1" x14ac:dyDescent="0.3">
      <c r="A155" s="27"/>
      <c r="C155" s="27"/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54"/>
  <sheetViews>
    <sheetView zoomScaleNormal="100" workbookViewId="0">
      <pane ySplit="2" topLeftCell="A129" activePane="bottomLeft" state="frozen"/>
      <selection activeCell="F20" sqref="F20"/>
      <selection pane="bottomLeft" activeCell="I134" sqref="I134"/>
    </sheetView>
  </sheetViews>
  <sheetFormatPr defaultRowHeight="16.5" customHeight="1" x14ac:dyDescent="0.3"/>
  <cols>
    <col min="1" max="1" width="11.75" style="27" customWidth="1"/>
    <col min="2" max="2" width="8.875" style="56" bestFit="1" customWidth="1"/>
    <col min="3" max="3" width="37.5" style="27" customWidth="1"/>
    <col min="4" max="4" width="13.875" style="56" customWidth="1"/>
    <col min="5" max="5" width="10.25" style="27" customWidth="1"/>
    <col min="6" max="16384" width="9" style="27"/>
  </cols>
  <sheetData>
    <row r="1" spans="1:5" ht="20.25" customHeight="1" x14ac:dyDescent="0.3">
      <c r="A1" s="1" t="s">
        <v>709</v>
      </c>
      <c r="B1" s="2"/>
      <c r="C1" s="3"/>
      <c r="D1" s="2"/>
      <c r="E1" s="3"/>
    </row>
    <row r="2" spans="1:5" ht="16.5" customHeight="1" x14ac:dyDescent="0.3">
      <c r="A2" s="76" t="s">
        <v>144</v>
      </c>
      <c r="B2" s="76" t="s">
        <v>213</v>
      </c>
      <c r="C2" s="76" t="s">
        <v>707</v>
      </c>
      <c r="D2" s="76" t="s">
        <v>706</v>
      </c>
      <c r="E2" s="76" t="s">
        <v>214</v>
      </c>
    </row>
    <row r="3" spans="1:5" ht="16.5" customHeight="1" x14ac:dyDescent="0.3">
      <c r="A3" s="4">
        <v>1</v>
      </c>
      <c r="B3" s="4" t="s">
        <v>334</v>
      </c>
      <c r="C3" s="4" t="s">
        <v>335</v>
      </c>
      <c r="D3" s="56" t="s">
        <v>336</v>
      </c>
      <c r="E3" s="4" t="s">
        <v>218</v>
      </c>
    </row>
    <row r="4" spans="1:5" ht="16.5" customHeight="1" x14ac:dyDescent="0.3">
      <c r="A4" s="4">
        <v>2</v>
      </c>
      <c r="B4" s="4" t="s">
        <v>334</v>
      </c>
      <c r="C4" s="4" t="s">
        <v>343</v>
      </c>
      <c r="D4" s="56" t="s">
        <v>336</v>
      </c>
      <c r="E4" s="4" t="s">
        <v>218</v>
      </c>
    </row>
    <row r="5" spans="1:5" ht="16.5" customHeight="1" x14ac:dyDescent="0.3">
      <c r="A5" s="4">
        <v>3</v>
      </c>
      <c r="B5" s="4" t="s">
        <v>312</v>
      </c>
      <c r="C5" s="4" t="s">
        <v>313</v>
      </c>
      <c r="D5" s="56" t="s">
        <v>314</v>
      </c>
      <c r="E5" s="4" t="s">
        <v>218</v>
      </c>
    </row>
    <row r="6" spans="1:5" ht="16.5" customHeight="1" x14ac:dyDescent="0.3">
      <c r="A6" s="4">
        <v>4</v>
      </c>
      <c r="B6" s="4" t="s">
        <v>323</v>
      </c>
      <c r="C6" s="4" t="s">
        <v>324</v>
      </c>
      <c r="D6" s="56" t="s">
        <v>314</v>
      </c>
      <c r="E6" s="4" t="s">
        <v>218</v>
      </c>
    </row>
    <row r="7" spans="1:5" ht="16.5" customHeight="1" x14ac:dyDescent="0.3">
      <c r="A7" s="4">
        <v>5</v>
      </c>
      <c r="B7" s="4" t="s">
        <v>379</v>
      </c>
      <c r="C7" s="4" t="s">
        <v>380</v>
      </c>
      <c r="D7" s="56" t="s">
        <v>314</v>
      </c>
      <c r="E7" s="4" t="s">
        <v>218</v>
      </c>
    </row>
    <row r="8" spans="1:5" ht="16.5" customHeight="1" x14ac:dyDescent="0.3">
      <c r="A8" s="4">
        <v>6</v>
      </c>
      <c r="B8" s="4" t="s">
        <v>353</v>
      </c>
      <c r="C8" s="4" t="s">
        <v>354</v>
      </c>
      <c r="D8" s="56" t="s">
        <v>244</v>
      </c>
      <c r="E8" s="4" t="s">
        <v>218</v>
      </c>
    </row>
    <row r="9" spans="1:5" ht="16.5" customHeight="1" x14ac:dyDescent="0.3">
      <c r="A9" s="4">
        <v>7</v>
      </c>
      <c r="B9" s="4" t="s">
        <v>369</v>
      </c>
      <c r="C9" s="4" t="s">
        <v>370</v>
      </c>
      <c r="D9" s="56" t="s">
        <v>244</v>
      </c>
      <c r="E9" s="4" t="s">
        <v>218</v>
      </c>
    </row>
    <row r="10" spans="1:5" ht="16.5" customHeight="1" x14ac:dyDescent="0.3">
      <c r="A10" s="4">
        <v>8</v>
      </c>
      <c r="B10" s="4" t="s">
        <v>731</v>
      </c>
      <c r="C10" s="4" t="s">
        <v>732</v>
      </c>
      <c r="D10" s="56" t="s">
        <v>733</v>
      </c>
      <c r="E10" s="4" t="s">
        <v>734</v>
      </c>
    </row>
    <row r="11" spans="1:5" ht="16.5" customHeight="1" x14ac:dyDescent="0.3">
      <c r="A11" s="4">
        <v>9</v>
      </c>
      <c r="B11" s="4" t="s">
        <v>359</v>
      </c>
      <c r="C11" s="4" t="s">
        <v>360</v>
      </c>
      <c r="D11" s="56" t="s">
        <v>361</v>
      </c>
      <c r="E11" s="4" t="s">
        <v>218</v>
      </c>
    </row>
    <row r="12" spans="1:5" ht="16.5" customHeight="1" x14ac:dyDescent="0.3">
      <c r="A12" s="4">
        <v>10</v>
      </c>
      <c r="B12" s="4" t="s">
        <v>444</v>
      </c>
      <c r="C12" s="4" t="s">
        <v>445</v>
      </c>
      <c r="D12" s="56" t="s">
        <v>446</v>
      </c>
      <c r="E12" s="4" t="s">
        <v>218</v>
      </c>
    </row>
    <row r="13" spans="1:5" ht="16.5" customHeight="1" x14ac:dyDescent="0.3">
      <c r="A13" s="4">
        <v>11</v>
      </c>
      <c r="B13" s="5" t="s">
        <v>708</v>
      </c>
      <c r="C13" s="4" t="s">
        <v>405</v>
      </c>
      <c r="D13" s="56" t="s">
        <v>406</v>
      </c>
      <c r="E13" s="4" t="s">
        <v>218</v>
      </c>
    </row>
    <row r="14" spans="1:5" ht="16.5" customHeight="1" x14ac:dyDescent="0.3">
      <c r="A14" s="4">
        <v>12</v>
      </c>
      <c r="B14" s="5" t="s">
        <v>708</v>
      </c>
      <c r="C14" s="4" t="s">
        <v>419</v>
      </c>
      <c r="D14" s="56" t="s">
        <v>406</v>
      </c>
      <c r="E14" s="4" t="s">
        <v>218</v>
      </c>
    </row>
    <row r="15" spans="1:5" ht="16.5" customHeight="1" x14ac:dyDescent="0.3">
      <c r="A15" s="4">
        <v>13</v>
      </c>
      <c r="B15" s="4" t="s">
        <v>281</v>
      </c>
      <c r="C15" s="4" t="s">
        <v>282</v>
      </c>
      <c r="D15" s="56" t="s">
        <v>283</v>
      </c>
      <c r="E15" s="4" t="s">
        <v>218</v>
      </c>
    </row>
    <row r="16" spans="1:5" ht="16.5" customHeight="1" x14ac:dyDescent="0.3">
      <c r="A16" s="4">
        <v>14</v>
      </c>
      <c r="B16" s="4" t="s">
        <v>294</v>
      </c>
      <c r="C16" s="4" t="s">
        <v>295</v>
      </c>
      <c r="D16" s="56" t="s">
        <v>283</v>
      </c>
      <c r="E16" s="4" t="s">
        <v>218</v>
      </c>
    </row>
    <row r="17" spans="1:5" ht="16.5" customHeight="1" x14ac:dyDescent="0.3">
      <c r="A17" s="4">
        <v>15</v>
      </c>
      <c r="B17" s="4" t="s">
        <v>294</v>
      </c>
      <c r="C17" s="4" t="s">
        <v>304</v>
      </c>
      <c r="D17" s="56" t="s">
        <v>283</v>
      </c>
      <c r="E17" s="4" t="s">
        <v>218</v>
      </c>
    </row>
    <row r="18" spans="1:5" ht="16.5" customHeight="1" x14ac:dyDescent="0.3">
      <c r="A18" s="4">
        <v>16</v>
      </c>
      <c r="B18" s="5" t="s">
        <v>708</v>
      </c>
      <c r="C18" s="4" t="s">
        <v>389</v>
      </c>
      <c r="D18" s="56" t="s">
        <v>283</v>
      </c>
      <c r="E18" s="4" t="s">
        <v>218</v>
      </c>
    </row>
    <row r="19" spans="1:5" ht="16.5" customHeight="1" x14ac:dyDescent="0.3">
      <c r="A19" s="4">
        <v>17</v>
      </c>
      <c r="B19" s="5" t="s">
        <v>708</v>
      </c>
      <c r="C19" s="4" t="s">
        <v>394</v>
      </c>
      <c r="D19" s="56" t="s">
        <v>283</v>
      </c>
      <c r="E19" s="4" t="s">
        <v>218</v>
      </c>
    </row>
    <row r="20" spans="1:5" ht="16.5" customHeight="1" x14ac:dyDescent="0.3">
      <c r="A20" s="4">
        <v>18</v>
      </c>
      <c r="B20" s="5" t="s">
        <v>708</v>
      </c>
      <c r="C20" s="4" t="s">
        <v>425</v>
      </c>
      <c r="D20" s="56" t="s">
        <v>283</v>
      </c>
      <c r="E20" s="4" t="s">
        <v>218</v>
      </c>
    </row>
    <row r="21" spans="1:5" ht="16.5" customHeight="1" x14ac:dyDescent="0.3">
      <c r="A21" s="4">
        <v>19</v>
      </c>
      <c r="B21" s="5" t="s">
        <v>708</v>
      </c>
      <c r="C21" s="4" t="s">
        <v>432</v>
      </c>
      <c r="D21" s="56" t="s">
        <v>283</v>
      </c>
      <c r="E21" s="4" t="s">
        <v>218</v>
      </c>
    </row>
    <row r="22" spans="1:5" ht="16.5" customHeight="1" x14ac:dyDescent="0.3">
      <c r="A22" s="4">
        <v>20</v>
      </c>
      <c r="B22" s="4" t="s">
        <v>215</v>
      </c>
      <c r="C22" s="4" t="s">
        <v>216</v>
      </c>
      <c r="D22" s="56" t="s">
        <v>217</v>
      </c>
      <c r="E22" s="4" t="s">
        <v>218</v>
      </c>
    </row>
    <row r="23" spans="1:5" ht="16.5" customHeight="1" x14ac:dyDescent="0.3">
      <c r="A23" s="4">
        <v>21</v>
      </c>
      <c r="B23" s="4" t="s">
        <v>215</v>
      </c>
      <c r="C23" s="4" t="s">
        <v>231</v>
      </c>
      <c r="D23" s="56" t="s">
        <v>217</v>
      </c>
      <c r="E23" s="4" t="s">
        <v>218</v>
      </c>
    </row>
    <row r="24" spans="1:5" ht="16.5" customHeight="1" x14ac:dyDescent="0.3">
      <c r="A24" s="4">
        <v>22</v>
      </c>
      <c r="B24" s="5" t="s">
        <v>708</v>
      </c>
      <c r="C24" s="4" t="s">
        <v>398</v>
      </c>
      <c r="D24" s="56" t="s">
        <v>399</v>
      </c>
      <c r="E24" s="4" t="s">
        <v>218</v>
      </c>
    </row>
    <row r="25" spans="1:5" ht="16.5" customHeight="1" x14ac:dyDescent="0.3">
      <c r="A25" s="4">
        <v>23</v>
      </c>
      <c r="B25" s="5" t="s">
        <v>708</v>
      </c>
      <c r="C25" s="4" t="s">
        <v>413</v>
      </c>
      <c r="D25" s="56" t="s">
        <v>399</v>
      </c>
      <c r="E25" s="4" t="s">
        <v>218</v>
      </c>
    </row>
    <row r="26" spans="1:5" ht="16.5" customHeight="1" x14ac:dyDescent="0.3">
      <c r="A26" s="4">
        <v>24</v>
      </c>
      <c r="B26" s="4" t="s">
        <v>255</v>
      </c>
      <c r="C26" s="4" t="s">
        <v>256</v>
      </c>
      <c r="D26" s="56" t="s">
        <v>257</v>
      </c>
      <c r="E26" s="4" t="s">
        <v>218</v>
      </c>
    </row>
    <row r="27" spans="1:5" ht="16.5" customHeight="1" x14ac:dyDescent="0.3">
      <c r="A27" s="4">
        <v>25</v>
      </c>
      <c r="B27" s="4" t="s">
        <v>255</v>
      </c>
      <c r="C27" s="4" t="s">
        <v>269</v>
      </c>
      <c r="D27" s="56" t="s">
        <v>257</v>
      </c>
      <c r="E27" s="4" t="s">
        <v>218</v>
      </c>
    </row>
    <row r="28" spans="1:5" ht="16.5" customHeight="1" x14ac:dyDescent="0.3">
      <c r="A28" s="4">
        <v>26</v>
      </c>
      <c r="B28" s="4" t="s">
        <v>451</v>
      </c>
      <c r="C28" s="4" t="s">
        <v>452</v>
      </c>
      <c r="D28" s="56" t="s">
        <v>453</v>
      </c>
      <c r="E28" s="4" t="s">
        <v>218</v>
      </c>
    </row>
    <row r="29" spans="1:5" ht="16.5" customHeight="1" x14ac:dyDescent="0.3">
      <c r="A29" s="4">
        <v>27</v>
      </c>
      <c r="B29" s="4" t="s">
        <v>466</v>
      </c>
      <c r="C29" s="4" t="s">
        <v>467</v>
      </c>
      <c r="D29" s="4" t="s">
        <v>453</v>
      </c>
      <c r="E29" s="4" t="s">
        <v>218</v>
      </c>
    </row>
    <row r="30" spans="1:5" ht="16.5" customHeight="1" x14ac:dyDescent="0.3">
      <c r="A30" s="4">
        <v>28</v>
      </c>
      <c r="B30" s="4" t="s">
        <v>457</v>
      </c>
      <c r="C30" s="4" t="s">
        <v>44</v>
      </c>
      <c r="D30" s="56" t="s">
        <v>458</v>
      </c>
      <c r="E30" s="4" t="s">
        <v>218</v>
      </c>
    </row>
    <row r="31" spans="1:5" ht="16.5" customHeight="1" x14ac:dyDescent="0.3">
      <c r="A31" s="4">
        <v>29</v>
      </c>
      <c r="B31" s="4" t="s">
        <v>461</v>
      </c>
      <c r="C31" s="4" t="s">
        <v>462</v>
      </c>
      <c r="D31" s="56" t="s">
        <v>463</v>
      </c>
      <c r="E31" s="4" t="s">
        <v>218</v>
      </c>
    </row>
    <row r="32" spans="1:5" ht="16.5" customHeight="1" x14ac:dyDescent="0.3">
      <c r="A32" s="4">
        <v>30</v>
      </c>
      <c r="B32" s="6" t="s">
        <v>471</v>
      </c>
      <c r="C32" s="6" t="s">
        <v>472</v>
      </c>
      <c r="D32" s="56" t="s">
        <v>463</v>
      </c>
      <c r="E32" s="4" t="s">
        <v>218</v>
      </c>
    </row>
    <row r="33" spans="1:5" ht="16.5" customHeight="1" x14ac:dyDescent="0.3">
      <c r="A33" s="4">
        <v>31</v>
      </c>
      <c r="B33" s="5" t="s">
        <v>708</v>
      </c>
      <c r="C33" s="4" t="s">
        <v>439</v>
      </c>
      <c r="D33" s="56" t="s">
        <v>440</v>
      </c>
      <c r="E33" s="4" t="s">
        <v>218</v>
      </c>
    </row>
    <row r="34" spans="1:5" ht="16.5" customHeight="1" x14ac:dyDescent="0.3">
      <c r="A34" s="4">
        <v>32</v>
      </c>
      <c r="B34" s="4" t="s">
        <v>523</v>
      </c>
      <c r="C34" s="4" t="s">
        <v>524</v>
      </c>
      <c r="D34" s="56" t="s">
        <v>525</v>
      </c>
      <c r="E34" s="4" t="s">
        <v>218</v>
      </c>
    </row>
    <row r="35" spans="1:5" ht="16.5" customHeight="1" x14ac:dyDescent="0.3">
      <c r="A35" s="4">
        <v>33</v>
      </c>
      <c r="B35" s="4" t="s">
        <v>337</v>
      </c>
      <c r="C35" s="6" t="s">
        <v>338</v>
      </c>
      <c r="D35" s="56" t="s">
        <v>339</v>
      </c>
      <c r="E35" s="4" t="s">
        <v>235</v>
      </c>
    </row>
    <row r="36" spans="1:5" ht="16.5" customHeight="1" x14ac:dyDescent="0.3">
      <c r="A36" s="4">
        <v>34</v>
      </c>
      <c r="B36" s="4" t="s">
        <v>521</v>
      </c>
      <c r="C36" s="4" t="s">
        <v>522</v>
      </c>
      <c r="D36" s="56" t="s">
        <v>339</v>
      </c>
      <c r="E36" s="4" t="s">
        <v>218</v>
      </c>
    </row>
    <row r="37" spans="1:5" ht="16.5" customHeight="1" x14ac:dyDescent="0.3">
      <c r="A37" s="4">
        <v>35</v>
      </c>
      <c r="B37" s="4" t="s">
        <v>500</v>
      </c>
      <c r="C37" s="6" t="s">
        <v>501</v>
      </c>
      <c r="D37" s="56" t="s">
        <v>502</v>
      </c>
      <c r="E37" s="4" t="s">
        <v>235</v>
      </c>
    </row>
    <row r="38" spans="1:5" ht="16.5" customHeight="1" x14ac:dyDescent="0.3">
      <c r="A38" s="4">
        <v>36</v>
      </c>
      <c r="B38" s="4" t="s">
        <v>500</v>
      </c>
      <c r="C38" s="6" t="s">
        <v>199</v>
      </c>
      <c r="D38" s="56" t="s">
        <v>502</v>
      </c>
      <c r="E38" s="4" t="s">
        <v>235</v>
      </c>
    </row>
    <row r="39" spans="1:5" ht="16.5" customHeight="1" x14ac:dyDescent="0.3">
      <c r="A39" s="4">
        <v>37</v>
      </c>
      <c r="B39" s="4" t="s">
        <v>426</v>
      </c>
      <c r="C39" s="6" t="s">
        <v>427</v>
      </c>
      <c r="D39" s="56" t="s">
        <v>428</v>
      </c>
      <c r="E39" s="4" t="s">
        <v>235</v>
      </c>
    </row>
    <row r="40" spans="1:5" ht="16.5" customHeight="1" x14ac:dyDescent="0.3">
      <c r="A40" s="4">
        <v>38</v>
      </c>
      <c r="B40" s="4" t="s">
        <v>498</v>
      </c>
      <c r="C40" s="6" t="s">
        <v>499</v>
      </c>
      <c r="D40" s="56" t="s">
        <v>428</v>
      </c>
      <c r="E40" s="4" t="s">
        <v>235</v>
      </c>
    </row>
    <row r="41" spans="1:5" ht="16.5" customHeight="1" x14ac:dyDescent="0.3">
      <c r="A41" s="4">
        <v>39</v>
      </c>
      <c r="B41" s="4" t="s">
        <v>232</v>
      </c>
      <c r="C41" s="6" t="s">
        <v>233</v>
      </c>
      <c r="D41" s="56" t="s">
        <v>234</v>
      </c>
      <c r="E41" s="4" t="s">
        <v>235</v>
      </c>
    </row>
    <row r="42" spans="1:5" ht="16.5" customHeight="1" x14ac:dyDescent="0.3">
      <c r="A42" s="4">
        <v>40</v>
      </c>
      <c r="B42" s="4" t="s">
        <v>395</v>
      </c>
      <c r="C42" s="6" t="s">
        <v>396</v>
      </c>
      <c r="D42" s="56" t="s">
        <v>234</v>
      </c>
      <c r="E42" s="4" t="s">
        <v>235</v>
      </c>
    </row>
    <row r="43" spans="1:5" ht="16.5" customHeight="1" x14ac:dyDescent="0.3">
      <c r="A43" s="4">
        <v>41</v>
      </c>
      <c r="B43" s="4" t="s">
        <v>464</v>
      </c>
      <c r="C43" s="6" t="s">
        <v>465</v>
      </c>
      <c r="D43" s="56" t="s">
        <v>234</v>
      </c>
      <c r="E43" s="4" t="s">
        <v>235</v>
      </c>
    </row>
    <row r="44" spans="1:5" ht="16.5" customHeight="1" x14ac:dyDescent="0.3">
      <c r="A44" s="4">
        <v>42</v>
      </c>
      <c r="B44" s="7" t="s">
        <v>519</v>
      </c>
      <c r="C44" s="6" t="s">
        <v>520</v>
      </c>
      <c r="D44" s="56" t="s">
        <v>234</v>
      </c>
      <c r="E44" s="4" t="s">
        <v>218</v>
      </c>
    </row>
    <row r="45" spans="1:5" ht="16.5" customHeight="1" x14ac:dyDescent="0.3">
      <c r="A45" s="4">
        <v>43</v>
      </c>
      <c r="B45" s="4" t="s">
        <v>495</v>
      </c>
      <c r="C45" s="6" t="s">
        <v>496</v>
      </c>
      <c r="D45" s="56" t="s">
        <v>497</v>
      </c>
      <c r="E45" s="4" t="s">
        <v>235</v>
      </c>
    </row>
    <row r="46" spans="1:5" ht="16.5" customHeight="1" x14ac:dyDescent="0.3">
      <c r="A46" s="4">
        <v>44</v>
      </c>
      <c r="B46" s="7" t="s">
        <v>473</v>
      </c>
      <c r="C46" s="6" t="s">
        <v>474</v>
      </c>
      <c r="D46" s="56" t="s">
        <v>475</v>
      </c>
      <c r="E46" s="4" t="s">
        <v>235</v>
      </c>
    </row>
    <row r="47" spans="1:5" ht="16.5" customHeight="1" x14ac:dyDescent="0.3">
      <c r="A47" s="4">
        <v>45</v>
      </c>
      <c r="B47" s="4" t="s">
        <v>476</v>
      </c>
      <c r="C47" s="6" t="s">
        <v>477</v>
      </c>
      <c r="D47" s="56" t="s">
        <v>475</v>
      </c>
      <c r="E47" s="4" t="s">
        <v>235</v>
      </c>
    </row>
    <row r="48" spans="1:5" ht="16.5" customHeight="1" x14ac:dyDescent="0.3">
      <c r="A48" s="4">
        <v>46</v>
      </c>
      <c r="B48" s="4" t="s">
        <v>491</v>
      </c>
      <c r="C48" s="4" t="s">
        <v>492</v>
      </c>
      <c r="D48" s="56" t="s">
        <v>475</v>
      </c>
      <c r="E48" s="4" t="s">
        <v>235</v>
      </c>
    </row>
    <row r="49" spans="1:5" ht="16.5" customHeight="1" x14ac:dyDescent="0.3">
      <c r="A49" s="4">
        <v>47</v>
      </c>
      <c r="B49" s="4" t="s">
        <v>515</v>
      </c>
      <c r="C49" s="4" t="s">
        <v>516</v>
      </c>
      <c r="D49" s="56" t="s">
        <v>475</v>
      </c>
      <c r="E49" s="4" t="s">
        <v>212</v>
      </c>
    </row>
    <row r="50" spans="1:5" ht="16.5" customHeight="1" x14ac:dyDescent="0.3">
      <c r="A50" s="4">
        <v>48</v>
      </c>
      <c r="B50" s="4" t="s">
        <v>315</v>
      </c>
      <c r="C50" s="6" t="s">
        <v>316</v>
      </c>
      <c r="D50" s="56" t="s">
        <v>317</v>
      </c>
      <c r="E50" s="4" t="s">
        <v>235</v>
      </c>
    </row>
    <row r="51" spans="1:5" ht="16.5" customHeight="1" x14ac:dyDescent="0.3">
      <c r="A51" s="4">
        <v>49</v>
      </c>
      <c r="B51" s="4" t="s">
        <v>532</v>
      </c>
      <c r="C51" s="6" t="s">
        <v>3</v>
      </c>
      <c r="D51" s="56" t="s">
        <v>317</v>
      </c>
      <c r="E51" s="4" t="s">
        <v>218</v>
      </c>
    </row>
    <row r="52" spans="1:5" ht="16.5" customHeight="1" x14ac:dyDescent="0.3">
      <c r="A52" s="4">
        <v>50</v>
      </c>
      <c r="B52" s="4" t="s">
        <v>454</v>
      </c>
      <c r="C52" s="6" t="s">
        <v>455</v>
      </c>
      <c r="D52" s="56" t="s">
        <v>456</v>
      </c>
      <c r="E52" s="4" t="s">
        <v>235</v>
      </c>
    </row>
    <row r="53" spans="1:5" ht="16.5" customHeight="1" x14ac:dyDescent="0.3">
      <c r="A53" s="4">
        <v>51</v>
      </c>
      <c r="B53" s="4" t="s">
        <v>493</v>
      </c>
      <c r="C53" s="6" t="s">
        <v>494</v>
      </c>
      <c r="D53" s="56" t="s">
        <v>456</v>
      </c>
      <c r="E53" s="4" t="s">
        <v>235</v>
      </c>
    </row>
    <row r="54" spans="1:5" ht="16.5" customHeight="1" x14ac:dyDescent="0.3">
      <c r="A54" s="4">
        <v>52</v>
      </c>
      <c r="B54" s="4" t="s">
        <v>517</v>
      </c>
      <c r="C54" s="7" t="s">
        <v>518</v>
      </c>
      <c r="D54" s="56" t="s">
        <v>456</v>
      </c>
      <c r="E54" s="4" t="s">
        <v>218</v>
      </c>
    </row>
    <row r="55" spans="1:5" ht="16.5" customHeight="1" x14ac:dyDescent="0.3">
      <c r="A55" s="4">
        <v>53</v>
      </c>
      <c r="B55" s="4" t="s">
        <v>344</v>
      </c>
      <c r="C55" s="6" t="s">
        <v>345</v>
      </c>
      <c r="D55" s="56" t="s">
        <v>346</v>
      </c>
      <c r="E55" s="4" t="s">
        <v>235</v>
      </c>
    </row>
    <row r="56" spans="1:5" ht="16.5" customHeight="1" x14ac:dyDescent="0.3">
      <c r="A56" s="4">
        <v>54</v>
      </c>
      <c r="B56" s="4" t="s">
        <v>355</v>
      </c>
      <c r="C56" s="7" t="s">
        <v>356</v>
      </c>
      <c r="D56" s="56" t="s">
        <v>346</v>
      </c>
      <c r="E56" s="4" t="s">
        <v>235</v>
      </c>
    </row>
    <row r="57" spans="1:5" ht="16.5" customHeight="1" x14ac:dyDescent="0.3">
      <c r="A57" s="4">
        <v>55</v>
      </c>
      <c r="B57" s="4" t="s">
        <v>420</v>
      </c>
      <c r="C57" s="6" t="s">
        <v>421</v>
      </c>
      <c r="D57" s="56" t="s">
        <v>346</v>
      </c>
      <c r="E57" s="4" t="s">
        <v>235</v>
      </c>
    </row>
    <row r="58" spans="1:5" ht="16.5" customHeight="1" x14ac:dyDescent="0.3">
      <c r="A58" s="4">
        <v>56</v>
      </c>
      <c r="B58" s="4" t="s">
        <v>441</v>
      </c>
      <c r="C58" s="6" t="s">
        <v>442</v>
      </c>
      <c r="D58" s="56" t="s">
        <v>346</v>
      </c>
      <c r="E58" s="4" t="s">
        <v>235</v>
      </c>
    </row>
    <row r="59" spans="1:5" ht="16.5" customHeight="1" x14ac:dyDescent="0.3">
      <c r="A59" s="4">
        <v>57</v>
      </c>
      <c r="B59" s="4" t="s">
        <v>447</v>
      </c>
      <c r="C59" s="6" t="s">
        <v>448</v>
      </c>
      <c r="D59" s="56" t="s">
        <v>346</v>
      </c>
      <c r="E59" s="4" t="s">
        <v>235</v>
      </c>
    </row>
    <row r="60" spans="1:5" ht="16.5" customHeight="1" x14ac:dyDescent="0.3">
      <c r="A60" s="4">
        <v>58</v>
      </c>
      <c r="B60" s="4" t="s">
        <v>400</v>
      </c>
      <c r="C60" s="6" t="s">
        <v>401</v>
      </c>
      <c r="D60" s="56" t="s">
        <v>402</v>
      </c>
      <c r="E60" s="4" t="s">
        <v>235</v>
      </c>
    </row>
    <row r="61" spans="1:5" ht="16.5" customHeight="1" x14ac:dyDescent="0.3">
      <c r="A61" s="4">
        <v>59</v>
      </c>
      <c r="B61" s="4" t="s">
        <v>407</v>
      </c>
      <c r="C61" s="6" t="s">
        <v>408</v>
      </c>
      <c r="D61" s="56" t="s">
        <v>409</v>
      </c>
      <c r="E61" s="4" t="s">
        <v>235</v>
      </c>
    </row>
    <row r="62" spans="1:5" ht="16.5" customHeight="1" x14ac:dyDescent="0.3">
      <c r="A62" s="4">
        <v>60</v>
      </c>
      <c r="B62" s="4" t="s">
        <v>414</v>
      </c>
      <c r="C62" s="6" t="s">
        <v>415</v>
      </c>
      <c r="D62" s="56" t="s">
        <v>409</v>
      </c>
      <c r="E62" s="4" t="s">
        <v>235</v>
      </c>
    </row>
    <row r="63" spans="1:5" ht="16.5" customHeight="1" x14ac:dyDescent="0.3">
      <c r="A63" s="4">
        <v>61</v>
      </c>
      <c r="B63" s="4" t="s">
        <v>258</v>
      </c>
      <c r="C63" s="6" t="s">
        <v>259</v>
      </c>
      <c r="D63" s="56" t="s">
        <v>260</v>
      </c>
      <c r="E63" s="4" t="s">
        <v>235</v>
      </c>
    </row>
    <row r="64" spans="1:5" ht="16.5" customHeight="1" x14ac:dyDescent="0.3">
      <c r="A64" s="4">
        <v>62</v>
      </c>
      <c r="B64" s="4" t="s">
        <v>390</v>
      </c>
      <c r="C64" s="6" t="s">
        <v>391</v>
      </c>
      <c r="D64" s="56" t="s">
        <v>392</v>
      </c>
      <c r="E64" s="4" t="s">
        <v>235</v>
      </c>
    </row>
    <row r="65" spans="1:5" ht="16.5" customHeight="1" x14ac:dyDescent="0.3">
      <c r="A65" s="4">
        <v>63</v>
      </c>
      <c r="B65" s="7" t="s">
        <v>459</v>
      </c>
      <c r="C65" s="6" t="s">
        <v>460</v>
      </c>
      <c r="D65" s="56" t="s">
        <v>260</v>
      </c>
      <c r="E65" s="4" t="s">
        <v>235</v>
      </c>
    </row>
    <row r="66" spans="1:5" ht="16.5" customHeight="1" x14ac:dyDescent="0.3">
      <c r="A66" s="4">
        <v>64</v>
      </c>
      <c r="B66" s="4" t="s">
        <v>468</v>
      </c>
      <c r="C66" s="6" t="s">
        <v>469</v>
      </c>
      <c r="D66" s="56" t="s">
        <v>470</v>
      </c>
      <c r="E66" s="4" t="s">
        <v>235</v>
      </c>
    </row>
    <row r="67" spans="1:5" ht="16.5" customHeight="1" x14ac:dyDescent="0.3">
      <c r="A67" s="4">
        <v>65</v>
      </c>
      <c r="B67" s="4" t="s">
        <v>487</v>
      </c>
      <c r="C67" s="6" t="s">
        <v>488</v>
      </c>
      <c r="D67" s="56" t="s">
        <v>470</v>
      </c>
      <c r="E67" s="4" t="s">
        <v>235</v>
      </c>
    </row>
    <row r="68" spans="1:5" ht="16.5" customHeight="1" x14ac:dyDescent="0.3">
      <c r="A68" s="4">
        <v>66</v>
      </c>
      <c r="B68" s="4" t="s">
        <v>270</v>
      </c>
      <c r="C68" s="6" t="s">
        <v>271</v>
      </c>
      <c r="D68" s="56" t="s">
        <v>272</v>
      </c>
      <c r="E68" s="4" t="s">
        <v>235</v>
      </c>
    </row>
    <row r="69" spans="1:5" ht="16.5" customHeight="1" x14ac:dyDescent="0.3">
      <c r="A69" s="4">
        <v>67</v>
      </c>
      <c r="B69" s="4" t="s">
        <v>507</v>
      </c>
      <c r="C69" s="6" t="s">
        <v>508</v>
      </c>
      <c r="D69" s="56" t="s">
        <v>272</v>
      </c>
      <c r="E69" s="4" t="s">
        <v>235</v>
      </c>
    </row>
    <row r="70" spans="1:5" ht="16.5" customHeight="1" x14ac:dyDescent="0.3">
      <c r="A70" s="4">
        <v>68</v>
      </c>
      <c r="B70" s="4" t="s">
        <v>511</v>
      </c>
      <c r="C70" s="6" t="s">
        <v>512</v>
      </c>
      <c r="D70" s="56" t="s">
        <v>272</v>
      </c>
      <c r="E70" s="4" t="s">
        <v>235</v>
      </c>
    </row>
    <row r="71" spans="1:5" ht="16.5" customHeight="1" x14ac:dyDescent="0.3">
      <c r="A71" s="4">
        <v>69</v>
      </c>
      <c r="B71" s="8" t="s">
        <v>484</v>
      </c>
      <c r="C71" s="6" t="s">
        <v>485</v>
      </c>
      <c r="D71" s="56" t="s">
        <v>486</v>
      </c>
      <c r="E71" s="4" t="s">
        <v>235</v>
      </c>
    </row>
    <row r="72" spans="1:5" ht="16.5" customHeight="1" x14ac:dyDescent="0.3">
      <c r="A72" s="4">
        <v>70</v>
      </c>
      <c r="B72" s="4" t="s">
        <v>503</v>
      </c>
      <c r="C72" s="6" t="s">
        <v>504</v>
      </c>
      <c r="D72" s="56" t="s">
        <v>486</v>
      </c>
      <c r="E72" s="4" t="s">
        <v>235</v>
      </c>
    </row>
    <row r="73" spans="1:5" ht="16.5" customHeight="1" x14ac:dyDescent="0.3">
      <c r="A73" s="4">
        <v>71</v>
      </c>
      <c r="B73" s="4" t="s">
        <v>509</v>
      </c>
      <c r="C73" s="6" t="s">
        <v>510</v>
      </c>
      <c r="D73" s="56" t="s">
        <v>486</v>
      </c>
      <c r="E73" s="4" t="s">
        <v>235</v>
      </c>
    </row>
    <row r="74" spans="1:5" ht="16.5" customHeight="1" x14ac:dyDescent="0.3">
      <c r="A74" s="4">
        <v>72</v>
      </c>
      <c r="B74" s="4" t="s">
        <v>371</v>
      </c>
      <c r="C74" s="6" t="s">
        <v>372</v>
      </c>
      <c r="D74" s="56" t="s">
        <v>373</v>
      </c>
      <c r="E74" s="4" t="s">
        <v>235</v>
      </c>
    </row>
    <row r="75" spans="1:5" ht="16.5" customHeight="1" x14ac:dyDescent="0.3">
      <c r="A75" s="4">
        <v>73</v>
      </c>
      <c r="B75" s="4" t="s">
        <v>381</v>
      </c>
      <c r="C75" s="4" t="s">
        <v>382</v>
      </c>
      <c r="D75" s="56" t="s">
        <v>373</v>
      </c>
      <c r="E75" s="4" t="s">
        <v>235</v>
      </c>
    </row>
    <row r="76" spans="1:5" ht="16.5" customHeight="1" x14ac:dyDescent="0.3">
      <c r="A76" s="4">
        <v>74</v>
      </c>
      <c r="B76" s="4" t="s">
        <v>219</v>
      </c>
      <c r="C76" s="6" t="s">
        <v>220</v>
      </c>
      <c r="D76" s="56" t="s">
        <v>221</v>
      </c>
      <c r="E76" s="4" t="s">
        <v>222</v>
      </c>
    </row>
    <row r="77" spans="1:5" ht="16.5" customHeight="1" x14ac:dyDescent="0.3">
      <c r="A77" s="4">
        <v>75</v>
      </c>
      <c r="B77" s="4" t="s">
        <v>362</v>
      </c>
      <c r="C77" s="6" t="s">
        <v>363</v>
      </c>
      <c r="D77" s="56" t="s">
        <v>221</v>
      </c>
      <c r="E77" s="4" t="s">
        <v>222</v>
      </c>
    </row>
    <row r="78" spans="1:5" ht="16.5" customHeight="1" x14ac:dyDescent="0.3">
      <c r="A78" s="4">
        <v>76</v>
      </c>
      <c r="B78" s="8" t="s">
        <v>482</v>
      </c>
      <c r="C78" s="6" t="s">
        <v>483</v>
      </c>
      <c r="D78" s="56" t="s">
        <v>221</v>
      </c>
      <c r="E78" s="4" t="s">
        <v>235</v>
      </c>
    </row>
    <row r="79" spans="1:5" ht="16.5" customHeight="1" x14ac:dyDescent="0.3">
      <c r="A79" s="4">
        <v>77</v>
      </c>
      <c r="B79" s="4" t="s">
        <v>433</v>
      </c>
      <c r="C79" s="6" t="s">
        <v>434</v>
      </c>
      <c r="D79" s="56" t="s">
        <v>435</v>
      </c>
      <c r="E79" s="4" t="s">
        <v>235</v>
      </c>
    </row>
    <row r="80" spans="1:5" ht="16.5" customHeight="1" x14ac:dyDescent="0.3">
      <c r="A80" s="4">
        <v>78</v>
      </c>
      <c r="B80" s="4" t="s">
        <v>284</v>
      </c>
      <c r="C80" s="6" t="s">
        <v>285</v>
      </c>
      <c r="D80" s="56" t="s">
        <v>286</v>
      </c>
      <c r="E80" s="4" t="s">
        <v>235</v>
      </c>
    </row>
    <row r="81" spans="1:5" ht="16.5" customHeight="1" x14ac:dyDescent="0.3">
      <c r="A81" s="4">
        <v>79</v>
      </c>
      <c r="B81" s="4" t="s">
        <v>296</v>
      </c>
      <c r="C81" s="6" t="s">
        <v>297</v>
      </c>
      <c r="D81" s="56" t="s">
        <v>286</v>
      </c>
      <c r="E81" s="4" t="s">
        <v>235</v>
      </c>
    </row>
    <row r="82" spans="1:5" ht="16.5" customHeight="1" x14ac:dyDescent="0.3">
      <c r="A82" s="4">
        <v>80</v>
      </c>
      <c r="B82" s="4" t="s">
        <v>305</v>
      </c>
      <c r="C82" s="6" t="s">
        <v>306</v>
      </c>
      <c r="D82" s="56" t="s">
        <v>286</v>
      </c>
      <c r="E82" s="4" t="s">
        <v>235</v>
      </c>
    </row>
    <row r="83" spans="1:5" ht="16.5" customHeight="1" x14ac:dyDescent="0.3">
      <c r="A83" s="4">
        <v>81</v>
      </c>
      <c r="B83" s="4" t="s">
        <v>478</v>
      </c>
      <c r="C83" s="6" t="s">
        <v>479</v>
      </c>
      <c r="D83" s="56" t="s">
        <v>286</v>
      </c>
      <c r="E83" s="4" t="s">
        <v>235</v>
      </c>
    </row>
    <row r="84" spans="1:5" ht="16.5" customHeight="1" x14ac:dyDescent="0.3">
      <c r="A84" s="4">
        <v>82</v>
      </c>
      <c r="B84" s="4" t="s">
        <v>480</v>
      </c>
      <c r="C84" s="6" t="s">
        <v>481</v>
      </c>
      <c r="D84" s="56" t="s">
        <v>286</v>
      </c>
      <c r="E84" s="4" t="s">
        <v>235</v>
      </c>
    </row>
    <row r="85" spans="1:5" ht="16.5" customHeight="1" x14ac:dyDescent="0.3">
      <c r="A85" s="4">
        <v>83</v>
      </c>
      <c r="B85" s="4" t="s">
        <v>526</v>
      </c>
      <c r="C85" s="4" t="s">
        <v>527</v>
      </c>
      <c r="D85" s="56" t="s">
        <v>528</v>
      </c>
      <c r="E85" s="4" t="s">
        <v>218</v>
      </c>
    </row>
    <row r="86" spans="1:5" ht="16.5" customHeight="1" x14ac:dyDescent="0.3">
      <c r="A86" s="4">
        <v>84</v>
      </c>
      <c r="B86" s="4" t="s">
        <v>245</v>
      </c>
      <c r="C86" s="6" t="s">
        <v>246</v>
      </c>
      <c r="D86" s="56" t="s">
        <v>247</v>
      </c>
      <c r="E86" s="4" t="s">
        <v>235</v>
      </c>
    </row>
    <row r="87" spans="1:5" ht="16.5" customHeight="1" x14ac:dyDescent="0.3">
      <c r="A87" s="4">
        <v>85</v>
      </c>
      <c r="B87" s="4" t="s">
        <v>325</v>
      </c>
      <c r="C87" s="6" t="s">
        <v>326</v>
      </c>
      <c r="D87" s="56" t="s">
        <v>247</v>
      </c>
      <c r="E87" s="4" t="s">
        <v>235</v>
      </c>
    </row>
    <row r="88" spans="1:5" ht="16.5" customHeight="1" x14ac:dyDescent="0.3">
      <c r="A88" s="4">
        <v>86</v>
      </c>
      <c r="B88" s="4" t="s">
        <v>489</v>
      </c>
      <c r="C88" s="4" t="s">
        <v>490</v>
      </c>
      <c r="D88" s="56" t="s">
        <v>247</v>
      </c>
      <c r="E88" s="4" t="s">
        <v>235</v>
      </c>
    </row>
    <row r="89" spans="1:5" ht="16.5" customHeight="1" x14ac:dyDescent="0.3">
      <c r="A89" s="4">
        <v>87</v>
      </c>
      <c r="B89" s="4" t="s">
        <v>505</v>
      </c>
      <c r="C89" s="6" t="s">
        <v>506</v>
      </c>
      <c r="D89" s="56" t="s">
        <v>247</v>
      </c>
      <c r="E89" s="4" t="s">
        <v>235</v>
      </c>
    </row>
    <row r="90" spans="1:5" ht="16.5" customHeight="1" x14ac:dyDescent="0.3">
      <c r="A90" s="4">
        <v>88</v>
      </c>
      <c r="B90" s="4" t="s">
        <v>513</v>
      </c>
      <c r="C90" s="4" t="s">
        <v>514</v>
      </c>
      <c r="D90" s="56" t="s">
        <v>247</v>
      </c>
      <c r="E90" s="4" t="s">
        <v>235</v>
      </c>
    </row>
    <row r="91" spans="1:5" ht="16.5" customHeight="1" x14ac:dyDescent="0.3">
      <c r="A91" s="4">
        <v>89</v>
      </c>
      <c r="B91" s="4" t="s">
        <v>529</v>
      </c>
      <c r="C91" s="4" t="s">
        <v>530</v>
      </c>
      <c r="D91" s="56" t="s">
        <v>531</v>
      </c>
      <c r="E91" s="4" t="s">
        <v>218</v>
      </c>
    </row>
    <row r="92" spans="1:5" ht="16.5" customHeight="1" x14ac:dyDescent="0.3">
      <c r="A92" s="4">
        <v>90</v>
      </c>
      <c r="B92" s="4" t="s">
        <v>236</v>
      </c>
      <c r="C92" s="6" t="s">
        <v>237</v>
      </c>
      <c r="D92" s="56" t="s">
        <v>238</v>
      </c>
      <c r="E92" s="4" t="s">
        <v>222</v>
      </c>
    </row>
    <row r="93" spans="1:5" ht="16.5" customHeight="1" x14ac:dyDescent="0.3">
      <c r="A93" s="4">
        <v>91</v>
      </c>
      <c r="B93" s="4" t="s">
        <v>248</v>
      </c>
      <c r="C93" s="6" t="s">
        <v>249</v>
      </c>
      <c r="D93" s="56" t="s">
        <v>238</v>
      </c>
      <c r="E93" s="4" t="s">
        <v>235</v>
      </c>
    </row>
    <row r="94" spans="1:5" ht="16.5" customHeight="1" x14ac:dyDescent="0.3">
      <c r="A94" s="4">
        <v>92</v>
      </c>
      <c r="B94" s="4" t="s">
        <v>223</v>
      </c>
      <c r="C94" s="6" t="s">
        <v>224</v>
      </c>
      <c r="D94" s="56" t="s">
        <v>225</v>
      </c>
      <c r="E94" s="4" t="s">
        <v>222</v>
      </c>
    </row>
    <row r="95" spans="1:5" ht="16.5" customHeight="1" x14ac:dyDescent="0.3">
      <c r="A95" s="4">
        <v>93</v>
      </c>
      <c r="B95" s="10" t="s">
        <v>708</v>
      </c>
      <c r="C95" s="9" t="s">
        <v>287</v>
      </c>
      <c r="D95" s="56" t="s">
        <v>288</v>
      </c>
      <c r="E95" s="4" t="s">
        <v>218</v>
      </c>
    </row>
    <row r="96" spans="1:5" ht="16.5" customHeight="1" x14ac:dyDescent="0.3">
      <c r="A96" s="4">
        <v>94</v>
      </c>
      <c r="B96" s="10" t="s">
        <v>708</v>
      </c>
      <c r="C96" s="6" t="s">
        <v>298</v>
      </c>
      <c r="D96" s="56" t="s">
        <v>288</v>
      </c>
      <c r="E96" s="4" t="s">
        <v>218</v>
      </c>
    </row>
    <row r="97" spans="1:5" ht="16.5" customHeight="1" x14ac:dyDescent="0.3">
      <c r="A97" s="4">
        <v>95</v>
      </c>
      <c r="B97" s="10" t="s">
        <v>708</v>
      </c>
      <c r="C97" s="6" t="s">
        <v>307</v>
      </c>
      <c r="D97" s="56" t="s">
        <v>308</v>
      </c>
      <c r="E97" s="4" t="s">
        <v>218</v>
      </c>
    </row>
    <row r="98" spans="1:5" ht="16.5" customHeight="1" x14ac:dyDescent="0.3">
      <c r="A98" s="4">
        <v>96</v>
      </c>
      <c r="B98" s="10" t="s">
        <v>708</v>
      </c>
      <c r="C98" s="6" t="s">
        <v>318</v>
      </c>
      <c r="D98" s="56" t="s">
        <v>308</v>
      </c>
      <c r="E98" s="4" t="s">
        <v>218</v>
      </c>
    </row>
    <row r="99" spans="1:5" ht="16.5" customHeight="1" x14ac:dyDescent="0.3">
      <c r="A99" s="4">
        <v>97</v>
      </c>
      <c r="B99" s="4" t="s">
        <v>383</v>
      </c>
      <c r="C99" s="6" t="s">
        <v>384</v>
      </c>
      <c r="D99" s="56" t="s">
        <v>385</v>
      </c>
      <c r="E99" s="4" t="s">
        <v>218</v>
      </c>
    </row>
    <row r="100" spans="1:5" ht="16.5" customHeight="1" x14ac:dyDescent="0.3">
      <c r="A100" s="4">
        <v>98</v>
      </c>
      <c r="B100" s="4" t="s">
        <v>273</v>
      </c>
      <c r="C100" s="9" t="s">
        <v>274</v>
      </c>
      <c r="D100" s="56" t="s">
        <v>275</v>
      </c>
      <c r="E100" s="4" t="s">
        <v>222</v>
      </c>
    </row>
    <row r="101" spans="1:5" ht="16.5" customHeight="1" x14ac:dyDescent="0.3">
      <c r="A101" s="4">
        <v>99</v>
      </c>
      <c r="B101" s="4" t="s">
        <v>327</v>
      </c>
      <c r="C101" s="9" t="s">
        <v>328</v>
      </c>
      <c r="D101" s="56" t="s">
        <v>329</v>
      </c>
      <c r="E101" s="4" t="s">
        <v>218</v>
      </c>
    </row>
    <row r="102" spans="1:5" ht="16.5" customHeight="1" x14ac:dyDescent="0.3">
      <c r="A102" s="4">
        <v>100</v>
      </c>
      <c r="B102" s="4" t="s">
        <v>327</v>
      </c>
      <c r="C102" s="9" t="s">
        <v>340</v>
      </c>
      <c r="D102" s="56" t="s">
        <v>329</v>
      </c>
      <c r="E102" s="4" t="s">
        <v>218</v>
      </c>
    </row>
    <row r="103" spans="1:5" ht="16.5" customHeight="1" x14ac:dyDescent="0.3">
      <c r="A103" s="4">
        <v>101</v>
      </c>
      <c r="B103" s="6" t="s">
        <v>347</v>
      </c>
      <c r="C103" s="6" t="s">
        <v>348</v>
      </c>
      <c r="D103" s="56" t="s">
        <v>349</v>
      </c>
      <c r="E103" s="4" t="s">
        <v>218</v>
      </c>
    </row>
    <row r="104" spans="1:5" ht="16.5" customHeight="1" x14ac:dyDescent="0.3">
      <c r="A104" s="4">
        <v>102</v>
      </c>
      <c r="B104" s="6" t="s">
        <v>347</v>
      </c>
      <c r="C104" s="9" t="s">
        <v>357</v>
      </c>
      <c r="D104" s="56" t="s">
        <v>349</v>
      </c>
      <c r="E104" s="4" t="s">
        <v>218</v>
      </c>
    </row>
    <row r="105" spans="1:5" ht="16.5" customHeight="1" x14ac:dyDescent="0.3">
      <c r="A105" s="4">
        <v>103</v>
      </c>
      <c r="B105" s="4" t="s">
        <v>364</v>
      </c>
      <c r="C105" s="6" t="s">
        <v>365</v>
      </c>
      <c r="D105" s="56" t="s">
        <v>366</v>
      </c>
      <c r="E105" s="4" t="s">
        <v>218</v>
      </c>
    </row>
    <row r="106" spans="1:5" ht="16.5" customHeight="1" x14ac:dyDescent="0.3">
      <c r="A106" s="4">
        <v>104</v>
      </c>
      <c r="B106" s="4" t="s">
        <v>364</v>
      </c>
      <c r="C106" s="6" t="s">
        <v>374</v>
      </c>
      <c r="D106" s="56" t="s">
        <v>375</v>
      </c>
      <c r="E106" s="4" t="s">
        <v>218</v>
      </c>
    </row>
    <row r="107" spans="1:5" ht="16.5" customHeight="1" x14ac:dyDescent="0.3">
      <c r="A107" s="4">
        <v>105</v>
      </c>
      <c r="B107" s="4" t="s">
        <v>261</v>
      </c>
      <c r="C107" s="9" t="s">
        <v>262</v>
      </c>
      <c r="D107" s="56" t="s">
        <v>263</v>
      </c>
      <c r="E107" s="4" t="s">
        <v>222</v>
      </c>
    </row>
    <row r="108" spans="1:5" ht="16.5" customHeight="1" x14ac:dyDescent="0.3">
      <c r="A108" s="4">
        <v>106</v>
      </c>
      <c r="B108" s="4" t="s">
        <v>319</v>
      </c>
      <c r="C108" s="11" t="s">
        <v>341</v>
      </c>
      <c r="D108" s="56" t="s">
        <v>342</v>
      </c>
      <c r="E108" s="4" t="s">
        <v>218</v>
      </c>
    </row>
    <row r="109" spans="1:5" ht="16.5" customHeight="1" x14ac:dyDescent="0.3">
      <c r="A109" s="4">
        <v>107</v>
      </c>
      <c r="B109" s="4" t="s">
        <v>386</v>
      </c>
      <c r="C109" s="11" t="s">
        <v>397</v>
      </c>
      <c r="D109" s="56" t="s">
        <v>342</v>
      </c>
      <c r="E109" s="4" t="s">
        <v>218</v>
      </c>
    </row>
    <row r="110" spans="1:5" ht="16.5" customHeight="1" x14ac:dyDescent="0.3">
      <c r="A110" s="4">
        <v>108</v>
      </c>
      <c r="B110" s="4" t="s">
        <v>386</v>
      </c>
      <c r="C110" s="11" t="s">
        <v>387</v>
      </c>
      <c r="D110" s="56" t="s">
        <v>388</v>
      </c>
      <c r="E110" s="4" t="s">
        <v>218</v>
      </c>
    </row>
    <row r="111" spans="1:5" ht="16.5" customHeight="1" x14ac:dyDescent="0.3">
      <c r="A111" s="4">
        <v>109</v>
      </c>
      <c r="B111" s="4" t="s">
        <v>386</v>
      </c>
      <c r="C111" s="11" t="s">
        <v>393</v>
      </c>
      <c r="D111" s="56" t="s">
        <v>388</v>
      </c>
      <c r="E111" s="4" t="s">
        <v>218</v>
      </c>
    </row>
    <row r="112" spans="1:5" ht="16.5" customHeight="1" x14ac:dyDescent="0.3">
      <c r="A112" s="4">
        <v>110</v>
      </c>
      <c r="B112" s="4" t="s">
        <v>376</v>
      </c>
      <c r="C112" s="11" t="s">
        <v>377</v>
      </c>
      <c r="D112" s="56" t="s">
        <v>378</v>
      </c>
      <c r="E112" s="4" t="s">
        <v>218</v>
      </c>
    </row>
    <row r="113" spans="1:5" ht="16.5" customHeight="1" x14ac:dyDescent="0.3">
      <c r="A113" s="4">
        <v>111</v>
      </c>
      <c r="B113" s="4" t="s">
        <v>219</v>
      </c>
      <c r="C113" s="6" t="s">
        <v>367</v>
      </c>
      <c r="D113" s="56" t="s">
        <v>368</v>
      </c>
      <c r="E113" s="4" t="s">
        <v>218</v>
      </c>
    </row>
    <row r="114" spans="1:5" ht="16.5" customHeight="1" x14ac:dyDescent="0.3">
      <c r="A114" s="4">
        <v>112</v>
      </c>
      <c r="B114" s="4" t="s">
        <v>350</v>
      </c>
      <c r="C114" s="11" t="s">
        <v>351</v>
      </c>
      <c r="D114" s="56" t="s">
        <v>352</v>
      </c>
      <c r="E114" s="4" t="s">
        <v>218</v>
      </c>
    </row>
    <row r="115" spans="1:5" ht="16.5" customHeight="1" x14ac:dyDescent="0.3">
      <c r="A115" s="4">
        <v>113</v>
      </c>
      <c r="B115" s="4" t="s">
        <v>350</v>
      </c>
      <c r="C115" s="11" t="s">
        <v>358</v>
      </c>
      <c r="D115" s="56" t="s">
        <v>352</v>
      </c>
      <c r="E115" s="4" t="s">
        <v>218</v>
      </c>
    </row>
    <row r="116" spans="1:5" ht="16.5" customHeight="1" x14ac:dyDescent="0.3">
      <c r="A116" s="4">
        <v>114</v>
      </c>
      <c r="B116" s="4" t="s">
        <v>319</v>
      </c>
      <c r="C116" s="11" t="s">
        <v>330</v>
      </c>
      <c r="D116" s="56" t="s">
        <v>331</v>
      </c>
      <c r="E116" s="4" t="s">
        <v>218</v>
      </c>
    </row>
    <row r="117" spans="1:5" ht="16.5" customHeight="1" x14ac:dyDescent="0.3">
      <c r="A117" s="4">
        <v>115</v>
      </c>
      <c r="B117" s="4" t="s">
        <v>319</v>
      </c>
      <c r="C117" s="11" t="s">
        <v>320</v>
      </c>
      <c r="D117" s="56" t="s">
        <v>321</v>
      </c>
      <c r="E117" s="4" t="s">
        <v>218</v>
      </c>
    </row>
    <row r="118" spans="1:5" ht="16.5" customHeight="1" x14ac:dyDescent="0.3">
      <c r="A118" s="4">
        <v>116</v>
      </c>
      <c r="B118" s="4" t="s">
        <v>403</v>
      </c>
      <c r="C118" s="11" t="s">
        <v>404</v>
      </c>
      <c r="D118" s="56" t="s">
        <v>321</v>
      </c>
      <c r="E118" s="4" t="s">
        <v>218</v>
      </c>
    </row>
    <row r="119" spans="1:5" ht="16.5" customHeight="1" x14ac:dyDescent="0.3">
      <c r="A119" s="4">
        <v>117</v>
      </c>
      <c r="B119" s="4" t="s">
        <v>410</v>
      </c>
      <c r="C119" s="9" t="s">
        <v>411</v>
      </c>
      <c r="D119" s="56" t="s">
        <v>412</v>
      </c>
      <c r="E119" s="4" t="s">
        <v>218</v>
      </c>
    </row>
    <row r="120" spans="1:5" ht="16.5" customHeight="1" x14ac:dyDescent="0.3">
      <c r="A120" s="4">
        <v>118</v>
      </c>
      <c r="B120" s="4" t="s">
        <v>449</v>
      </c>
      <c r="C120" s="9" t="s">
        <v>450</v>
      </c>
      <c r="D120" s="56" t="s">
        <v>727</v>
      </c>
      <c r="E120" s="4" t="s">
        <v>222</v>
      </c>
    </row>
    <row r="121" spans="1:5" ht="16.5" customHeight="1" x14ac:dyDescent="0.3">
      <c r="A121" s="4">
        <v>119</v>
      </c>
      <c r="B121" s="6" t="s">
        <v>416</v>
      </c>
      <c r="C121" s="9" t="s">
        <v>417</v>
      </c>
      <c r="D121" s="56" t="s">
        <v>418</v>
      </c>
      <c r="E121" s="4" t="s">
        <v>218</v>
      </c>
    </row>
    <row r="122" spans="1:5" ht="16.5" customHeight="1" x14ac:dyDescent="0.3">
      <c r="A122" s="4">
        <v>120</v>
      </c>
      <c r="B122" s="4" t="s">
        <v>226</v>
      </c>
      <c r="C122" s="9" t="s">
        <v>227</v>
      </c>
      <c r="D122" s="56" t="s">
        <v>228</v>
      </c>
      <c r="E122" s="4" t="s">
        <v>222</v>
      </c>
    </row>
    <row r="123" spans="1:5" ht="16.5" customHeight="1" x14ac:dyDescent="0.3">
      <c r="A123" s="4">
        <v>121</v>
      </c>
      <c r="B123" s="4" t="s">
        <v>264</v>
      </c>
      <c r="C123" s="9" t="s">
        <v>265</v>
      </c>
      <c r="D123" s="56" t="s">
        <v>266</v>
      </c>
      <c r="E123" s="4" t="s">
        <v>222</v>
      </c>
    </row>
    <row r="124" spans="1:5" ht="16.5" customHeight="1" x14ac:dyDescent="0.3">
      <c r="A124" s="4">
        <v>122</v>
      </c>
      <c r="B124" s="6" t="s">
        <v>239</v>
      </c>
      <c r="C124" s="9" t="s">
        <v>240</v>
      </c>
      <c r="D124" s="56" t="s">
        <v>241</v>
      </c>
      <c r="E124" s="4" t="s">
        <v>222</v>
      </c>
    </row>
    <row r="125" spans="1:5" ht="16.5" customHeight="1" x14ac:dyDescent="0.3">
      <c r="A125" s="4">
        <v>123</v>
      </c>
      <c r="B125" s="4" t="s">
        <v>276</v>
      </c>
      <c r="C125" s="9" t="s">
        <v>277</v>
      </c>
      <c r="D125" s="56" t="s">
        <v>278</v>
      </c>
      <c r="E125" s="4" t="s">
        <v>222</v>
      </c>
    </row>
    <row r="126" spans="1:5" ht="16.5" customHeight="1" x14ac:dyDescent="0.3">
      <c r="A126" s="4">
        <v>124</v>
      </c>
      <c r="B126" s="4" t="s">
        <v>250</v>
      </c>
      <c r="C126" s="9" t="s">
        <v>251</v>
      </c>
      <c r="D126" s="56" t="s">
        <v>252</v>
      </c>
      <c r="E126" s="4" t="s">
        <v>222</v>
      </c>
    </row>
    <row r="127" spans="1:5" ht="16.5" customHeight="1" x14ac:dyDescent="0.3">
      <c r="A127" s="4">
        <v>125</v>
      </c>
      <c r="B127" s="4" t="s">
        <v>289</v>
      </c>
      <c r="C127" s="6" t="s">
        <v>290</v>
      </c>
      <c r="D127" s="56" t="s">
        <v>291</v>
      </c>
      <c r="E127" s="4" t="s">
        <v>222</v>
      </c>
    </row>
    <row r="128" spans="1:5" ht="16.5" customHeight="1" x14ac:dyDescent="0.3">
      <c r="A128" s="4">
        <v>126</v>
      </c>
      <c r="B128" s="4" t="s">
        <v>422</v>
      </c>
      <c r="C128" s="6" t="s">
        <v>423</v>
      </c>
      <c r="D128" s="56" t="s">
        <v>424</v>
      </c>
      <c r="E128" s="4" t="s">
        <v>218</v>
      </c>
    </row>
    <row r="129" spans="1:5" ht="16.5" customHeight="1" x14ac:dyDescent="0.3">
      <c r="A129" s="4">
        <v>127</v>
      </c>
      <c r="B129" s="4" t="s">
        <v>299</v>
      </c>
      <c r="C129" s="6" t="s">
        <v>300</v>
      </c>
      <c r="D129" s="56" t="s">
        <v>301</v>
      </c>
      <c r="E129" s="4" t="s">
        <v>218</v>
      </c>
    </row>
    <row r="130" spans="1:5" ht="16.5" customHeight="1" x14ac:dyDescent="0.3">
      <c r="A130" s="4">
        <v>128</v>
      </c>
      <c r="B130" s="4" t="s">
        <v>299</v>
      </c>
      <c r="C130" s="6" t="s">
        <v>309</v>
      </c>
      <c r="D130" s="56" t="s">
        <v>301</v>
      </c>
      <c r="E130" s="4" t="s">
        <v>218</v>
      </c>
    </row>
    <row r="131" spans="1:5" ht="16.5" customHeight="1" x14ac:dyDescent="0.3">
      <c r="A131" s="4">
        <v>129</v>
      </c>
      <c r="B131" s="4" t="s">
        <v>429</v>
      </c>
      <c r="C131" s="6" t="s">
        <v>430</v>
      </c>
      <c r="D131" s="56" t="s">
        <v>431</v>
      </c>
      <c r="E131" s="4" t="s">
        <v>212</v>
      </c>
    </row>
    <row r="132" spans="1:5" ht="16.5" customHeight="1" x14ac:dyDescent="0.3">
      <c r="A132" s="4">
        <v>130</v>
      </c>
      <c r="B132" s="4" t="s">
        <v>436</v>
      </c>
      <c r="C132" s="9" t="s">
        <v>437</v>
      </c>
      <c r="D132" s="56" t="s">
        <v>438</v>
      </c>
      <c r="E132" s="4" t="s">
        <v>218</v>
      </c>
    </row>
    <row r="133" spans="1:5" ht="16.5" customHeight="1" x14ac:dyDescent="0.3">
      <c r="A133" s="4">
        <v>131</v>
      </c>
      <c r="B133" s="4" t="s">
        <v>436</v>
      </c>
      <c r="C133" s="6" t="s">
        <v>443</v>
      </c>
      <c r="D133" s="56" t="s">
        <v>438</v>
      </c>
      <c r="E133" s="4" t="s">
        <v>218</v>
      </c>
    </row>
    <row r="134" spans="1:5" ht="16.5" customHeight="1" x14ac:dyDescent="0.3">
      <c r="A134" s="4">
        <v>132</v>
      </c>
      <c r="B134" s="4" t="s">
        <v>229</v>
      </c>
      <c r="C134" s="65" t="s">
        <v>230</v>
      </c>
      <c r="D134" s="56" t="s">
        <v>1185</v>
      </c>
      <c r="E134" s="4" t="s">
        <v>218</v>
      </c>
    </row>
    <row r="135" spans="1:5" ht="16.5" customHeight="1" x14ac:dyDescent="0.3">
      <c r="A135" s="4">
        <v>133</v>
      </c>
      <c r="B135" s="6" t="s">
        <v>242</v>
      </c>
      <c r="C135" s="65" t="s">
        <v>243</v>
      </c>
      <c r="D135" s="135" t="s">
        <v>1181</v>
      </c>
      <c r="E135" s="4" t="s">
        <v>218</v>
      </c>
    </row>
    <row r="136" spans="1:5" ht="16.5" customHeight="1" x14ac:dyDescent="0.3">
      <c r="A136" s="4">
        <v>134</v>
      </c>
      <c r="B136" s="4" t="s">
        <v>253</v>
      </c>
      <c r="C136" s="65" t="s">
        <v>254</v>
      </c>
      <c r="D136" s="135" t="s">
        <v>1181</v>
      </c>
      <c r="E136" s="4" t="s">
        <v>218</v>
      </c>
    </row>
    <row r="137" spans="1:5" ht="16.5" customHeight="1" x14ac:dyDescent="0.3">
      <c r="A137" s="4">
        <v>135</v>
      </c>
      <c r="B137" s="4" t="s">
        <v>267</v>
      </c>
      <c r="C137" s="65" t="s">
        <v>268</v>
      </c>
      <c r="D137" s="135" t="s">
        <v>1181</v>
      </c>
      <c r="E137" s="4" t="s">
        <v>218</v>
      </c>
    </row>
    <row r="138" spans="1:5" ht="16.5" customHeight="1" x14ac:dyDescent="0.3">
      <c r="A138" s="4">
        <v>136</v>
      </c>
      <c r="B138" s="4" t="s">
        <v>279</v>
      </c>
      <c r="C138" s="65" t="s">
        <v>280</v>
      </c>
      <c r="D138" s="135" t="s">
        <v>1181</v>
      </c>
      <c r="E138" s="4" t="s">
        <v>218</v>
      </c>
    </row>
    <row r="139" spans="1:5" ht="16.5" customHeight="1" x14ac:dyDescent="0.3">
      <c r="A139" s="4">
        <v>137</v>
      </c>
      <c r="B139" s="4" t="s">
        <v>292</v>
      </c>
      <c r="C139" s="66" t="s">
        <v>293</v>
      </c>
      <c r="D139" s="135" t="s">
        <v>1181</v>
      </c>
      <c r="E139" s="4" t="s">
        <v>218</v>
      </c>
    </row>
    <row r="140" spans="1:5" ht="16.5" customHeight="1" x14ac:dyDescent="0.3">
      <c r="A140" s="4">
        <v>138</v>
      </c>
      <c r="B140" s="4" t="s">
        <v>302</v>
      </c>
      <c r="C140" s="66" t="s">
        <v>303</v>
      </c>
      <c r="D140" s="135" t="s">
        <v>1181</v>
      </c>
      <c r="E140" s="4" t="s">
        <v>218</v>
      </c>
    </row>
    <row r="141" spans="1:5" ht="16.5" customHeight="1" x14ac:dyDescent="0.3">
      <c r="A141" s="4">
        <v>139</v>
      </c>
      <c r="B141" s="4" t="s">
        <v>310</v>
      </c>
      <c r="C141" s="66" t="s">
        <v>311</v>
      </c>
      <c r="D141" s="135" t="s">
        <v>1181</v>
      </c>
      <c r="E141" s="4" t="s">
        <v>218</v>
      </c>
    </row>
    <row r="142" spans="1:5" ht="16.5" customHeight="1" x14ac:dyDescent="0.3">
      <c r="A142" s="4">
        <v>140</v>
      </c>
      <c r="B142" s="4" t="s">
        <v>310</v>
      </c>
      <c r="C142" s="67" t="s">
        <v>322</v>
      </c>
      <c r="D142" s="135" t="s">
        <v>1181</v>
      </c>
      <c r="E142" s="4" t="s">
        <v>218</v>
      </c>
    </row>
    <row r="143" spans="1:5" ht="16.5" customHeight="1" x14ac:dyDescent="0.3">
      <c r="A143" s="4">
        <v>141</v>
      </c>
      <c r="B143" s="4" t="s">
        <v>332</v>
      </c>
      <c r="C143" s="67" t="s">
        <v>333</v>
      </c>
      <c r="D143" s="135" t="s">
        <v>1181</v>
      </c>
      <c r="E143" s="4" t="s">
        <v>218</v>
      </c>
    </row>
    <row r="144" spans="1:5" ht="16.5" customHeight="1" x14ac:dyDescent="0.3">
      <c r="A144" s="4">
        <v>142</v>
      </c>
      <c r="B144" s="4" t="s">
        <v>710</v>
      </c>
      <c r="C144" s="65" t="s">
        <v>667</v>
      </c>
      <c r="D144" s="6" t="s">
        <v>1183</v>
      </c>
      <c r="E144" s="4"/>
    </row>
    <row r="145" spans="1:5" ht="16.5" customHeight="1" x14ac:dyDescent="0.3">
      <c r="A145" s="4">
        <v>143</v>
      </c>
      <c r="B145" s="4" t="s">
        <v>711</v>
      </c>
      <c r="C145" s="65" t="s">
        <v>668</v>
      </c>
      <c r="D145" s="6" t="s">
        <v>1183</v>
      </c>
      <c r="E145" s="4"/>
    </row>
    <row r="146" spans="1:5" ht="16.5" customHeight="1" x14ac:dyDescent="0.3">
      <c r="A146" s="4">
        <v>144</v>
      </c>
      <c r="B146" s="4" t="s">
        <v>712</v>
      </c>
      <c r="C146" s="67" t="s">
        <v>669</v>
      </c>
      <c r="D146" s="6" t="s">
        <v>1183</v>
      </c>
      <c r="E146" s="4"/>
    </row>
    <row r="147" spans="1:5" ht="16.5" customHeight="1" x14ac:dyDescent="0.3">
      <c r="A147" s="4">
        <v>145</v>
      </c>
      <c r="B147" s="4" t="s">
        <v>713</v>
      </c>
      <c r="C147" s="67" t="s">
        <v>670</v>
      </c>
      <c r="D147" s="6" t="s">
        <v>1183</v>
      </c>
      <c r="E147" s="4"/>
    </row>
    <row r="148" spans="1:5" ht="16.5" customHeight="1" x14ac:dyDescent="0.3">
      <c r="A148" s="4">
        <v>146</v>
      </c>
      <c r="B148" s="4" t="s">
        <v>319</v>
      </c>
      <c r="C148" s="67" t="s">
        <v>717</v>
      </c>
      <c r="D148" s="6" t="s">
        <v>1183</v>
      </c>
      <c r="E148" s="4"/>
    </row>
    <row r="149" spans="1:5" ht="16.5" customHeight="1" x14ac:dyDescent="0.3">
      <c r="A149" s="4">
        <v>147</v>
      </c>
      <c r="B149" s="10" t="s">
        <v>708</v>
      </c>
      <c r="C149" s="66" t="s">
        <v>671</v>
      </c>
      <c r="D149" s="6" t="s">
        <v>1183</v>
      </c>
      <c r="E149" s="4"/>
    </row>
    <row r="150" spans="1:5" ht="16.5" customHeight="1" x14ac:dyDescent="0.3">
      <c r="A150" s="4">
        <v>148</v>
      </c>
      <c r="B150" s="10" t="s">
        <v>708</v>
      </c>
      <c r="C150" s="65" t="s">
        <v>672</v>
      </c>
      <c r="D150" s="6" t="s">
        <v>1183</v>
      </c>
      <c r="E150" s="4"/>
    </row>
    <row r="151" spans="1:5" ht="16.5" customHeight="1" x14ac:dyDescent="0.3">
      <c r="A151" s="4">
        <v>149</v>
      </c>
      <c r="B151" s="4" t="s">
        <v>714</v>
      </c>
      <c r="C151" s="66" t="s">
        <v>673</v>
      </c>
      <c r="D151" s="6" t="s">
        <v>1183</v>
      </c>
      <c r="E151" s="4"/>
    </row>
    <row r="152" spans="1:5" ht="16.5" customHeight="1" x14ac:dyDescent="0.3">
      <c r="A152" s="4">
        <v>150</v>
      </c>
      <c r="B152" s="4" t="s">
        <v>715</v>
      </c>
      <c r="C152" s="65" t="s">
        <v>674</v>
      </c>
      <c r="D152" s="6" t="s">
        <v>1183</v>
      </c>
      <c r="E152" s="4"/>
    </row>
    <row r="153" spans="1:5" ht="16.5" customHeight="1" x14ac:dyDescent="0.3">
      <c r="A153" s="4">
        <v>151</v>
      </c>
      <c r="B153" s="4" t="s">
        <v>716</v>
      </c>
      <c r="C153" s="66" t="s">
        <v>675</v>
      </c>
      <c r="D153" s="6" t="s">
        <v>1183</v>
      </c>
      <c r="E153" s="4"/>
    </row>
    <row r="154" spans="1:5" ht="16.5" customHeight="1" x14ac:dyDescent="0.3">
      <c r="A154" s="77">
        <v>152</v>
      </c>
      <c r="B154" s="10" t="s">
        <v>708</v>
      </c>
      <c r="C154" s="66" t="s">
        <v>676</v>
      </c>
      <c r="D154" s="6" t="s">
        <v>1183</v>
      </c>
      <c r="E154" s="4"/>
    </row>
  </sheetData>
  <autoFilter ref="A2:E154" xr:uid="{302B955C-3BE0-4136-B77D-B55DCE253388}">
    <sortState ref="A3:E154">
      <sortCondition ref="D2:D15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X64"/>
  <sheetViews>
    <sheetView zoomScaleNormal="100" zoomScaleSheetLayoutView="85" workbookViewId="0">
      <pane ySplit="2" topLeftCell="A45" activePane="bottomLeft" state="frozen"/>
      <selection activeCell="F20" sqref="F20"/>
      <selection pane="bottomLeft" activeCell="B69" sqref="B69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12" width="8.625" style="13" customWidth="1"/>
    <col min="13" max="13" width="8.5" style="13" customWidth="1"/>
    <col min="14" max="14" width="5.625" style="13" bestFit="1" customWidth="1"/>
    <col min="15" max="16" width="7.5" style="13" bestFit="1" customWidth="1"/>
    <col min="17" max="17" width="8.625" style="13" customWidth="1"/>
    <col min="18" max="21" width="7.625" style="13" customWidth="1"/>
    <col min="22" max="22" width="89.75" style="13" hidden="1" customWidth="1"/>
    <col min="23" max="23" width="33.75" style="13" hidden="1" customWidth="1"/>
    <col min="24" max="24" width="15.625" style="12" customWidth="1"/>
    <col min="25" max="16384" width="9" style="13"/>
  </cols>
  <sheetData>
    <row r="1" spans="1:24" ht="20.25" customHeight="1" thickBot="1" x14ac:dyDescent="0.35">
      <c r="A1" s="41" t="s">
        <v>719</v>
      </c>
      <c r="W1" s="29"/>
    </row>
    <row r="2" spans="1:24" ht="35.25" customHeight="1" thickBot="1" x14ac:dyDescent="0.35">
      <c r="A2" s="42" t="s">
        <v>144</v>
      </c>
      <c r="B2" s="43" t="s">
        <v>552</v>
      </c>
      <c r="C2" s="44" t="s">
        <v>553</v>
      </c>
      <c r="D2" s="45" t="s">
        <v>533</v>
      </c>
      <c r="E2" s="46" t="s">
        <v>554</v>
      </c>
      <c r="F2" s="46" t="s">
        <v>555</v>
      </c>
      <c r="G2" s="46" t="s">
        <v>556</v>
      </c>
      <c r="H2" s="46" t="s">
        <v>557</v>
      </c>
      <c r="I2" s="46" t="s">
        <v>558</v>
      </c>
      <c r="J2" s="46" t="s">
        <v>559</v>
      </c>
      <c r="K2" s="47" t="s">
        <v>560</v>
      </c>
      <c r="L2" s="47" t="s">
        <v>561</v>
      </c>
      <c r="M2" s="47" t="s">
        <v>562</v>
      </c>
      <c r="N2" s="46" t="s">
        <v>563</v>
      </c>
      <c r="O2" s="46" t="s">
        <v>564</v>
      </c>
      <c r="P2" s="46" t="s">
        <v>565</v>
      </c>
      <c r="Q2" s="46" t="s">
        <v>566</v>
      </c>
      <c r="R2" s="46" t="s">
        <v>563</v>
      </c>
      <c r="S2" s="46" t="s">
        <v>564</v>
      </c>
      <c r="T2" s="46" t="s">
        <v>565</v>
      </c>
      <c r="U2" s="48" t="s">
        <v>567</v>
      </c>
      <c r="V2" s="49" t="s">
        <v>568</v>
      </c>
      <c r="W2" s="50" t="s">
        <v>569</v>
      </c>
      <c r="X2" s="48" t="s">
        <v>570</v>
      </c>
    </row>
    <row r="3" spans="1:24" ht="16.5" customHeight="1" x14ac:dyDescent="0.3">
      <c r="A3" s="17"/>
      <c r="B3" s="189" t="s">
        <v>571</v>
      </c>
      <c r="C3" s="30" t="s">
        <v>1177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2">
        <f>D3+D4+D5+D6+D7+D8+D9+D10</f>
        <v>7</v>
      </c>
      <c r="O3" s="192">
        <f>E11</f>
        <v>0</v>
      </c>
      <c r="P3" s="194">
        <f>H3+H4+H5+H6+H7+H8+H9+H10</f>
        <v>7</v>
      </c>
      <c r="Q3" s="212">
        <f>G11+I11+J11+K11+M11</f>
        <v>48</v>
      </c>
      <c r="R3" s="206">
        <f>N3+N12+N29+N37</f>
        <v>65</v>
      </c>
      <c r="S3" s="206">
        <f>O3+O12+O29+O37</f>
        <v>41</v>
      </c>
      <c r="T3" s="209">
        <f>P3+P12+P29+P37</f>
        <v>12</v>
      </c>
      <c r="U3" s="206">
        <f>Q3+Q12+Q29+Q37</f>
        <v>336</v>
      </c>
      <c r="V3" s="144" t="s">
        <v>572</v>
      </c>
      <c r="W3" s="145" t="s">
        <v>573</v>
      </c>
      <c r="X3" s="127">
        <v>43863</v>
      </c>
    </row>
    <row r="4" spans="1:24" ht="16.5" customHeight="1" x14ac:dyDescent="0.3">
      <c r="A4" s="19">
        <v>1</v>
      </c>
      <c r="B4" s="190"/>
      <c r="C4" s="31" t="s">
        <v>574</v>
      </c>
      <c r="D4" s="20">
        <v>1</v>
      </c>
      <c r="E4" s="20"/>
      <c r="F4" s="20">
        <v>1</v>
      </c>
      <c r="G4" s="20">
        <v>2</v>
      </c>
      <c r="H4" s="20">
        <v>1</v>
      </c>
      <c r="I4" s="20">
        <v>1</v>
      </c>
      <c r="J4" s="20">
        <v>2</v>
      </c>
      <c r="K4" s="20">
        <v>1</v>
      </c>
      <c r="L4" s="20"/>
      <c r="M4" s="20"/>
      <c r="N4" s="193"/>
      <c r="O4" s="193"/>
      <c r="P4" s="195"/>
      <c r="Q4" s="213"/>
      <c r="R4" s="207"/>
      <c r="S4" s="207"/>
      <c r="T4" s="210"/>
      <c r="U4" s="207"/>
      <c r="V4" s="132" t="s">
        <v>575</v>
      </c>
      <c r="W4" s="32" t="s">
        <v>576</v>
      </c>
      <c r="X4" s="128">
        <v>43900</v>
      </c>
    </row>
    <row r="5" spans="1:24" ht="16.5" customHeight="1" x14ac:dyDescent="0.3">
      <c r="A5" s="19">
        <v>2</v>
      </c>
      <c r="B5" s="190"/>
      <c r="C5" s="31" t="s">
        <v>577</v>
      </c>
      <c r="D5" s="20">
        <v>1</v>
      </c>
      <c r="E5" s="20"/>
      <c r="F5" s="20">
        <v>1</v>
      </c>
      <c r="G5" s="20">
        <v>2</v>
      </c>
      <c r="H5" s="20">
        <v>1</v>
      </c>
      <c r="I5" s="20">
        <v>1</v>
      </c>
      <c r="J5" s="20">
        <v>2</v>
      </c>
      <c r="K5" s="20">
        <v>1</v>
      </c>
      <c r="L5" s="20"/>
      <c r="M5" s="20">
        <v>1</v>
      </c>
      <c r="N5" s="193"/>
      <c r="O5" s="193"/>
      <c r="P5" s="195"/>
      <c r="Q5" s="213"/>
      <c r="R5" s="207"/>
      <c r="S5" s="207"/>
      <c r="T5" s="210"/>
      <c r="U5" s="207"/>
      <c r="V5" s="132" t="s">
        <v>578</v>
      </c>
      <c r="W5" s="134" t="s">
        <v>579</v>
      </c>
      <c r="X5" s="128">
        <v>43789</v>
      </c>
    </row>
    <row r="6" spans="1:24" ht="16.5" customHeight="1" x14ac:dyDescent="0.3">
      <c r="A6" s="19">
        <v>3</v>
      </c>
      <c r="B6" s="190"/>
      <c r="C6" s="31" t="s">
        <v>580</v>
      </c>
      <c r="D6" s="20">
        <v>1</v>
      </c>
      <c r="E6" s="20"/>
      <c r="F6" s="20">
        <v>1</v>
      </c>
      <c r="G6" s="20">
        <v>2</v>
      </c>
      <c r="H6" s="20">
        <v>1</v>
      </c>
      <c r="I6" s="20">
        <v>6</v>
      </c>
      <c r="J6" s="20">
        <v>2</v>
      </c>
      <c r="K6" s="20">
        <v>1</v>
      </c>
      <c r="L6" s="20"/>
      <c r="M6" s="20"/>
      <c r="N6" s="193"/>
      <c r="O6" s="193"/>
      <c r="P6" s="195"/>
      <c r="Q6" s="213"/>
      <c r="R6" s="207"/>
      <c r="S6" s="207"/>
      <c r="T6" s="210"/>
      <c r="U6" s="207"/>
      <c r="V6" s="132" t="s">
        <v>581</v>
      </c>
      <c r="W6" s="32" t="s">
        <v>582</v>
      </c>
      <c r="X6" s="128">
        <v>43755</v>
      </c>
    </row>
    <row r="7" spans="1:24" ht="16.5" customHeight="1" x14ac:dyDescent="0.3">
      <c r="A7" s="19">
        <v>4</v>
      </c>
      <c r="B7" s="190"/>
      <c r="C7" s="31" t="s">
        <v>583</v>
      </c>
      <c r="D7" s="20">
        <v>1</v>
      </c>
      <c r="E7" s="20"/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/>
      <c r="M7" s="20">
        <v>1</v>
      </c>
      <c r="N7" s="193"/>
      <c r="O7" s="193"/>
      <c r="P7" s="195"/>
      <c r="Q7" s="213"/>
      <c r="R7" s="207"/>
      <c r="S7" s="207"/>
      <c r="T7" s="210"/>
      <c r="U7" s="207"/>
      <c r="V7" s="132" t="s">
        <v>584</v>
      </c>
      <c r="W7" s="133" t="s">
        <v>585</v>
      </c>
      <c r="X7" s="128">
        <v>43811</v>
      </c>
    </row>
    <row r="8" spans="1:24" ht="16.5" customHeight="1" x14ac:dyDescent="0.3">
      <c r="A8" s="19">
        <v>5</v>
      </c>
      <c r="B8" s="190"/>
      <c r="C8" s="31" t="s">
        <v>586</v>
      </c>
      <c r="D8" s="20">
        <v>1</v>
      </c>
      <c r="E8" s="20"/>
      <c r="F8" s="20">
        <v>1</v>
      </c>
      <c r="G8" s="20">
        <v>2</v>
      </c>
      <c r="H8" s="20">
        <v>1</v>
      </c>
      <c r="I8" s="20">
        <v>1</v>
      </c>
      <c r="J8" s="20">
        <v>2</v>
      </c>
      <c r="K8" s="20">
        <v>1</v>
      </c>
      <c r="L8" s="20"/>
      <c r="M8" s="20"/>
      <c r="N8" s="193"/>
      <c r="O8" s="193"/>
      <c r="P8" s="195"/>
      <c r="Q8" s="213"/>
      <c r="R8" s="207"/>
      <c r="S8" s="207"/>
      <c r="T8" s="210"/>
      <c r="U8" s="207"/>
      <c r="V8" s="132" t="s">
        <v>587</v>
      </c>
      <c r="W8" s="32" t="s">
        <v>588</v>
      </c>
      <c r="X8" s="128">
        <v>43720</v>
      </c>
    </row>
    <row r="9" spans="1:24" ht="16.5" customHeight="1" x14ac:dyDescent="0.3">
      <c r="A9" s="19">
        <v>6</v>
      </c>
      <c r="B9" s="190"/>
      <c r="C9" s="31" t="s">
        <v>589</v>
      </c>
      <c r="D9" s="20">
        <v>1</v>
      </c>
      <c r="E9" s="20"/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/>
      <c r="M9" s="20"/>
      <c r="N9" s="193"/>
      <c r="O9" s="193"/>
      <c r="P9" s="195"/>
      <c r="Q9" s="213"/>
      <c r="R9" s="207"/>
      <c r="S9" s="207"/>
      <c r="T9" s="210"/>
      <c r="U9" s="207"/>
      <c r="V9" s="132" t="s">
        <v>590</v>
      </c>
      <c r="W9" s="134" t="s">
        <v>591</v>
      </c>
      <c r="X9" s="128">
        <v>43726</v>
      </c>
    </row>
    <row r="10" spans="1:24" ht="16.5" customHeight="1" x14ac:dyDescent="0.3">
      <c r="A10" s="19">
        <v>7</v>
      </c>
      <c r="B10" s="190"/>
      <c r="C10" s="33" t="s">
        <v>592</v>
      </c>
      <c r="D10" s="21">
        <v>1</v>
      </c>
      <c r="E10" s="21"/>
      <c r="F10" s="21">
        <v>1</v>
      </c>
      <c r="G10" s="21">
        <v>3</v>
      </c>
      <c r="H10" s="21">
        <v>1</v>
      </c>
      <c r="I10" s="21">
        <v>1</v>
      </c>
      <c r="J10" s="21">
        <v>3</v>
      </c>
      <c r="K10" s="21">
        <v>1</v>
      </c>
      <c r="L10" s="21"/>
      <c r="M10" s="21">
        <v>1</v>
      </c>
      <c r="N10" s="193"/>
      <c r="O10" s="193"/>
      <c r="P10" s="195"/>
      <c r="Q10" s="213"/>
      <c r="R10" s="207"/>
      <c r="S10" s="207"/>
      <c r="T10" s="210"/>
      <c r="U10" s="207"/>
      <c r="V10" s="132" t="s">
        <v>593</v>
      </c>
      <c r="W10" s="133" t="s">
        <v>594</v>
      </c>
      <c r="X10" s="128">
        <v>43678</v>
      </c>
    </row>
    <row r="11" spans="1:24" ht="16.5" customHeight="1" thickBot="1" x14ac:dyDescent="0.35">
      <c r="A11" s="22"/>
      <c r="B11" s="191"/>
      <c r="C11" s="68" t="s">
        <v>694</v>
      </c>
      <c r="D11" s="23">
        <f>SUM(D3:D10)</f>
        <v>7</v>
      </c>
      <c r="E11" s="23"/>
      <c r="F11" s="23">
        <f t="shared" ref="F11:K11" si="0">SUM(F3:F10)</f>
        <v>7</v>
      </c>
      <c r="G11" s="23">
        <f t="shared" si="0"/>
        <v>13</v>
      </c>
      <c r="H11" s="23">
        <f t="shared" si="0"/>
        <v>7</v>
      </c>
      <c r="I11" s="23">
        <f t="shared" si="0"/>
        <v>12</v>
      </c>
      <c r="J11" s="23">
        <f t="shared" si="0"/>
        <v>13</v>
      </c>
      <c r="K11" s="23">
        <f t="shared" si="0"/>
        <v>7</v>
      </c>
      <c r="L11" s="23"/>
      <c r="M11" s="23">
        <f>SUM(M3:M10)</f>
        <v>3</v>
      </c>
      <c r="N11" s="193"/>
      <c r="O11" s="193"/>
      <c r="P11" s="195"/>
      <c r="Q11" s="213"/>
      <c r="R11" s="207"/>
      <c r="S11" s="207"/>
      <c r="T11" s="210"/>
      <c r="U11" s="207"/>
      <c r="V11" s="132"/>
      <c r="W11" s="133"/>
      <c r="X11" s="24"/>
    </row>
    <row r="12" spans="1:24" ht="16.5" customHeight="1" x14ac:dyDescent="0.3">
      <c r="A12" s="17">
        <v>8</v>
      </c>
      <c r="B12" s="186" t="s">
        <v>595</v>
      </c>
      <c r="C12" s="34" t="s">
        <v>596</v>
      </c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2">
        <f>D13+D14+D15+D16+D17+D18+D20+D21+D22+D23+D25+D26+D27</f>
        <v>17</v>
      </c>
      <c r="O12" s="192">
        <f>E13+E14+E15+E16+E17+E18+E20+E21+E22+E23+E25+E26+E27</f>
        <v>17</v>
      </c>
      <c r="P12" s="194">
        <v>0</v>
      </c>
      <c r="Q12" s="212">
        <f>G28</f>
        <v>213</v>
      </c>
      <c r="R12" s="207"/>
      <c r="S12" s="207"/>
      <c r="T12" s="210"/>
      <c r="U12" s="207"/>
      <c r="V12" s="203" t="s">
        <v>597</v>
      </c>
      <c r="W12" s="204" t="s">
        <v>598</v>
      </c>
      <c r="X12" s="183">
        <v>43815</v>
      </c>
    </row>
    <row r="13" spans="1:24" ht="16.5" customHeight="1" x14ac:dyDescent="0.3">
      <c r="A13" s="19"/>
      <c r="B13" s="187"/>
      <c r="C13" s="35" t="s">
        <v>599</v>
      </c>
      <c r="D13" s="131">
        <v>1</v>
      </c>
      <c r="E13" s="131">
        <v>1</v>
      </c>
      <c r="F13" s="131"/>
      <c r="G13" s="131">
        <v>19</v>
      </c>
      <c r="H13" s="131"/>
      <c r="I13" s="28"/>
      <c r="J13" s="28"/>
      <c r="K13" s="28"/>
      <c r="L13" s="28"/>
      <c r="M13" s="28"/>
      <c r="N13" s="193"/>
      <c r="O13" s="193"/>
      <c r="P13" s="195"/>
      <c r="Q13" s="213"/>
      <c r="R13" s="207"/>
      <c r="S13" s="207"/>
      <c r="T13" s="210"/>
      <c r="U13" s="207"/>
      <c r="V13" s="203"/>
      <c r="W13" s="205"/>
      <c r="X13" s="184"/>
    </row>
    <row r="14" spans="1:24" ht="16.5" customHeight="1" x14ac:dyDescent="0.3">
      <c r="A14" s="19"/>
      <c r="B14" s="187"/>
      <c r="C14" s="35" t="s">
        <v>600</v>
      </c>
      <c r="D14" s="131">
        <v>2</v>
      </c>
      <c r="E14" s="131">
        <v>2</v>
      </c>
      <c r="F14" s="131"/>
      <c r="G14" s="131">
        <v>28</v>
      </c>
      <c r="H14" s="131"/>
      <c r="I14" s="28"/>
      <c r="J14" s="28"/>
      <c r="K14" s="28"/>
      <c r="L14" s="28"/>
      <c r="M14" s="28"/>
      <c r="N14" s="193"/>
      <c r="O14" s="193"/>
      <c r="P14" s="195"/>
      <c r="Q14" s="213"/>
      <c r="R14" s="207"/>
      <c r="S14" s="207"/>
      <c r="T14" s="210"/>
      <c r="U14" s="207"/>
      <c r="V14" s="203"/>
      <c r="W14" s="205"/>
      <c r="X14" s="184"/>
    </row>
    <row r="15" spans="1:24" ht="16.5" customHeight="1" x14ac:dyDescent="0.3">
      <c r="A15" s="19"/>
      <c r="B15" s="187"/>
      <c r="C15" s="35" t="s">
        <v>601</v>
      </c>
      <c r="D15" s="131">
        <v>2</v>
      </c>
      <c r="E15" s="131">
        <v>2</v>
      </c>
      <c r="F15" s="131"/>
      <c r="G15" s="131">
        <v>28</v>
      </c>
      <c r="H15" s="131"/>
      <c r="I15" s="28"/>
      <c r="J15" s="28"/>
      <c r="K15" s="28"/>
      <c r="L15" s="28"/>
      <c r="M15" s="28"/>
      <c r="N15" s="193"/>
      <c r="O15" s="193"/>
      <c r="P15" s="195"/>
      <c r="Q15" s="213"/>
      <c r="R15" s="207"/>
      <c r="S15" s="207"/>
      <c r="T15" s="210"/>
      <c r="U15" s="207"/>
      <c r="V15" s="203"/>
      <c r="W15" s="205"/>
      <c r="X15" s="184"/>
    </row>
    <row r="16" spans="1:24" ht="16.5" customHeight="1" x14ac:dyDescent="0.3">
      <c r="A16" s="19"/>
      <c r="B16" s="187"/>
      <c r="C16" s="35" t="s">
        <v>602</v>
      </c>
      <c r="D16" s="131">
        <v>2</v>
      </c>
      <c r="E16" s="131">
        <v>2</v>
      </c>
      <c r="F16" s="131"/>
      <c r="G16" s="131">
        <v>28</v>
      </c>
      <c r="H16" s="131"/>
      <c r="I16" s="28"/>
      <c r="J16" s="28"/>
      <c r="K16" s="28"/>
      <c r="L16" s="28"/>
      <c r="M16" s="28"/>
      <c r="N16" s="193"/>
      <c r="O16" s="193"/>
      <c r="P16" s="195"/>
      <c r="Q16" s="213"/>
      <c r="R16" s="207"/>
      <c r="S16" s="207"/>
      <c r="T16" s="210"/>
      <c r="U16" s="207"/>
      <c r="V16" s="203"/>
      <c r="W16" s="205"/>
      <c r="X16" s="184"/>
    </row>
    <row r="17" spans="1:24" ht="16.5" customHeight="1" x14ac:dyDescent="0.3">
      <c r="A17" s="19"/>
      <c r="B17" s="187"/>
      <c r="C17" s="35" t="s">
        <v>603</v>
      </c>
      <c r="D17" s="131">
        <v>2</v>
      </c>
      <c r="E17" s="131">
        <v>2</v>
      </c>
      <c r="F17" s="131"/>
      <c r="G17" s="131">
        <v>28</v>
      </c>
      <c r="H17" s="131"/>
      <c r="I17" s="28"/>
      <c r="J17" s="28"/>
      <c r="K17" s="28"/>
      <c r="L17" s="28"/>
      <c r="M17" s="28"/>
      <c r="N17" s="193"/>
      <c r="O17" s="193"/>
      <c r="P17" s="195"/>
      <c r="Q17" s="213"/>
      <c r="R17" s="207"/>
      <c r="S17" s="207"/>
      <c r="T17" s="210"/>
      <c r="U17" s="207"/>
      <c r="V17" s="203"/>
      <c r="W17" s="205"/>
      <c r="X17" s="184"/>
    </row>
    <row r="18" spans="1:24" ht="16.5" customHeight="1" x14ac:dyDescent="0.3">
      <c r="A18" s="19"/>
      <c r="B18" s="187"/>
      <c r="C18" s="35" t="s">
        <v>604</v>
      </c>
      <c r="D18" s="131">
        <v>1</v>
      </c>
      <c r="E18" s="131">
        <v>1</v>
      </c>
      <c r="F18" s="131"/>
      <c r="G18" s="131">
        <v>5</v>
      </c>
      <c r="H18" s="131"/>
      <c r="I18" s="28"/>
      <c r="J18" s="28"/>
      <c r="K18" s="28"/>
      <c r="L18" s="28"/>
      <c r="M18" s="28"/>
      <c r="N18" s="193"/>
      <c r="O18" s="193"/>
      <c r="P18" s="195"/>
      <c r="Q18" s="213"/>
      <c r="R18" s="207"/>
      <c r="S18" s="207"/>
      <c r="T18" s="210"/>
      <c r="U18" s="207"/>
      <c r="V18" s="203"/>
      <c r="W18" s="205"/>
      <c r="X18" s="184"/>
    </row>
    <row r="19" spans="1:24" ht="16.5" customHeight="1" x14ac:dyDescent="0.3">
      <c r="A19" s="19"/>
      <c r="B19" s="187"/>
      <c r="C19" s="35" t="s">
        <v>605</v>
      </c>
      <c r="D19" s="199"/>
      <c r="E19" s="199"/>
      <c r="F19" s="199"/>
      <c r="G19" s="199"/>
      <c r="H19" s="199"/>
      <c r="I19" s="199"/>
      <c r="J19" s="199"/>
      <c r="K19" s="199"/>
      <c r="L19" s="199"/>
      <c r="M19" s="199"/>
      <c r="N19" s="193"/>
      <c r="O19" s="193"/>
      <c r="P19" s="195"/>
      <c r="Q19" s="213"/>
      <c r="R19" s="207"/>
      <c r="S19" s="207"/>
      <c r="T19" s="210"/>
      <c r="U19" s="207"/>
      <c r="V19" s="203"/>
      <c r="W19" s="205"/>
      <c r="X19" s="184"/>
    </row>
    <row r="20" spans="1:24" ht="16.5" customHeight="1" x14ac:dyDescent="0.3">
      <c r="A20" s="19"/>
      <c r="B20" s="187"/>
      <c r="C20" s="35" t="s">
        <v>606</v>
      </c>
      <c r="D20" s="131">
        <v>1</v>
      </c>
      <c r="E20" s="131">
        <v>1</v>
      </c>
      <c r="F20" s="131"/>
      <c r="G20" s="131">
        <v>18</v>
      </c>
      <c r="H20" s="131"/>
      <c r="I20" s="28"/>
      <c r="J20" s="28"/>
      <c r="K20" s="28"/>
      <c r="L20" s="28"/>
      <c r="M20" s="28"/>
      <c r="N20" s="193"/>
      <c r="O20" s="193"/>
      <c r="P20" s="195"/>
      <c r="Q20" s="213"/>
      <c r="R20" s="207"/>
      <c r="S20" s="207"/>
      <c r="T20" s="210"/>
      <c r="U20" s="207"/>
      <c r="V20" s="203"/>
      <c r="W20" s="205"/>
      <c r="X20" s="184"/>
    </row>
    <row r="21" spans="1:24" ht="16.5" customHeight="1" x14ac:dyDescent="0.3">
      <c r="A21" s="19"/>
      <c r="B21" s="187"/>
      <c r="C21" s="35" t="s">
        <v>599</v>
      </c>
      <c r="D21" s="131">
        <v>1</v>
      </c>
      <c r="E21" s="131">
        <v>1</v>
      </c>
      <c r="F21" s="131"/>
      <c r="G21" s="131">
        <v>19</v>
      </c>
      <c r="H21" s="131"/>
      <c r="I21" s="28"/>
      <c r="J21" s="28"/>
      <c r="K21" s="28"/>
      <c r="L21" s="28"/>
      <c r="M21" s="28"/>
      <c r="N21" s="193"/>
      <c r="O21" s="193"/>
      <c r="P21" s="195"/>
      <c r="Q21" s="213"/>
      <c r="R21" s="207"/>
      <c r="S21" s="207"/>
      <c r="T21" s="210"/>
      <c r="U21" s="207"/>
      <c r="V21" s="203"/>
      <c r="W21" s="205"/>
      <c r="X21" s="184"/>
    </row>
    <row r="22" spans="1:24" ht="16.5" customHeight="1" x14ac:dyDescent="0.3">
      <c r="A22" s="19"/>
      <c r="B22" s="187"/>
      <c r="C22" s="35" t="s">
        <v>600</v>
      </c>
      <c r="D22" s="131">
        <v>1</v>
      </c>
      <c r="E22" s="131">
        <v>1</v>
      </c>
      <c r="F22" s="131"/>
      <c r="G22" s="131">
        <v>20</v>
      </c>
      <c r="H22" s="131"/>
      <c r="I22" s="28"/>
      <c r="J22" s="28"/>
      <c r="K22" s="28"/>
      <c r="L22" s="28"/>
      <c r="M22" s="28"/>
      <c r="N22" s="193"/>
      <c r="O22" s="193"/>
      <c r="P22" s="195"/>
      <c r="Q22" s="213"/>
      <c r="R22" s="207"/>
      <c r="S22" s="207"/>
      <c r="T22" s="210"/>
      <c r="U22" s="207"/>
      <c r="V22" s="203"/>
      <c r="W22" s="205"/>
      <c r="X22" s="184"/>
    </row>
    <row r="23" spans="1:24" ht="16.5" customHeight="1" thickBot="1" x14ac:dyDescent="0.35">
      <c r="A23" s="19"/>
      <c r="B23" s="187"/>
      <c r="C23" s="35" t="s">
        <v>601</v>
      </c>
      <c r="D23" s="131">
        <v>1</v>
      </c>
      <c r="E23" s="131">
        <v>1</v>
      </c>
      <c r="F23" s="131"/>
      <c r="G23" s="131">
        <v>10</v>
      </c>
      <c r="H23" s="131"/>
      <c r="I23" s="28"/>
      <c r="J23" s="28"/>
      <c r="K23" s="28"/>
      <c r="L23" s="28"/>
      <c r="M23" s="28"/>
      <c r="N23" s="193"/>
      <c r="O23" s="193"/>
      <c r="P23" s="195"/>
      <c r="Q23" s="213"/>
      <c r="R23" s="207"/>
      <c r="S23" s="207"/>
      <c r="T23" s="210"/>
      <c r="U23" s="207"/>
      <c r="V23" s="203"/>
      <c r="W23" s="205"/>
      <c r="X23" s="185"/>
    </row>
    <row r="24" spans="1:24" ht="16.5" customHeight="1" x14ac:dyDescent="0.3">
      <c r="A24" s="19"/>
      <c r="B24" s="187"/>
      <c r="C24" s="35" t="s">
        <v>607</v>
      </c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3"/>
      <c r="O24" s="193"/>
      <c r="P24" s="195"/>
      <c r="Q24" s="213"/>
      <c r="R24" s="207"/>
      <c r="S24" s="207"/>
      <c r="T24" s="210"/>
      <c r="U24" s="207"/>
      <c r="V24" s="203"/>
      <c r="W24" s="205"/>
      <c r="X24" s="183">
        <v>44046</v>
      </c>
    </row>
    <row r="25" spans="1:24" ht="16.5" customHeight="1" x14ac:dyDescent="0.3">
      <c r="A25" s="19"/>
      <c r="B25" s="187"/>
      <c r="C25" s="35" t="s">
        <v>608</v>
      </c>
      <c r="D25" s="131">
        <v>1</v>
      </c>
      <c r="E25" s="131">
        <v>1</v>
      </c>
      <c r="F25" s="131"/>
      <c r="G25" s="131">
        <v>3</v>
      </c>
      <c r="H25" s="131"/>
      <c r="I25" s="28"/>
      <c r="J25" s="28"/>
      <c r="K25" s="28"/>
      <c r="L25" s="28"/>
      <c r="M25" s="28"/>
      <c r="N25" s="193"/>
      <c r="O25" s="193"/>
      <c r="P25" s="195"/>
      <c r="Q25" s="213"/>
      <c r="R25" s="207"/>
      <c r="S25" s="207"/>
      <c r="T25" s="210"/>
      <c r="U25" s="207"/>
      <c r="V25" s="203"/>
      <c r="W25" s="205"/>
      <c r="X25" s="184"/>
    </row>
    <row r="26" spans="1:24" ht="16.5" customHeight="1" x14ac:dyDescent="0.3">
      <c r="A26" s="19"/>
      <c r="B26" s="187"/>
      <c r="C26" s="35" t="s">
        <v>609</v>
      </c>
      <c r="D26" s="131">
        <v>1</v>
      </c>
      <c r="E26" s="131">
        <v>1</v>
      </c>
      <c r="F26" s="131"/>
      <c r="G26" s="131">
        <v>4</v>
      </c>
      <c r="H26" s="131"/>
      <c r="I26" s="28"/>
      <c r="J26" s="28"/>
      <c r="K26" s="28"/>
      <c r="L26" s="28"/>
      <c r="M26" s="28"/>
      <c r="N26" s="193"/>
      <c r="O26" s="193"/>
      <c r="P26" s="195"/>
      <c r="Q26" s="213"/>
      <c r="R26" s="207"/>
      <c r="S26" s="207"/>
      <c r="T26" s="210"/>
      <c r="U26" s="207"/>
      <c r="V26" s="203"/>
      <c r="W26" s="205"/>
      <c r="X26" s="184"/>
    </row>
    <row r="27" spans="1:24" ht="16.5" customHeight="1" x14ac:dyDescent="0.3">
      <c r="A27" s="19"/>
      <c r="B27" s="187"/>
      <c r="C27" s="35" t="s">
        <v>610</v>
      </c>
      <c r="D27" s="131">
        <v>1</v>
      </c>
      <c r="E27" s="131">
        <v>1</v>
      </c>
      <c r="F27" s="131"/>
      <c r="G27" s="131">
        <v>3</v>
      </c>
      <c r="H27" s="131"/>
      <c r="I27" s="28"/>
      <c r="J27" s="28"/>
      <c r="K27" s="28"/>
      <c r="L27" s="28"/>
      <c r="M27" s="28"/>
      <c r="N27" s="193"/>
      <c r="O27" s="193"/>
      <c r="P27" s="195"/>
      <c r="Q27" s="213"/>
      <c r="R27" s="207"/>
      <c r="S27" s="207"/>
      <c r="T27" s="210"/>
      <c r="U27" s="207"/>
      <c r="V27" s="203"/>
      <c r="W27" s="205"/>
      <c r="X27" s="184"/>
    </row>
    <row r="28" spans="1:24" ht="16.5" customHeight="1" thickBot="1" x14ac:dyDescent="0.35">
      <c r="A28" s="22"/>
      <c r="B28" s="188"/>
      <c r="C28" s="23" t="s">
        <v>694</v>
      </c>
      <c r="D28" s="23">
        <f>SUM(D12:D27)</f>
        <v>17</v>
      </c>
      <c r="E28" s="23">
        <f>SUM(E12:E27)</f>
        <v>17</v>
      </c>
      <c r="F28" s="23"/>
      <c r="G28" s="23">
        <f>SUM(G12:G27)</f>
        <v>213</v>
      </c>
      <c r="H28" s="23"/>
      <c r="I28" s="36"/>
      <c r="J28" s="36"/>
      <c r="K28" s="36"/>
      <c r="L28" s="36"/>
      <c r="M28" s="36"/>
      <c r="N28" s="197"/>
      <c r="O28" s="197"/>
      <c r="P28" s="198"/>
      <c r="Q28" s="214"/>
      <c r="R28" s="207"/>
      <c r="S28" s="207"/>
      <c r="T28" s="210"/>
      <c r="U28" s="207"/>
      <c r="V28" s="132"/>
      <c r="W28" s="134"/>
      <c r="X28" s="185"/>
    </row>
    <row r="29" spans="1:24" ht="16.5" customHeight="1" x14ac:dyDescent="0.3">
      <c r="A29" s="17">
        <v>9</v>
      </c>
      <c r="B29" s="186" t="s">
        <v>611</v>
      </c>
      <c r="C29" s="34" t="s">
        <v>612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2">
        <f>D30+D31+D32+D33+D35</f>
        <v>5</v>
      </c>
      <c r="O29" s="192">
        <f>E30+E31+E32+E33+E35</f>
        <v>5</v>
      </c>
      <c r="P29" s="194">
        <f>H30+H31+H32+H33+H35</f>
        <v>5</v>
      </c>
      <c r="Q29" s="212">
        <f>G36</f>
        <v>11</v>
      </c>
      <c r="R29" s="207"/>
      <c r="S29" s="207"/>
      <c r="T29" s="210"/>
      <c r="U29" s="207"/>
      <c r="V29" s="203" t="s">
        <v>613</v>
      </c>
      <c r="W29" s="204" t="s">
        <v>614</v>
      </c>
      <c r="X29" s="183">
        <v>43915</v>
      </c>
    </row>
    <row r="30" spans="1:24" ht="16.5" customHeight="1" x14ac:dyDescent="0.3">
      <c r="A30" s="19"/>
      <c r="B30" s="187"/>
      <c r="C30" s="35" t="s">
        <v>599</v>
      </c>
      <c r="D30" s="131">
        <v>1</v>
      </c>
      <c r="E30" s="131">
        <v>1</v>
      </c>
      <c r="F30" s="131"/>
      <c r="G30" s="131">
        <v>2</v>
      </c>
      <c r="H30" s="131">
        <v>1</v>
      </c>
      <c r="I30" s="28"/>
      <c r="J30" s="28"/>
      <c r="K30" s="28"/>
      <c r="L30" s="28"/>
      <c r="M30" s="28"/>
      <c r="N30" s="193"/>
      <c r="O30" s="193"/>
      <c r="P30" s="195"/>
      <c r="Q30" s="213"/>
      <c r="R30" s="207"/>
      <c r="S30" s="207"/>
      <c r="T30" s="210"/>
      <c r="U30" s="207"/>
      <c r="V30" s="203"/>
      <c r="W30" s="205"/>
      <c r="X30" s="184"/>
    </row>
    <row r="31" spans="1:24" ht="16.5" customHeight="1" x14ac:dyDescent="0.3">
      <c r="A31" s="19"/>
      <c r="B31" s="187"/>
      <c r="C31" s="35" t="s">
        <v>600</v>
      </c>
      <c r="D31" s="131">
        <v>1</v>
      </c>
      <c r="E31" s="131">
        <v>1</v>
      </c>
      <c r="F31" s="131"/>
      <c r="G31" s="131">
        <v>2</v>
      </c>
      <c r="H31" s="131">
        <v>1</v>
      </c>
      <c r="I31" s="28"/>
      <c r="J31" s="28"/>
      <c r="K31" s="28"/>
      <c r="L31" s="28"/>
      <c r="M31" s="28"/>
      <c r="N31" s="193"/>
      <c r="O31" s="193"/>
      <c r="P31" s="195"/>
      <c r="Q31" s="213"/>
      <c r="R31" s="207"/>
      <c r="S31" s="207"/>
      <c r="T31" s="210"/>
      <c r="U31" s="207"/>
      <c r="V31" s="203"/>
      <c r="W31" s="205"/>
      <c r="X31" s="184"/>
    </row>
    <row r="32" spans="1:24" ht="16.5" customHeight="1" x14ac:dyDescent="0.3">
      <c r="A32" s="19"/>
      <c r="B32" s="187"/>
      <c r="C32" s="35" t="s">
        <v>601</v>
      </c>
      <c r="D32" s="131">
        <v>1</v>
      </c>
      <c r="E32" s="131">
        <v>1</v>
      </c>
      <c r="F32" s="131"/>
      <c r="G32" s="131">
        <v>2</v>
      </c>
      <c r="H32" s="131">
        <v>1</v>
      </c>
      <c r="I32" s="28"/>
      <c r="J32" s="28"/>
      <c r="K32" s="28"/>
      <c r="L32" s="28"/>
      <c r="M32" s="28"/>
      <c r="N32" s="193"/>
      <c r="O32" s="193"/>
      <c r="P32" s="195"/>
      <c r="Q32" s="213"/>
      <c r="R32" s="207"/>
      <c r="S32" s="207"/>
      <c r="T32" s="210"/>
      <c r="U32" s="207"/>
      <c r="V32" s="203"/>
      <c r="W32" s="205"/>
      <c r="X32" s="184"/>
    </row>
    <row r="33" spans="1:24" ht="16.5" customHeight="1" x14ac:dyDescent="0.3">
      <c r="A33" s="19"/>
      <c r="B33" s="187"/>
      <c r="C33" s="35" t="s">
        <v>602</v>
      </c>
      <c r="D33" s="131">
        <v>1</v>
      </c>
      <c r="E33" s="131">
        <v>1</v>
      </c>
      <c r="F33" s="131"/>
      <c r="G33" s="131">
        <v>2</v>
      </c>
      <c r="H33" s="131">
        <v>1</v>
      </c>
      <c r="I33" s="28"/>
      <c r="J33" s="28"/>
      <c r="K33" s="28"/>
      <c r="L33" s="28"/>
      <c r="M33" s="28"/>
      <c r="N33" s="193"/>
      <c r="O33" s="193"/>
      <c r="P33" s="195"/>
      <c r="Q33" s="213"/>
      <c r="R33" s="207"/>
      <c r="S33" s="207"/>
      <c r="T33" s="210"/>
      <c r="U33" s="207"/>
      <c r="V33" s="203"/>
      <c r="W33" s="205"/>
      <c r="X33" s="184"/>
    </row>
    <row r="34" spans="1:24" ht="16.5" customHeight="1" x14ac:dyDescent="0.3">
      <c r="A34" s="19"/>
      <c r="B34" s="187"/>
      <c r="C34" s="35" t="s">
        <v>615</v>
      </c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193"/>
      <c r="O34" s="193"/>
      <c r="P34" s="195"/>
      <c r="Q34" s="213"/>
      <c r="R34" s="207"/>
      <c r="S34" s="207"/>
      <c r="T34" s="210"/>
      <c r="U34" s="207"/>
      <c r="V34" s="203"/>
      <c r="W34" s="205"/>
      <c r="X34" s="184"/>
    </row>
    <row r="35" spans="1:24" ht="16.5" customHeight="1" x14ac:dyDescent="0.3">
      <c r="A35" s="19"/>
      <c r="B35" s="187"/>
      <c r="C35" s="35" t="s">
        <v>599</v>
      </c>
      <c r="D35" s="131">
        <v>1</v>
      </c>
      <c r="E35" s="131">
        <v>1</v>
      </c>
      <c r="F35" s="131"/>
      <c r="G35" s="25">
        <v>3</v>
      </c>
      <c r="H35" s="131">
        <v>1</v>
      </c>
      <c r="I35" s="28"/>
      <c r="J35" s="28"/>
      <c r="K35" s="28"/>
      <c r="L35" s="28"/>
      <c r="M35" s="28"/>
      <c r="N35" s="193"/>
      <c r="O35" s="193"/>
      <c r="P35" s="195"/>
      <c r="Q35" s="213"/>
      <c r="R35" s="207"/>
      <c r="S35" s="207"/>
      <c r="T35" s="210"/>
      <c r="U35" s="207"/>
      <c r="V35" s="203"/>
      <c r="W35" s="205"/>
      <c r="X35" s="184"/>
    </row>
    <row r="36" spans="1:24" ht="16.5" customHeight="1" thickBot="1" x14ac:dyDescent="0.35">
      <c r="A36" s="22"/>
      <c r="B36" s="188"/>
      <c r="C36" s="23" t="s">
        <v>694</v>
      </c>
      <c r="D36" s="23">
        <f>SUM(D29:D35)</f>
        <v>5</v>
      </c>
      <c r="E36" s="23">
        <f>SUM(E29:E35)</f>
        <v>5</v>
      </c>
      <c r="F36" s="23"/>
      <c r="G36" s="23">
        <f>SUM(G29:G35)</f>
        <v>11</v>
      </c>
      <c r="H36" s="23">
        <f>SUM(H29:H35)</f>
        <v>5</v>
      </c>
      <c r="I36" s="36"/>
      <c r="J36" s="36"/>
      <c r="K36" s="36"/>
      <c r="L36" s="36"/>
      <c r="M36" s="36"/>
      <c r="N36" s="197"/>
      <c r="O36" s="197"/>
      <c r="P36" s="198"/>
      <c r="Q36" s="214"/>
      <c r="R36" s="207"/>
      <c r="S36" s="207"/>
      <c r="T36" s="210"/>
      <c r="U36" s="207"/>
      <c r="V36" s="132"/>
      <c r="W36" s="134"/>
      <c r="X36" s="185"/>
    </row>
    <row r="37" spans="1:24" ht="16.5" customHeight="1" x14ac:dyDescent="0.3">
      <c r="A37" s="17">
        <v>10</v>
      </c>
      <c r="B37" s="200" t="s">
        <v>616</v>
      </c>
      <c r="C37" s="34" t="s">
        <v>617</v>
      </c>
      <c r="D37" s="130">
        <v>1</v>
      </c>
      <c r="E37" s="130">
        <v>1</v>
      </c>
      <c r="F37" s="130"/>
      <c r="G37" s="130">
        <v>1</v>
      </c>
      <c r="H37" s="130"/>
      <c r="I37" s="130"/>
      <c r="J37" s="130"/>
      <c r="K37" s="37"/>
      <c r="L37" s="37"/>
      <c r="M37" s="37"/>
      <c r="N37" s="192">
        <f>D63</f>
        <v>36</v>
      </c>
      <c r="O37" s="192">
        <f>E63</f>
        <v>19</v>
      </c>
      <c r="P37" s="194">
        <f>H63</f>
        <v>0</v>
      </c>
      <c r="Q37" s="212">
        <f>G63</f>
        <v>64</v>
      </c>
      <c r="R37" s="207"/>
      <c r="S37" s="207"/>
      <c r="T37" s="210"/>
      <c r="U37" s="207"/>
      <c r="V37" s="132" t="s">
        <v>618</v>
      </c>
      <c r="W37" s="215" t="s">
        <v>619</v>
      </c>
      <c r="X37" s="127">
        <v>43991</v>
      </c>
    </row>
    <row r="38" spans="1:24" ht="16.5" customHeight="1" x14ac:dyDescent="0.3">
      <c r="A38" s="19">
        <v>11</v>
      </c>
      <c r="B38" s="201"/>
      <c r="C38" s="35" t="s">
        <v>620</v>
      </c>
      <c r="D38" s="131">
        <v>1</v>
      </c>
      <c r="E38" s="131">
        <v>1</v>
      </c>
      <c r="F38" s="131"/>
      <c r="G38" s="131">
        <v>1</v>
      </c>
      <c r="H38" s="131"/>
      <c r="I38" s="131"/>
      <c r="J38" s="131"/>
      <c r="K38" s="28"/>
      <c r="L38" s="28"/>
      <c r="M38" s="28"/>
      <c r="N38" s="193"/>
      <c r="O38" s="193"/>
      <c r="P38" s="195"/>
      <c r="Q38" s="213"/>
      <c r="R38" s="207"/>
      <c r="S38" s="207"/>
      <c r="T38" s="210"/>
      <c r="U38" s="207"/>
      <c r="V38" s="132" t="s">
        <v>621</v>
      </c>
      <c r="W38" s="216"/>
      <c r="X38" s="128">
        <v>44000</v>
      </c>
    </row>
    <row r="39" spans="1:24" ht="16.5" customHeight="1" x14ac:dyDescent="0.3">
      <c r="A39" s="19">
        <v>12</v>
      </c>
      <c r="B39" s="201"/>
      <c r="C39" s="35" t="s">
        <v>622</v>
      </c>
      <c r="D39" s="131">
        <v>1</v>
      </c>
      <c r="E39" s="131">
        <v>1</v>
      </c>
      <c r="F39" s="131"/>
      <c r="G39" s="131">
        <v>1</v>
      </c>
      <c r="H39" s="131"/>
      <c r="I39" s="131"/>
      <c r="J39" s="131"/>
      <c r="K39" s="28"/>
      <c r="L39" s="28"/>
      <c r="M39" s="28"/>
      <c r="N39" s="193"/>
      <c r="O39" s="193"/>
      <c r="P39" s="195"/>
      <c r="Q39" s="213"/>
      <c r="R39" s="207"/>
      <c r="S39" s="207"/>
      <c r="T39" s="210"/>
      <c r="U39" s="207"/>
      <c r="V39" s="132" t="s">
        <v>623</v>
      </c>
      <c r="W39" s="216"/>
      <c r="X39" s="128">
        <v>43992</v>
      </c>
    </row>
    <row r="40" spans="1:24" ht="16.5" customHeight="1" x14ac:dyDescent="0.3">
      <c r="A40" s="19">
        <v>13</v>
      </c>
      <c r="B40" s="201"/>
      <c r="C40" s="35" t="s">
        <v>624</v>
      </c>
      <c r="D40" s="131">
        <v>1</v>
      </c>
      <c r="E40" s="131">
        <v>1</v>
      </c>
      <c r="F40" s="131"/>
      <c r="G40" s="131">
        <v>1</v>
      </c>
      <c r="H40" s="131"/>
      <c r="I40" s="131"/>
      <c r="J40" s="131"/>
      <c r="K40" s="28"/>
      <c r="L40" s="28"/>
      <c r="M40" s="28"/>
      <c r="N40" s="193"/>
      <c r="O40" s="193"/>
      <c r="P40" s="195"/>
      <c r="Q40" s="213"/>
      <c r="R40" s="207"/>
      <c r="S40" s="207"/>
      <c r="T40" s="210"/>
      <c r="U40" s="207"/>
      <c r="V40" s="132" t="s">
        <v>625</v>
      </c>
      <c r="W40" s="216"/>
      <c r="X40" s="128">
        <v>43992</v>
      </c>
    </row>
    <row r="41" spans="1:24" ht="16.5" customHeight="1" x14ac:dyDescent="0.3">
      <c r="A41" s="19">
        <v>14</v>
      </c>
      <c r="B41" s="201"/>
      <c r="C41" s="35" t="s">
        <v>626</v>
      </c>
      <c r="D41" s="131">
        <v>1</v>
      </c>
      <c r="E41" s="131">
        <v>1</v>
      </c>
      <c r="F41" s="131"/>
      <c r="G41" s="131">
        <v>1</v>
      </c>
      <c r="H41" s="131"/>
      <c r="I41" s="131"/>
      <c r="J41" s="131"/>
      <c r="K41" s="28"/>
      <c r="L41" s="28"/>
      <c r="M41" s="28"/>
      <c r="N41" s="193"/>
      <c r="O41" s="193"/>
      <c r="P41" s="195"/>
      <c r="Q41" s="213"/>
      <c r="R41" s="207"/>
      <c r="S41" s="207"/>
      <c r="T41" s="210"/>
      <c r="U41" s="207"/>
      <c r="V41" s="132" t="s">
        <v>627</v>
      </c>
      <c r="W41" s="216"/>
      <c r="X41" s="128">
        <v>43993</v>
      </c>
    </row>
    <row r="42" spans="1:24" ht="16.5" customHeight="1" x14ac:dyDescent="0.3">
      <c r="A42" s="19">
        <v>15</v>
      </c>
      <c r="B42" s="201"/>
      <c r="C42" s="35" t="s">
        <v>628</v>
      </c>
      <c r="D42" s="131">
        <v>1</v>
      </c>
      <c r="E42" s="131">
        <v>1</v>
      </c>
      <c r="F42" s="131"/>
      <c r="G42" s="131">
        <v>1</v>
      </c>
      <c r="H42" s="131"/>
      <c r="I42" s="131"/>
      <c r="J42" s="131"/>
      <c r="K42" s="28"/>
      <c r="L42" s="28"/>
      <c r="M42" s="28"/>
      <c r="N42" s="193"/>
      <c r="O42" s="193"/>
      <c r="P42" s="195"/>
      <c r="Q42" s="213"/>
      <c r="R42" s="207"/>
      <c r="S42" s="207"/>
      <c r="T42" s="210"/>
      <c r="U42" s="207"/>
      <c r="V42" s="132" t="s">
        <v>629</v>
      </c>
      <c r="W42" s="216"/>
      <c r="X42" s="128">
        <v>43993</v>
      </c>
    </row>
    <row r="43" spans="1:24" ht="16.5" customHeight="1" x14ac:dyDescent="0.3">
      <c r="A43" s="19">
        <v>16</v>
      </c>
      <c r="B43" s="201"/>
      <c r="C43" s="35" t="s">
        <v>630</v>
      </c>
      <c r="D43" s="131">
        <v>1</v>
      </c>
      <c r="E43" s="131">
        <v>1</v>
      </c>
      <c r="F43" s="131"/>
      <c r="G43" s="131">
        <v>1</v>
      </c>
      <c r="H43" s="131"/>
      <c r="I43" s="131"/>
      <c r="J43" s="131"/>
      <c r="K43" s="28"/>
      <c r="L43" s="28"/>
      <c r="M43" s="28"/>
      <c r="N43" s="193"/>
      <c r="O43" s="193"/>
      <c r="P43" s="195"/>
      <c r="Q43" s="213"/>
      <c r="R43" s="207"/>
      <c r="S43" s="207"/>
      <c r="T43" s="210"/>
      <c r="U43" s="207"/>
      <c r="V43" s="132" t="s">
        <v>631</v>
      </c>
      <c r="W43" s="216"/>
      <c r="X43" s="128">
        <v>43993</v>
      </c>
    </row>
    <row r="44" spans="1:24" ht="16.5" customHeight="1" x14ac:dyDescent="0.3">
      <c r="A44" s="19">
        <v>17</v>
      </c>
      <c r="B44" s="201"/>
      <c r="C44" s="35" t="s">
        <v>632</v>
      </c>
      <c r="D44" s="131">
        <v>1</v>
      </c>
      <c r="E44" s="131">
        <v>1</v>
      </c>
      <c r="F44" s="131"/>
      <c r="G44" s="131">
        <v>1</v>
      </c>
      <c r="H44" s="131"/>
      <c r="I44" s="131"/>
      <c r="J44" s="131"/>
      <c r="K44" s="28"/>
      <c r="L44" s="28"/>
      <c r="M44" s="28"/>
      <c r="N44" s="193"/>
      <c r="O44" s="193"/>
      <c r="P44" s="195"/>
      <c r="Q44" s="213"/>
      <c r="R44" s="207"/>
      <c r="S44" s="207"/>
      <c r="T44" s="210"/>
      <c r="U44" s="207"/>
      <c r="V44" s="132" t="s">
        <v>633</v>
      </c>
      <c r="W44" s="216"/>
      <c r="X44" s="128">
        <v>43991</v>
      </c>
    </row>
    <row r="45" spans="1:24" ht="16.5" customHeight="1" x14ac:dyDescent="0.3">
      <c r="A45" s="19">
        <v>18</v>
      </c>
      <c r="B45" s="201"/>
      <c r="C45" s="35" t="s">
        <v>634</v>
      </c>
      <c r="D45" s="131">
        <v>1</v>
      </c>
      <c r="E45" s="131">
        <v>1</v>
      </c>
      <c r="F45" s="131"/>
      <c r="G45" s="131">
        <v>1</v>
      </c>
      <c r="H45" s="131"/>
      <c r="I45" s="131"/>
      <c r="J45" s="131"/>
      <c r="K45" s="28"/>
      <c r="L45" s="28"/>
      <c r="M45" s="28"/>
      <c r="N45" s="193"/>
      <c r="O45" s="193"/>
      <c r="P45" s="195"/>
      <c r="Q45" s="213"/>
      <c r="R45" s="207"/>
      <c r="S45" s="207"/>
      <c r="T45" s="210"/>
      <c r="U45" s="207"/>
      <c r="V45" s="132" t="s">
        <v>635</v>
      </c>
      <c r="W45" s="216"/>
      <c r="X45" s="128">
        <v>43999</v>
      </c>
    </row>
    <row r="46" spans="1:24" ht="16.5" customHeight="1" x14ac:dyDescent="0.3">
      <c r="A46" s="19">
        <v>19</v>
      </c>
      <c r="B46" s="201"/>
      <c r="C46" s="35" t="s">
        <v>636</v>
      </c>
      <c r="D46" s="131">
        <v>1</v>
      </c>
      <c r="E46" s="131">
        <v>1</v>
      </c>
      <c r="F46" s="131"/>
      <c r="G46" s="131">
        <v>1</v>
      </c>
      <c r="H46" s="131"/>
      <c r="I46" s="131"/>
      <c r="J46" s="131"/>
      <c r="K46" s="131"/>
      <c r="L46" s="131"/>
      <c r="M46" s="131"/>
      <c r="N46" s="193"/>
      <c r="O46" s="193"/>
      <c r="P46" s="195"/>
      <c r="Q46" s="213"/>
      <c r="R46" s="207"/>
      <c r="S46" s="207"/>
      <c r="T46" s="210"/>
      <c r="U46" s="207"/>
      <c r="V46" s="132" t="s">
        <v>637</v>
      </c>
      <c r="W46" s="216"/>
      <c r="X46" s="128">
        <v>43999</v>
      </c>
    </row>
    <row r="47" spans="1:24" ht="16.5" customHeight="1" x14ac:dyDescent="0.3">
      <c r="A47" s="19">
        <v>20</v>
      </c>
      <c r="B47" s="201"/>
      <c r="C47" s="35" t="s">
        <v>638</v>
      </c>
      <c r="D47" s="131">
        <v>1</v>
      </c>
      <c r="E47" s="131">
        <v>1</v>
      </c>
      <c r="F47" s="131"/>
      <c r="G47" s="131">
        <v>1</v>
      </c>
      <c r="H47" s="131"/>
      <c r="I47" s="131"/>
      <c r="J47" s="131"/>
      <c r="K47" s="131"/>
      <c r="L47" s="131"/>
      <c r="M47" s="131"/>
      <c r="N47" s="193"/>
      <c r="O47" s="193"/>
      <c r="P47" s="195"/>
      <c r="Q47" s="213"/>
      <c r="R47" s="207"/>
      <c r="S47" s="207"/>
      <c r="T47" s="210"/>
      <c r="U47" s="207"/>
      <c r="V47" s="38"/>
      <c r="W47" s="217"/>
      <c r="X47" s="128">
        <v>43999</v>
      </c>
    </row>
    <row r="48" spans="1:24" ht="16.5" customHeight="1" thickBot="1" x14ac:dyDescent="0.35">
      <c r="A48" s="19">
        <v>21</v>
      </c>
      <c r="B48" s="201"/>
      <c r="C48" s="35" t="s">
        <v>639</v>
      </c>
      <c r="D48" s="131">
        <v>1</v>
      </c>
      <c r="E48" s="131">
        <v>1</v>
      </c>
      <c r="F48" s="131"/>
      <c r="G48" s="131">
        <v>1</v>
      </c>
      <c r="H48" s="131"/>
      <c r="I48" s="131"/>
      <c r="J48" s="131"/>
      <c r="K48" s="131"/>
      <c r="L48" s="131"/>
      <c r="M48" s="131"/>
      <c r="N48" s="193"/>
      <c r="O48" s="193"/>
      <c r="P48" s="195"/>
      <c r="Q48" s="213"/>
      <c r="R48" s="207"/>
      <c r="S48" s="207"/>
      <c r="T48" s="210"/>
      <c r="U48" s="207"/>
      <c r="V48" s="39" t="s">
        <v>640</v>
      </c>
      <c r="W48" s="218"/>
      <c r="X48" s="128">
        <v>44000</v>
      </c>
    </row>
    <row r="49" spans="1:24" ht="16.5" customHeight="1" x14ac:dyDescent="0.3">
      <c r="A49" s="19">
        <v>22</v>
      </c>
      <c r="B49" s="201"/>
      <c r="C49" s="35" t="s">
        <v>641</v>
      </c>
      <c r="D49" s="131">
        <v>1</v>
      </c>
      <c r="E49" s="131">
        <v>1</v>
      </c>
      <c r="F49" s="131"/>
      <c r="G49" s="131">
        <v>3</v>
      </c>
      <c r="H49" s="131"/>
      <c r="I49" s="28"/>
      <c r="J49" s="28"/>
      <c r="K49" s="28"/>
      <c r="L49" s="28"/>
      <c r="M49" s="28"/>
      <c r="N49" s="193"/>
      <c r="O49" s="193"/>
      <c r="P49" s="195"/>
      <c r="Q49" s="213"/>
      <c r="R49" s="207"/>
      <c r="S49" s="207"/>
      <c r="T49" s="210"/>
      <c r="U49" s="207"/>
      <c r="V49" s="132"/>
      <c r="W49" s="40"/>
      <c r="X49" s="128">
        <v>44444</v>
      </c>
    </row>
    <row r="50" spans="1:24" ht="16.5" customHeight="1" x14ac:dyDescent="0.3">
      <c r="A50" s="19">
        <v>23</v>
      </c>
      <c r="B50" s="201"/>
      <c r="C50" s="35" t="s">
        <v>703</v>
      </c>
      <c r="D50" s="131">
        <v>2</v>
      </c>
      <c r="E50" s="131">
        <v>2</v>
      </c>
      <c r="F50" s="131"/>
      <c r="G50" s="131">
        <v>2</v>
      </c>
      <c r="H50" s="131"/>
      <c r="I50" s="28"/>
      <c r="J50" s="28"/>
      <c r="K50" s="28"/>
      <c r="L50" s="28"/>
      <c r="M50" s="28"/>
      <c r="N50" s="193"/>
      <c r="O50" s="193"/>
      <c r="P50" s="195"/>
      <c r="Q50" s="213"/>
      <c r="R50" s="207"/>
      <c r="S50" s="207"/>
      <c r="T50" s="210"/>
      <c r="U50" s="207"/>
      <c r="V50" s="72"/>
      <c r="W50" s="72"/>
      <c r="X50" s="128">
        <v>44446</v>
      </c>
    </row>
    <row r="51" spans="1:24" ht="16.5" customHeight="1" x14ac:dyDescent="0.3">
      <c r="A51" s="19">
        <v>24</v>
      </c>
      <c r="B51" s="201"/>
      <c r="C51" s="35" t="s">
        <v>642</v>
      </c>
      <c r="D51" s="131">
        <v>1</v>
      </c>
      <c r="E51" s="131">
        <v>1</v>
      </c>
      <c r="F51" s="131"/>
      <c r="G51" s="131">
        <v>3</v>
      </c>
      <c r="H51" s="131"/>
      <c r="I51" s="28"/>
      <c r="J51" s="28"/>
      <c r="K51" s="28"/>
      <c r="L51" s="28"/>
      <c r="M51" s="28"/>
      <c r="N51" s="193"/>
      <c r="O51" s="193"/>
      <c r="P51" s="195"/>
      <c r="Q51" s="213"/>
      <c r="R51" s="207"/>
      <c r="S51" s="207"/>
      <c r="T51" s="210"/>
      <c r="U51" s="207"/>
      <c r="V51" s="72"/>
      <c r="W51" s="72"/>
      <c r="X51" s="128">
        <v>44449</v>
      </c>
    </row>
    <row r="52" spans="1:24" ht="16.5" customHeight="1" x14ac:dyDescent="0.3">
      <c r="A52" s="19">
        <v>25</v>
      </c>
      <c r="B52" s="201"/>
      <c r="C52" s="35" t="s">
        <v>643</v>
      </c>
      <c r="D52" s="131">
        <v>1</v>
      </c>
      <c r="E52" s="131">
        <v>1</v>
      </c>
      <c r="F52" s="131"/>
      <c r="G52" s="131">
        <v>3</v>
      </c>
      <c r="H52" s="131"/>
      <c r="I52" s="28"/>
      <c r="J52" s="28"/>
      <c r="K52" s="28"/>
      <c r="L52" s="28"/>
      <c r="M52" s="28"/>
      <c r="N52" s="193"/>
      <c r="O52" s="193"/>
      <c r="P52" s="195"/>
      <c r="Q52" s="213"/>
      <c r="R52" s="207"/>
      <c r="S52" s="207"/>
      <c r="T52" s="210"/>
      <c r="U52" s="207"/>
      <c r="V52" s="72"/>
      <c r="W52" s="72"/>
      <c r="X52" s="128">
        <v>44449</v>
      </c>
    </row>
    <row r="53" spans="1:24" ht="16.5" customHeight="1" x14ac:dyDescent="0.3">
      <c r="A53" s="19">
        <v>26</v>
      </c>
      <c r="B53" s="201"/>
      <c r="C53" s="35" t="s">
        <v>644</v>
      </c>
      <c r="D53" s="131">
        <v>1</v>
      </c>
      <c r="E53" s="131">
        <v>1</v>
      </c>
      <c r="F53" s="131"/>
      <c r="G53" s="131">
        <v>3</v>
      </c>
      <c r="H53" s="131"/>
      <c r="I53" s="28"/>
      <c r="J53" s="28"/>
      <c r="K53" s="28"/>
      <c r="L53" s="28"/>
      <c r="M53" s="28"/>
      <c r="N53" s="193"/>
      <c r="O53" s="193"/>
      <c r="P53" s="195"/>
      <c r="Q53" s="213"/>
      <c r="R53" s="207"/>
      <c r="S53" s="207"/>
      <c r="T53" s="210"/>
      <c r="U53" s="207"/>
      <c r="V53" s="72"/>
      <c r="W53" s="72"/>
      <c r="X53" s="128">
        <v>44444</v>
      </c>
    </row>
    <row r="54" spans="1:24" ht="16.5" customHeight="1" x14ac:dyDescent="0.3">
      <c r="A54" s="19">
        <v>27</v>
      </c>
      <c r="B54" s="201"/>
      <c r="C54" s="35" t="s">
        <v>645</v>
      </c>
      <c r="D54" s="131">
        <v>1</v>
      </c>
      <c r="E54" s="131">
        <v>1</v>
      </c>
      <c r="F54" s="131"/>
      <c r="G54" s="131">
        <v>3</v>
      </c>
      <c r="H54" s="131"/>
      <c r="I54" s="28"/>
      <c r="J54" s="28"/>
      <c r="K54" s="28"/>
      <c r="L54" s="28"/>
      <c r="M54" s="28"/>
      <c r="N54" s="193"/>
      <c r="O54" s="193"/>
      <c r="P54" s="195"/>
      <c r="Q54" s="213"/>
      <c r="R54" s="207"/>
      <c r="S54" s="207"/>
      <c r="T54" s="210"/>
      <c r="U54" s="207"/>
      <c r="V54" s="72"/>
      <c r="W54" s="72"/>
      <c r="X54" s="128">
        <v>44446</v>
      </c>
    </row>
    <row r="55" spans="1:24" ht="16.5" customHeight="1" x14ac:dyDescent="0.3">
      <c r="A55" s="19">
        <v>28</v>
      </c>
      <c r="B55" s="201"/>
      <c r="C55" s="63" t="s">
        <v>695</v>
      </c>
      <c r="D55" s="23">
        <v>2</v>
      </c>
      <c r="E55" s="23"/>
      <c r="F55" s="23"/>
      <c r="G55" s="23">
        <v>4</v>
      </c>
      <c r="H55" s="23"/>
      <c r="I55" s="36"/>
      <c r="J55" s="36"/>
      <c r="K55" s="36"/>
      <c r="L55" s="36"/>
      <c r="M55" s="36"/>
      <c r="N55" s="193"/>
      <c r="O55" s="193"/>
      <c r="P55" s="195"/>
      <c r="Q55" s="213"/>
      <c r="R55" s="207"/>
      <c r="S55" s="207"/>
      <c r="T55" s="210"/>
      <c r="U55" s="207"/>
      <c r="V55" s="72"/>
      <c r="W55" s="72"/>
      <c r="X55" s="128" t="s">
        <v>704</v>
      </c>
    </row>
    <row r="56" spans="1:24" ht="16.5" customHeight="1" x14ac:dyDescent="0.3">
      <c r="A56" s="19">
        <v>29</v>
      </c>
      <c r="B56" s="201"/>
      <c r="C56" s="63" t="s">
        <v>696</v>
      </c>
      <c r="D56" s="23">
        <v>3</v>
      </c>
      <c r="E56" s="23"/>
      <c r="F56" s="23"/>
      <c r="G56" s="23">
        <v>6</v>
      </c>
      <c r="H56" s="23"/>
      <c r="I56" s="36"/>
      <c r="J56" s="36"/>
      <c r="K56" s="36"/>
      <c r="L56" s="36"/>
      <c r="M56" s="36"/>
      <c r="N56" s="193"/>
      <c r="O56" s="193"/>
      <c r="P56" s="195"/>
      <c r="Q56" s="213"/>
      <c r="R56" s="207"/>
      <c r="S56" s="207"/>
      <c r="T56" s="210"/>
      <c r="U56" s="207"/>
      <c r="V56" s="72"/>
      <c r="W56" s="72"/>
      <c r="X56" s="128" t="s">
        <v>704</v>
      </c>
    </row>
    <row r="57" spans="1:24" ht="16.5" customHeight="1" x14ac:dyDescent="0.3">
      <c r="A57" s="19">
        <v>30</v>
      </c>
      <c r="B57" s="201"/>
      <c r="C57" s="63" t="s">
        <v>697</v>
      </c>
      <c r="D57" s="23">
        <v>3</v>
      </c>
      <c r="E57" s="23"/>
      <c r="F57" s="23"/>
      <c r="G57" s="23">
        <v>3</v>
      </c>
      <c r="H57" s="23"/>
      <c r="I57" s="36"/>
      <c r="J57" s="36"/>
      <c r="K57" s="36"/>
      <c r="L57" s="36"/>
      <c r="M57" s="36"/>
      <c r="N57" s="193"/>
      <c r="O57" s="193"/>
      <c r="P57" s="195"/>
      <c r="Q57" s="213"/>
      <c r="R57" s="207"/>
      <c r="S57" s="207"/>
      <c r="T57" s="210"/>
      <c r="U57" s="207"/>
      <c r="V57" s="72"/>
      <c r="W57" s="72"/>
      <c r="X57" s="128" t="s">
        <v>704</v>
      </c>
    </row>
    <row r="58" spans="1:24" ht="16.5" customHeight="1" x14ac:dyDescent="0.3">
      <c r="A58" s="19">
        <v>31</v>
      </c>
      <c r="B58" s="201"/>
      <c r="C58" s="63" t="s">
        <v>698</v>
      </c>
      <c r="D58" s="23">
        <v>2</v>
      </c>
      <c r="E58" s="23"/>
      <c r="F58" s="23"/>
      <c r="G58" s="23">
        <v>4</v>
      </c>
      <c r="H58" s="23"/>
      <c r="I58" s="36"/>
      <c r="J58" s="36"/>
      <c r="K58" s="36"/>
      <c r="L58" s="36"/>
      <c r="M58" s="36"/>
      <c r="N58" s="193"/>
      <c r="O58" s="193"/>
      <c r="P58" s="195"/>
      <c r="Q58" s="213"/>
      <c r="R58" s="207"/>
      <c r="S58" s="207"/>
      <c r="T58" s="210"/>
      <c r="U58" s="207"/>
      <c r="V58" s="72"/>
      <c r="W58" s="72"/>
      <c r="X58" s="128" t="s">
        <v>705</v>
      </c>
    </row>
    <row r="59" spans="1:24" ht="16.5" customHeight="1" x14ac:dyDescent="0.3">
      <c r="A59" s="19">
        <v>32</v>
      </c>
      <c r="B59" s="201"/>
      <c r="C59" s="63" t="s">
        <v>699</v>
      </c>
      <c r="D59" s="23">
        <v>3</v>
      </c>
      <c r="E59" s="23"/>
      <c r="F59" s="23"/>
      <c r="G59" s="23">
        <v>8</v>
      </c>
      <c r="H59" s="23"/>
      <c r="I59" s="36"/>
      <c r="J59" s="36"/>
      <c r="K59" s="36"/>
      <c r="L59" s="36"/>
      <c r="M59" s="36"/>
      <c r="N59" s="193"/>
      <c r="O59" s="193"/>
      <c r="P59" s="195"/>
      <c r="Q59" s="213"/>
      <c r="R59" s="207"/>
      <c r="S59" s="207"/>
      <c r="T59" s="210"/>
      <c r="U59" s="207"/>
      <c r="V59" s="72"/>
      <c r="W59" s="72"/>
      <c r="X59" s="128" t="s">
        <v>705</v>
      </c>
    </row>
    <row r="60" spans="1:24" ht="16.5" customHeight="1" x14ac:dyDescent="0.3">
      <c r="A60" s="19">
        <v>33</v>
      </c>
      <c r="B60" s="201"/>
      <c r="C60" s="63" t="s">
        <v>700</v>
      </c>
      <c r="D60" s="23">
        <v>2</v>
      </c>
      <c r="E60" s="23"/>
      <c r="F60" s="23"/>
      <c r="G60" s="23">
        <v>4</v>
      </c>
      <c r="H60" s="23"/>
      <c r="I60" s="36"/>
      <c r="J60" s="36"/>
      <c r="K60" s="36"/>
      <c r="L60" s="36"/>
      <c r="M60" s="36"/>
      <c r="N60" s="193"/>
      <c r="O60" s="193"/>
      <c r="P60" s="195"/>
      <c r="Q60" s="213"/>
      <c r="R60" s="207"/>
      <c r="S60" s="207"/>
      <c r="T60" s="210"/>
      <c r="U60" s="207"/>
      <c r="V60" s="72"/>
      <c r="W60" s="72"/>
      <c r="X60" s="128" t="s">
        <v>705</v>
      </c>
    </row>
    <row r="61" spans="1:24" ht="16.5" customHeight="1" x14ac:dyDescent="0.3">
      <c r="A61" s="19">
        <v>34</v>
      </c>
      <c r="B61" s="201"/>
      <c r="C61" s="63" t="s">
        <v>701</v>
      </c>
      <c r="D61" s="23">
        <v>1</v>
      </c>
      <c r="E61" s="23"/>
      <c r="F61" s="23"/>
      <c r="G61" s="23">
        <v>4</v>
      </c>
      <c r="H61" s="23"/>
      <c r="I61" s="36"/>
      <c r="J61" s="36"/>
      <c r="K61" s="36"/>
      <c r="L61" s="36"/>
      <c r="M61" s="36"/>
      <c r="N61" s="193"/>
      <c r="O61" s="193"/>
      <c r="P61" s="195"/>
      <c r="Q61" s="213"/>
      <c r="R61" s="207"/>
      <c r="S61" s="207"/>
      <c r="T61" s="210"/>
      <c r="U61" s="207"/>
      <c r="V61" s="72"/>
      <c r="W61" s="72"/>
      <c r="X61" s="128" t="s">
        <v>705</v>
      </c>
    </row>
    <row r="62" spans="1:24" ht="16.5" customHeight="1" x14ac:dyDescent="0.3">
      <c r="A62" s="26">
        <v>35</v>
      </c>
      <c r="B62" s="201"/>
      <c r="C62" s="63" t="s">
        <v>702</v>
      </c>
      <c r="D62" s="23">
        <v>1</v>
      </c>
      <c r="E62" s="23"/>
      <c r="F62" s="23"/>
      <c r="G62" s="23">
        <v>2</v>
      </c>
      <c r="H62" s="23"/>
      <c r="I62" s="36"/>
      <c r="J62" s="36"/>
      <c r="K62" s="36"/>
      <c r="L62" s="36"/>
      <c r="M62" s="36"/>
      <c r="N62" s="193"/>
      <c r="O62" s="193"/>
      <c r="P62" s="195"/>
      <c r="Q62" s="213"/>
      <c r="R62" s="207"/>
      <c r="S62" s="207"/>
      <c r="T62" s="210"/>
      <c r="U62" s="207"/>
      <c r="V62" s="72"/>
      <c r="W62" s="72"/>
      <c r="X62" s="128" t="s">
        <v>705</v>
      </c>
    </row>
    <row r="63" spans="1:24" ht="16.5" customHeight="1" thickBot="1" x14ac:dyDescent="0.35">
      <c r="A63" s="22"/>
      <c r="B63" s="202"/>
      <c r="C63" s="146" t="s">
        <v>694</v>
      </c>
      <c r="D63" s="146">
        <f>SUM(D37:D62)</f>
        <v>36</v>
      </c>
      <c r="E63" s="146">
        <f>SUM(E37:E57)</f>
        <v>19</v>
      </c>
      <c r="F63" s="146"/>
      <c r="G63" s="146">
        <f>SUM(G37:G62)</f>
        <v>64</v>
      </c>
      <c r="H63" s="146"/>
      <c r="I63" s="147"/>
      <c r="J63" s="147"/>
      <c r="K63" s="147"/>
      <c r="L63" s="147"/>
      <c r="M63" s="147"/>
      <c r="N63" s="197"/>
      <c r="O63" s="197"/>
      <c r="P63" s="198"/>
      <c r="Q63" s="214"/>
      <c r="R63" s="208"/>
      <c r="S63" s="208"/>
      <c r="T63" s="211"/>
      <c r="U63" s="208"/>
      <c r="V63" s="148"/>
      <c r="W63" s="148"/>
      <c r="X63" s="129"/>
    </row>
    <row r="64" spans="1:24" ht="16.5" customHeight="1" x14ac:dyDescent="0.3">
      <c r="A64" s="71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1"/>
    </row>
  </sheetData>
  <mergeCells count="37">
    <mergeCell ref="W37:W48"/>
    <mergeCell ref="N37:N63"/>
    <mergeCell ref="O37:O63"/>
    <mergeCell ref="P37:P63"/>
    <mergeCell ref="Q37:Q63"/>
    <mergeCell ref="B37:B63"/>
    <mergeCell ref="V12:V27"/>
    <mergeCell ref="W12:W27"/>
    <mergeCell ref="X12:X23"/>
    <mergeCell ref="D19:M19"/>
    <mergeCell ref="D24:M24"/>
    <mergeCell ref="X24:X28"/>
    <mergeCell ref="S3:S63"/>
    <mergeCell ref="T3:T63"/>
    <mergeCell ref="U3:U63"/>
    <mergeCell ref="Q12:Q28"/>
    <mergeCell ref="Q3:Q11"/>
    <mergeCell ref="R3:R63"/>
    <mergeCell ref="Q29:Q36"/>
    <mergeCell ref="V29:V35"/>
    <mergeCell ref="W29:W35"/>
    <mergeCell ref="X29:X36"/>
    <mergeCell ref="B29:B36"/>
    <mergeCell ref="B3:B11"/>
    <mergeCell ref="N3:N11"/>
    <mergeCell ref="O3:O11"/>
    <mergeCell ref="P3:P11"/>
    <mergeCell ref="D29:M29"/>
    <mergeCell ref="N29:N36"/>
    <mergeCell ref="O29:O36"/>
    <mergeCell ref="P29:P36"/>
    <mergeCell ref="B12:B28"/>
    <mergeCell ref="D12:M12"/>
    <mergeCell ref="N12:N28"/>
    <mergeCell ref="O12:O28"/>
    <mergeCell ref="P12:P28"/>
    <mergeCell ref="D34:M34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B19" sqref="B19"/>
    </sheetView>
  </sheetViews>
  <sheetFormatPr defaultColWidth="10.875" defaultRowHeight="16.5" customHeight="1" x14ac:dyDescent="0.3"/>
  <cols>
    <col min="1" max="1" width="10.875" style="72"/>
    <col min="2" max="2" width="23.875" style="72" customWidth="1"/>
    <col min="3" max="16384" width="10.875" style="72"/>
  </cols>
  <sheetData>
    <row r="1" spans="1:3" ht="20.25" customHeight="1" x14ac:dyDescent="0.3">
      <c r="A1" s="51" t="s">
        <v>720</v>
      </c>
      <c r="B1" s="15"/>
      <c r="C1" s="16"/>
    </row>
    <row r="2" spans="1:3" ht="21" customHeight="1" x14ac:dyDescent="0.3">
      <c r="A2" s="73" t="s">
        <v>144</v>
      </c>
      <c r="B2" s="73" t="s">
        <v>707</v>
      </c>
      <c r="C2" s="78" t="s">
        <v>706</v>
      </c>
    </row>
    <row r="3" spans="1:3" ht="16.5" customHeight="1" x14ac:dyDescent="0.3">
      <c r="A3" s="56">
        <v>1</v>
      </c>
      <c r="B3" s="56" t="s">
        <v>313</v>
      </c>
      <c r="C3" s="56" t="s">
        <v>728</v>
      </c>
    </row>
    <row r="4" spans="1:3" ht="16.5" customHeight="1" x14ac:dyDescent="0.3">
      <c r="A4" s="56">
        <v>2</v>
      </c>
      <c r="B4" s="56" t="s">
        <v>534</v>
      </c>
      <c r="C4" s="79" t="s">
        <v>729</v>
      </c>
    </row>
    <row r="5" spans="1:3" ht="16.5" customHeight="1" x14ac:dyDescent="0.3">
      <c r="A5" s="56">
        <v>3</v>
      </c>
      <c r="B5" s="56" t="s">
        <v>535</v>
      </c>
      <c r="C5" s="79" t="s">
        <v>730</v>
      </c>
    </row>
    <row r="6" spans="1:3" ht="16.5" customHeight="1" x14ac:dyDescent="0.3">
      <c r="A6" s="56">
        <v>4</v>
      </c>
      <c r="B6" s="56" t="s">
        <v>536</v>
      </c>
      <c r="C6" s="79" t="s">
        <v>537</v>
      </c>
    </row>
    <row r="7" spans="1:3" ht="16.5" customHeight="1" x14ac:dyDescent="0.3">
      <c r="A7" s="56">
        <v>5</v>
      </c>
      <c r="B7" s="56" t="s">
        <v>538</v>
      </c>
      <c r="C7" s="79" t="s">
        <v>539</v>
      </c>
    </row>
    <row r="8" spans="1:3" ht="16.5" customHeight="1" x14ac:dyDescent="0.3">
      <c r="A8" s="56">
        <v>6</v>
      </c>
      <c r="B8" s="56" t="s">
        <v>540</v>
      </c>
      <c r="C8" s="79" t="s">
        <v>541</v>
      </c>
    </row>
    <row r="9" spans="1:3" ht="16.5" customHeight="1" x14ac:dyDescent="0.3">
      <c r="A9" s="56">
        <v>7</v>
      </c>
      <c r="B9" s="56" t="s">
        <v>542</v>
      </c>
      <c r="C9" s="79" t="s">
        <v>543</v>
      </c>
    </row>
    <row r="10" spans="1:3" ht="16.5" customHeight="1" x14ac:dyDescent="0.3">
      <c r="A10" s="56">
        <v>8</v>
      </c>
      <c r="B10" s="56" t="s">
        <v>544</v>
      </c>
      <c r="C10" s="79" t="s">
        <v>545</v>
      </c>
    </row>
    <row r="11" spans="1:3" ht="16.5" customHeight="1" x14ac:dyDescent="0.3">
      <c r="A11" s="56">
        <v>9</v>
      </c>
      <c r="B11" s="56" t="s">
        <v>546</v>
      </c>
      <c r="C11" s="79" t="s">
        <v>547</v>
      </c>
    </row>
    <row r="12" spans="1:3" ht="16.5" customHeight="1" x14ac:dyDescent="0.3">
      <c r="A12" s="56">
        <v>10</v>
      </c>
      <c r="B12" s="56" t="s">
        <v>550</v>
      </c>
      <c r="C12" s="79" t="s">
        <v>551</v>
      </c>
    </row>
    <row r="13" spans="1:3" ht="16.5" customHeight="1" x14ac:dyDescent="0.3">
      <c r="A13" s="75">
        <v>11</v>
      </c>
      <c r="B13" s="56" t="s">
        <v>548</v>
      </c>
      <c r="C13" s="79" t="s">
        <v>549</v>
      </c>
    </row>
    <row r="18" spans="1:3" ht="16.5" customHeight="1" x14ac:dyDescent="0.3">
      <c r="A18" s="27"/>
      <c r="B18" s="27"/>
      <c r="C18" s="27"/>
    </row>
    <row r="19" spans="1:3" ht="16.5" customHeight="1" x14ac:dyDescent="0.3">
      <c r="A19" s="56"/>
      <c r="B19" s="56"/>
      <c r="C19" s="27"/>
    </row>
    <row r="20" spans="1:3" ht="16.5" customHeight="1" x14ac:dyDescent="0.3">
      <c r="A20" s="56"/>
      <c r="B20" s="56"/>
      <c r="C20" s="27"/>
    </row>
    <row r="21" spans="1:3" ht="16.5" customHeight="1" x14ac:dyDescent="0.3">
      <c r="A21" s="56"/>
      <c r="B21" s="56"/>
      <c r="C21" s="27"/>
    </row>
    <row r="22" spans="1:3" ht="16.5" customHeight="1" x14ac:dyDescent="0.3">
      <c r="A22" s="56"/>
      <c r="B22" s="56"/>
      <c r="C22" s="27"/>
    </row>
    <row r="23" spans="1:3" ht="16.5" customHeight="1" x14ac:dyDescent="0.3">
      <c r="A23" s="56"/>
      <c r="B23" s="56"/>
      <c r="C23" s="27"/>
    </row>
    <row r="24" spans="1:3" ht="16.5" customHeight="1" x14ac:dyDescent="0.3">
      <c r="A24" s="56"/>
      <c r="B24" s="56"/>
      <c r="C24" s="27"/>
    </row>
    <row r="25" spans="1:3" ht="16.5" customHeight="1" x14ac:dyDescent="0.3">
      <c r="A25" s="56"/>
      <c r="B25" s="56"/>
      <c r="C25" s="27"/>
    </row>
    <row r="26" spans="1:3" ht="16.5" customHeight="1" x14ac:dyDescent="0.3">
      <c r="A26" s="56"/>
      <c r="B26" s="56"/>
      <c r="C26" s="27"/>
    </row>
    <row r="27" spans="1:3" ht="16.5" customHeight="1" x14ac:dyDescent="0.3">
      <c r="A27" s="56"/>
      <c r="B27" s="56"/>
      <c r="C27" s="27"/>
    </row>
    <row r="28" spans="1:3" ht="16.5" customHeight="1" x14ac:dyDescent="0.3">
      <c r="A28" s="27"/>
      <c r="B28" s="27"/>
      <c r="C28" s="27"/>
    </row>
    <row r="29" spans="1:3" ht="16.5" customHeight="1" x14ac:dyDescent="0.3">
      <c r="A29" s="27"/>
      <c r="B29" s="27"/>
      <c r="C29" s="27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I16"/>
  <sheetViews>
    <sheetView workbookViewId="0">
      <pane ySplit="2" topLeftCell="A3" activePane="bottomLeft" state="frozen"/>
      <selection pane="bottomLeft" activeCell="F23" sqref="F23"/>
    </sheetView>
  </sheetViews>
  <sheetFormatPr defaultRowHeight="16.5" customHeight="1" x14ac:dyDescent="0.3"/>
  <cols>
    <col min="1" max="1" width="15.375" style="55" customWidth="1"/>
    <col min="2" max="2" width="9" style="55"/>
    <col min="3" max="3" width="25.25" style="55" customWidth="1"/>
    <col min="4" max="4" width="16.75" style="55" customWidth="1"/>
    <col min="5" max="9" width="12.25" style="55" customWidth="1"/>
    <col min="10" max="16384" width="9" style="55"/>
  </cols>
  <sheetData>
    <row r="1" spans="1:9" ht="20.25" customHeight="1" x14ac:dyDescent="0.3">
      <c r="A1" s="80" t="s">
        <v>721</v>
      </c>
    </row>
    <row r="2" spans="1:9" ht="16.5" customHeight="1" x14ac:dyDescent="0.3">
      <c r="A2" s="81" t="s">
        <v>646</v>
      </c>
      <c r="B2" s="81" t="s">
        <v>647</v>
      </c>
      <c r="C2" s="81" t="s">
        <v>649</v>
      </c>
      <c r="D2" s="81" t="s">
        <v>648</v>
      </c>
      <c r="E2" s="82"/>
      <c r="F2" s="82"/>
      <c r="G2" s="82"/>
      <c r="H2" s="82"/>
      <c r="I2" s="82"/>
    </row>
    <row r="3" spans="1:9" ht="16.5" customHeight="1" x14ac:dyDescent="0.3">
      <c r="A3" s="52" t="s">
        <v>650</v>
      </c>
      <c r="B3" s="53">
        <v>1</v>
      </c>
      <c r="C3" s="52" t="s">
        <v>651</v>
      </c>
      <c r="D3" s="54" t="s">
        <v>677</v>
      </c>
    </row>
    <row r="4" spans="1:9" ht="16.5" customHeight="1" x14ac:dyDescent="0.3">
      <c r="A4" s="52" t="s">
        <v>652</v>
      </c>
      <c r="B4" s="53">
        <v>1</v>
      </c>
      <c r="C4" s="52" t="s">
        <v>651</v>
      </c>
      <c r="D4" s="54" t="s">
        <v>679</v>
      </c>
    </row>
    <row r="5" spans="1:9" ht="16.5" customHeight="1" x14ac:dyDescent="0.3">
      <c r="A5" s="52" t="s">
        <v>653</v>
      </c>
      <c r="B5" s="53">
        <v>4</v>
      </c>
      <c r="C5" s="52" t="s">
        <v>651</v>
      </c>
      <c r="D5" s="55" t="s">
        <v>691</v>
      </c>
      <c r="E5" s="55" t="s">
        <v>689</v>
      </c>
      <c r="F5" s="55" t="s">
        <v>693</v>
      </c>
      <c r="G5" s="55" t="s">
        <v>690</v>
      </c>
    </row>
    <row r="6" spans="1:9" ht="16.5" customHeight="1" x14ac:dyDescent="0.3">
      <c r="A6" s="52" t="s">
        <v>654</v>
      </c>
      <c r="B6" s="53">
        <v>1</v>
      </c>
      <c r="C6" s="52" t="s">
        <v>651</v>
      </c>
      <c r="D6" s="55" t="s">
        <v>692</v>
      </c>
    </row>
    <row r="7" spans="1:9" ht="16.5" customHeight="1" x14ac:dyDescent="0.3">
      <c r="A7" s="52" t="s">
        <v>655</v>
      </c>
      <c r="B7" s="53">
        <v>1</v>
      </c>
      <c r="C7" s="52" t="s">
        <v>656</v>
      </c>
      <c r="D7" s="54" t="s">
        <v>687</v>
      </c>
    </row>
    <row r="8" spans="1:9" ht="16.5" customHeight="1" x14ac:dyDescent="0.3">
      <c r="A8" s="52" t="s">
        <v>657</v>
      </c>
      <c r="B8" s="53">
        <v>1</v>
      </c>
      <c r="C8" s="52" t="s">
        <v>656</v>
      </c>
      <c r="D8" s="54" t="s">
        <v>678</v>
      </c>
    </row>
    <row r="9" spans="1:9" ht="16.5" customHeight="1" x14ac:dyDescent="0.3">
      <c r="A9" s="52" t="s">
        <v>658</v>
      </c>
      <c r="B9" s="53">
        <v>6</v>
      </c>
      <c r="C9" s="52" t="s">
        <v>656</v>
      </c>
      <c r="D9" s="55" t="s">
        <v>680</v>
      </c>
      <c r="E9" s="55" t="s">
        <v>682</v>
      </c>
      <c r="F9" s="55" t="s">
        <v>684</v>
      </c>
      <c r="G9" s="55" t="s">
        <v>681</v>
      </c>
      <c r="H9" s="55" t="s">
        <v>683</v>
      </c>
      <c r="I9" s="55" t="s">
        <v>685</v>
      </c>
    </row>
    <row r="10" spans="1:9" ht="16.5" customHeight="1" x14ac:dyDescent="0.3">
      <c r="A10" s="52" t="s">
        <v>659</v>
      </c>
      <c r="B10" s="53">
        <v>4</v>
      </c>
      <c r="C10" s="52" t="s">
        <v>660</v>
      </c>
      <c r="D10" s="55" t="s">
        <v>691</v>
      </c>
      <c r="E10" s="55" t="s">
        <v>689</v>
      </c>
      <c r="F10" s="55" t="s">
        <v>693</v>
      </c>
      <c r="G10" s="55" t="s">
        <v>690</v>
      </c>
    </row>
    <row r="11" spans="1:9" ht="16.5" customHeight="1" x14ac:dyDescent="0.3">
      <c r="A11" s="52" t="s">
        <v>661</v>
      </c>
      <c r="B11" s="53">
        <v>4</v>
      </c>
      <c r="C11" s="52" t="s">
        <v>662</v>
      </c>
      <c r="D11" s="55" t="s">
        <v>691</v>
      </c>
      <c r="E11" s="55" t="s">
        <v>689</v>
      </c>
      <c r="F11" s="55" t="s">
        <v>686</v>
      </c>
      <c r="G11" s="55" t="s">
        <v>679</v>
      </c>
    </row>
    <row r="12" spans="1:9" ht="16.5" customHeight="1" x14ac:dyDescent="0.3">
      <c r="A12" s="52" t="s">
        <v>663</v>
      </c>
      <c r="B12" s="53">
        <v>1</v>
      </c>
      <c r="C12" s="52" t="s">
        <v>664</v>
      </c>
      <c r="D12" s="55" t="s">
        <v>688</v>
      </c>
    </row>
    <row r="13" spans="1:9" ht="16.5" customHeight="1" thickBot="1" x14ac:dyDescent="0.35">
      <c r="A13" s="52" t="s">
        <v>665</v>
      </c>
      <c r="B13" s="53">
        <v>3</v>
      </c>
      <c r="C13" s="52" t="s">
        <v>666</v>
      </c>
      <c r="D13" s="55" t="s">
        <v>691</v>
      </c>
      <c r="E13" s="55" t="s">
        <v>689</v>
      </c>
      <c r="F13" s="55" t="s">
        <v>686</v>
      </c>
    </row>
    <row r="14" spans="1:9" ht="16.5" customHeight="1" thickBot="1" x14ac:dyDescent="0.35">
      <c r="B14" s="143">
        <f>SUM(B3:B13)</f>
        <v>27</v>
      </c>
    </row>
    <row r="16" spans="1:9" ht="16.5" customHeight="1" x14ac:dyDescent="0.3">
      <c r="B16" s="8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5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E16" sqref="E16"/>
    </sheetView>
  </sheetViews>
  <sheetFormatPr defaultRowHeight="16.5" customHeight="1" x14ac:dyDescent="0.3"/>
  <cols>
    <col min="1" max="1" width="7.875" style="62" customWidth="1"/>
    <col min="2" max="2" width="26" style="70" customWidth="1"/>
    <col min="3" max="4" width="10.625" style="62" customWidth="1"/>
    <col min="5" max="5" width="14.75" style="62" customWidth="1"/>
    <col min="6" max="6" width="19" style="70" customWidth="1"/>
    <col min="7" max="16384" width="9" style="70"/>
  </cols>
  <sheetData>
    <row r="1" spans="1:5" ht="20.25" customHeight="1" x14ac:dyDescent="0.3">
      <c r="A1" s="69" t="s">
        <v>722</v>
      </c>
    </row>
    <row r="2" spans="1:5" ht="16.5" customHeight="1" x14ac:dyDescent="0.3">
      <c r="A2" s="84" t="s">
        <v>724</v>
      </c>
      <c r="B2" s="85" t="s">
        <v>725</v>
      </c>
      <c r="C2" s="85" t="s">
        <v>726</v>
      </c>
      <c r="D2" s="85" t="s">
        <v>197</v>
      </c>
      <c r="E2" s="85" t="s">
        <v>198</v>
      </c>
    </row>
    <row r="3" spans="1:5" ht="16.5" customHeight="1" x14ac:dyDescent="0.3">
      <c r="A3" s="86"/>
      <c r="B3" s="58" t="s">
        <v>205</v>
      </c>
      <c r="C3" s="59" t="s">
        <v>204</v>
      </c>
      <c r="D3" s="60"/>
      <c r="E3" s="60" t="s">
        <v>206</v>
      </c>
    </row>
    <row r="4" spans="1:5" ht="16.5" customHeight="1" x14ac:dyDescent="0.3">
      <c r="A4" s="86"/>
      <c r="B4" s="58" t="s">
        <v>207</v>
      </c>
      <c r="C4" s="59" t="s">
        <v>204</v>
      </c>
      <c r="D4" s="60"/>
      <c r="E4" s="87" t="s">
        <v>206</v>
      </c>
    </row>
    <row r="5" spans="1:5" ht="16.5" customHeight="1" x14ac:dyDescent="0.3">
      <c r="A5" s="86"/>
      <c r="B5" s="58" t="s">
        <v>211</v>
      </c>
      <c r="C5" s="59" t="s">
        <v>210</v>
      </c>
      <c r="D5" s="60"/>
      <c r="E5" s="60" t="s">
        <v>206</v>
      </c>
    </row>
    <row r="6" spans="1:5" ht="16.5" customHeight="1" x14ac:dyDescent="0.3">
      <c r="A6" s="88">
        <v>1</v>
      </c>
      <c r="B6" s="57" t="s">
        <v>199</v>
      </c>
      <c r="C6" s="61" t="s">
        <v>200</v>
      </c>
      <c r="D6" s="62">
        <v>57</v>
      </c>
      <c r="E6" s="62" t="s">
        <v>201</v>
      </c>
    </row>
    <row r="7" spans="1:5" ht="16.5" customHeight="1" x14ac:dyDescent="0.3">
      <c r="A7" s="88">
        <v>2</v>
      </c>
      <c r="B7" s="57" t="s">
        <v>202</v>
      </c>
      <c r="C7" s="61" t="s">
        <v>200</v>
      </c>
      <c r="D7" s="62">
        <v>38</v>
      </c>
      <c r="E7" s="62" t="s">
        <v>201</v>
      </c>
    </row>
    <row r="8" spans="1:5" ht="16.5" customHeight="1" x14ac:dyDescent="0.3">
      <c r="A8" s="88">
        <v>3</v>
      </c>
      <c r="B8" s="57" t="s">
        <v>203</v>
      </c>
      <c r="C8" s="61" t="s">
        <v>204</v>
      </c>
      <c r="D8" s="62">
        <v>24</v>
      </c>
      <c r="E8" s="62" t="s">
        <v>201</v>
      </c>
    </row>
    <row r="9" spans="1:5" ht="16.5" customHeight="1" x14ac:dyDescent="0.3">
      <c r="A9" s="88">
        <v>4</v>
      </c>
      <c r="B9" s="57" t="s">
        <v>208</v>
      </c>
      <c r="C9" s="61" t="s">
        <v>204</v>
      </c>
      <c r="D9" s="62">
        <v>76</v>
      </c>
      <c r="E9" s="62" t="s">
        <v>201</v>
      </c>
    </row>
    <row r="10" spans="1:5" ht="16.5" customHeight="1" thickBot="1" x14ac:dyDescent="0.35">
      <c r="A10" s="141">
        <v>5</v>
      </c>
      <c r="B10" s="57" t="s">
        <v>209</v>
      </c>
      <c r="C10" s="61" t="s">
        <v>210</v>
      </c>
      <c r="D10" s="62">
        <v>95</v>
      </c>
      <c r="E10" s="62" t="s">
        <v>201</v>
      </c>
    </row>
    <row r="11" spans="1:5" ht="16.5" customHeight="1" thickBot="1" x14ac:dyDescent="0.35">
      <c r="D11" s="142">
        <f>SUM(D6:D10)</f>
        <v>290</v>
      </c>
    </row>
    <row r="15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E63"/>
  <sheetViews>
    <sheetView workbookViewId="0">
      <pane ySplit="2" topLeftCell="A39" activePane="bottomLeft" state="frozen"/>
      <selection pane="bottomLeft" activeCell="E68" sqref="E68"/>
    </sheetView>
  </sheetViews>
  <sheetFormatPr defaultRowHeight="16.5" customHeight="1" x14ac:dyDescent="0.3"/>
  <cols>
    <col min="1" max="1" width="8.75" style="71"/>
    <col min="2" max="2" width="33.25" style="72" bestFit="1" customWidth="1"/>
    <col min="3" max="3" width="13.25" style="71" customWidth="1"/>
    <col min="4" max="16384" width="9" style="72"/>
  </cols>
  <sheetData>
    <row r="1" spans="1:5" ht="20.25" customHeight="1" x14ac:dyDescent="0.3">
      <c r="A1" s="89" t="s">
        <v>723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148</v>
      </c>
      <c r="C3" s="74">
        <v>42186</v>
      </c>
    </row>
    <row r="4" spans="1:5" ht="16.5" customHeight="1" x14ac:dyDescent="0.3">
      <c r="A4" s="56">
        <v>2</v>
      </c>
      <c r="B4" s="27" t="s">
        <v>149</v>
      </c>
      <c r="C4" s="74">
        <v>42186</v>
      </c>
    </row>
    <row r="5" spans="1:5" ht="16.5" customHeight="1" x14ac:dyDescent="0.3">
      <c r="A5" s="56">
        <v>3</v>
      </c>
      <c r="B5" s="27" t="s">
        <v>150</v>
      </c>
      <c r="C5" s="74">
        <v>42186</v>
      </c>
    </row>
    <row r="6" spans="1:5" ht="16.5" customHeight="1" x14ac:dyDescent="0.3">
      <c r="A6" s="56">
        <v>4</v>
      </c>
      <c r="B6" s="27" t="s">
        <v>151</v>
      </c>
      <c r="C6" s="74">
        <v>42186</v>
      </c>
    </row>
    <row r="7" spans="1:5" ht="16.5" customHeight="1" x14ac:dyDescent="0.3">
      <c r="A7" s="56">
        <v>5</v>
      </c>
      <c r="B7" s="27" t="s">
        <v>152</v>
      </c>
      <c r="C7" s="74">
        <v>42186</v>
      </c>
    </row>
    <row r="8" spans="1:5" ht="16.5" customHeight="1" x14ac:dyDescent="0.3">
      <c r="A8" s="56">
        <v>6</v>
      </c>
      <c r="B8" s="27" t="s">
        <v>153</v>
      </c>
      <c r="C8" s="74">
        <v>42186</v>
      </c>
    </row>
    <row r="9" spans="1:5" ht="16.5" customHeight="1" x14ac:dyDescent="0.3">
      <c r="A9" s="56">
        <v>7</v>
      </c>
      <c r="B9" s="27" t="s">
        <v>154</v>
      </c>
      <c r="C9" s="74">
        <v>42186</v>
      </c>
    </row>
    <row r="10" spans="1:5" ht="16.5" customHeight="1" x14ac:dyDescent="0.3">
      <c r="A10" s="56">
        <v>8</v>
      </c>
      <c r="B10" s="27" t="s">
        <v>156</v>
      </c>
      <c r="C10" s="74">
        <v>42186</v>
      </c>
    </row>
    <row r="11" spans="1:5" ht="16.5" customHeight="1" x14ac:dyDescent="0.3">
      <c r="A11" s="56">
        <v>9</v>
      </c>
      <c r="B11" s="27" t="s">
        <v>157</v>
      </c>
      <c r="C11" s="74">
        <v>42186</v>
      </c>
    </row>
    <row r="12" spans="1:5" ht="16.5" customHeight="1" x14ac:dyDescent="0.3">
      <c r="A12" s="56">
        <v>10</v>
      </c>
      <c r="B12" s="27" t="s">
        <v>158</v>
      </c>
      <c r="C12" s="74">
        <v>42186</v>
      </c>
    </row>
    <row r="13" spans="1:5" ht="16.5" customHeight="1" x14ac:dyDescent="0.3">
      <c r="A13" s="56">
        <v>11</v>
      </c>
      <c r="B13" s="27" t="s">
        <v>159</v>
      </c>
      <c r="C13" s="74">
        <v>42186</v>
      </c>
    </row>
    <row r="14" spans="1:5" ht="16.5" customHeight="1" x14ac:dyDescent="0.3">
      <c r="A14" s="56">
        <v>12</v>
      </c>
      <c r="B14" s="27" t="s">
        <v>160</v>
      </c>
      <c r="C14" s="74">
        <v>42186</v>
      </c>
    </row>
    <row r="15" spans="1:5" ht="16.5" customHeight="1" x14ac:dyDescent="0.3">
      <c r="A15" s="56">
        <v>13</v>
      </c>
      <c r="B15" s="27" t="s">
        <v>161</v>
      </c>
      <c r="C15" s="74">
        <v>42186</v>
      </c>
    </row>
    <row r="16" spans="1:5" ht="16.5" customHeight="1" x14ac:dyDescent="0.3">
      <c r="A16" s="56">
        <v>14</v>
      </c>
      <c r="B16" s="27" t="s">
        <v>162</v>
      </c>
      <c r="C16" s="74">
        <v>42186</v>
      </c>
    </row>
    <row r="17" spans="1:3" ht="16.5" customHeight="1" x14ac:dyDescent="0.3">
      <c r="A17" s="56">
        <v>15</v>
      </c>
      <c r="B17" s="27" t="s">
        <v>165</v>
      </c>
      <c r="C17" s="74">
        <v>42309</v>
      </c>
    </row>
    <row r="18" spans="1:3" ht="16.5" customHeight="1" x14ac:dyDescent="0.3">
      <c r="A18" s="56">
        <v>16</v>
      </c>
      <c r="B18" s="27" t="s">
        <v>166</v>
      </c>
      <c r="C18" s="74">
        <v>42309</v>
      </c>
    </row>
    <row r="19" spans="1:3" ht="16.5" customHeight="1" x14ac:dyDescent="0.3">
      <c r="A19" s="56">
        <v>17</v>
      </c>
      <c r="B19" s="27" t="s">
        <v>168</v>
      </c>
      <c r="C19" s="74">
        <v>42846</v>
      </c>
    </row>
    <row r="20" spans="1:3" ht="16.5" customHeight="1" x14ac:dyDescent="0.3">
      <c r="A20" s="56">
        <v>18</v>
      </c>
      <c r="B20" s="27" t="s">
        <v>167</v>
      </c>
      <c r="C20" s="74">
        <v>42921</v>
      </c>
    </row>
    <row r="21" spans="1:3" ht="16.5" customHeight="1" x14ac:dyDescent="0.3">
      <c r="A21" s="56">
        <v>19</v>
      </c>
      <c r="B21" s="27" t="s">
        <v>169</v>
      </c>
      <c r="C21" s="74">
        <v>42956</v>
      </c>
    </row>
    <row r="22" spans="1:3" ht="16.5" customHeight="1" x14ac:dyDescent="0.3">
      <c r="A22" s="56">
        <v>20</v>
      </c>
      <c r="B22" s="27" t="s">
        <v>169</v>
      </c>
      <c r="C22" s="74">
        <v>42956</v>
      </c>
    </row>
    <row r="23" spans="1:3" ht="16.5" customHeight="1" x14ac:dyDescent="0.3">
      <c r="A23" s="56">
        <v>21</v>
      </c>
      <c r="B23" s="27" t="s">
        <v>188</v>
      </c>
      <c r="C23" s="74">
        <v>42963</v>
      </c>
    </row>
    <row r="24" spans="1:3" ht="16.5" customHeight="1" x14ac:dyDescent="0.3">
      <c r="A24" s="56">
        <v>22</v>
      </c>
      <c r="B24" s="27" t="s">
        <v>193</v>
      </c>
      <c r="C24" s="74">
        <v>42968</v>
      </c>
    </row>
    <row r="25" spans="1:3" ht="16.5" customHeight="1" x14ac:dyDescent="0.3">
      <c r="A25" s="56">
        <v>23</v>
      </c>
      <c r="B25" s="27" t="s">
        <v>167</v>
      </c>
      <c r="C25" s="74">
        <v>42969</v>
      </c>
    </row>
    <row r="26" spans="1:3" ht="16.5" customHeight="1" x14ac:dyDescent="0.3">
      <c r="A26" s="56">
        <v>24</v>
      </c>
      <c r="B26" s="27" t="s">
        <v>170</v>
      </c>
      <c r="C26" s="74">
        <v>43000</v>
      </c>
    </row>
    <row r="27" spans="1:3" ht="16.5" customHeight="1" x14ac:dyDescent="0.3">
      <c r="A27" s="56">
        <v>25</v>
      </c>
      <c r="B27" s="27" t="s">
        <v>187</v>
      </c>
      <c r="C27" s="74">
        <v>43000</v>
      </c>
    </row>
    <row r="28" spans="1:3" ht="16.5" customHeight="1" x14ac:dyDescent="0.3">
      <c r="A28" s="56">
        <v>26</v>
      </c>
      <c r="B28" s="27" t="s">
        <v>163</v>
      </c>
      <c r="C28" s="74">
        <v>43047</v>
      </c>
    </row>
    <row r="29" spans="1:3" ht="16.5" customHeight="1" x14ac:dyDescent="0.3">
      <c r="A29" s="56">
        <v>27</v>
      </c>
      <c r="B29" s="27" t="s">
        <v>183</v>
      </c>
      <c r="C29" s="74">
        <v>43105</v>
      </c>
    </row>
    <row r="30" spans="1:3" ht="16.5" customHeight="1" x14ac:dyDescent="0.3">
      <c r="A30" s="56">
        <v>28</v>
      </c>
      <c r="B30" s="27" t="s">
        <v>162</v>
      </c>
      <c r="C30" s="74">
        <v>43105</v>
      </c>
    </row>
    <row r="31" spans="1:3" ht="16.5" customHeight="1" x14ac:dyDescent="0.3">
      <c r="A31" s="56">
        <v>29</v>
      </c>
      <c r="B31" s="27" t="s">
        <v>184</v>
      </c>
      <c r="C31" s="74">
        <v>43105</v>
      </c>
    </row>
    <row r="32" spans="1:3" ht="16.5" customHeight="1" x14ac:dyDescent="0.3">
      <c r="A32" s="56">
        <v>30</v>
      </c>
      <c r="B32" s="27" t="s">
        <v>185</v>
      </c>
      <c r="C32" s="74">
        <v>43105</v>
      </c>
    </row>
    <row r="33" spans="1:3" ht="16.5" customHeight="1" x14ac:dyDescent="0.3">
      <c r="A33" s="56">
        <v>31</v>
      </c>
      <c r="B33" s="27" t="s">
        <v>172</v>
      </c>
      <c r="C33" s="74">
        <v>43105</v>
      </c>
    </row>
    <row r="34" spans="1:3" ht="16.5" customHeight="1" x14ac:dyDescent="0.3">
      <c r="A34" s="56">
        <v>32</v>
      </c>
      <c r="B34" s="27" t="s">
        <v>151</v>
      </c>
      <c r="C34" s="74">
        <v>43105</v>
      </c>
    </row>
    <row r="35" spans="1:3" ht="16.5" customHeight="1" x14ac:dyDescent="0.3">
      <c r="A35" s="56">
        <v>33</v>
      </c>
      <c r="B35" s="27" t="s">
        <v>186</v>
      </c>
      <c r="C35" s="74">
        <v>43105</v>
      </c>
    </row>
    <row r="36" spans="1:3" ht="16.5" customHeight="1" x14ac:dyDescent="0.3">
      <c r="A36" s="56">
        <v>34</v>
      </c>
      <c r="B36" s="27" t="s">
        <v>167</v>
      </c>
      <c r="C36" s="74">
        <v>43105</v>
      </c>
    </row>
    <row r="37" spans="1:3" ht="16.5" customHeight="1" x14ac:dyDescent="0.3">
      <c r="A37" s="56">
        <v>35</v>
      </c>
      <c r="B37" s="27" t="s">
        <v>189</v>
      </c>
      <c r="C37" s="74">
        <v>43154</v>
      </c>
    </row>
    <row r="38" spans="1:3" ht="16.5" customHeight="1" x14ac:dyDescent="0.3">
      <c r="A38" s="56">
        <v>36</v>
      </c>
      <c r="B38" s="27" t="s">
        <v>155</v>
      </c>
      <c r="C38" s="74">
        <v>43206</v>
      </c>
    </row>
    <row r="39" spans="1:3" ht="16.5" customHeight="1" x14ac:dyDescent="0.3">
      <c r="A39" s="56">
        <v>37</v>
      </c>
      <c r="B39" s="27" t="s">
        <v>171</v>
      </c>
      <c r="C39" s="74">
        <v>43258</v>
      </c>
    </row>
    <row r="40" spans="1:3" ht="16.5" customHeight="1" x14ac:dyDescent="0.3">
      <c r="A40" s="56">
        <v>38</v>
      </c>
      <c r="B40" s="27" t="s">
        <v>194</v>
      </c>
      <c r="C40" s="74">
        <v>43426</v>
      </c>
    </row>
    <row r="41" spans="1:3" ht="16.5" customHeight="1" x14ac:dyDescent="0.3">
      <c r="A41" s="56">
        <v>39</v>
      </c>
      <c r="B41" s="27" t="s">
        <v>175</v>
      </c>
      <c r="C41" s="74">
        <v>43451</v>
      </c>
    </row>
    <row r="42" spans="1:3" ht="16.5" customHeight="1" x14ac:dyDescent="0.3">
      <c r="A42" s="56">
        <v>40</v>
      </c>
      <c r="B42" s="27" t="s">
        <v>172</v>
      </c>
      <c r="C42" s="74">
        <v>43473</v>
      </c>
    </row>
    <row r="43" spans="1:3" ht="16.5" customHeight="1" x14ac:dyDescent="0.3">
      <c r="A43" s="56">
        <v>41</v>
      </c>
      <c r="B43" s="27" t="s">
        <v>173</v>
      </c>
      <c r="C43" s="74">
        <v>43563</v>
      </c>
    </row>
    <row r="44" spans="1:3" ht="16.5" customHeight="1" x14ac:dyDescent="0.3">
      <c r="A44" s="56">
        <v>42</v>
      </c>
      <c r="B44" s="27" t="s">
        <v>174</v>
      </c>
      <c r="C44" s="74">
        <v>43691</v>
      </c>
    </row>
    <row r="45" spans="1:3" ht="16.5" customHeight="1" x14ac:dyDescent="0.3">
      <c r="A45" s="56">
        <v>43</v>
      </c>
      <c r="B45" s="27" t="s">
        <v>174</v>
      </c>
      <c r="C45" s="74">
        <v>43691</v>
      </c>
    </row>
    <row r="46" spans="1:3" ht="16.5" customHeight="1" x14ac:dyDescent="0.3">
      <c r="A46" s="56">
        <v>44</v>
      </c>
      <c r="B46" s="27" t="s">
        <v>176</v>
      </c>
      <c r="C46" s="74">
        <v>43704</v>
      </c>
    </row>
    <row r="47" spans="1:3" ht="16.5" customHeight="1" x14ac:dyDescent="0.3">
      <c r="A47" s="56">
        <v>45</v>
      </c>
      <c r="B47" s="27" t="s">
        <v>177</v>
      </c>
      <c r="C47" s="74">
        <v>43713</v>
      </c>
    </row>
    <row r="48" spans="1:3" ht="16.5" customHeight="1" x14ac:dyDescent="0.3">
      <c r="A48" s="56">
        <v>46</v>
      </c>
      <c r="B48" s="27" t="s">
        <v>178</v>
      </c>
      <c r="C48" s="74">
        <v>43735</v>
      </c>
    </row>
    <row r="49" spans="1:3" ht="16.5" customHeight="1" x14ac:dyDescent="0.3">
      <c r="A49" s="56">
        <v>47</v>
      </c>
      <c r="B49" s="27" t="s">
        <v>190</v>
      </c>
      <c r="C49" s="74">
        <v>43878</v>
      </c>
    </row>
    <row r="50" spans="1:3" ht="16.5" customHeight="1" x14ac:dyDescent="0.3">
      <c r="A50" s="56">
        <v>48</v>
      </c>
      <c r="B50" s="27" t="s">
        <v>179</v>
      </c>
      <c r="C50" s="74">
        <v>44053</v>
      </c>
    </row>
    <row r="51" spans="1:3" ht="16.5" customHeight="1" x14ac:dyDescent="0.3">
      <c r="A51" s="56">
        <v>49</v>
      </c>
      <c r="B51" s="27" t="s">
        <v>180</v>
      </c>
      <c r="C51" s="74">
        <v>44071</v>
      </c>
    </row>
    <row r="52" spans="1:3" ht="16.5" customHeight="1" x14ac:dyDescent="0.3">
      <c r="A52" s="56">
        <v>50</v>
      </c>
      <c r="B52" s="27" t="s">
        <v>180</v>
      </c>
      <c r="C52" s="74">
        <v>44082</v>
      </c>
    </row>
    <row r="53" spans="1:3" ht="16.5" customHeight="1" x14ac:dyDescent="0.3">
      <c r="A53" s="56">
        <v>51</v>
      </c>
      <c r="B53" s="27" t="s">
        <v>169</v>
      </c>
      <c r="C53" s="74">
        <v>44083</v>
      </c>
    </row>
    <row r="54" spans="1:3" ht="16.5" customHeight="1" x14ac:dyDescent="0.3">
      <c r="A54" s="56">
        <v>52</v>
      </c>
      <c r="B54" s="27" t="s">
        <v>164</v>
      </c>
      <c r="C54" s="74">
        <v>44127</v>
      </c>
    </row>
    <row r="55" spans="1:3" ht="16.5" customHeight="1" x14ac:dyDescent="0.3">
      <c r="A55" s="56">
        <v>53</v>
      </c>
      <c r="B55" s="27" t="s">
        <v>196</v>
      </c>
      <c r="C55" s="74">
        <v>44232</v>
      </c>
    </row>
    <row r="56" spans="1:3" ht="16.5" customHeight="1" x14ac:dyDescent="0.3">
      <c r="A56" s="56">
        <v>54</v>
      </c>
      <c r="B56" s="27" t="s">
        <v>155</v>
      </c>
      <c r="C56" s="74">
        <v>44267</v>
      </c>
    </row>
    <row r="57" spans="1:3" ht="16.5" customHeight="1" x14ac:dyDescent="0.3">
      <c r="A57" s="56">
        <v>55</v>
      </c>
      <c r="B57" s="27" t="s">
        <v>192</v>
      </c>
      <c r="C57" s="74">
        <v>44274</v>
      </c>
    </row>
    <row r="58" spans="1:3" ht="16.5" customHeight="1" x14ac:dyDescent="0.3">
      <c r="A58" s="56">
        <v>56</v>
      </c>
      <c r="B58" s="27" t="s">
        <v>155</v>
      </c>
      <c r="C58" s="74">
        <v>44299</v>
      </c>
    </row>
    <row r="59" spans="1:3" ht="16.5" customHeight="1" x14ac:dyDescent="0.3">
      <c r="A59" s="56">
        <v>57</v>
      </c>
      <c r="B59" s="27" t="s">
        <v>191</v>
      </c>
      <c r="C59" s="74">
        <v>44336</v>
      </c>
    </row>
    <row r="60" spans="1:3" ht="16.5" customHeight="1" x14ac:dyDescent="0.3">
      <c r="A60" s="56">
        <v>58</v>
      </c>
      <c r="B60" s="27" t="s">
        <v>195</v>
      </c>
      <c r="C60" s="74">
        <v>44421</v>
      </c>
    </row>
    <row r="61" spans="1:3" ht="16.5" customHeight="1" x14ac:dyDescent="0.3">
      <c r="A61" s="56">
        <v>59</v>
      </c>
      <c r="B61" s="64" t="s">
        <v>181</v>
      </c>
      <c r="C61" s="74">
        <v>44698</v>
      </c>
    </row>
    <row r="62" spans="1:3" ht="16.5" customHeight="1" x14ac:dyDescent="0.3">
      <c r="A62" s="90">
        <v>60</v>
      </c>
      <c r="B62" s="64" t="s">
        <v>182</v>
      </c>
      <c r="C62" s="74">
        <v>44699</v>
      </c>
    </row>
    <row r="63" spans="1:3" ht="16.5" customHeight="1" x14ac:dyDescent="0.3">
      <c r="A63" s="75">
        <v>61</v>
      </c>
      <c r="B63" s="64" t="s">
        <v>1175</v>
      </c>
      <c r="C63" s="74" t="s">
        <v>1176</v>
      </c>
    </row>
  </sheetData>
  <autoFilter ref="A2:C62" xr:uid="{BD3A14B6-FB5B-4372-9AC7-BC1D727BA991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1" zoomScaleNormal="100" workbookViewId="0">
      <selection activeCell="M31" sqref="M31"/>
    </sheetView>
  </sheetViews>
  <sheetFormatPr defaultRowHeight="16.5" x14ac:dyDescent="0.3"/>
  <cols>
    <col min="1" max="1" width="4.875" customWidth="1"/>
    <col min="2" max="2" width="9.25" style="92" bestFit="1" customWidth="1"/>
    <col min="3" max="3" width="28.125" style="92" bestFit="1" customWidth="1"/>
    <col min="4" max="4" width="12.625" style="92" bestFit="1" customWidth="1"/>
    <col min="5" max="5" width="25.75" style="92" customWidth="1"/>
    <col min="6" max="6" width="14.75" style="92" customWidth="1"/>
    <col min="7" max="7" width="6.875" style="92" customWidth="1"/>
    <col min="8" max="8" width="15.125" style="92" customWidth="1"/>
    <col min="9" max="9" width="4.625" customWidth="1"/>
    <col min="10" max="10" width="9.25" style="92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91" t="s">
        <v>738</v>
      </c>
    </row>
    <row r="3" spans="2:19" x14ac:dyDescent="0.3">
      <c r="H3" s="158">
        <v>44824</v>
      </c>
    </row>
    <row r="4" spans="2:19" ht="24.6" customHeight="1" thickBot="1" x14ac:dyDescent="0.35">
      <c r="B4" s="157" t="s">
        <v>739</v>
      </c>
      <c r="C4" s="94" t="s">
        <v>740</v>
      </c>
      <c r="D4" s="94" t="s">
        <v>741</v>
      </c>
      <c r="E4" s="94" t="s">
        <v>742</v>
      </c>
      <c r="F4" s="94" t="s">
        <v>743</v>
      </c>
      <c r="G4" s="94" t="s">
        <v>1244</v>
      </c>
      <c r="H4" s="94" t="s">
        <v>744</v>
      </c>
      <c r="R4" s="223" t="s">
        <v>745</v>
      </c>
      <c r="S4" s="223"/>
    </row>
    <row r="5" spans="2:19" ht="17.25" thickTop="1" x14ac:dyDescent="0.3">
      <c r="B5" s="138" t="s">
        <v>756</v>
      </c>
      <c r="C5" s="140" t="s">
        <v>757</v>
      </c>
      <c r="D5" s="140">
        <v>2014</v>
      </c>
      <c r="E5" s="140" t="s">
        <v>762</v>
      </c>
      <c r="F5" s="140" t="s">
        <v>763</v>
      </c>
      <c r="G5" s="140" t="s">
        <v>1207</v>
      </c>
      <c r="H5" s="126">
        <v>1000000</v>
      </c>
      <c r="J5" s="95">
        <v>2027</v>
      </c>
      <c r="K5" s="96"/>
      <c r="L5" s="96"/>
      <c r="M5" s="96"/>
      <c r="N5" s="96"/>
      <c r="O5" s="96"/>
      <c r="P5" s="96"/>
      <c r="Q5" s="96"/>
      <c r="R5" s="96"/>
      <c r="S5" s="97"/>
    </row>
    <row r="6" spans="2:19" x14ac:dyDescent="0.3">
      <c r="B6" s="138" t="s">
        <v>746</v>
      </c>
      <c r="C6" s="140" t="s">
        <v>747</v>
      </c>
      <c r="D6" s="140">
        <v>2014</v>
      </c>
      <c r="E6" s="140" t="s">
        <v>754</v>
      </c>
      <c r="F6" s="140" t="s">
        <v>763</v>
      </c>
      <c r="G6" s="140" t="s">
        <v>1207</v>
      </c>
      <c r="H6" s="126">
        <v>2000000</v>
      </c>
      <c r="J6" s="137">
        <v>2026</v>
      </c>
      <c r="K6" s="98"/>
      <c r="L6" s="98"/>
      <c r="M6" s="98"/>
      <c r="N6" s="98"/>
      <c r="O6" s="98"/>
      <c r="P6" s="98"/>
      <c r="Q6" s="98"/>
      <c r="R6" s="98"/>
      <c r="S6" s="99"/>
    </row>
    <row r="7" spans="2:19" x14ac:dyDescent="0.3">
      <c r="B7" s="138" t="s">
        <v>746</v>
      </c>
      <c r="C7" s="140" t="s">
        <v>747</v>
      </c>
      <c r="D7" s="140">
        <v>2014</v>
      </c>
      <c r="E7" s="140" t="s">
        <v>748</v>
      </c>
      <c r="F7" s="140" t="s">
        <v>749</v>
      </c>
      <c r="G7" s="140" t="s">
        <v>1205</v>
      </c>
      <c r="H7" s="126">
        <v>1000000</v>
      </c>
      <c r="J7" s="137">
        <v>2025</v>
      </c>
      <c r="K7" s="98"/>
      <c r="L7" s="98"/>
      <c r="M7" s="98"/>
      <c r="N7" s="98"/>
      <c r="O7" s="98"/>
      <c r="P7" s="98"/>
      <c r="Q7" s="98"/>
      <c r="R7" s="100"/>
      <c r="S7" s="99"/>
    </row>
    <row r="8" spans="2:19" x14ac:dyDescent="0.3">
      <c r="B8" s="138" t="s">
        <v>746</v>
      </c>
      <c r="C8" s="140" t="s">
        <v>747</v>
      </c>
      <c r="D8" s="140">
        <v>2014</v>
      </c>
      <c r="E8" s="140" t="s">
        <v>750</v>
      </c>
      <c r="F8" s="140" t="s">
        <v>749</v>
      </c>
      <c r="G8" s="140" t="s">
        <v>1205</v>
      </c>
      <c r="H8" s="126">
        <v>1000000</v>
      </c>
      <c r="J8" s="137">
        <v>2024</v>
      </c>
      <c r="K8" s="98"/>
      <c r="L8" s="98"/>
      <c r="M8" s="98"/>
      <c r="N8" s="98"/>
      <c r="O8" s="98"/>
      <c r="P8" s="98"/>
      <c r="Q8" s="100"/>
      <c r="R8" s="100"/>
      <c r="S8" s="99"/>
    </row>
    <row r="9" spans="2:19" ht="17.25" thickBot="1" x14ac:dyDescent="0.35">
      <c r="B9" s="138" t="s">
        <v>746</v>
      </c>
      <c r="C9" s="140" t="s">
        <v>747</v>
      </c>
      <c r="D9" s="140">
        <v>2014</v>
      </c>
      <c r="E9" s="140" t="s">
        <v>752</v>
      </c>
      <c r="F9" s="140" t="s">
        <v>749</v>
      </c>
      <c r="G9" s="140" t="s">
        <v>1205</v>
      </c>
      <c r="H9" s="126">
        <v>1000000</v>
      </c>
      <c r="J9" s="101">
        <v>2023</v>
      </c>
      <c r="K9" s="102"/>
      <c r="L9" s="102"/>
      <c r="M9" s="102"/>
      <c r="N9" s="102"/>
      <c r="O9" s="102"/>
      <c r="P9" s="103"/>
      <c r="Q9" s="103"/>
      <c r="R9" s="103"/>
      <c r="S9" s="104"/>
    </row>
    <row r="10" spans="2:19" ht="17.25" thickTop="1" x14ac:dyDescent="0.3">
      <c r="B10" s="138" t="s">
        <v>746</v>
      </c>
      <c r="C10" s="140" t="s">
        <v>747</v>
      </c>
      <c r="D10" s="140">
        <v>2014</v>
      </c>
      <c r="E10" s="140" t="s">
        <v>753</v>
      </c>
      <c r="F10" s="140" t="s">
        <v>749</v>
      </c>
      <c r="G10" s="140" t="s">
        <v>1205</v>
      </c>
      <c r="H10" s="126">
        <v>1000000</v>
      </c>
      <c r="J10" s="105">
        <v>2022</v>
      </c>
      <c r="K10" s="106"/>
      <c r="L10" s="106"/>
      <c r="M10" s="106"/>
      <c r="N10" s="106"/>
      <c r="O10" s="107"/>
      <c r="P10" s="108"/>
      <c r="Q10" s="108"/>
      <c r="R10" s="108"/>
      <c r="S10" s="109">
        <v>18</v>
      </c>
    </row>
    <row r="11" spans="2:19" x14ac:dyDescent="0.3">
      <c r="B11" s="138" t="s">
        <v>756</v>
      </c>
      <c r="C11" s="140" t="s">
        <v>757</v>
      </c>
      <c r="D11" s="140">
        <v>2014</v>
      </c>
      <c r="E11" s="140" t="s">
        <v>760</v>
      </c>
      <c r="F11" s="140" t="s">
        <v>761</v>
      </c>
      <c r="G11" s="140" t="s">
        <v>1203</v>
      </c>
      <c r="H11" s="126">
        <v>1000000</v>
      </c>
      <c r="J11" s="137">
        <v>2021</v>
      </c>
      <c r="K11" s="98"/>
      <c r="L11" s="98"/>
      <c r="M11" s="98"/>
      <c r="N11" s="110"/>
      <c r="O11" s="110"/>
      <c r="P11" s="100"/>
      <c r="Q11" s="100"/>
      <c r="R11" s="100">
        <v>9</v>
      </c>
      <c r="S11" s="111"/>
    </row>
    <row r="12" spans="2:19" x14ac:dyDescent="0.3">
      <c r="B12" s="138" t="s">
        <v>756</v>
      </c>
      <c r="C12" s="140" t="s">
        <v>757</v>
      </c>
      <c r="D12" s="140">
        <v>2014</v>
      </c>
      <c r="E12" s="140" t="s">
        <v>758</v>
      </c>
      <c r="F12" s="140" t="s">
        <v>759</v>
      </c>
      <c r="G12" s="140" t="s">
        <v>1203</v>
      </c>
      <c r="H12" s="126">
        <v>1000000</v>
      </c>
      <c r="J12" s="137">
        <v>2020</v>
      </c>
      <c r="K12" s="98"/>
      <c r="L12" s="98"/>
      <c r="M12" s="110"/>
      <c r="N12" s="110"/>
      <c r="O12" s="110"/>
      <c r="P12" s="100"/>
      <c r="Q12" s="100">
        <v>26</v>
      </c>
      <c r="R12" s="98"/>
      <c r="S12" s="111"/>
    </row>
    <row r="13" spans="2:19" x14ac:dyDescent="0.3">
      <c r="B13" s="138" t="s">
        <v>804</v>
      </c>
      <c r="C13" s="140" t="s">
        <v>805</v>
      </c>
      <c r="D13" s="140">
        <v>2015</v>
      </c>
      <c r="E13" s="140" t="s">
        <v>754</v>
      </c>
      <c r="F13" s="140" t="s">
        <v>767</v>
      </c>
      <c r="G13" s="140" t="s">
        <v>1207</v>
      </c>
      <c r="H13" s="126">
        <v>2000000</v>
      </c>
      <c r="J13" s="137">
        <v>2019</v>
      </c>
      <c r="K13" s="98"/>
      <c r="L13" s="110"/>
      <c r="M13" s="110"/>
      <c r="N13" s="110"/>
      <c r="O13" s="110"/>
      <c r="P13" s="100">
        <v>3</v>
      </c>
      <c r="Q13" s="98"/>
      <c r="R13" s="98"/>
      <c r="S13" s="111"/>
    </row>
    <row r="14" spans="2:19" x14ac:dyDescent="0.3">
      <c r="B14" s="138" t="s">
        <v>812</v>
      </c>
      <c r="C14" s="140" t="s">
        <v>813</v>
      </c>
      <c r="D14" s="140">
        <v>2015</v>
      </c>
      <c r="E14" s="140" t="s">
        <v>814</v>
      </c>
      <c r="F14" s="140" t="s">
        <v>785</v>
      </c>
      <c r="G14" s="140" t="s">
        <v>1207</v>
      </c>
      <c r="H14" s="126">
        <v>2000000</v>
      </c>
      <c r="J14" s="137">
        <v>2018</v>
      </c>
      <c r="K14" s="110"/>
      <c r="L14" s="110"/>
      <c r="M14" s="110"/>
      <c r="N14" s="110"/>
      <c r="O14" s="110">
        <v>10</v>
      </c>
      <c r="P14" s="98"/>
      <c r="Q14" s="98"/>
      <c r="R14" s="98"/>
      <c r="S14" s="111"/>
    </row>
    <row r="15" spans="2:19" x14ac:dyDescent="0.3">
      <c r="B15" s="138" t="s">
        <v>800</v>
      </c>
      <c r="C15" s="140" t="s">
        <v>313</v>
      </c>
      <c r="D15" s="140">
        <v>2015</v>
      </c>
      <c r="E15" s="140" t="s">
        <v>801</v>
      </c>
      <c r="F15" s="140" t="s">
        <v>785</v>
      </c>
      <c r="G15" s="140" t="s">
        <v>1207</v>
      </c>
      <c r="H15" s="126">
        <v>1000000</v>
      </c>
      <c r="J15" s="137">
        <v>2017</v>
      </c>
      <c r="K15" s="110"/>
      <c r="L15" s="110"/>
      <c r="M15" s="110"/>
      <c r="N15" s="110">
        <v>8</v>
      </c>
      <c r="O15" s="98"/>
      <c r="P15" s="98"/>
      <c r="Q15" s="98"/>
      <c r="R15" s="98"/>
      <c r="S15" s="111"/>
    </row>
    <row r="16" spans="2:19" x14ac:dyDescent="0.3">
      <c r="B16" s="138" t="s">
        <v>800</v>
      </c>
      <c r="C16" s="140" t="s">
        <v>313</v>
      </c>
      <c r="D16" s="140">
        <v>2015</v>
      </c>
      <c r="E16" s="140" t="s">
        <v>754</v>
      </c>
      <c r="F16" s="140" t="s">
        <v>763</v>
      </c>
      <c r="G16" s="140" t="s">
        <v>1207</v>
      </c>
      <c r="H16" s="126">
        <v>2000000</v>
      </c>
      <c r="J16" s="137">
        <v>2016</v>
      </c>
      <c r="K16" s="110"/>
      <c r="L16" s="110"/>
      <c r="M16" s="110">
        <v>1</v>
      </c>
      <c r="N16" s="98"/>
      <c r="O16" s="98"/>
      <c r="P16" s="98"/>
      <c r="Q16" s="98"/>
      <c r="R16" s="98"/>
      <c r="S16" s="111"/>
    </row>
    <row r="17" spans="2:19" x14ac:dyDescent="0.3">
      <c r="B17" s="138" t="s">
        <v>838</v>
      </c>
      <c r="C17" s="140" t="s">
        <v>839</v>
      </c>
      <c r="D17" s="140">
        <v>2015</v>
      </c>
      <c r="E17" s="140" t="s">
        <v>814</v>
      </c>
      <c r="F17" s="140" t="s">
        <v>763</v>
      </c>
      <c r="G17" s="140" t="s">
        <v>1207</v>
      </c>
      <c r="H17" s="126">
        <v>2000000</v>
      </c>
      <c r="J17" s="137">
        <v>2015</v>
      </c>
      <c r="K17" s="110"/>
      <c r="L17" s="110">
        <v>22</v>
      </c>
      <c r="M17" s="98"/>
      <c r="N17" s="98"/>
      <c r="O17" s="98"/>
      <c r="P17" s="98"/>
      <c r="Q17" s="98"/>
      <c r="R17" s="98"/>
      <c r="S17" s="111"/>
    </row>
    <row r="18" spans="2:19" x14ac:dyDescent="0.3">
      <c r="B18" s="138" t="s">
        <v>828</v>
      </c>
      <c r="C18" s="140" t="s">
        <v>829</v>
      </c>
      <c r="D18" s="140">
        <v>2015</v>
      </c>
      <c r="E18" s="140" t="s">
        <v>762</v>
      </c>
      <c r="F18" s="140" t="s">
        <v>763</v>
      </c>
      <c r="G18" s="140" t="s">
        <v>1207</v>
      </c>
      <c r="H18" s="126">
        <v>2000000</v>
      </c>
      <c r="J18" s="137">
        <v>2014</v>
      </c>
      <c r="K18" s="110">
        <v>2</v>
      </c>
      <c r="L18" s="98"/>
      <c r="M18" s="98"/>
      <c r="N18" s="98"/>
      <c r="O18" s="98"/>
      <c r="P18" s="98"/>
      <c r="Q18" s="98"/>
      <c r="R18" s="98"/>
      <c r="S18" s="111"/>
    </row>
    <row r="19" spans="2:19" x14ac:dyDescent="0.3">
      <c r="B19" s="138" t="s">
        <v>1243</v>
      </c>
      <c r="C19" s="140" t="s">
        <v>1243</v>
      </c>
      <c r="D19" s="140">
        <v>2015</v>
      </c>
      <c r="E19" s="140" t="s">
        <v>1156</v>
      </c>
      <c r="F19" s="140" t="s">
        <v>1052</v>
      </c>
      <c r="G19" s="140" t="s">
        <v>1201</v>
      </c>
      <c r="H19" s="126">
        <v>3000000</v>
      </c>
      <c r="J19" s="137" t="s">
        <v>774</v>
      </c>
      <c r="K19" s="112">
        <v>9000</v>
      </c>
      <c r="L19" s="112">
        <v>128500</v>
      </c>
      <c r="M19" s="112">
        <v>12000</v>
      </c>
      <c r="N19" s="112">
        <v>22000</v>
      </c>
      <c r="O19" s="112">
        <v>33500</v>
      </c>
      <c r="P19" s="112">
        <v>15300</v>
      </c>
      <c r="Q19" s="112">
        <v>63000</v>
      </c>
      <c r="R19" s="112">
        <v>42500</v>
      </c>
      <c r="S19" s="113">
        <v>70000</v>
      </c>
    </row>
    <row r="20" spans="2:19" ht="17.25" thickBot="1" x14ac:dyDescent="0.35">
      <c r="B20" s="138" t="s">
        <v>1242</v>
      </c>
      <c r="C20" s="140" t="s">
        <v>1242</v>
      </c>
      <c r="D20" s="140">
        <v>2015</v>
      </c>
      <c r="E20" s="140" t="s">
        <v>1156</v>
      </c>
      <c r="F20" s="140" t="s">
        <v>1052</v>
      </c>
      <c r="G20" s="140" t="s">
        <v>1201</v>
      </c>
      <c r="H20" s="126">
        <v>3000000</v>
      </c>
      <c r="J20" s="114" t="s">
        <v>743</v>
      </c>
      <c r="K20" s="219" t="s">
        <v>776</v>
      </c>
      <c r="L20" s="219"/>
      <c r="M20" s="219"/>
      <c r="N20" s="219"/>
      <c r="O20" s="220" t="s">
        <v>777</v>
      </c>
      <c r="P20" s="221"/>
      <c r="Q20" s="221"/>
      <c r="R20" s="221"/>
      <c r="S20" s="222"/>
    </row>
    <row r="21" spans="2:19" x14ac:dyDescent="0.3">
      <c r="B21" s="138" t="s">
        <v>1241</v>
      </c>
      <c r="C21" s="140" t="s">
        <v>1241</v>
      </c>
      <c r="D21" s="140">
        <v>2015</v>
      </c>
      <c r="E21" s="140" t="s">
        <v>1156</v>
      </c>
      <c r="F21" s="140" t="s">
        <v>1052</v>
      </c>
      <c r="G21" s="140" t="s">
        <v>1201</v>
      </c>
      <c r="H21" s="126">
        <v>3000000</v>
      </c>
      <c r="S21">
        <f>SUM(K5:S18)</f>
        <v>99</v>
      </c>
    </row>
    <row r="22" spans="2:19" x14ac:dyDescent="0.3">
      <c r="B22" s="138" t="s">
        <v>1240</v>
      </c>
      <c r="C22" s="140" t="s">
        <v>1240</v>
      </c>
      <c r="D22" s="140">
        <v>2015</v>
      </c>
      <c r="E22" s="140" t="s">
        <v>1156</v>
      </c>
      <c r="F22" s="140" t="s">
        <v>1052</v>
      </c>
      <c r="G22" s="140" t="s">
        <v>1201</v>
      </c>
      <c r="H22" s="126">
        <v>3000000</v>
      </c>
      <c r="J22" s="115" t="s">
        <v>780</v>
      </c>
    </row>
    <row r="23" spans="2:19" x14ac:dyDescent="0.3">
      <c r="B23" s="138" t="s">
        <v>1239</v>
      </c>
      <c r="C23" s="140" t="s">
        <v>1239</v>
      </c>
      <c r="D23" s="140">
        <v>2015</v>
      </c>
      <c r="E23" s="140" t="s">
        <v>1156</v>
      </c>
      <c r="F23" s="140" t="s">
        <v>1052</v>
      </c>
      <c r="G23" s="140" t="s">
        <v>1201</v>
      </c>
      <c r="H23" s="126">
        <v>3000000</v>
      </c>
      <c r="J23" s="116"/>
      <c r="K23" s="116"/>
      <c r="L23" s="115"/>
      <c r="M23" s="117"/>
    </row>
    <row r="24" spans="2:19" x14ac:dyDescent="0.3">
      <c r="B24" s="138" t="s">
        <v>850</v>
      </c>
      <c r="C24" s="140" t="s">
        <v>282</v>
      </c>
      <c r="D24" s="140">
        <v>2015</v>
      </c>
      <c r="E24" s="140" t="s">
        <v>806</v>
      </c>
      <c r="F24" s="140" t="s">
        <v>797</v>
      </c>
      <c r="G24" s="140" t="s">
        <v>1203</v>
      </c>
      <c r="H24" s="126">
        <v>1000000</v>
      </c>
      <c r="K24" s="115"/>
      <c r="L24" s="115"/>
      <c r="M24" s="117"/>
    </row>
    <row r="25" spans="2:19" x14ac:dyDescent="0.3">
      <c r="B25" s="138" t="s">
        <v>850</v>
      </c>
      <c r="C25" s="140" t="s">
        <v>282</v>
      </c>
      <c r="D25" s="140">
        <v>2015</v>
      </c>
      <c r="E25" s="140" t="s">
        <v>754</v>
      </c>
      <c r="F25" s="140" t="s">
        <v>797</v>
      </c>
      <c r="G25" s="140" t="s">
        <v>1203</v>
      </c>
      <c r="H25" s="126">
        <v>2000000</v>
      </c>
    </row>
    <row r="26" spans="2:19" x14ac:dyDescent="0.3">
      <c r="B26" s="138" t="s">
        <v>850</v>
      </c>
      <c r="C26" s="140" t="s">
        <v>282</v>
      </c>
      <c r="D26" s="140">
        <v>2015</v>
      </c>
      <c r="E26" s="140" t="s">
        <v>790</v>
      </c>
      <c r="F26" s="140" t="s">
        <v>797</v>
      </c>
      <c r="G26" s="140" t="s">
        <v>1203</v>
      </c>
      <c r="H26" s="126">
        <v>1000000</v>
      </c>
    </row>
    <row r="27" spans="2:19" x14ac:dyDescent="0.3">
      <c r="B27" s="138" t="s">
        <v>850</v>
      </c>
      <c r="C27" s="140" t="s">
        <v>855</v>
      </c>
      <c r="D27" s="140">
        <v>2015</v>
      </c>
      <c r="E27" s="140" t="s">
        <v>856</v>
      </c>
      <c r="F27" s="140" t="s">
        <v>797</v>
      </c>
      <c r="G27" s="140" t="s">
        <v>1203</v>
      </c>
      <c r="H27" s="126">
        <v>1500000</v>
      </c>
    </row>
    <row r="28" spans="2:19" x14ac:dyDescent="0.3">
      <c r="B28" s="138" t="s">
        <v>820</v>
      </c>
      <c r="C28" s="140" t="s">
        <v>821</v>
      </c>
      <c r="D28" s="140">
        <v>2015</v>
      </c>
      <c r="E28" s="140" t="s">
        <v>766</v>
      </c>
      <c r="F28" s="140" t="s">
        <v>797</v>
      </c>
      <c r="G28" s="140" t="s">
        <v>1203</v>
      </c>
      <c r="H28" s="126">
        <v>1000000</v>
      </c>
    </row>
    <row r="29" spans="2:19" x14ac:dyDescent="0.3">
      <c r="B29" s="138" t="s">
        <v>820</v>
      </c>
      <c r="C29" s="140" t="s">
        <v>821</v>
      </c>
      <c r="D29" s="140">
        <v>2015</v>
      </c>
      <c r="E29" s="140" t="s">
        <v>754</v>
      </c>
      <c r="F29" s="140" t="s">
        <v>797</v>
      </c>
      <c r="G29" s="140" t="s">
        <v>1203</v>
      </c>
      <c r="H29" s="126">
        <v>1000000</v>
      </c>
    </row>
    <row r="30" spans="2:19" x14ac:dyDescent="0.3">
      <c r="B30" s="138" t="s">
        <v>820</v>
      </c>
      <c r="C30" s="140" t="s">
        <v>821</v>
      </c>
      <c r="D30" s="140">
        <v>2015</v>
      </c>
      <c r="E30" s="140" t="s">
        <v>822</v>
      </c>
      <c r="F30" s="140" t="s">
        <v>797</v>
      </c>
      <c r="G30" s="140" t="s">
        <v>1203</v>
      </c>
      <c r="H30" s="126">
        <v>1000000</v>
      </c>
    </row>
    <row r="31" spans="2:19" x14ac:dyDescent="0.3">
      <c r="B31" s="138" t="s">
        <v>820</v>
      </c>
      <c r="C31" s="140" t="s">
        <v>821</v>
      </c>
      <c r="D31" s="140">
        <v>2015</v>
      </c>
      <c r="E31" s="140" t="s">
        <v>823</v>
      </c>
      <c r="F31" s="140" t="s">
        <v>797</v>
      </c>
      <c r="G31" s="140" t="s">
        <v>1203</v>
      </c>
      <c r="H31" s="126">
        <v>1000000</v>
      </c>
    </row>
    <row r="32" spans="2:19" x14ac:dyDescent="0.3">
      <c r="B32" s="138" t="s">
        <v>820</v>
      </c>
      <c r="C32" s="140" t="s">
        <v>821</v>
      </c>
      <c r="D32" s="140">
        <v>2015</v>
      </c>
      <c r="E32" s="140" t="s">
        <v>801</v>
      </c>
      <c r="F32" s="140" t="s">
        <v>797</v>
      </c>
      <c r="G32" s="140" t="s">
        <v>1203</v>
      </c>
      <c r="H32" s="126">
        <v>1000000</v>
      </c>
    </row>
    <row r="33" spans="2:8" x14ac:dyDescent="0.3">
      <c r="B33" s="138" t="s">
        <v>812</v>
      </c>
      <c r="C33" s="140" t="s">
        <v>813</v>
      </c>
      <c r="D33" s="140">
        <v>2015</v>
      </c>
      <c r="E33" s="140" t="s">
        <v>815</v>
      </c>
      <c r="F33" s="140" t="s">
        <v>797</v>
      </c>
      <c r="G33" s="140" t="s">
        <v>1203</v>
      </c>
      <c r="H33" s="126">
        <v>1000000</v>
      </c>
    </row>
    <row r="34" spans="2:8" x14ac:dyDescent="0.3">
      <c r="B34" s="138" t="s">
        <v>812</v>
      </c>
      <c r="C34" s="140" t="s">
        <v>813</v>
      </c>
      <c r="D34" s="140">
        <v>2015</v>
      </c>
      <c r="E34" s="140" t="s">
        <v>816</v>
      </c>
      <c r="F34" s="140" t="s">
        <v>797</v>
      </c>
      <c r="G34" s="140" t="s">
        <v>1203</v>
      </c>
      <c r="H34" s="126">
        <v>1000000</v>
      </c>
    </row>
    <row r="35" spans="2:8" x14ac:dyDescent="0.3">
      <c r="B35" s="138" t="s">
        <v>812</v>
      </c>
      <c r="C35" s="140" t="s">
        <v>813</v>
      </c>
      <c r="D35" s="140">
        <v>2015</v>
      </c>
      <c r="E35" s="140" t="s">
        <v>817</v>
      </c>
      <c r="F35" s="140" t="s">
        <v>797</v>
      </c>
      <c r="G35" s="140" t="s">
        <v>1203</v>
      </c>
      <c r="H35" s="126">
        <v>1000000</v>
      </c>
    </row>
    <row r="36" spans="2:8" x14ac:dyDescent="0.3">
      <c r="B36" s="138" t="s">
        <v>812</v>
      </c>
      <c r="C36" s="140" t="s">
        <v>813</v>
      </c>
      <c r="D36" s="140">
        <v>2015</v>
      </c>
      <c r="E36" s="140" t="s">
        <v>818</v>
      </c>
      <c r="F36" s="140" t="s">
        <v>797</v>
      </c>
      <c r="G36" s="140" t="s">
        <v>1203</v>
      </c>
      <c r="H36" s="126">
        <v>1000000</v>
      </c>
    </row>
    <row r="37" spans="2:8" x14ac:dyDescent="0.3">
      <c r="B37" s="138" t="s">
        <v>812</v>
      </c>
      <c r="C37" s="140" t="s">
        <v>813</v>
      </c>
      <c r="D37" s="140">
        <v>2015</v>
      </c>
      <c r="E37" s="140" t="s">
        <v>819</v>
      </c>
      <c r="F37" s="140" t="s">
        <v>797</v>
      </c>
      <c r="G37" s="140" t="s">
        <v>1203</v>
      </c>
      <c r="H37" s="126">
        <v>1000000</v>
      </c>
    </row>
    <row r="38" spans="2:8" x14ac:dyDescent="0.3">
      <c r="B38" s="138" t="s">
        <v>1066</v>
      </c>
      <c r="C38" s="140" t="s">
        <v>809</v>
      </c>
      <c r="D38" s="140">
        <v>2015</v>
      </c>
      <c r="E38" s="140" t="s">
        <v>810</v>
      </c>
      <c r="F38" s="140" t="s">
        <v>797</v>
      </c>
      <c r="G38" s="140" t="s">
        <v>1203</v>
      </c>
      <c r="H38" s="126">
        <v>1000000</v>
      </c>
    </row>
    <row r="39" spans="2:8" x14ac:dyDescent="0.3">
      <c r="B39" s="138" t="s">
        <v>1066</v>
      </c>
      <c r="C39" s="140" t="s">
        <v>809</v>
      </c>
      <c r="D39" s="140">
        <v>2015</v>
      </c>
      <c r="E39" s="140" t="s">
        <v>811</v>
      </c>
      <c r="F39" s="140" t="s">
        <v>797</v>
      </c>
      <c r="G39" s="140" t="s">
        <v>1203</v>
      </c>
      <c r="H39" s="126">
        <v>1000000</v>
      </c>
    </row>
    <row r="40" spans="2:8" x14ac:dyDescent="0.3">
      <c r="B40" s="138" t="s">
        <v>804</v>
      </c>
      <c r="C40" s="140" t="s">
        <v>805</v>
      </c>
      <c r="D40" s="140">
        <v>2015</v>
      </c>
      <c r="E40" s="140" t="s">
        <v>806</v>
      </c>
      <c r="F40" s="140" t="s">
        <v>797</v>
      </c>
      <c r="G40" s="140" t="s">
        <v>1203</v>
      </c>
      <c r="H40" s="126">
        <v>1000000</v>
      </c>
    </row>
    <row r="41" spans="2:8" x14ac:dyDescent="0.3">
      <c r="B41" s="138" t="s">
        <v>804</v>
      </c>
      <c r="C41" s="140" t="s">
        <v>805</v>
      </c>
      <c r="D41" s="140">
        <v>2015</v>
      </c>
      <c r="E41" s="140" t="s">
        <v>807</v>
      </c>
      <c r="F41" s="140" t="s">
        <v>797</v>
      </c>
      <c r="G41" s="140" t="s">
        <v>1203</v>
      </c>
      <c r="H41" s="126">
        <v>1000000</v>
      </c>
    </row>
    <row r="42" spans="2:8" x14ac:dyDescent="0.3">
      <c r="B42" s="138" t="s">
        <v>804</v>
      </c>
      <c r="C42" s="140" t="s">
        <v>805</v>
      </c>
      <c r="D42" s="140">
        <v>2015</v>
      </c>
      <c r="E42" s="140" t="s">
        <v>808</v>
      </c>
      <c r="F42" s="140" t="s">
        <v>797</v>
      </c>
      <c r="G42" s="140" t="s">
        <v>1203</v>
      </c>
      <c r="H42" s="126">
        <v>1000000</v>
      </c>
    </row>
    <row r="43" spans="2:8" x14ac:dyDescent="0.3">
      <c r="B43" s="138" t="s">
        <v>800</v>
      </c>
      <c r="C43" s="140" t="s">
        <v>313</v>
      </c>
      <c r="D43" s="140">
        <v>2015</v>
      </c>
      <c r="E43" s="140" t="s">
        <v>766</v>
      </c>
      <c r="F43" s="140" t="s">
        <v>797</v>
      </c>
      <c r="G43" s="140" t="s">
        <v>1203</v>
      </c>
      <c r="H43" s="126">
        <v>1000000</v>
      </c>
    </row>
    <row r="44" spans="2:8" x14ac:dyDescent="0.3">
      <c r="B44" s="138" t="s">
        <v>800</v>
      </c>
      <c r="C44" s="140" t="s">
        <v>313</v>
      </c>
      <c r="D44" s="140">
        <v>2015</v>
      </c>
      <c r="E44" s="140" t="s">
        <v>802</v>
      </c>
      <c r="F44" s="140" t="s">
        <v>797</v>
      </c>
      <c r="G44" s="140" t="s">
        <v>1203</v>
      </c>
      <c r="H44" s="126">
        <v>1000000</v>
      </c>
    </row>
    <row r="45" spans="2:8" x14ac:dyDescent="0.3">
      <c r="B45" s="138" t="s">
        <v>800</v>
      </c>
      <c r="C45" s="140" t="s">
        <v>313</v>
      </c>
      <c r="D45" s="140">
        <v>2015</v>
      </c>
      <c r="E45" s="140" t="s">
        <v>803</v>
      </c>
      <c r="F45" s="140" t="s">
        <v>797</v>
      </c>
      <c r="G45" s="140" t="s">
        <v>1203</v>
      </c>
      <c r="H45" s="126">
        <v>1000000</v>
      </c>
    </row>
    <row r="46" spans="2:8" x14ac:dyDescent="0.3">
      <c r="B46" s="138" t="s">
        <v>840</v>
      </c>
      <c r="C46" s="140" t="s">
        <v>841</v>
      </c>
      <c r="D46" s="140">
        <v>2015</v>
      </c>
      <c r="E46" s="140" t="s">
        <v>842</v>
      </c>
      <c r="F46" s="140" t="s">
        <v>797</v>
      </c>
      <c r="G46" s="140" t="s">
        <v>1203</v>
      </c>
      <c r="H46" s="126">
        <v>1000000</v>
      </c>
    </row>
    <row r="47" spans="2:8" x14ac:dyDescent="0.3">
      <c r="B47" s="138" t="s">
        <v>840</v>
      </c>
      <c r="C47" s="140" t="s">
        <v>841</v>
      </c>
      <c r="D47" s="140">
        <v>2015</v>
      </c>
      <c r="E47" s="140" t="s">
        <v>843</v>
      </c>
      <c r="F47" s="140" t="s">
        <v>797</v>
      </c>
      <c r="G47" s="140" t="s">
        <v>1203</v>
      </c>
      <c r="H47" s="126">
        <v>2000000</v>
      </c>
    </row>
    <row r="48" spans="2:8" x14ac:dyDescent="0.3">
      <c r="B48" s="138" t="s">
        <v>840</v>
      </c>
      <c r="C48" s="140" t="s">
        <v>841</v>
      </c>
      <c r="D48" s="140">
        <v>2015</v>
      </c>
      <c r="E48" s="140" t="s">
        <v>844</v>
      </c>
      <c r="F48" s="140" t="s">
        <v>797</v>
      </c>
      <c r="G48" s="140" t="s">
        <v>1203</v>
      </c>
      <c r="H48" s="126">
        <v>1000000</v>
      </c>
    </row>
    <row r="49" spans="2:11" x14ac:dyDescent="0.3">
      <c r="B49" s="138" t="s">
        <v>840</v>
      </c>
      <c r="C49" s="140" t="s">
        <v>841</v>
      </c>
      <c r="D49" s="140">
        <v>2015</v>
      </c>
      <c r="E49" s="140" t="s">
        <v>845</v>
      </c>
      <c r="F49" s="140" t="s">
        <v>797</v>
      </c>
      <c r="G49" s="140" t="s">
        <v>1203</v>
      </c>
      <c r="H49" s="126">
        <v>2000000</v>
      </c>
    </row>
    <row r="50" spans="2:11" x14ac:dyDescent="0.3">
      <c r="B50" s="138" t="s">
        <v>846</v>
      </c>
      <c r="C50" s="140" t="s">
        <v>847</v>
      </c>
      <c r="D50" s="140">
        <v>2015</v>
      </c>
      <c r="E50" s="140" t="s">
        <v>848</v>
      </c>
      <c r="F50" s="140" t="s">
        <v>797</v>
      </c>
      <c r="G50" s="140" t="s">
        <v>1203</v>
      </c>
      <c r="H50" s="126">
        <v>1000000</v>
      </c>
    </row>
    <row r="51" spans="2:11" x14ac:dyDescent="0.3">
      <c r="B51" s="138" t="s">
        <v>846</v>
      </c>
      <c r="C51" s="140" t="s">
        <v>847</v>
      </c>
      <c r="D51" s="140">
        <v>2015</v>
      </c>
      <c r="E51" s="140" t="s">
        <v>849</v>
      </c>
      <c r="F51" s="140" t="s">
        <v>797</v>
      </c>
      <c r="G51" s="140" t="s">
        <v>1203</v>
      </c>
      <c r="H51" s="126">
        <v>1000000</v>
      </c>
    </row>
    <row r="52" spans="2:11" x14ac:dyDescent="0.3">
      <c r="B52" s="138" t="s">
        <v>794</v>
      </c>
      <c r="C52" s="140" t="s">
        <v>795</v>
      </c>
      <c r="D52" s="140">
        <v>2015</v>
      </c>
      <c r="E52" s="140" t="s">
        <v>796</v>
      </c>
      <c r="F52" s="140" t="s">
        <v>797</v>
      </c>
      <c r="G52" s="140" t="s">
        <v>1203</v>
      </c>
      <c r="H52" s="126">
        <v>1000000</v>
      </c>
    </row>
    <row r="53" spans="2:11" x14ac:dyDescent="0.3">
      <c r="B53" s="138" t="s">
        <v>794</v>
      </c>
      <c r="C53" s="140" t="s">
        <v>795</v>
      </c>
      <c r="D53" s="140">
        <v>2015</v>
      </c>
      <c r="E53" s="140" t="s">
        <v>798</v>
      </c>
      <c r="F53" s="140" t="s">
        <v>797</v>
      </c>
      <c r="G53" s="140" t="s">
        <v>1203</v>
      </c>
      <c r="H53" s="126">
        <v>2000000</v>
      </c>
    </row>
    <row r="54" spans="2:11" x14ac:dyDescent="0.3">
      <c r="B54" s="138" t="s">
        <v>794</v>
      </c>
      <c r="C54" s="140" t="s">
        <v>795</v>
      </c>
      <c r="D54" s="140">
        <v>2015</v>
      </c>
      <c r="E54" s="140" t="s">
        <v>783</v>
      </c>
      <c r="F54" s="140" t="s">
        <v>797</v>
      </c>
      <c r="G54" s="140" t="s">
        <v>1203</v>
      </c>
      <c r="H54" s="126">
        <v>1000000</v>
      </c>
    </row>
    <row r="55" spans="2:11" x14ac:dyDescent="0.3">
      <c r="B55" s="138" t="s">
        <v>794</v>
      </c>
      <c r="C55" s="140" t="s">
        <v>795</v>
      </c>
      <c r="D55" s="140">
        <v>2015</v>
      </c>
      <c r="E55" s="140" t="s">
        <v>799</v>
      </c>
      <c r="F55" s="140" t="s">
        <v>797</v>
      </c>
      <c r="G55" s="140" t="s">
        <v>1203</v>
      </c>
      <c r="H55" s="126">
        <v>1000000</v>
      </c>
    </row>
    <row r="56" spans="2:11" x14ac:dyDescent="0.3">
      <c r="B56" s="138" t="s">
        <v>837</v>
      </c>
      <c r="C56" s="140" t="s">
        <v>370</v>
      </c>
      <c r="D56" s="140">
        <v>2015</v>
      </c>
      <c r="E56" s="140" t="s">
        <v>814</v>
      </c>
      <c r="F56" s="140" t="s">
        <v>797</v>
      </c>
      <c r="G56" s="140" t="s">
        <v>1203</v>
      </c>
      <c r="H56" s="126">
        <v>2000000</v>
      </c>
    </row>
    <row r="57" spans="2:11" x14ac:dyDescent="0.3">
      <c r="B57" s="138" t="s">
        <v>837</v>
      </c>
      <c r="C57" s="140" t="s">
        <v>370</v>
      </c>
      <c r="D57" s="140">
        <v>2015</v>
      </c>
      <c r="E57" s="140" t="s">
        <v>811</v>
      </c>
      <c r="F57" s="140" t="s">
        <v>797</v>
      </c>
      <c r="G57" s="140" t="s">
        <v>1203</v>
      </c>
      <c r="H57" s="126">
        <v>1000000</v>
      </c>
    </row>
    <row r="58" spans="2:11" x14ac:dyDescent="0.3">
      <c r="B58" s="138" t="s">
        <v>836</v>
      </c>
      <c r="C58" s="140" t="s">
        <v>380</v>
      </c>
      <c r="D58" s="140">
        <v>2015</v>
      </c>
      <c r="E58" s="140" t="s">
        <v>811</v>
      </c>
      <c r="F58" s="140" t="s">
        <v>797</v>
      </c>
      <c r="G58" s="140" t="s">
        <v>1203</v>
      </c>
      <c r="H58" s="126">
        <v>1000000</v>
      </c>
    </row>
    <row r="59" spans="2:11" x14ac:dyDescent="0.3">
      <c r="B59" s="138" t="s">
        <v>836</v>
      </c>
      <c r="C59" s="140" t="s">
        <v>380</v>
      </c>
      <c r="D59" s="140">
        <v>2015</v>
      </c>
      <c r="E59" s="140" t="s">
        <v>814</v>
      </c>
      <c r="F59" s="140" t="s">
        <v>797</v>
      </c>
      <c r="G59" s="140" t="s">
        <v>1203</v>
      </c>
      <c r="H59" s="126">
        <v>2000000</v>
      </c>
    </row>
    <row r="60" spans="2:11" x14ac:dyDescent="0.3">
      <c r="B60" s="138" t="s">
        <v>838</v>
      </c>
      <c r="C60" s="140" t="s">
        <v>839</v>
      </c>
      <c r="D60" s="140">
        <v>2015</v>
      </c>
      <c r="E60" s="140" t="s">
        <v>811</v>
      </c>
      <c r="F60" s="140" t="s">
        <v>797</v>
      </c>
      <c r="G60" s="140" t="s">
        <v>1203</v>
      </c>
      <c r="H60" s="126">
        <v>1000000</v>
      </c>
    </row>
    <row r="61" spans="2:11" x14ac:dyDescent="0.3">
      <c r="B61" s="138" t="s">
        <v>828</v>
      </c>
      <c r="C61" s="140" t="s">
        <v>829</v>
      </c>
      <c r="D61" s="140">
        <v>2015</v>
      </c>
      <c r="E61" s="140" t="s">
        <v>803</v>
      </c>
      <c r="F61" s="140" t="s">
        <v>797</v>
      </c>
      <c r="G61" s="140" t="s">
        <v>1203</v>
      </c>
      <c r="H61" s="126">
        <v>1000000</v>
      </c>
    </row>
    <row r="62" spans="2:11" x14ac:dyDescent="0.3">
      <c r="B62" s="138" t="s">
        <v>828</v>
      </c>
      <c r="C62" s="140" t="s">
        <v>829</v>
      </c>
      <c r="D62" s="140">
        <v>2015</v>
      </c>
      <c r="E62" s="140" t="s">
        <v>830</v>
      </c>
      <c r="F62" s="140" t="s">
        <v>797</v>
      </c>
      <c r="G62" s="140" t="s">
        <v>1203</v>
      </c>
      <c r="H62" s="126">
        <v>1000000</v>
      </c>
    </row>
    <row r="63" spans="2:11" x14ac:dyDescent="0.3">
      <c r="B63" s="138" t="s">
        <v>828</v>
      </c>
      <c r="C63" s="140" t="s">
        <v>829</v>
      </c>
      <c r="D63" s="140">
        <v>2015</v>
      </c>
      <c r="E63" s="140" t="s">
        <v>831</v>
      </c>
      <c r="F63" s="140" t="s">
        <v>797</v>
      </c>
      <c r="G63" s="140" t="s">
        <v>1203</v>
      </c>
      <c r="H63" s="126">
        <v>1000000</v>
      </c>
      <c r="I63" s="123"/>
      <c r="J63" s="124"/>
      <c r="K63" s="123"/>
    </row>
    <row r="64" spans="2:11" x14ac:dyDescent="0.3">
      <c r="B64" s="138" t="s">
        <v>1062</v>
      </c>
      <c r="C64" s="140" t="s">
        <v>1079</v>
      </c>
      <c r="D64" s="140">
        <v>2015</v>
      </c>
      <c r="E64" s="140" t="s">
        <v>766</v>
      </c>
      <c r="F64" s="140" t="s">
        <v>797</v>
      </c>
      <c r="G64" s="140" t="s">
        <v>1203</v>
      </c>
      <c r="H64" s="126">
        <v>1000000</v>
      </c>
      <c r="I64" s="123"/>
      <c r="J64" s="124"/>
      <c r="K64" s="123"/>
    </row>
    <row r="65" spans="2:8" x14ac:dyDescent="0.3">
      <c r="B65" s="138" t="s">
        <v>1062</v>
      </c>
      <c r="C65" s="140" t="s">
        <v>1079</v>
      </c>
      <c r="D65" s="140">
        <v>2015</v>
      </c>
      <c r="E65" s="140" t="s">
        <v>1080</v>
      </c>
      <c r="F65" s="140" t="s">
        <v>797</v>
      </c>
      <c r="G65" s="140" t="s">
        <v>1203</v>
      </c>
      <c r="H65" s="126">
        <v>1000000</v>
      </c>
    </row>
    <row r="66" spans="2:8" x14ac:dyDescent="0.3">
      <c r="B66" s="138" t="s">
        <v>1062</v>
      </c>
      <c r="C66" s="140" t="s">
        <v>1079</v>
      </c>
      <c r="D66" s="140">
        <v>2015</v>
      </c>
      <c r="E66" s="140" t="s">
        <v>762</v>
      </c>
      <c r="F66" s="140" t="s">
        <v>797</v>
      </c>
      <c r="G66" s="140" t="s">
        <v>1203</v>
      </c>
      <c r="H66" s="126">
        <v>1000000</v>
      </c>
    </row>
    <row r="67" spans="2:8" x14ac:dyDescent="0.3">
      <c r="B67" s="138" t="s">
        <v>1062</v>
      </c>
      <c r="C67" s="140" t="s">
        <v>1079</v>
      </c>
      <c r="D67" s="140">
        <v>2015</v>
      </c>
      <c r="E67" s="140" t="s">
        <v>1081</v>
      </c>
      <c r="F67" s="140" t="s">
        <v>797</v>
      </c>
      <c r="G67" s="140" t="s">
        <v>1203</v>
      </c>
      <c r="H67" s="126">
        <v>1000000</v>
      </c>
    </row>
    <row r="68" spans="2:8" x14ac:dyDescent="0.3">
      <c r="B68" s="138" t="s">
        <v>1062</v>
      </c>
      <c r="C68" s="140" t="s">
        <v>1079</v>
      </c>
      <c r="D68" s="140">
        <v>2015</v>
      </c>
      <c r="E68" s="140" t="s">
        <v>1082</v>
      </c>
      <c r="F68" s="140" t="s">
        <v>797</v>
      </c>
      <c r="G68" s="140" t="s">
        <v>1203</v>
      </c>
      <c r="H68" s="126">
        <v>1000000</v>
      </c>
    </row>
    <row r="69" spans="2:8" x14ac:dyDescent="0.3">
      <c r="B69" s="138" t="s">
        <v>1062</v>
      </c>
      <c r="C69" s="140" t="s">
        <v>1079</v>
      </c>
      <c r="D69" s="140">
        <v>2015</v>
      </c>
      <c r="E69" s="140" t="s">
        <v>1083</v>
      </c>
      <c r="F69" s="140" t="s">
        <v>797</v>
      </c>
      <c r="G69" s="140" t="s">
        <v>1203</v>
      </c>
      <c r="H69" s="126">
        <v>1000000</v>
      </c>
    </row>
    <row r="70" spans="2:8" x14ac:dyDescent="0.3">
      <c r="B70" s="138" t="s">
        <v>1062</v>
      </c>
      <c r="C70" s="140" t="s">
        <v>1079</v>
      </c>
      <c r="D70" s="140">
        <v>2015</v>
      </c>
      <c r="E70" s="140" t="s">
        <v>1084</v>
      </c>
      <c r="F70" s="140" t="s">
        <v>797</v>
      </c>
      <c r="G70" s="140" t="s">
        <v>1203</v>
      </c>
      <c r="H70" s="126">
        <v>1000000</v>
      </c>
    </row>
    <row r="71" spans="2:8" x14ac:dyDescent="0.3">
      <c r="B71" s="138" t="s">
        <v>1062</v>
      </c>
      <c r="C71" s="140" t="s">
        <v>1079</v>
      </c>
      <c r="D71" s="140">
        <v>2015</v>
      </c>
      <c r="E71" s="140" t="s">
        <v>1085</v>
      </c>
      <c r="F71" s="140" t="s">
        <v>797</v>
      </c>
      <c r="G71" s="140" t="s">
        <v>1203</v>
      </c>
      <c r="H71" s="126">
        <v>1000000</v>
      </c>
    </row>
    <row r="72" spans="2:8" x14ac:dyDescent="0.3">
      <c r="B72" s="138" t="s">
        <v>471</v>
      </c>
      <c r="C72" s="140" t="s">
        <v>472</v>
      </c>
      <c r="D72" s="140">
        <v>2015</v>
      </c>
      <c r="E72" s="140" t="s">
        <v>762</v>
      </c>
      <c r="F72" s="140" t="s">
        <v>797</v>
      </c>
      <c r="G72" s="140" t="s">
        <v>1203</v>
      </c>
      <c r="H72" s="126">
        <v>2000000</v>
      </c>
    </row>
    <row r="73" spans="2:8" x14ac:dyDescent="0.3">
      <c r="B73" s="138" t="s">
        <v>471</v>
      </c>
      <c r="C73" s="140" t="s">
        <v>472</v>
      </c>
      <c r="D73" s="140">
        <v>2015</v>
      </c>
      <c r="E73" s="140" t="s">
        <v>875</v>
      </c>
      <c r="F73" s="140" t="s">
        <v>797</v>
      </c>
      <c r="G73" s="140" t="s">
        <v>1203</v>
      </c>
      <c r="H73" s="126">
        <v>1000000</v>
      </c>
    </row>
    <row r="74" spans="2:8" x14ac:dyDescent="0.3">
      <c r="B74" s="138" t="s">
        <v>1056</v>
      </c>
      <c r="C74" s="140" t="s">
        <v>1057</v>
      </c>
      <c r="D74" s="140">
        <v>2015</v>
      </c>
      <c r="E74" s="140" t="s">
        <v>912</v>
      </c>
      <c r="F74" s="140" t="s">
        <v>1052</v>
      </c>
      <c r="G74" s="140" t="s">
        <v>1201</v>
      </c>
      <c r="H74" s="126">
        <v>8000000</v>
      </c>
    </row>
    <row r="75" spans="2:8" x14ac:dyDescent="0.3">
      <c r="B75" s="138" t="s">
        <v>1055</v>
      </c>
      <c r="C75" s="140" t="s">
        <v>667</v>
      </c>
      <c r="D75" s="140">
        <v>2015</v>
      </c>
      <c r="E75" s="140" t="s">
        <v>912</v>
      </c>
      <c r="F75" s="140" t="s">
        <v>1052</v>
      </c>
      <c r="G75" s="140" t="s">
        <v>1201</v>
      </c>
      <c r="H75" s="126">
        <v>8000000</v>
      </c>
    </row>
    <row r="76" spans="2:8" x14ac:dyDescent="0.3">
      <c r="B76" s="138" t="s">
        <v>1053</v>
      </c>
      <c r="C76" s="140" t="s">
        <v>1054</v>
      </c>
      <c r="D76" s="140">
        <v>2015</v>
      </c>
      <c r="E76" s="140" t="s">
        <v>912</v>
      </c>
      <c r="F76" s="140" t="s">
        <v>1052</v>
      </c>
      <c r="G76" s="140" t="s">
        <v>1201</v>
      </c>
      <c r="H76" s="126">
        <v>15000000</v>
      </c>
    </row>
    <row r="77" spans="2:8" x14ac:dyDescent="0.3">
      <c r="B77" s="138" t="s">
        <v>1060</v>
      </c>
      <c r="C77" s="140" t="s">
        <v>534</v>
      </c>
      <c r="D77" s="140">
        <v>2015</v>
      </c>
      <c r="E77" s="140" t="s">
        <v>912</v>
      </c>
      <c r="F77" s="140" t="s">
        <v>1052</v>
      </c>
      <c r="G77" s="140" t="s">
        <v>1201</v>
      </c>
      <c r="H77" s="126">
        <v>8000000</v>
      </c>
    </row>
    <row r="78" spans="2:8" x14ac:dyDescent="0.3">
      <c r="B78" s="138" t="s">
        <v>1058</v>
      </c>
      <c r="C78" s="140" t="s">
        <v>1059</v>
      </c>
      <c r="D78" s="140">
        <v>2015</v>
      </c>
      <c r="E78" s="140" t="s">
        <v>854</v>
      </c>
      <c r="F78" s="140" t="s">
        <v>1052</v>
      </c>
      <c r="G78" s="140" t="s">
        <v>1201</v>
      </c>
      <c r="H78" s="126">
        <v>8000000</v>
      </c>
    </row>
    <row r="79" spans="2:8" x14ac:dyDescent="0.3">
      <c r="B79" s="138" t="s">
        <v>1050</v>
      </c>
      <c r="C79" s="140" t="s">
        <v>1051</v>
      </c>
      <c r="D79" s="140">
        <v>2015</v>
      </c>
      <c r="E79" s="140" t="s">
        <v>912</v>
      </c>
      <c r="F79" s="140" t="s">
        <v>1052</v>
      </c>
      <c r="G79" s="140" t="s">
        <v>1201</v>
      </c>
      <c r="H79" s="126">
        <v>15000000</v>
      </c>
    </row>
    <row r="80" spans="2:8" x14ac:dyDescent="0.3">
      <c r="B80" s="138" t="s">
        <v>1238</v>
      </c>
      <c r="C80" s="140" t="s">
        <v>1238</v>
      </c>
      <c r="D80" s="140">
        <v>2015</v>
      </c>
      <c r="E80" s="140" t="s">
        <v>1148</v>
      </c>
      <c r="F80" s="140" t="s">
        <v>1052</v>
      </c>
      <c r="G80" s="140" t="s">
        <v>1201</v>
      </c>
      <c r="H80" s="126">
        <v>8000000</v>
      </c>
    </row>
    <row r="81" spans="2:8" x14ac:dyDescent="0.3">
      <c r="B81" s="138" t="s">
        <v>675</v>
      </c>
      <c r="C81" s="140" t="s">
        <v>675</v>
      </c>
      <c r="D81" s="140">
        <v>2015</v>
      </c>
      <c r="E81" s="140" t="s">
        <v>1149</v>
      </c>
      <c r="F81" s="140" t="s">
        <v>1052</v>
      </c>
      <c r="G81" s="140" t="s">
        <v>1201</v>
      </c>
      <c r="H81" s="126">
        <v>8000000</v>
      </c>
    </row>
    <row r="82" spans="2:8" x14ac:dyDescent="0.3">
      <c r="B82" s="138" t="s">
        <v>1237</v>
      </c>
      <c r="C82" s="140" t="s">
        <v>1237</v>
      </c>
      <c r="D82" s="140">
        <v>2015</v>
      </c>
      <c r="E82" s="140" t="s">
        <v>1145</v>
      </c>
      <c r="F82" s="140" t="s">
        <v>1052</v>
      </c>
      <c r="G82" s="140" t="s">
        <v>1201</v>
      </c>
      <c r="H82" s="126">
        <v>8000000</v>
      </c>
    </row>
    <row r="83" spans="2:8" x14ac:dyDescent="0.3">
      <c r="B83" s="138" t="s">
        <v>1236</v>
      </c>
      <c r="C83" s="140" t="s">
        <v>1236</v>
      </c>
      <c r="D83" s="140">
        <v>2015</v>
      </c>
      <c r="E83" s="140" t="s">
        <v>1151</v>
      </c>
      <c r="F83" s="140" t="s">
        <v>1052</v>
      </c>
      <c r="G83" s="140" t="s">
        <v>1201</v>
      </c>
      <c r="H83" s="126">
        <v>8000000</v>
      </c>
    </row>
    <row r="84" spans="2:8" x14ac:dyDescent="0.3">
      <c r="B84" s="138" t="s">
        <v>673</v>
      </c>
      <c r="C84" s="140" t="s">
        <v>673</v>
      </c>
      <c r="D84" s="140">
        <v>2015</v>
      </c>
      <c r="E84" s="140" t="s">
        <v>1152</v>
      </c>
      <c r="F84" s="140" t="s">
        <v>1052</v>
      </c>
      <c r="G84" s="140" t="s">
        <v>1201</v>
      </c>
      <c r="H84" s="126">
        <v>8000000</v>
      </c>
    </row>
    <row r="85" spans="2:8" x14ac:dyDescent="0.3">
      <c r="B85" s="138" t="s">
        <v>1235</v>
      </c>
      <c r="C85" s="140" t="s">
        <v>1235</v>
      </c>
      <c r="D85" s="140">
        <v>2015</v>
      </c>
      <c r="E85" s="140" t="s">
        <v>1153</v>
      </c>
      <c r="F85" s="140" t="s">
        <v>1052</v>
      </c>
      <c r="G85" s="140" t="s">
        <v>1201</v>
      </c>
      <c r="H85" s="126">
        <v>8000000</v>
      </c>
    </row>
    <row r="86" spans="2:8" x14ac:dyDescent="0.3">
      <c r="B86" s="138" t="s">
        <v>1173</v>
      </c>
      <c r="C86" s="140" t="s">
        <v>1173</v>
      </c>
      <c r="D86" s="140">
        <v>2015</v>
      </c>
      <c r="E86" s="140" t="s">
        <v>1144</v>
      </c>
      <c r="F86" s="140" t="s">
        <v>1052</v>
      </c>
      <c r="G86" s="140" t="s">
        <v>1201</v>
      </c>
      <c r="H86" s="126">
        <v>8000000</v>
      </c>
    </row>
    <row r="87" spans="2:8" x14ac:dyDescent="0.3">
      <c r="B87" s="138" t="s">
        <v>1234</v>
      </c>
      <c r="C87" s="140" t="s">
        <v>1234</v>
      </c>
      <c r="D87" s="140">
        <v>2015</v>
      </c>
      <c r="E87" s="140" t="s">
        <v>1147</v>
      </c>
      <c r="F87" s="140" t="s">
        <v>1052</v>
      </c>
      <c r="G87" s="140" t="s">
        <v>1201</v>
      </c>
      <c r="H87" s="126">
        <v>8000000</v>
      </c>
    </row>
    <row r="88" spans="2:8" x14ac:dyDescent="0.3">
      <c r="B88" s="138" t="s">
        <v>1233</v>
      </c>
      <c r="C88" s="140" t="s">
        <v>1233</v>
      </c>
      <c r="D88" s="140">
        <v>2015</v>
      </c>
      <c r="E88" s="140" t="s">
        <v>1154</v>
      </c>
      <c r="F88" s="140" t="s">
        <v>1052</v>
      </c>
      <c r="G88" s="140" t="s">
        <v>1201</v>
      </c>
      <c r="H88" s="126">
        <v>8000000</v>
      </c>
    </row>
    <row r="89" spans="2:8" x14ac:dyDescent="0.3">
      <c r="B89" s="138" t="s">
        <v>1232</v>
      </c>
      <c r="C89" s="140" t="s">
        <v>1232</v>
      </c>
      <c r="D89" s="140">
        <v>2015</v>
      </c>
      <c r="E89" s="140" t="s">
        <v>1155</v>
      </c>
      <c r="F89" s="140" t="s">
        <v>1052</v>
      </c>
      <c r="G89" s="140" t="s">
        <v>1201</v>
      </c>
      <c r="H89" s="126">
        <v>8000000</v>
      </c>
    </row>
    <row r="90" spans="2:8" x14ac:dyDescent="0.3">
      <c r="B90" s="138" t="s">
        <v>1174</v>
      </c>
      <c r="C90" s="140" t="s">
        <v>1174</v>
      </c>
      <c r="D90" s="140">
        <v>2015</v>
      </c>
      <c r="E90" s="140" t="s">
        <v>1146</v>
      </c>
      <c r="F90" s="140" t="s">
        <v>1052</v>
      </c>
      <c r="G90" s="140" t="s">
        <v>1201</v>
      </c>
      <c r="H90" s="126">
        <v>8000000</v>
      </c>
    </row>
    <row r="91" spans="2:8" x14ac:dyDescent="0.3">
      <c r="B91" s="138" t="s">
        <v>1231</v>
      </c>
      <c r="C91" s="140" t="s">
        <v>1231</v>
      </c>
      <c r="D91" s="140">
        <v>2015</v>
      </c>
      <c r="E91" s="140" t="s">
        <v>1147</v>
      </c>
      <c r="F91" s="140" t="s">
        <v>1052</v>
      </c>
      <c r="G91" s="140" t="s">
        <v>1201</v>
      </c>
      <c r="H91" s="126">
        <v>8000000</v>
      </c>
    </row>
    <row r="92" spans="2:8" x14ac:dyDescent="0.3">
      <c r="B92" s="138" t="s">
        <v>1143</v>
      </c>
      <c r="C92" s="140" t="s">
        <v>1143</v>
      </c>
      <c r="D92" s="140">
        <v>2015</v>
      </c>
      <c r="E92" s="140" t="s">
        <v>1144</v>
      </c>
      <c r="F92" s="140" t="s">
        <v>1052</v>
      </c>
      <c r="G92" s="140" t="s">
        <v>1201</v>
      </c>
      <c r="H92" s="126">
        <v>8000000</v>
      </c>
    </row>
    <row r="93" spans="2:8" x14ac:dyDescent="0.3">
      <c r="B93" s="138" t="s">
        <v>1172</v>
      </c>
      <c r="C93" s="140" t="s">
        <v>1172</v>
      </c>
      <c r="D93" s="140">
        <v>2015</v>
      </c>
      <c r="E93" s="140" t="s">
        <v>1144</v>
      </c>
      <c r="F93" s="140" t="s">
        <v>1052</v>
      </c>
      <c r="G93" s="140" t="s">
        <v>1201</v>
      </c>
      <c r="H93" s="126">
        <v>8000000</v>
      </c>
    </row>
    <row r="94" spans="2:8" x14ac:dyDescent="0.3">
      <c r="B94" s="138" t="s">
        <v>1230</v>
      </c>
      <c r="C94" s="140" t="s">
        <v>1230</v>
      </c>
      <c r="D94" s="140">
        <v>2015</v>
      </c>
      <c r="E94" s="140" t="s">
        <v>1144</v>
      </c>
      <c r="F94" s="140" t="s">
        <v>1052</v>
      </c>
      <c r="G94" s="140" t="s">
        <v>1201</v>
      </c>
      <c r="H94" s="126">
        <v>8000000</v>
      </c>
    </row>
    <row r="95" spans="2:8" x14ac:dyDescent="0.3">
      <c r="B95" s="138" t="s">
        <v>1229</v>
      </c>
      <c r="C95" s="140" t="s">
        <v>1229</v>
      </c>
      <c r="D95" s="140">
        <v>2015</v>
      </c>
      <c r="E95" s="140" t="s">
        <v>1150</v>
      </c>
      <c r="F95" s="140" t="s">
        <v>1052</v>
      </c>
      <c r="G95" s="140" t="s">
        <v>1201</v>
      </c>
      <c r="H95" s="126">
        <v>8000000</v>
      </c>
    </row>
    <row r="96" spans="2:8" x14ac:dyDescent="0.3">
      <c r="B96" s="138" t="s">
        <v>862</v>
      </c>
      <c r="C96" s="140" t="s">
        <v>863</v>
      </c>
      <c r="D96" s="140">
        <v>2016</v>
      </c>
      <c r="E96" s="140" t="s">
        <v>873</v>
      </c>
      <c r="F96" s="140" t="s">
        <v>763</v>
      </c>
      <c r="G96" s="140" t="s">
        <v>1207</v>
      </c>
      <c r="H96" s="126">
        <v>2000000</v>
      </c>
    </row>
    <row r="97" spans="2:8" x14ac:dyDescent="0.3">
      <c r="B97" s="138" t="s">
        <v>1063</v>
      </c>
      <c r="C97" s="140" t="s">
        <v>452</v>
      </c>
      <c r="D97" s="140">
        <v>2016</v>
      </c>
      <c r="E97" s="140" t="s">
        <v>1133</v>
      </c>
      <c r="F97" s="140" t="s">
        <v>763</v>
      </c>
      <c r="G97" s="140" t="s">
        <v>1207</v>
      </c>
      <c r="H97" s="126">
        <v>1500000</v>
      </c>
    </row>
    <row r="98" spans="2:8" x14ac:dyDescent="0.3">
      <c r="B98" s="138" t="s">
        <v>1063</v>
      </c>
      <c r="C98" s="140" t="s">
        <v>452</v>
      </c>
      <c r="D98" s="140">
        <v>2016</v>
      </c>
      <c r="E98" s="140" t="s">
        <v>1134</v>
      </c>
      <c r="F98" s="140" t="s">
        <v>763</v>
      </c>
      <c r="G98" s="140" t="s">
        <v>1207</v>
      </c>
      <c r="H98" s="126">
        <v>1500000</v>
      </c>
    </row>
    <row r="99" spans="2:8" x14ac:dyDescent="0.3">
      <c r="B99" s="138" t="s">
        <v>1063</v>
      </c>
      <c r="C99" s="140" t="s">
        <v>452</v>
      </c>
      <c r="D99" s="140">
        <v>2016</v>
      </c>
      <c r="E99" s="140" t="s">
        <v>1135</v>
      </c>
      <c r="F99" s="140" t="s">
        <v>763</v>
      </c>
      <c r="G99" s="140" t="s">
        <v>1207</v>
      </c>
      <c r="H99" s="126">
        <v>1500000</v>
      </c>
    </row>
    <row r="100" spans="2:8" x14ac:dyDescent="0.3">
      <c r="B100" s="138" t="s">
        <v>1063</v>
      </c>
      <c r="C100" s="140" t="s">
        <v>452</v>
      </c>
      <c r="D100" s="140">
        <v>2016</v>
      </c>
      <c r="E100" s="140" t="s">
        <v>1136</v>
      </c>
      <c r="F100" s="140" t="s">
        <v>763</v>
      </c>
      <c r="G100" s="140" t="s">
        <v>1207</v>
      </c>
      <c r="H100" s="126">
        <v>1500000</v>
      </c>
    </row>
    <row r="101" spans="2:8" x14ac:dyDescent="0.3">
      <c r="B101" s="138" t="s">
        <v>1063</v>
      </c>
      <c r="C101" s="140" t="s">
        <v>452</v>
      </c>
      <c r="D101" s="140">
        <v>2016</v>
      </c>
      <c r="E101" s="140" t="s">
        <v>1138</v>
      </c>
      <c r="F101" s="140" t="s">
        <v>763</v>
      </c>
      <c r="G101" s="140" t="s">
        <v>1207</v>
      </c>
      <c r="H101" s="126">
        <v>2000000</v>
      </c>
    </row>
    <row r="102" spans="2:8" x14ac:dyDescent="0.3">
      <c r="B102" s="138" t="s">
        <v>1063</v>
      </c>
      <c r="C102" s="140" t="s">
        <v>452</v>
      </c>
      <c r="D102" s="140">
        <v>2016</v>
      </c>
      <c r="E102" s="140" t="s">
        <v>1139</v>
      </c>
      <c r="F102" s="140" t="s">
        <v>763</v>
      </c>
      <c r="G102" s="140" t="s">
        <v>1207</v>
      </c>
      <c r="H102" s="126">
        <v>2000000</v>
      </c>
    </row>
    <row r="103" spans="2:8" x14ac:dyDescent="0.3">
      <c r="B103" s="138" t="s">
        <v>862</v>
      </c>
      <c r="C103" s="140" t="s">
        <v>863</v>
      </c>
      <c r="D103" s="140">
        <v>2016</v>
      </c>
      <c r="E103" s="140" t="s">
        <v>864</v>
      </c>
      <c r="F103" s="140" t="s">
        <v>759</v>
      </c>
      <c r="G103" s="140" t="s">
        <v>1203</v>
      </c>
      <c r="H103" s="126">
        <v>1000000</v>
      </c>
    </row>
    <row r="104" spans="2:8" x14ac:dyDescent="0.3">
      <c r="B104" s="138" t="s">
        <v>862</v>
      </c>
      <c r="C104" s="140" t="s">
        <v>863</v>
      </c>
      <c r="D104" s="140">
        <v>2016</v>
      </c>
      <c r="E104" s="140" t="s">
        <v>865</v>
      </c>
      <c r="F104" s="140" t="s">
        <v>759</v>
      </c>
      <c r="G104" s="140" t="s">
        <v>1203</v>
      </c>
      <c r="H104" s="126">
        <v>1000000</v>
      </c>
    </row>
    <row r="105" spans="2:8" x14ac:dyDescent="0.3">
      <c r="B105" s="138" t="s">
        <v>862</v>
      </c>
      <c r="C105" s="140" t="s">
        <v>863</v>
      </c>
      <c r="D105" s="140">
        <v>2016</v>
      </c>
      <c r="E105" s="140" t="s">
        <v>866</v>
      </c>
      <c r="F105" s="140" t="s">
        <v>759</v>
      </c>
      <c r="G105" s="140" t="s">
        <v>1203</v>
      </c>
      <c r="H105" s="126">
        <v>1000000</v>
      </c>
    </row>
    <row r="106" spans="2:8" x14ac:dyDescent="0.3">
      <c r="B106" s="138" t="s">
        <v>862</v>
      </c>
      <c r="C106" s="140" t="s">
        <v>863</v>
      </c>
      <c r="D106" s="140">
        <v>2016</v>
      </c>
      <c r="E106" s="140" t="s">
        <v>867</v>
      </c>
      <c r="F106" s="140" t="s">
        <v>759</v>
      </c>
      <c r="G106" s="140" t="s">
        <v>1203</v>
      </c>
      <c r="H106" s="126">
        <v>2000000</v>
      </c>
    </row>
    <row r="107" spans="2:8" x14ac:dyDescent="0.3">
      <c r="B107" s="138" t="s">
        <v>862</v>
      </c>
      <c r="C107" s="140" t="s">
        <v>863</v>
      </c>
      <c r="D107" s="140">
        <v>2016</v>
      </c>
      <c r="E107" s="140" t="s">
        <v>868</v>
      </c>
      <c r="F107" s="140" t="s">
        <v>759</v>
      </c>
      <c r="G107" s="140" t="s">
        <v>1203</v>
      </c>
      <c r="H107" s="126">
        <v>1000000</v>
      </c>
    </row>
    <row r="108" spans="2:8" x14ac:dyDescent="0.3">
      <c r="B108" s="138" t="s">
        <v>862</v>
      </c>
      <c r="C108" s="140" t="s">
        <v>863</v>
      </c>
      <c r="D108" s="140">
        <v>2016</v>
      </c>
      <c r="E108" s="140" t="s">
        <v>869</v>
      </c>
      <c r="F108" s="140" t="s">
        <v>759</v>
      </c>
      <c r="G108" s="140" t="s">
        <v>1203</v>
      </c>
      <c r="H108" s="126">
        <v>1000000</v>
      </c>
    </row>
    <row r="109" spans="2:8" x14ac:dyDescent="0.3">
      <c r="B109" s="138" t="s">
        <v>862</v>
      </c>
      <c r="C109" s="140" t="s">
        <v>863</v>
      </c>
      <c r="D109" s="140">
        <v>2016</v>
      </c>
      <c r="E109" s="140" t="s">
        <v>870</v>
      </c>
      <c r="F109" s="140" t="s">
        <v>759</v>
      </c>
      <c r="G109" s="140" t="s">
        <v>1203</v>
      </c>
      <c r="H109" s="126">
        <v>1000000</v>
      </c>
    </row>
    <row r="110" spans="2:8" x14ac:dyDescent="0.3">
      <c r="B110" s="138" t="s">
        <v>862</v>
      </c>
      <c r="C110" s="140" t="s">
        <v>863</v>
      </c>
      <c r="D110" s="140">
        <v>2016</v>
      </c>
      <c r="E110" s="140" t="s">
        <v>871</v>
      </c>
      <c r="F110" s="140" t="s">
        <v>759</v>
      </c>
      <c r="G110" s="140" t="s">
        <v>1203</v>
      </c>
      <c r="H110" s="126">
        <v>1000000</v>
      </c>
    </row>
    <row r="111" spans="2:8" x14ac:dyDescent="0.3">
      <c r="B111" s="138" t="s">
        <v>862</v>
      </c>
      <c r="C111" s="140" t="s">
        <v>863</v>
      </c>
      <c r="D111" s="140">
        <v>2016</v>
      </c>
      <c r="E111" s="140" t="s">
        <v>872</v>
      </c>
      <c r="F111" s="140" t="s">
        <v>759</v>
      </c>
      <c r="G111" s="140" t="s">
        <v>1203</v>
      </c>
      <c r="H111" s="126">
        <v>1000000</v>
      </c>
    </row>
    <row r="112" spans="2:8" x14ac:dyDescent="0.3">
      <c r="B112" s="138" t="s">
        <v>1063</v>
      </c>
      <c r="C112" s="140" t="s">
        <v>452</v>
      </c>
      <c r="D112" s="140">
        <v>2016</v>
      </c>
      <c r="E112" s="140" t="s">
        <v>1097</v>
      </c>
      <c r="F112" s="140" t="s">
        <v>759</v>
      </c>
      <c r="G112" s="140" t="s">
        <v>1203</v>
      </c>
      <c r="H112" s="126">
        <v>2000000</v>
      </c>
    </row>
    <row r="113" spans="2:8" x14ac:dyDescent="0.3">
      <c r="B113" s="138" t="s">
        <v>1063</v>
      </c>
      <c r="C113" s="140" t="s">
        <v>452</v>
      </c>
      <c r="D113" s="140">
        <v>2016</v>
      </c>
      <c r="E113" s="140" t="s">
        <v>1098</v>
      </c>
      <c r="F113" s="140" t="s">
        <v>759</v>
      </c>
      <c r="G113" s="140" t="s">
        <v>1203</v>
      </c>
      <c r="H113" s="126">
        <v>2000000</v>
      </c>
    </row>
    <row r="114" spans="2:8" x14ac:dyDescent="0.3">
      <c r="B114" s="138" t="s">
        <v>1063</v>
      </c>
      <c r="C114" s="140" t="s">
        <v>452</v>
      </c>
      <c r="D114" s="140">
        <v>2016</v>
      </c>
      <c r="E114" s="140" t="s">
        <v>1099</v>
      </c>
      <c r="F114" s="140" t="s">
        <v>759</v>
      </c>
      <c r="G114" s="140" t="s">
        <v>1203</v>
      </c>
      <c r="H114" s="126">
        <v>1500000</v>
      </c>
    </row>
    <row r="115" spans="2:8" x14ac:dyDescent="0.3">
      <c r="B115" s="138" t="s">
        <v>1063</v>
      </c>
      <c r="C115" s="140" t="s">
        <v>452</v>
      </c>
      <c r="D115" s="140">
        <v>2016</v>
      </c>
      <c r="E115" s="140" t="s">
        <v>1100</v>
      </c>
      <c r="F115" s="140" t="s">
        <v>759</v>
      </c>
      <c r="G115" s="140" t="s">
        <v>1203</v>
      </c>
      <c r="H115" s="126">
        <v>1500000</v>
      </c>
    </row>
    <row r="116" spans="2:8" x14ac:dyDescent="0.3">
      <c r="B116" s="138" t="s">
        <v>1063</v>
      </c>
      <c r="C116" s="140" t="s">
        <v>452</v>
      </c>
      <c r="D116" s="140">
        <v>2016</v>
      </c>
      <c r="E116" s="140" t="s">
        <v>1101</v>
      </c>
      <c r="F116" s="140" t="s">
        <v>759</v>
      </c>
      <c r="G116" s="140" t="s">
        <v>1203</v>
      </c>
      <c r="H116" s="126">
        <v>2000000</v>
      </c>
    </row>
    <row r="117" spans="2:8" x14ac:dyDescent="0.3">
      <c r="B117" s="138" t="s">
        <v>1063</v>
      </c>
      <c r="C117" s="140" t="s">
        <v>452</v>
      </c>
      <c r="D117" s="140">
        <v>2016</v>
      </c>
      <c r="E117" s="140" t="s">
        <v>1102</v>
      </c>
      <c r="F117" s="140" t="s">
        <v>759</v>
      </c>
      <c r="G117" s="140" t="s">
        <v>1203</v>
      </c>
      <c r="H117" s="126">
        <v>1500000</v>
      </c>
    </row>
    <row r="118" spans="2:8" x14ac:dyDescent="0.3">
      <c r="B118" s="138" t="s">
        <v>1063</v>
      </c>
      <c r="C118" s="140" t="s">
        <v>452</v>
      </c>
      <c r="D118" s="140">
        <v>2016</v>
      </c>
      <c r="E118" s="140" t="s">
        <v>1103</v>
      </c>
      <c r="F118" s="140" t="s">
        <v>759</v>
      </c>
      <c r="G118" s="140" t="s">
        <v>1203</v>
      </c>
      <c r="H118" s="126">
        <v>1500000</v>
      </c>
    </row>
    <row r="119" spans="2:8" x14ac:dyDescent="0.3">
      <c r="B119" s="138" t="s">
        <v>1063</v>
      </c>
      <c r="C119" s="140" t="s">
        <v>452</v>
      </c>
      <c r="D119" s="140">
        <v>2016</v>
      </c>
      <c r="E119" s="140" t="s">
        <v>1104</v>
      </c>
      <c r="F119" s="140" t="s">
        <v>759</v>
      </c>
      <c r="G119" s="140" t="s">
        <v>1203</v>
      </c>
      <c r="H119" s="126">
        <v>1500000</v>
      </c>
    </row>
    <row r="120" spans="2:8" x14ac:dyDescent="0.3">
      <c r="B120" s="138" t="s">
        <v>1063</v>
      </c>
      <c r="C120" s="140" t="s">
        <v>452</v>
      </c>
      <c r="D120" s="140">
        <v>2016</v>
      </c>
      <c r="E120" s="140" t="s">
        <v>1105</v>
      </c>
      <c r="F120" s="140" t="s">
        <v>759</v>
      </c>
      <c r="G120" s="140" t="s">
        <v>1203</v>
      </c>
      <c r="H120" s="126">
        <v>1500000</v>
      </c>
    </row>
    <row r="121" spans="2:8" x14ac:dyDescent="0.3">
      <c r="B121" s="138" t="s">
        <v>1063</v>
      </c>
      <c r="C121" s="140" t="s">
        <v>452</v>
      </c>
      <c r="D121" s="140">
        <v>2016</v>
      </c>
      <c r="E121" s="140" t="s">
        <v>1106</v>
      </c>
      <c r="F121" s="140" t="s">
        <v>759</v>
      </c>
      <c r="G121" s="140" t="s">
        <v>1203</v>
      </c>
      <c r="H121" s="126">
        <v>1500000</v>
      </c>
    </row>
    <row r="122" spans="2:8" x14ac:dyDescent="0.3">
      <c r="B122" s="138" t="s">
        <v>1063</v>
      </c>
      <c r="C122" s="140" t="s">
        <v>452</v>
      </c>
      <c r="D122" s="140">
        <v>2016</v>
      </c>
      <c r="E122" s="140" t="s">
        <v>1107</v>
      </c>
      <c r="F122" s="140" t="s">
        <v>759</v>
      </c>
      <c r="G122" s="140" t="s">
        <v>1203</v>
      </c>
      <c r="H122" s="126">
        <v>1500000</v>
      </c>
    </row>
    <row r="123" spans="2:8" x14ac:dyDescent="0.3">
      <c r="B123" s="138" t="s">
        <v>1063</v>
      </c>
      <c r="C123" s="140" t="s">
        <v>452</v>
      </c>
      <c r="D123" s="140">
        <v>2016</v>
      </c>
      <c r="E123" s="140" t="s">
        <v>1108</v>
      </c>
      <c r="F123" s="140" t="s">
        <v>759</v>
      </c>
      <c r="G123" s="140" t="s">
        <v>1203</v>
      </c>
      <c r="H123" s="126">
        <v>1500000</v>
      </c>
    </row>
    <row r="124" spans="2:8" x14ac:dyDescent="0.3">
      <c r="B124" s="138" t="s">
        <v>1063</v>
      </c>
      <c r="C124" s="140" t="s">
        <v>452</v>
      </c>
      <c r="D124" s="140">
        <v>2016</v>
      </c>
      <c r="E124" s="140" t="s">
        <v>1109</v>
      </c>
      <c r="F124" s="140" t="s">
        <v>759</v>
      </c>
      <c r="G124" s="140" t="s">
        <v>1203</v>
      </c>
      <c r="H124" s="126">
        <v>1500000</v>
      </c>
    </row>
    <row r="125" spans="2:8" x14ac:dyDescent="0.3">
      <c r="B125" s="138" t="s">
        <v>1063</v>
      </c>
      <c r="C125" s="140" t="s">
        <v>452</v>
      </c>
      <c r="D125" s="140">
        <v>2016</v>
      </c>
      <c r="E125" s="140" t="s">
        <v>1110</v>
      </c>
      <c r="F125" s="140" t="s">
        <v>759</v>
      </c>
      <c r="G125" s="140" t="s">
        <v>1203</v>
      </c>
      <c r="H125" s="126">
        <v>1500000</v>
      </c>
    </row>
    <row r="126" spans="2:8" x14ac:dyDescent="0.3">
      <c r="B126" s="138" t="s">
        <v>1063</v>
      </c>
      <c r="C126" s="140" t="s">
        <v>452</v>
      </c>
      <c r="D126" s="140">
        <v>2016</v>
      </c>
      <c r="E126" s="140" t="s">
        <v>1111</v>
      </c>
      <c r="F126" s="140" t="s">
        <v>759</v>
      </c>
      <c r="G126" s="140" t="s">
        <v>1203</v>
      </c>
      <c r="H126" s="126">
        <v>2000000</v>
      </c>
    </row>
    <row r="127" spans="2:8" x14ac:dyDescent="0.3">
      <c r="B127" s="138" t="s">
        <v>1063</v>
      </c>
      <c r="C127" s="140" t="s">
        <v>452</v>
      </c>
      <c r="D127" s="140">
        <v>2016</v>
      </c>
      <c r="E127" s="140" t="s">
        <v>1112</v>
      </c>
      <c r="F127" s="140" t="s">
        <v>759</v>
      </c>
      <c r="G127" s="140" t="s">
        <v>1203</v>
      </c>
      <c r="H127" s="126">
        <v>2000000</v>
      </c>
    </row>
    <row r="128" spans="2:8" x14ac:dyDescent="0.3">
      <c r="B128" s="138" t="s">
        <v>1063</v>
      </c>
      <c r="C128" s="140" t="s">
        <v>452</v>
      </c>
      <c r="D128" s="140">
        <v>2016</v>
      </c>
      <c r="E128" s="140" t="s">
        <v>1113</v>
      </c>
      <c r="F128" s="140" t="s">
        <v>759</v>
      </c>
      <c r="G128" s="140" t="s">
        <v>1203</v>
      </c>
      <c r="H128" s="126">
        <v>2000000</v>
      </c>
    </row>
    <row r="129" spans="2:8" x14ac:dyDescent="0.3">
      <c r="B129" s="138" t="s">
        <v>1063</v>
      </c>
      <c r="C129" s="140" t="s">
        <v>452</v>
      </c>
      <c r="D129" s="140">
        <v>2016</v>
      </c>
      <c r="E129" s="140" t="s">
        <v>1114</v>
      </c>
      <c r="F129" s="140" t="s">
        <v>759</v>
      </c>
      <c r="G129" s="140" t="s">
        <v>1203</v>
      </c>
      <c r="H129" s="126">
        <v>1500000</v>
      </c>
    </row>
    <row r="130" spans="2:8" x14ac:dyDescent="0.3">
      <c r="B130" s="138" t="s">
        <v>1063</v>
      </c>
      <c r="C130" s="140" t="s">
        <v>452</v>
      </c>
      <c r="D130" s="140">
        <v>2016</v>
      </c>
      <c r="E130" s="140" t="s">
        <v>1115</v>
      </c>
      <c r="F130" s="140" t="s">
        <v>759</v>
      </c>
      <c r="G130" s="140" t="s">
        <v>1203</v>
      </c>
      <c r="H130" s="126">
        <v>1500000</v>
      </c>
    </row>
    <row r="131" spans="2:8" x14ac:dyDescent="0.3">
      <c r="B131" s="138" t="s">
        <v>1063</v>
      </c>
      <c r="C131" s="140" t="s">
        <v>452</v>
      </c>
      <c r="D131" s="140">
        <v>2016</v>
      </c>
      <c r="E131" s="140" t="s">
        <v>1116</v>
      </c>
      <c r="F131" s="140" t="s">
        <v>759</v>
      </c>
      <c r="G131" s="140" t="s">
        <v>1203</v>
      </c>
      <c r="H131" s="126">
        <v>1500000</v>
      </c>
    </row>
    <row r="132" spans="2:8" x14ac:dyDescent="0.3">
      <c r="B132" s="138" t="s">
        <v>1063</v>
      </c>
      <c r="C132" s="140" t="s">
        <v>452</v>
      </c>
      <c r="D132" s="140">
        <v>2016</v>
      </c>
      <c r="E132" s="140" t="s">
        <v>1117</v>
      </c>
      <c r="F132" s="140" t="s">
        <v>759</v>
      </c>
      <c r="G132" s="140" t="s">
        <v>1203</v>
      </c>
      <c r="H132" s="126">
        <v>2000000</v>
      </c>
    </row>
    <row r="133" spans="2:8" x14ac:dyDescent="0.3">
      <c r="B133" s="138" t="s">
        <v>1063</v>
      </c>
      <c r="C133" s="140" t="s">
        <v>452</v>
      </c>
      <c r="D133" s="140">
        <v>2016</v>
      </c>
      <c r="E133" s="140" t="s">
        <v>1118</v>
      </c>
      <c r="F133" s="140" t="s">
        <v>759</v>
      </c>
      <c r="G133" s="140" t="s">
        <v>1203</v>
      </c>
      <c r="H133" s="126">
        <v>1500000</v>
      </c>
    </row>
    <row r="134" spans="2:8" x14ac:dyDescent="0.3">
      <c r="B134" s="138" t="s">
        <v>1063</v>
      </c>
      <c r="C134" s="140" t="s">
        <v>452</v>
      </c>
      <c r="D134" s="140">
        <v>2016</v>
      </c>
      <c r="E134" s="140" t="s">
        <v>1121</v>
      </c>
      <c r="F134" s="140" t="s">
        <v>759</v>
      </c>
      <c r="G134" s="140" t="s">
        <v>1203</v>
      </c>
      <c r="H134" s="126">
        <v>1500000</v>
      </c>
    </row>
    <row r="135" spans="2:8" x14ac:dyDescent="0.3">
      <c r="B135" s="138" t="s">
        <v>1063</v>
      </c>
      <c r="C135" s="140" t="s">
        <v>452</v>
      </c>
      <c r="D135" s="140">
        <v>2016</v>
      </c>
      <c r="E135" s="140" t="s">
        <v>1122</v>
      </c>
      <c r="F135" s="140" t="s">
        <v>759</v>
      </c>
      <c r="G135" s="140" t="s">
        <v>1203</v>
      </c>
      <c r="H135" s="126">
        <v>1500000</v>
      </c>
    </row>
    <row r="136" spans="2:8" x14ac:dyDescent="0.3">
      <c r="B136" s="138" t="s">
        <v>1063</v>
      </c>
      <c r="C136" s="140" t="s">
        <v>452</v>
      </c>
      <c r="D136" s="140">
        <v>2016</v>
      </c>
      <c r="E136" s="140" t="s">
        <v>1123</v>
      </c>
      <c r="F136" s="140" t="s">
        <v>759</v>
      </c>
      <c r="G136" s="140" t="s">
        <v>1203</v>
      </c>
      <c r="H136" s="126">
        <v>1500000</v>
      </c>
    </row>
    <row r="137" spans="2:8" x14ac:dyDescent="0.3">
      <c r="B137" s="138" t="s">
        <v>1063</v>
      </c>
      <c r="C137" s="140" t="s">
        <v>452</v>
      </c>
      <c r="D137" s="140">
        <v>2016</v>
      </c>
      <c r="E137" s="140" t="s">
        <v>1128</v>
      </c>
      <c r="F137" s="140" t="s">
        <v>759</v>
      </c>
      <c r="G137" s="140" t="s">
        <v>1203</v>
      </c>
      <c r="H137" s="126">
        <v>2000000</v>
      </c>
    </row>
    <row r="138" spans="2:8" x14ac:dyDescent="0.3">
      <c r="B138" s="138" t="s">
        <v>1063</v>
      </c>
      <c r="C138" s="140" t="s">
        <v>452</v>
      </c>
      <c r="D138" s="140">
        <v>2016</v>
      </c>
      <c r="E138" s="140" t="s">
        <v>1129</v>
      </c>
      <c r="F138" s="140" t="s">
        <v>759</v>
      </c>
      <c r="G138" s="140" t="s">
        <v>1203</v>
      </c>
      <c r="H138" s="126">
        <v>2000000</v>
      </c>
    </row>
    <row r="139" spans="2:8" x14ac:dyDescent="0.3">
      <c r="B139" s="138" t="s">
        <v>1063</v>
      </c>
      <c r="C139" s="140" t="s">
        <v>452</v>
      </c>
      <c r="D139" s="140">
        <v>2016</v>
      </c>
      <c r="E139" s="140" t="s">
        <v>1130</v>
      </c>
      <c r="F139" s="140" t="s">
        <v>759</v>
      </c>
      <c r="G139" s="140" t="s">
        <v>1203</v>
      </c>
      <c r="H139" s="126">
        <v>1500000</v>
      </c>
    </row>
    <row r="140" spans="2:8" x14ac:dyDescent="0.3">
      <c r="B140" s="138" t="s">
        <v>1063</v>
      </c>
      <c r="C140" s="140" t="s">
        <v>452</v>
      </c>
      <c r="D140" s="140">
        <v>2016</v>
      </c>
      <c r="E140" s="140" t="s">
        <v>1131</v>
      </c>
      <c r="F140" s="140" t="s">
        <v>759</v>
      </c>
      <c r="G140" s="140" t="s">
        <v>1203</v>
      </c>
      <c r="H140" s="126">
        <v>2000000</v>
      </c>
    </row>
    <row r="141" spans="2:8" x14ac:dyDescent="0.3">
      <c r="B141" s="138" t="s">
        <v>1063</v>
      </c>
      <c r="C141" s="140" t="s">
        <v>452</v>
      </c>
      <c r="D141" s="140">
        <v>2016</v>
      </c>
      <c r="E141" s="140" t="s">
        <v>1132</v>
      </c>
      <c r="F141" s="140" t="s">
        <v>759</v>
      </c>
      <c r="G141" s="140" t="s">
        <v>1203</v>
      </c>
      <c r="H141" s="126">
        <v>2000000</v>
      </c>
    </row>
    <row r="142" spans="2:8" x14ac:dyDescent="0.3">
      <c r="B142" s="138" t="s">
        <v>1063</v>
      </c>
      <c r="C142" s="140" t="s">
        <v>452</v>
      </c>
      <c r="D142" s="140">
        <v>2016</v>
      </c>
      <c r="E142" s="140" t="s">
        <v>1119</v>
      </c>
      <c r="F142" s="140" t="s">
        <v>797</v>
      </c>
      <c r="G142" s="140" t="s">
        <v>1203</v>
      </c>
      <c r="H142" s="126">
        <v>2000000</v>
      </c>
    </row>
    <row r="143" spans="2:8" x14ac:dyDescent="0.3">
      <c r="B143" s="138" t="s">
        <v>1063</v>
      </c>
      <c r="C143" s="140" t="s">
        <v>452</v>
      </c>
      <c r="D143" s="140">
        <v>2016</v>
      </c>
      <c r="E143" s="140" t="s">
        <v>1120</v>
      </c>
      <c r="F143" s="140" t="s">
        <v>797</v>
      </c>
      <c r="G143" s="140" t="s">
        <v>1203</v>
      </c>
      <c r="H143" s="126">
        <v>2000000</v>
      </c>
    </row>
    <row r="144" spans="2:8" x14ac:dyDescent="0.3">
      <c r="B144" s="138" t="s">
        <v>1063</v>
      </c>
      <c r="C144" s="140" t="s">
        <v>452</v>
      </c>
      <c r="D144" s="140">
        <v>2016</v>
      </c>
      <c r="E144" s="140" t="s">
        <v>1124</v>
      </c>
      <c r="F144" s="140" t="s">
        <v>797</v>
      </c>
      <c r="G144" s="140" t="s">
        <v>1203</v>
      </c>
      <c r="H144" s="126">
        <v>1500000</v>
      </c>
    </row>
    <row r="145" spans="2:8" x14ac:dyDescent="0.3">
      <c r="B145" s="138" t="s">
        <v>1063</v>
      </c>
      <c r="C145" s="140" t="s">
        <v>452</v>
      </c>
      <c r="D145" s="140">
        <v>2016</v>
      </c>
      <c r="E145" s="140" t="s">
        <v>1125</v>
      </c>
      <c r="F145" s="140" t="s">
        <v>797</v>
      </c>
      <c r="G145" s="140" t="s">
        <v>1203</v>
      </c>
      <c r="H145" s="126">
        <v>1500000</v>
      </c>
    </row>
    <row r="146" spans="2:8" x14ac:dyDescent="0.3">
      <c r="B146" s="138" t="s">
        <v>1063</v>
      </c>
      <c r="C146" s="140" t="s">
        <v>452</v>
      </c>
      <c r="D146" s="140">
        <v>2016</v>
      </c>
      <c r="E146" s="140" t="s">
        <v>1126</v>
      </c>
      <c r="F146" s="140" t="s">
        <v>797</v>
      </c>
      <c r="G146" s="140" t="s">
        <v>1203</v>
      </c>
      <c r="H146" s="126">
        <v>1500000</v>
      </c>
    </row>
    <row r="147" spans="2:8" x14ac:dyDescent="0.3">
      <c r="B147" s="138" t="s">
        <v>1063</v>
      </c>
      <c r="C147" s="140" t="s">
        <v>452</v>
      </c>
      <c r="D147" s="140">
        <v>2016</v>
      </c>
      <c r="E147" s="140" t="s">
        <v>1127</v>
      </c>
      <c r="F147" s="140" t="s">
        <v>797</v>
      </c>
      <c r="G147" s="140" t="s">
        <v>1203</v>
      </c>
      <c r="H147" s="126">
        <v>1500000</v>
      </c>
    </row>
    <row r="148" spans="2:8" x14ac:dyDescent="0.3">
      <c r="B148" s="138" t="s">
        <v>1063</v>
      </c>
      <c r="C148" s="140" t="s">
        <v>452</v>
      </c>
      <c r="D148" s="140">
        <v>2016</v>
      </c>
      <c r="E148" s="140" t="s">
        <v>1137</v>
      </c>
      <c r="F148" s="140" t="s">
        <v>797</v>
      </c>
      <c r="G148" s="140" t="s">
        <v>1203</v>
      </c>
      <c r="H148" s="126">
        <v>2000000</v>
      </c>
    </row>
    <row r="149" spans="2:8" x14ac:dyDescent="0.3">
      <c r="B149" s="138" t="s">
        <v>874</v>
      </c>
      <c r="C149" s="140" t="s">
        <v>389</v>
      </c>
      <c r="D149" s="140">
        <v>2017</v>
      </c>
      <c r="E149" s="140" t="s">
        <v>814</v>
      </c>
      <c r="F149" s="140" t="s">
        <v>763</v>
      </c>
      <c r="G149" s="140" t="s">
        <v>1207</v>
      </c>
      <c r="H149" s="126">
        <v>2000000</v>
      </c>
    </row>
    <row r="150" spans="2:8" x14ac:dyDescent="0.3">
      <c r="B150" s="138" t="s">
        <v>874</v>
      </c>
      <c r="C150" s="140" t="s">
        <v>394</v>
      </c>
      <c r="D150" s="140">
        <v>2017</v>
      </c>
      <c r="E150" s="140" t="s">
        <v>814</v>
      </c>
      <c r="F150" s="140" t="s">
        <v>763</v>
      </c>
      <c r="G150" s="140" t="s">
        <v>1207</v>
      </c>
      <c r="H150" s="126">
        <v>2000000</v>
      </c>
    </row>
    <row r="151" spans="2:8" x14ac:dyDescent="0.3">
      <c r="B151" s="138" t="s">
        <v>874</v>
      </c>
      <c r="C151" s="140" t="s">
        <v>879</v>
      </c>
      <c r="D151" s="140">
        <v>2017</v>
      </c>
      <c r="E151" s="140" t="s">
        <v>880</v>
      </c>
      <c r="F151" s="140" t="s">
        <v>763</v>
      </c>
      <c r="G151" s="140" t="s">
        <v>1207</v>
      </c>
      <c r="H151" s="126">
        <v>2000000</v>
      </c>
    </row>
    <row r="152" spans="2:8" x14ac:dyDescent="0.3">
      <c r="B152" s="138" t="s">
        <v>874</v>
      </c>
      <c r="C152" s="140" t="s">
        <v>876</v>
      </c>
      <c r="D152" s="140">
        <v>2017</v>
      </c>
      <c r="E152" s="140" t="s">
        <v>814</v>
      </c>
      <c r="F152" s="140" t="s">
        <v>763</v>
      </c>
      <c r="G152" s="140" t="s">
        <v>1207</v>
      </c>
      <c r="H152" s="126">
        <v>2000000</v>
      </c>
    </row>
    <row r="153" spans="2:8" x14ac:dyDescent="0.3">
      <c r="B153" s="138" t="s">
        <v>874</v>
      </c>
      <c r="C153" s="140" t="s">
        <v>877</v>
      </c>
      <c r="D153" s="140">
        <v>2017</v>
      </c>
      <c r="E153" s="140" t="s">
        <v>814</v>
      </c>
      <c r="F153" s="140" t="s">
        <v>763</v>
      </c>
      <c r="G153" s="140" t="s">
        <v>1207</v>
      </c>
      <c r="H153" s="126">
        <v>2000000</v>
      </c>
    </row>
    <row r="154" spans="2:8" x14ac:dyDescent="0.3">
      <c r="B154" s="138" t="s">
        <v>874</v>
      </c>
      <c r="C154" s="140" t="s">
        <v>439</v>
      </c>
      <c r="D154" s="140">
        <v>2017</v>
      </c>
      <c r="E154" s="140" t="s">
        <v>814</v>
      </c>
      <c r="F154" s="140" t="s">
        <v>763</v>
      </c>
      <c r="G154" s="140" t="s">
        <v>1207</v>
      </c>
      <c r="H154" s="126">
        <v>2000000</v>
      </c>
    </row>
    <row r="155" spans="2:8" x14ac:dyDescent="0.3">
      <c r="B155" s="138" t="s">
        <v>1069</v>
      </c>
      <c r="C155" s="140" t="s">
        <v>1070</v>
      </c>
      <c r="D155" s="140">
        <v>2017</v>
      </c>
      <c r="E155" s="140" t="s">
        <v>1071</v>
      </c>
      <c r="F155" s="140" t="s">
        <v>759</v>
      </c>
      <c r="G155" s="140" t="s">
        <v>1203</v>
      </c>
      <c r="H155" s="126">
        <v>2000000</v>
      </c>
    </row>
    <row r="156" spans="2:8" x14ac:dyDescent="0.3">
      <c r="B156" s="138" t="s">
        <v>1069</v>
      </c>
      <c r="C156" s="140" t="s">
        <v>1070</v>
      </c>
      <c r="D156" s="140">
        <v>2017</v>
      </c>
      <c r="E156" s="140" t="s">
        <v>1072</v>
      </c>
      <c r="F156" s="140" t="s">
        <v>759</v>
      </c>
      <c r="G156" s="140" t="s">
        <v>1203</v>
      </c>
      <c r="H156" s="126">
        <v>1000000</v>
      </c>
    </row>
    <row r="157" spans="2:8" x14ac:dyDescent="0.3">
      <c r="B157" s="138" t="s">
        <v>1069</v>
      </c>
      <c r="C157" s="140" t="s">
        <v>1073</v>
      </c>
      <c r="D157" s="140">
        <v>2017</v>
      </c>
      <c r="E157" s="140" t="s">
        <v>1074</v>
      </c>
      <c r="F157" s="140" t="s">
        <v>759</v>
      </c>
      <c r="G157" s="140" t="s">
        <v>1203</v>
      </c>
      <c r="H157" s="126">
        <v>1000000</v>
      </c>
    </row>
    <row r="158" spans="2:8" x14ac:dyDescent="0.3">
      <c r="B158" s="138" t="s">
        <v>1069</v>
      </c>
      <c r="C158" s="140" t="s">
        <v>1073</v>
      </c>
      <c r="D158" s="140">
        <v>2017</v>
      </c>
      <c r="E158" s="140" t="s">
        <v>1075</v>
      </c>
      <c r="F158" s="140" t="s">
        <v>759</v>
      </c>
      <c r="G158" s="140" t="s">
        <v>1203</v>
      </c>
      <c r="H158" s="126">
        <v>1000000</v>
      </c>
    </row>
    <row r="159" spans="2:8" x14ac:dyDescent="0.3">
      <c r="B159" s="138" t="s">
        <v>1069</v>
      </c>
      <c r="C159" s="140" t="s">
        <v>1073</v>
      </c>
      <c r="D159" s="140">
        <v>2017</v>
      </c>
      <c r="E159" s="140" t="s">
        <v>806</v>
      </c>
      <c r="F159" s="140" t="s">
        <v>759</v>
      </c>
      <c r="G159" s="140" t="s">
        <v>1203</v>
      </c>
      <c r="H159" s="126">
        <v>2000000</v>
      </c>
    </row>
    <row r="160" spans="2:8" x14ac:dyDescent="0.3">
      <c r="B160" s="138" t="s">
        <v>1069</v>
      </c>
      <c r="C160" s="140" t="s">
        <v>1073</v>
      </c>
      <c r="D160" s="140">
        <v>2017</v>
      </c>
      <c r="E160" s="140" t="s">
        <v>1076</v>
      </c>
      <c r="F160" s="140" t="s">
        <v>759</v>
      </c>
      <c r="G160" s="140" t="s">
        <v>1203</v>
      </c>
      <c r="H160" s="126">
        <v>1000000</v>
      </c>
    </row>
    <row r="161" spans="2:8" x14ac:dyDescent="0.3">
      <c r="B161" s="138" t="s">
        <v>1069</v>
      </c>
      <c r="C161" s="140" t="s">
        <v>1077</v>
      </c>
      <c r="D161" s="140">
        <v>2017</v>
      </c>
      <c r="E161" s="140" t="s">
        <v>976</v>
      </c>
      <c r="F161" s="140" t="s">
        <v>759</v>
      </c>
      <c r="G161" s="140" t="s">
        <v>1203</v>
      </c>
      <c r="H161" s="126">
        <v>1500000</v>
      </c>
    </row>
    <row r="162" spans="2:8" x14ac:dyDescent="0.3">
      <c r="B162" s="138" t="s">
        <v>1069</v>
      </c>
      <c r="C162" s="140" t="s">
        <v>1077</v>
      </c>
      <c r="D162" s="140">
        <v>2017</v>
      </c>
      <c r="E162" s="140" t="s">
        <v>798</v>
      </c>
      <c r="F162" s="140" t="s">
        <v>759</v>
      </c>
      <c r="G162" s="140" t="s">
        <v>1203</v>
      </c>
      <c r="H162" s="126">
        <v>1500000</v>
      </c>
    </row>
    <row r="163" spans="2:8" x14ac:dyDescent="0.3">
      <c r="B163" s="138" t="s">
        <v>1069</v>
      </c>
      <c r="C163" s="140" t="s">
        <v>1078</v>
      </c>
      <c r="D163" s="140">
        <v>2017</v>
      </c>
      <c r="E163" s="140" t="s">
        <v>944</v>
      </c>
      <c r="F163" s="140" t="s">
        <v>759</v>
      </c>
      <c r="G163" s="140" t="s">
        <v>1203</v>
      </c>
      <c r="H163" s="126">
        <v>2000000</v>
      </c>
    </row>
    <row r="164" spans="2:8" x14ac:dyDescent="0.3">
      <c r="B164" s="138" t="s">
        <v>1069</v>
      </c>
      <c r="C164" s="140" t="s">
        <v>1078</v>
      </c>
      <c r="D164" s="140">
        <v>2017</v>
      </c>
      <c r="E164" s="140" t="s">
        <v>947</v>
      </c>
      <c r="F164" s="140" t="s">
        <v>759</v>
      </c>
      <c r="G164" s="140" t="s">
        <v>1203</v>
      </c>
      <c r="H164" s="126">
        <v>1000000</v>
      </c>
    </row>
    <row r="165" spans="2:8" x14ac:dyDescent="0.3">
      <c r="B165" s="138" t="s">
        <v>874</v>
      </c>
      <c r="C165" s="140" t="s">
        <v>389</v>
      </c>
      <c r="D165" s="140">
        <v>2017</v>
      </c>
      <c r="E165" s="140" t="s">
        <v>875</v>
      </c>
      <c r="F165" s="140" t="s">
        <v>759</v>
      </c>
      <c r="G165" s="140" t="s">
        <v>1203</v>
      </c>
      <c r="H165" s="126">
        <v>1000000</v>
      </c>
    </row>
    <row r="166" spans="2:8" x14ac:dyDescent="0.3">
      <c r="B166" s="138" t="s">
        <v>874</v>
      </c>
      <c r="C166" s="140" t="s">
        <v>394</v>
      </c>
      <c r="D166" s="140">
        <v>2017</v>
      </c>
      <c r="E166" s="140" t="s">
        <v>806</v>
      </c>
      <c r="F166" s="140" t="s">
        <v>759</v>
      </c>
      <c r="G166" s="140" t="s">
        <v>1203</v>
      </c>
      <c r="H166" s="126">
        <v>1000000</v>
      </c>
    </row>
    <row r="167" spans="2:8" x14ac:dyDescent="0.3">
      <c r="B167" s="138" t="s">
        <v>874</v>
      </c>
      <c r="C167" s="140" t="s">
        <v>879</v>
      </c>
      <c r="D167" s="140">
        <v>2017</v>
      </c>
      <c r="E167" s="140" t="s">
        <v>766</v>
      </c>
      <c r="F167" s="140" t="s">
        <v>759</v>
      </c>
      <c r="G167" s="140" t="s">
        <v>1203</v>
      </c>
      <c r="H167" s="126">
        <v>1000000</v>
      </c>
    </row>
    <row r="168" spans="2:8" x14ac:dyDescent="0.3">
      <c r="B168" s="138" t="s">
        <v>874</v>
      </c>
      <c r="C168" s="140" t="s">
        <v>876</v>
      </c>
      <c r="D168" s="140">
        <v>2017</v>
      </c>
      <c r="E168" s="140" t="s">
        <v>875</v>
      </c>
      <c r="F168" s="140" t="s">
        <v>759</v>
      </c>
      <c r="G168" s="140" t="s">
        <v>1203</v>
      </c>
      <c r="H168" s="126">
        <v>1000000</v>
      </c>
    </row>
    <row r="169" spans="2:8" x14ac:dyDescent="0.3">
      <c r="B169" s="138" t="s">
        <v>874</v>
      </c>
      <c r="C169" s="140" t="s">
        <v>877</v>
      </c>
      <c r="D169" s="140">
        <v>2017</v>
      </c>
      <c r="E169" s="140" t="s">
        <v>766</v>
      </c>
      <c r="F169" s="140" t="s">
        <v>759</v>
      </c>
      <c r="G169" s="140" t="s">
        <v>1203</v>
      </c>
      <c r="H169" s="126">
        <v>1000000</v>
      </c>
    </row>
    <row r="170" spans="2:8" x14ac:dyDescent="0.3">
      <c r="B170" s="138" t="s">
        <v>874</v>
      </c>
      <c r="C170" s="140" t="s">
        <v>878</v>
      </c>
      <c r="D170" s="140">
        <v>2017</v>
      </c>
      <c r="E170" s="140" t="s">
        <v>766</v>
      </c>
      <c r="F170" s="140" t="s">
        <v>759</v>
      </c>
      <c r="G170" s="140" t="s">
        <v>1203</v>
      </c>
      <c r="H170" s="126">
        <v>2000000</v>
      </c>
    </row>
    <row r="171" spans="2:8" x14ac:dyDescent="0.3">
      <c r="B171" s="138" t="s">
        <v>874</v>
      </c>
      <c r="C171" s="140" t="s">
        <v>881</v>
      </c>
      <c r="D171" s="140">
        <v>2017</v>
      </c>
      <c r="E171" s="140" t="s">
        <v>875</v>
      </c>
      <c r="F171" s="140" t="s">
        <v>759</v>
      </c>
      <c r="G171" s="140" t="s">
        <v>1203</v>
      </c>
      <c r="H171" s="126">
        <v>2000000</v>
      </c>
    </row>
    <row r="172" spans="2:8" x14ac:dyDescent="0.3">
      <c r="B172" s="138" t="s">
        <v>874</v>
      </c>
      <c r="C172" s="140" t="s">
        <v>439</v>
      </c>
      <c r="D172" s="140">
        <v>2017</v>
      </c>
      <c r="E172" s="140" t="s">
        <v>875</v>
      </c>
      <c r="F172" s="140" t="s">
        <v>759</v>
      </c>
      <c r="G172" s="140" t="s">
        <v>1203</v>
      </c>
      <c r="H172" s="126">
        <v>1000000</v>
      </c>
    </row>
    <row r="173" spans="2:8" x14ac:dyDescent="0.3">
      <c r="B173" s="138" t="s">
        <v>903</v>
      </c>
      <c r="C173" s="140" t="s">
        <v>904</v>
      </c>
      <c r="D173" s="140">
        <v>2018</v>
      </c>
      <c r="E173" s="140" t="s">
        <v>758</v>
      </c>
      <c r="F173" s="140" t="s">
        <v>767</v>
      </c>
      <c r="G173" s="140" t="s">
        <v>1207</v>
      </c>
      <c r="H173" s="126">
        <v>1000000</v>
      </c>
    </row>
    <row r="174" spans="2:8" x14ac:dyDescent="0.3">
      <c r="B174" s="138" t="s">
        <v>903</v>
      </c>
      <c r="C174" s="140" t="s">
        <v>904</v>
      </c>
      <c r="D174" s="140">
        <v>2018</v>
      </c>
      <c r="E174" s="140" t="s">
        <v>754</v>
      </c>
      <c r="F174" s="140" t="s">
        <v>767</v>
      </c>
      <c r="G174" s="140" t="s">
        <v>1207</v>
      </c>
      <c r="H174" s="126">
        <v>1000000</v>
      </c>
    </row>
    <row r="175" spans="2:8" x14ac:dyDescent="0.3">
      <c r="B175" s="138" t="s">
        <v>927</v>
      </c>
      <c r="C175" s="140" t="s">
        <v>928</v>
      </c>
      <c r="D175" s="140">
        <v>2018</v>
      </c>
      <c r="E175" s="140" t="s">
        <v>930</v>
      </c>
      <c r="F175" s="140" t="s">
        <v>785</v>
      </c>
      <c r="G175" s="140" t="s">
        <v>1207</v>
      </c>
      <c r="H175" s="126">
        <v>1000000</v>
      </c>
    </row>
    <row r="176" spans="2:8" x14ac:dyDescent="0.3">
      <c r="B176" s="138" t="s">
        <v>927</v>
      </c>
      <c r="C176" s="140" t="s">
        <v>928</v>
      </c>
      <c r="D176" s="140">
        <v>2018</v>
      </c>
      <c r="E176" s="140" t="s">
        <v>905</v>
      </c>
      <c r="F176" s="140" t="s">
        <v>785</v>
      </c>
      <c r="G176" s="140" t="s">
        <v>1207</v>
      </c>
      <c r="H176" s="126">
        <v>1000000</v>
      </c>
    </row>
    <row r="177" spans="2:8" x14ac:dyDescent="0.3">
      <c r="B177" s="138" t="s">
        <v>935</v>
      </c>
      <c r="C177" s="140" t="s">
        <v>936</v>
      </c>
      <c r="D177" s="140">
        <v>2018</v>
      </c>
      <c r="E177" s="140" t="s">
        <v>938</v>
      </c>
      <c r="F177" s="140" t="s">
        <v>785</v>
      </c>
      <c r="G177" s="140" t="s">
        <v>1207</v>
      </c>
      <c r="H177" s="126">
        <v>500000</v>
      </c>
    </row>
    <row r="178" spans="2:8" x14ac:dyDescent="0.3">
      <c r="B178" s="138" t="s">
        <v>935</v>
      </c>
      <c r="C178" s="140" t="s">
        <v>936</v>
      </c>
      <c r="D178" s="140">
        <v>2018</v>
      </c>
      <c r="E178" s="140" t="s">
        <v>807</v>
      </c>
      <c r="F178" s="140" t="s">
        <v>785</v>
      </c>
      <c r="G178" s="140" t="s">
        <v>1207</v>
      </c>
      <c r="H178" s="126">
        <v>500000</v>
      </c>
    </row>
    <row r="179" spans="2:8" x14ac:dyDescent="0.3">
      <c r="B179" s="138" t="s">
        <v>935</v>
      </c>
      <c r="C179" s="140" t="s">
        <v>936</v>
      </c>
      <c r="D179" s="140">
        <v>2018</v>
      </c>
      <c r="E179" s="140" t="s">
        <v>939</v>
      </c>
      <c r="F179" s="140" t="s">
        <v>785</v>
      </c>
      <c r="G179" s="140" t="s">
        <v>1207</v>
      </c>
      <c r="H179" s="126">
        <v>500000</v>
      </c>
    </row>
    <row r="180" spans="2:8" x14ac:dyDescent="0.3">
      <c r="B180" s="138" t="s">
        <v>935</v>
      </c>
      <c r="C180" s="140" t="s">
        <v>936</v>
      </c>
      <c r="D180" s="140">
        <v>2018</v>
      </c>
      <c r="E180" s="140" t="s">
        <v>940</v>
      </c>
      <c r="F180" s="140" t="s">
        <v>785</v>
      </c>
      <c r="G180" s="140" t="s">
        <v>1207</v>
      </c>
      <c r="H180" s="126">
        <v>500000</v>
      </c>
    </row>
    <row r="181" spans="2:8" x14ac:dyDescent="0.3">
      <c r="B181" s="138" t="s">
        <v>942</v>
      </c>
      <c r="C181" s="140" t="s">
        <v>943</v>
      </c>
      <c r="D181" s="140">
        <v>2018</v>
      </c>
      <c r="E181" s="140" t="s">
        <v>945</v>
      </c>
      <c r="F181" s="140" t="s">
        <v>785</v>
      </c>
      <c r="G181" s="140" t="s">
        <v>1207</v>
      </c>
      <c r="H181" s="126">
        <v>500000</v>
      </c>
    </row>
    <row r="182" spans="2:8" x14ac:dyDescent="0.3">
      <c r="B182" s="138" t="s">
        <v>942</v>
      </c>
      <c r="C182" s="140" t="s">
        <v>943</v>
      </c>
      <c r="D182" s="140">
        <v>2018</v>
      </c>
      <c r="E182" s="140" t="s">
        <v>946</v>
      </c>
      <c r="F182" s="140" t="s">
        <v>785</v>
      </c>
      <c r="G182" s="140" t="s">
        <v>1207</v>
      </c>
      <c r="H182" s="126">
        <v>500000</v>
      </c>
    </row>
    <row r="183" spans="2:8" x14ac:dyDescent="0.3">
      <c r="B183" s="138" t="s">
        <v>942</v>
      </c>
      <c r="C183" s="140" t="s">
        <v>943</v>
      </c>
      <c r="D183" s="140">
        <v>2018</v>
      </c>
      <c r="E183" s="140" t="s">
        <v>947</v>
      </c>
      <c r="F183" s="140" t="s">
        <v>785</v>
      </c>
      <c r="G183" s="140" t="s">
        <v>1207</v>
      </c>
      <c r="H183" s="126">
        <v>1000000</v>
      </c>
    </row>
    <row r="184" spans="2:8" x14ac:dyDescent="0.3">
      <c r="B184" s="138" t="s">
        <v>874</v>
      </c>
      <c r="C184" s="140" t="s">
        <v>886</v>
      </c>
      <c r="D184" s="140">
        <v>2018</v>
      </c>
      <c r="E184" s="140" t="s">
        <v>887</v>
      </c>
      <c r="F184" s="140" t="s">
        <v>785</v>
      </c>
      <c r="G184" s="140" t="s">
        <v>1207</v>
      </c>
      <c r="H184" s="126">
        <v>1000000</v>
      </c>
    </row>
    <row r="185" spans="2:8" x14ac:dyDescent="0.3">
      <c r="B185" s="138" t="s">
        <v>874</v>
      </c>
      <c r="C185" s="140" t="s">
        <v>886</v>
      </c>
      <c r="D185" s="140">
        <v>2018</v>
      </c>
      <c r="E185" s="140" t="s">
        <v>801</v>
      </c>
      <c r="F185" s="140" t="s">
        <v>785</v>
      </c>
      <c r="G185" s="140" t="s">
        <v>1207</v>
      </c>
      <c r="H185" s="126">
        <v>1000000</v>
      </c>
    </row>
    <row r="186" spans="2:8" x14ac:dyDescent="0.3">
      <c r="B186" s="138" t="s">
        <v>874</v>
      </c>
      <c r="C186" s="140" t="s">
        <v>884</v>
      </c>
      <c r="D186" s="140">
        <v>2018</v>
      </c>
      <c r="E186" s="140" t="s">
        <v>807</v>
      </c>
      <c r="F186" s="140" t="s">
        <v>785</v>
      </c>
      <c r="G186" s="140" t="s">
        <v>1207</v>
      </c>
      <c r="H186" s="126">
        <v>1000000</v>
      </c>
    </row>
    <row r="187" spans="2:8" x14ac:dyDescent="0.3">
      <c r="B187" s="138" t="s">
        <v>903</v>
      </c>
      <c r="C187" s="140" t="s">
        <v>904</v>
      </c>
      <c r="D187" s="140">
        <v>2018</v>
      </c>
      <c r="E187" s="140" t="s">
        <v>905</v>
      </c>
      <c r="F187" s="140" t="s">
        <v>785</v>
      </c>
      <c r="G187" s="140" t="s">
        <v>1207</v>
      </c>
      <c r="H187" s="126">
        <v>1000000</v>
      </c>
    </row>
    <row r="188" spans="2:8" x14ac:dyDescent="0.3">
      <c r="B188" s="138" t="s">
        <v>900</v>
      </c>
      <c r="C188" s="140" t="s">
        <v>901</v>
      </c>
      <c r="D188" s="140">
        <v>2018</v>
      </c>
      <c r="E188" s="140" t="s">
        <v>902</v>
      </c>
      <c r="F188" s="140" t="s">
        <v>785</v>
      </c>
      <c r="G188" s="140" t="s">
        <v>1207</v>
      </c>
      <c r="H188" s="126">
        <v>1000000</v>
      </c>
    </row>
    <row r="189" spans="2:8" x14ac:dyDescent="0.3">
      <c r="B189" s="138" t="s">
        <v>900</v>
      </c>
      <c r="C189" s="140" t="s">
        <v>901</v>
      </c>
      <c r="D189" s="140">
        <v>2018</v>
      </c>
      <c r="E189" s="140" t="s">
        <v>786</v>
      </c>
      <c r="F189" s="140" t="s">
        <v>785</v>
      </c>
      <c r="G189" s="140" t="s">
        <v>1207</v>
      </c>
      <c r="H189" s="126">
        <v>1000000</v>
      </c>
    </row>
    <row r="190" spans="2:8" x14ac:dyDescent="0.3">
      <c r="B190" s="138" t="s">
        <v>927</v>
      </c>
      <c r="C190" s="140" t="s">
        <v>928</v>
      </c>
      <c r="D190" s="140">
        <v>2018</v>
      </c>
      <c r="E190" s="140" t="s">
        <v>929</v>
      </c>
      <c r="F190" s="140" t="s">
        <v>763</v>
      </c>
      <c r="G190" s="140" t="s">
        <v>1207</v>
      </c>
      <c r="H190" s="126">
        <v>1000000</v>
      </c>
    </row>
    <row r="191" spans="2:8" x14ac:dyDescent="0.3">
      <c r="B191" s="138" t="s">
        <v>927</v>
      </c>
      <c r="C191" s="140" t="s">
        <v>928</v>
      </c>
      <c r="D191" s="140">
        <v>2018</v>
      </c>
      <c r="E191" s="140" t="s">
        <v>931</v>
      </c>
      <c r="F191" s="140" t="s">
        <v>763</v>
      </c>
      <c r="G191" s="140" t="s">
        <v>1207</v>
      </c>
      <c r="H191" s="126">
        <v>1000000</v>
      </c>
    </row>
    <row r="192" spans="2:8" x14ac:dyDescent="0.3">
      <c r="B192" s="138" t="s">
        <v>927</v>
      </c>
      <c r="C192" s="140" t="s">
        <v>928</v>
      </c>
      <c r="D192" s="140">
        <v>2018</v>
      </c>
      <c r="E192" s="140" t="s">
        <v>932</v>
      </c>
      <c r="F192" s="140" t="s">
        <v>763</v>
      </c>
      <c r="G192" s="140" t="s">
        <v>1207</v>
      </c>
      <c r="H192" s="126">
        <v>1000000</v>
      </c>
    </row>
    <row r="193" spans="2:8" x14ac:dyDescent="0.3">
      <c r="B193" s="138" t="s">
        <v>832</v>
      </c>
      <c r="C193" s="140" t="s">
        <v>833</v>
      </c>
      <c r="D193" s="140">
        <v>2018</v>
      </c>
      <c r="E193" s="140" t="s">
        <v>834</v>
      </c>
      <c r="F193" s="140" t="s">
        <v>763</v>
      </c>
      <c r="G193" s="140" t="s">
        <v>1207</v>
      </c>
      <c r="H193" s="126">
        <v>2000000</v>
      </c>
    </row>
    <row r="194" spans="2:8" x14ac:dyDescent="0.3">
      <c r="B194" s="138" t="s">
        <v>832</v>
      </c>
      <c r="C194" s="140" t="s">
        <v>833</v>
      </c>
      <c r="D194" s="140">
        <v>2018</v>
      </c>
      <c r="E194" s="140" t="s">
        <v>835</v>
      </c>
      <c r="F194" s="140" t="s">
        <v>763</v>
      </c>
      <c r="G194" s="140" t="s">
        <v>1207</v>
      </c>
      <c r="H194" s="126">
        <v>2000000</v>
      </c>
    </row>
    <row r="195" spans="2:8" x14ac:dyDescent="0.3">
      <c r="B195" s="138" t="s">
        <v>1228</v>
      </c>
      <c r="C195" s="140" t="s">
        <v>1228</v>
      </c>
      <c r="D195" s="140">
        <v>2018</v>
      </c>
      <c r="E195" s="140" t="s">
        <v>1157</v>
      </c>
      <c r="F195" s="140" t="s">
        <v>763</v>
      </c>
      <c r="G195" s="140" t="s">
        <v>1207</v>
      </c>
      <c r="H195" s="126">
        <v>1000000</v>
      </c>
    </row>
    <row r="196" spans="2:8" x14ac:dyDescent="0.3">
      <c r="B196" s="138" t="s">
        <v>1228</v>
      </c>
      <c r="C196" s="140" t="s">
        <v>1228</v>
      </c>
      <c r="D196" s="140">
        <v>2018</v>
      </c>
      <c r="E196" s="140" t="s">
        <v>1158</v>
      </c>
      <c r="F196" s="140" t="s">
        <v>763</v>
      </c>
      <c r="G196" s="140" t="s">
        <v>1207</v>
      </c>
      <c r="H196" s="126">
        <v>1000000</v>
      </c>
    </row>
    <row r="197" spans="2:8" x14ac:dyDescent="0.3">
      <c r="B197" s="138" t="s">
        <v>1228</v>
      </c>
      <c r="C197" s="140" t="s">
        <v>1228</v>
      </c>
      <c r="D197" s="140">
        <v>2018</v>
      </c>
      <c r="E197" s="140" t="s">
        <v>875</v>
      </c>
      <c r="F197" s="140" t="s">
        <v>763</v>
      </c>
      <c r="G197" s="140" t="s">
        <v>1207</v>
      </c>
      <c r="H197" s="126">
        <v>1000000</v>
      </c>
    </row>
    <row r="198" spans="2:8" x14ac:dyDescent="0.3">
      <c r="B198" s="138" t="s">
        <v>935</v>
      </c>
      <c r="C198" s="140" t="s">
        <v>936</v>
      </c>
      <c r="D198" s="140">
        <v>2018</v>
      </c>
      <c r="E198" s="140" t="s">
        <v>754</v>
      </c>
      <c r="F198" s="140" t="s">
        <v>763</v>
      </c>
      <c r="G198" s="140" t="s">
        <v>1207</v>
      </c>
      <c r="H198" s="126">
        <v>1000000</v>
      </c>
    </row>
    <row r="199" spans="2:8" x14ac:dyDescent="0.3">
      <c r="B199" s="138" t="s">
        <v>935</v>
      </c>
      <c r="C199" s="140" t="s">
        <v>936</v>
      </c>
      <c r="D199" s="140">
        <v>2018</v>
      </c>
      <c r="E199" s="140" t="s">
        <v>937</v>
      </c>
      <c r="F199" s="140" t="s">
        <v>763</v>
      </c>
      <c r="G199" s="140" t="s">
        <v>1207</v>
      </c>
      <c r="H199" s="126">
        <v>1000000</v>
      </c>
    </row>
    <row r="200" spans="2:8" x14ac:dyDescent="0.3">
      <c r="B200" s="138" t="s">
        <v>935</v>
      </c>
      <c r="C200" s="140" t="s">
        <v>936</v>
      </c>
      <c r="D200" s="140">
        <v>2018</v>
      </c>
      <c r="E200" s="140" t="s">
        <v>941</v>
      </c>
      <c r="F200" s="140" t="s">
        <v>763</v>
      </c>
      <c r="G200" s="140" t="s">
        <v>1207</v>
      </c>
      <c r="H200" s="126">
        <v>1000000</v>
      </c>
    </row>
    <row r="201" spans="2:8" x14ac:dyDescent="0.3">
      <c r="B201" s="138" t="s">
        <v>942</v>
      </c>
      <c r="C201" s="140" t="s">
        <v>943</v>
      </c>
      <c r="D201" s="140">
        <v>2018</v>
      </c>
      <c r="E201" s="140" t="s">
        <v>944</v>
      </c>
      <c r="F201" s="140" t="s">
        <v>763</v>
      </c>
      <c r="G201" s="140" t="s">
        <v>1207</v>
      </c>
      <c r="H201" s="126">
        <v>1000000</v>
      </c>
    </row>
    <row r="202" spans="2:8" x14ac:dyDescent="0.3">
      <c r="B202" s="138" t="s">
        <v>874</v>
      </c>
      <c r="C202" s="140" t="s">
        <v>886</v>
      </c>
      <c r="D202" s="140">
        <v>2018</v>
      </c>
      <c r="E202" s="140" t="s">
        <v>766</v>
      </c>
      <c r="F202" s="140" t="s">
        <v>763</v>
      </c>
      <c r="G202" s="140" t="s">
        <v>1207</v>
      </c>
      <c r="H202" s="126">
        <v>1000000</v>
      </c>
    </row>
    <row r="203" spans="2:8" x14ac:dyDescent="0.3">
      <c r="B203" s="138" t="s">
        <v>874</v>
      </c>
      <c r="C203" s="140" t="s">
        <v>886</v>
      </c>
      <c r="D203" s="140">
        <v>2018</v>
      </c>
      <c r="E203" s="140" t="s">
        <v>790</v>
      </c>
      <c r="F203" s="140" t="s">
        <v>763</v>
      </c>
      <c r="G203" s="140" t="s">
        <v>1207</v>
      </c>
      <c r="H203" s="126">
        <v>1000000</v>
      </c>
    </row>
    <row r="204" spans="2:8" x14ac:dyDescent="0.3">
      <c r="B204" s="138" t="s">
        <v>874</v>
      </c>
      <c r="C204" s="140" t="s">
        <v>413</v>
      </c>
      <c r="D204" s="140">
        <v>2018</v>
      </c>
      <c r="E204" s="140" t="s">
        <v>883</v>
      </c>
      <c r="F204" s="140" t="s">
        <v>763</v>
      </c>
      <c r="G204" s="140" t="s">
        <v>1207</v>
      </c>
      <c r="H204" s="126">
        <v>2000000</v>
      </c>
    </row>
    <row r="205" spans="2:8" x14ac:dyDescent="0.3">
      <c r="B205" s="138" t="s">
        <v>874</v>
      </c>
      <c r="C205" s="140" t="s">
        <v>884</v>
      </c>
      <c r="D205" s="140">
        <v>2018</v>
      </c>
      <c r="E205" s="140" t="s">
        <v>806</v>
      </c>
      <c r="F205" s="140" t="s">
        <v>763</v>
      </c>
      <c r="G205" s="140" t="s">
        <v>1207</v>
      </c>
      <c r="H205" s="126">
        <v>1000000</v>
      </c>
    </row>
    <row r="206" spans="2:8" x14ac:dyDescent="0.3">
      <c r="B206" s="138" t="s">
        <v>874</v>
      </c>
      <c r="C206" s="140" t="s">
        <v>884</v>
      </c>
      <c r="D206" s="140">
        <v>2018</v>
      </c>
      <c r="E206" s="140" t="s">
        <v>885</v>
      </c>
      <c r="F206" s="140" t="s">
        <v>763</v>
      </c>
      <c r="G206" s="140" t="s">
        <v>1207</v>
      </c>
      <c r="H206" s="126">
        <v>1000000</v>
      </c>
    </row>
    <row r="207" spans="2:8" x14ac:dyDescent="0.3">
      <c r="B207" s="138" t="s">
        <v>874</v>
      </c>
      <c r="C207" s="140" t="s">
        <v>882</v>
      </c>
      <c r="D207" s="140">
        <v>2018</v>
      </c>
      <c r="E207" s="140" t="str">
        <f>E206</f>
        <v>B1F 관리실</v>
      </c>
      <c r="F207" s="140" t="s">
        <v>763</v>
      </c>
      <c r="G207" s="140" t="s">
        <v>1207</v>
      </c>
      <c r="H207" s="126">
        <v>1500000</v>
      </c>
    </row>
    <row r="208" spans="2:8" x14ac:dyDescent="0.3">
      <c r="B208" s="138" t="s">
        <v>900</v>
      </c>
      <c r="C208" s="140" t="s">
        <v>901</v>
      </c>
      <c r="D208" s="140">
        <v>2018</v>
      </c>
      <c r="E208" s="140" t="s">
        <v>783</v>
      </c>
      <c r="F208" s="140" t="s">
        <v>763</v>
      </c>
      <c r="G208" s="140" t="s">
        <v>1207</v>
      </c>
      <c r="H208" s="126">
        <v>1000000</v>
      </c>
    </row>
    <row r="209" spans="2:8" x14ac:dyDescent="0.3">
      <c r="B209" s="138" t="s">
        <v>900</v>
      </c>
      <c r="C209" s="140" t="s">
        <v>901</v>
      </c>
      <c r="D209" s="140">
        <v>2018</v>
      </c>
      <c r="E209" s="140" t="s">
        <v>754</v>
      </c>
      <c r="F209" s="140" t="s">
        <v>763</v>
      </c>
      <c r="G209" s="140" t="s">
        <v>1207</v>
      </c>
      <c r="H209" s="126">
        <v>2000000</v>
      </c>
    </row>
    <row r="210" spans="2:8" x14ac:dyDescent="0.3">
      <c r="B210" s="138" t="s">
        <v>781</v>
      </c>
      <c r="C210" s="140" t="s">
        <v>782</v>
      </c>
      <c r="D210" s="140">
        <v>2019</v>
      </c>
      <c r="E210" s="140" t="s">
        <v>786</v>
      </c>
      <c r="F210" s="140" t="s">
        <v>787</v>
      </c>
      <c r="G210" s="140" t="s">
        <v>1207</v>
      </c>
      <c r="H210" s="126">
        <v>300000</v>
      </c>
    </row>
    <row r="211" spans="2:8" x14ac:dyDescent="0.3">
      <c r="B211" s="138" t="s">
        <v>933</v>
      </c>
      <c r="C211" s="140" t="s">
        <v>934</v>
      </c>
      <c r="D211" s="140">
        <v>2019</v>
      </c>
      <c r="E211" s="140" t="s">
        <v>786</v>
      </c>
      <c r="F211" s="140" t="s">
        <v>785</v>
      </c>
      <c r="G211" s="140" t="s">
        <v>1207</v>
      </c>
      <c r="H211" s="126">
        <v>1000000</v>
      </c>
    </row>
    <row r="212" spans="2:8" x14ac:dyDescent="0.3">
      <c r="B212" s="138" t="s">
        <v>781</v>
      </c>
      <c r="C212" s="140" t="s">
        <v>782</v>
      </c>
      <c r="D212" s="140">
        <v>2019</v>
      </c>
      <c r="E212" s="140" t="s">
        <v>784</v>
      </c>
      <c r="F212" s="140" t="s">
        <v>785</v>
      </c>
      <c r="G212" s="140" t="s">
        <v>1207</v>
      </c>
      <c r="H212" s="126">
        <v>1000000</v>
      </c>
    </row>
    <row r="213" spans="2:8" x14ac:dyDescent="0.3">
      <c r="B213" s="138" t="s">
        <v>781</v>
      </c>
      <c r="C213" s="140" t="s">
        <v>782</v>
      </c>
      <c r="D213" s="140">
        <v>2019</v>
      </c>
      <c r="E213" s="140" t="s">
        <v>786</v>
      </c>
      <c r="F213" s="140" t="s">
        <v>785</v>
      </c>
      <c r="G213" s="140" t="s">
        <v>1207</v>
      </c>
      <c r="H213" s="126">
        <v>1000000</v>
      </c>
    </row>
    <row r="214" spans="2:8" x14ac:dyDescent="0.3">
      <c r="B214" s="138" t="s">
        <v>963</v>
      </c>
      <c r="C214" s="140" t="s">
        <v>964</v>
      </c>
      <c r="D214" s="140">
        <v>2019</v>
      </c>
      <c r="E214" s="140" t="s">
        <v>968</v>
      </c>
      <c r="F214" s="140" t="s">
        <v>785</v>
      </c>
      <c r="G214" s="140" t="s">
        <v>1207</v>
      </c>
      <c r="H214" s="126">
        <v>1000000</v>
      </c>
    </row>
    <row r="215" spans="2:8" x14ac:dyDescent="0.3">
      <c r="B215" s="138" t="s">
        <v>963</v>
      </c>
      <c r="C215" s="140" t="s">
        <v>964</v>
      </c>
      <c r="D215" s="140">
        <v>2019</v>
      </c>
      <c r="E215" s="140" t="s">
        <v>970</v>
      </c>
      <c r="F215" s="140" t="s">
        <v>785</v>
      </c>
      <c r="G215" s="140" t="s">
        <v>1207</v>
      </c>
      <c r="H215" s="126">
        <v>1000000</v>
      </c>
    </row>
    <row r="216" spans="2:8" x14ac:dyDescent="0.3">
      <c r="B216" s="138" t="s">
        <v>933</v>
      </c>
      <c r="C216" s="140" t="s">
        <v>934</v>
      </c>
      <c r="D216" s="140">
        <v>2019</v>
      </c>
      <c r="E216" s="140" t="s">
        <v>754</v>
      </c>
      <c r="F216" s="140" t="s">
        <v>763</v>
      </c>
      <c r="G216" s="140" t="s">
        <v>1207</v>
      </c>
      <c r="H216" s="126">
        <v>1000000</v>
      </c>
    </row>
    <row r="217" spans="2:8" x14ac:dyDescent="0.3">
      <c r="B217" s="138" t="s">
        <v>933</v>
      </c>
      <c r="C217" s="140" t="s">
        <v>934</v>
      </c>
      <c r="D217" s="140">
        <v>2019</v>
      </c>
      <c r="E217" s="140" t="s">
        <v>783</v>
      </c>
      <c r="F217" s="140" t="s">
        <v>763</v>
      </c>
      <c r="G217" s="140" t="s">
        <v>1207</v>
      </c>
      <c r="H217" s="126">
        <v>1000000</v>
      </c>
    </row>
    <row r="218" spans="2:8" x14ac:dyDescent="0.3">
      <c r="B218" s="138" t="s">
        <v>781</v>
      </c>
      <c r="C218" s="140" t="s">
        <v>782</v>
      </c>
      <c r="D218" s="140">
        <v>2019</v>
      </c>
      <c r="E218" s="140" t="s">
        <v>783</v>
      </c>
      <c r="F218" s="140" t="s">
        <v>763</v>
      </c>
      <c r="G218" s="140" t="s">
        <v>1207</v>
      </c>
      <c r="H218" s="126">
        <v>1000000</v>
      </c>
    </row>
    <row r="219" spans="2:8" x14ac:dyDescent="0.3">
      <c r="B219" s="138" t="s">
        <v>781</v>
      </c>
      <c r="C219" s="140" t="s">
        <v>782</v>
      </c>
      <c r="D219" s="140">
        <v>2019</v>
      </c>
      <c r="E219" s="140" t="s">
        <v>754</v>
      </c>
      <c r="F219" s="140" t="s">
        <v>763</v>
      </c>
      <c r="G219" s="140" t="s">
        <v>1207</v>
      </c>
      <c r="H219" s="126">
        <v>1000000</v>
      </c>
    </row>
    <row r="220" spans="2:8" x14ac:dyDescent="0.3">
      <c r="B220" s="138" t="s">
        <v>781</v>
      </c>
      <c r="C220" s="140" t="s">
        <v>782</v>
      </c>
      <c r="D220" s="140">
        <v>2019</v>
      </c>
      <c r="E220" s="140" t="s">
        <v>789</v>
      </c>
      <c r="F220" s="140" t="s">
        <v>763</v>
      </c>
      <c r="G220" s="140" t="s">
        <v>1207</v>
      </c>
      <c r="H220" s="126">
        <v>1000000</v>
      </c>
    </row>
    <row r="221" spans="2:8" x14ac:dyDescent="0.3">
      <c r="B221" s="138" t="s">
        <v>781</v>
      </c>
      <c r="C221" s="140" t="s">
        <v>782</v>
      </c>
      <c r="D221" s="140">
        <v>2019</v>
      </c>
      <c r="E221" s="140" t="s">
        <v>790</v>
      </c>
      <c r="F221" s="140" t="s">
        <v>763</v>
      </c>
      <c r="G221" s="140" t="s">
        <v>1207</v>
      </c>
      <c r="H221" s="126">
        <v>1000000</v>
      </c>
    </row>
    <row r="222" spans="2:8" x14ac:dyDescent="0.3">
      <c r="B222" s="138" t="s">
        <v>963</v>
      </c>
      <c r="C222" s="140" t="s">
        <v>964</v>
      </c>
      <c r="D222" s="140">
        <v>2019</v>
      </c>
      <c r="E222" s="140" t="s">
        <v>965</v>
      </c>
      <c r="F222" s="140" t="s">
        <v>763</v>
      </c>
      <c r="G222" s="140" t="s">
        <v>1207</v>
      </c>
      <c r="H222" s="126">
        <v>1000000</v>
      </c>
    </row>
    <row r="223" spans="2:8" x14ac:dyDescent="0.3">
      <c r="B223" s="138" t="s">
        <v>963</v>
      </c>
      <c r="C223" s="140" t="s">
        <v>964</v>
      </c>
      <c r="D223" s="140">
        <v>2019</v>
      </c>
      <c r="E223" s="140" t="s">
        <v>966</v>
      </c>
      <c r="F223" s="140" t="s">
        <v>763</v>
      </c>
      <c r="G223" s="140" t="s">
        <v>1207</v>
      </c>
      <c r="H223" s="126">
        <v>1000000</v>
      </c>
    </row>
    <row r="224" spans="2:8" x14ac:dyDescent="0.3">
      <c r="B224" s="138" t="s">
        <v>963</v>
      </c>
      <c r="C224" s="140" t="s">
        <v>964</v>
      </c>
      <c r="D224" s="140">
        <v>2019</v>
      </c>
      <c r="E224" s="140" t="s">
        <v>967</v>
      </c>
      <c r="F224" s="140" t="s">
        <v>763</v>
      </c>
      <c r="G224" s="140" t="s">
        <v>1207</v>
      </c>
      <c r="H224" s="126">
        <v>1000000</v>
      </c>
    </row>
    <row r="225" spans="2:8" x14ac:dyDescent="0.3">
      <c r="B225" s="138" t="s">
        <v>963</v>
      </c>
      <c r="C225" s="140" t="s">
        <v>964</v>
      </c>
      <c r="D225" s="140">
        <v>2019</v>
      </c>
      <c r="E225" s="140" t="s">
        <v>969</v>
      </c>
      <c r="F225" s="140" t="s">
        <v>763</v>
      </c>
      <c r="G225" s="140" t="s">
        <v>1207</v>
      </c>
      <c r="H225" s="126">
        <v>1000000</v>
      </c>
    </row>
    <row r="226" spans="2:8" x14ac:dyDescent="0.3">
      <c r="B226" s="138" t="s">
        <v>1227</v>
      </c>
      <c r="C226" s="140" t="s">
        <v>1226</v>
      </c>
      <c r="D226" s="140">
        <v>2020</v>
      </c>
      <c r="E226" s="140" t="s">
        <v>1159</v>
      </c>
      <c r="F226" s="140" t="s">
        <v>767</v>
      </c>
      <c r="G226" s="140" t="s">
        <v>1207</v>
      </c>
      <c r="H226" s="126">
        <v>1500000</v>
      </c>
    </row>
    <row r="227" spans="2:8" x14ac:dyDescent="0.3">
      <c r="B227" s="138" t="s">
        <v>1000</v>
      </c>
      <c r="C227" s="140" t="s">
        <v>1002</v>
      </c>
      <c r="D227" s="140">
        <v>2020</v>
      </c>
      <c r="E227" s="140" t="s">
        <v>754</v>
      </c>
      <c r="F227" s="140" t="s">
        <v>767</v>
      </c>
      <c r="G227" s="140" t="s">
        <v>1207</v>
      </c>
      <c r="H227" s="126">
        <v>1000000</v>
      </c>
    </row>
    <row r="228" spans="2:8" x14ac:dyDescent="0.3">
      <c r="B228" s="138" t="s">
        <v>1000</v>
      </c>
      <c r="C228" s="140" t="s">
        <v>1002</v>
      </c>
      <c r="D228" s="140">
        <v>2020</v>
      </c>
      <c r="E228" s="140" t="s">
        <v>976</v>
      </c>
      <c r="F228" s="140" t="s">
        <v>767</v>
      </c>
      <c r="G228" s="140" t="s">
        <v>1207</v>
      </c>
      <c r="H228" s="126">
        <v>1000000</v>
      </c>
    </row>
    <row r="229" spans="2:8" x14ac:dyDescent="0.3">
      <c r="B229" s="138" t="s">
        <v>1000</v>
      </c>
      <c r="C229" s="140" t="s">
        <v>1001</v>
      </c>
      <c r="D229" s="140">
        <v>2020</v>
      </c>
      <c r="E229" s="140" t="s">
        <v>754</v>
      </c>
      <c r="F229" s="140" t="s">
        <v>767</v>
      </c>
      <c r="G229" s="140" t="s">
        <v>1207</v>
      </c>
      <c r="H229" s="126">
        <v>1500000</v>
      </c>
    </row>
    <row r="230" spans="2:8" x14ac:dyDescent="0.3">
      <c r="B230" s="138" t="s">
        <v>948</v>
      </c>
      <c r="C230" s="140" t="s">
        <v>949</v>
      </c>
      <c r="D230" s="140">
        <v>2020</v>
      </c>
      <c r="E230" s="140" t="s">
        <v>798</v>
      </c>
      <c r="F230" s="140" t="s">
        <v>767</v>
      </c>
      <c r="G230" s="140" t="s">
        <v>1207</v>
      </c>
      <c r="H230" s="126">
        <v>1000000</v>
      </c>
    </row>
    <row r="231" spans="2:8" x14ac:dyDescent="0.3">
      <c r="B231" s="138" t="s">
        <v>948</v>
      </c>
      <c r="C231" s="140" t="s">
        <v>949</v>
      </c>
      <c r="D231" s="140">
        <v>2020</v>
      </c>
      <c r="E231" s="140" t="s">
        <v>807</v>
      </c>
      <c r="F231" s="140" t="s">
        <v>767</v>
      </c>
      <c r="G231" s="140" t="s">
        <v>1207</v>
      </c>
      <c r="H231" s="126">
        <v>1000000</v>
      </c>
    </row>
    <row r="232" spans="2:8" x14ac:dyDescent="0.3">
      <c r="B232" s="138" t="s">
        <v>824</v>
      </c>
      <c r="C232" s="140" t="s">
        <v>825</v>
      </c>
      <c r="D232" s="140">
        <v>2020</v>
      </c>
      <c r="E232" s="140" t="s">
        <v>826</v>
      </c>
      <c r="F232" s="140" t="s">
        <v>785</v>
      </c>
      <c r="G232" s="140" t="s">
        <v>1207</v>
      </c>
      <c r="H232" s="126">
        <v>1000000</v>
      </c>
    </row>
    <row r="233" spans="2:8" x14ac:dyDescent="0.3">
      <c r="B233" s="138" t="s">
        <v>319</v>
      </c>
      <c r="C233" s="140" t="s">
        <v>320</v>
      </c>
      <c r="D233" s="140">
        <v>2020</v>
      </c>
      <c r="E233" s="140" t="s">
        <v>987</v>
      </c>
      <c r="F233" s="140" t="s">
        <v>785</v>
      </c>
      <c r="G233" s="140" t="s">
        <v>1207</v>
      </c>
      <c r="H233" s="126">
        <v>1000000</v>
      </c>
    </row>
    <row r="234" spans="2:8" x14ac:dyDescent="0.3">
      <c r="B234" s="138" t="s">
        <v>1003</v>
      </c>
      <c r="C234" s="140" t="s">
        <v>1004</v>
      </c>
      <c r="D234" s="140">
        <v>2020</v>
      </c>
      <c r="E234" s="140" t="s">
        <v>1005</v>
      </c>
      <c r="F234" s="140" t="s">
        <v>763</v>
      </c>
      <c r="G234" s="140" t="s">
        <v>1207</v>
      </c>
      <c r="H234" s="126">
        <v>1000000</v>
      </c>
    </row>
    <row r="235" spans="2:8" x14ac:dyDescent="0.3">
      <c r="B235" s="138" t="s">
        <v>1003</v>
      </c>
      <c r="C235" s="140" t="s">
        <v>1004</v>
      </c>
      <c r="D235" s="140">
        <v>2020</v>
      </c>
      <c r="E235" s="140" t="s">
        <v>770</v>
      </c>
      <c r="F235" s="140" t="s">
        <v>763</v>
      </c>
      <c r="G235" s="140" t="s">
        <v>1207</v>
      </c>
      <c r="H235" s="126">
        <v>1000000</v>
      </c>
    </row>
    <row r="236" spans="2:8" x14ac:dyDescent="0.3">
      <c r="B236" s="138" t="s">
        <v>1003</v>
      </c>
      <c r="C236" s="140" t="s">
        <v>1004</v>
      </c>
      <c r="D236" s="140">
        <v>2020</v>
      </c>
      <c r="E236" s="140" t="s">
        <v>754</v>
      </c>
      <c r="F236" s="140" t="s">
        <v>763</v>
      </c>
      <c r="G236" s="140" t="s">
        <v>1207</v>
      </c>
      <c r="H236" s="126">
        <v>1000000</v>
      </c>
    </row>
    <row r="237" spans="2:8" x14ac:dyDescent="0.3">
      <c r="B237" s="138" t="s">
        <v>977</v>
      </c>
      <c r="C237" s="140" t="s">
        <v>978</v>
      </c>
      <c r="D237" s="140">
        <v>2020</v>
      </c>
      <c r="E237" s="140" t="s">
        <v>766</v>
      </c>
      <c r="F237" s="140" t="s">
        <v>763</v>
      </c>
      <c r="G237" s="140" t="s">
        <v>1207</v>
      </c>
      <c r="H237" s="126">
        <v>1000000</v>
      </c>
    </row>
    <row r="238" spans="2:8" x14ac:dyDescent="0.3">
      <c r="B238" s="138" t="s">
        <v>977</v>
      </c>
      <c r="C238" s="140" t="s">
        <v>978</v>
      </c>
      <c r="D238" s="140">
        <v>2020</v>
      </c>
      <c r="E238" s="140" t="s">
        <v>762</v>
      </c>
      <c r="F238" s="140" t="s">
        <v>763</v>
      </c>
      <c r="G238" s="140" t="s">
        <v>1207</v>
      </c>
      <c r="H238" s="126">
        <v>1000000</v>
      </c>
    </row>
    <row r="239" spans="2:8" x14ac:dyDescent="0.3">
      <c r="B239" s="138" t="s">
        <v>977</v>
      </c>
      <c r="C239" s="140" t="s">
        <v>979</v>
      </c>
      <c r="D239" s="140">
        <v>2020</v>
      </c>
      <c r="E239" s="140" t="s">
        <v>875</v>
      </c>
      <c r="F239" s="140" t="s">
        <v>763</v>
      </c>
      <c r="G239" s="140" t="s">
        <v>1207</v>
      </c>
      <c r="H239" s="126">
        <v>1000000</v>
      </c>
    </row>
    <row r="240" spans="2:8" x14ac:dyDescent="0.3">
      <c r="B240" s="138" t="s">
        <v>977</v>
      </c>
      <c r="C240" s="140" t="s">
        <v>979</v>
      </c>
      <c r="D240" s="140">
        <v>2020</v>
      </c>
      <c r="E240" s="140" t="s">
        <v>976</v>
      </c>
      <c r="F240" s="140" t="s">
        <v>763</v>
      </c>
      <c r="G240" s="140" t="s">
        <v>1207</v>
      </c>
      <c r="H240" s="126">
        <v>1000000</v>
      </c>
    </row>
    <row r="241" spans="2:8" x14ac:dyDescent="0.3">
      <c r="B241" s="138" t="s">
        <v>977</v>
      </c>
      <c r="C241" s="140" t="s">
        <v>979</v>
      </c>
      <c r="D241" s="140">
        <v>2020</v>
      </c>
      <c r="E241" s="140" t="s">
        <v>762</v>
      </c>
      <c r="F241" s="140" t="s">
        <v>763</v>
      </c>
      <c r="G241" s="140" t="s">
        <v>1207</v>
      </c>
      <c r="H241" s="126">
        <v>1000000</v>
      </c>
    </row>
    <row r="242" spans="2:8" x14ac:dyDescent="0.3">
      <c r="B242" s="138" t="s">
        <v>977</v>
      </c>
      <c r="C242" s="140" t="s">
        <v>979</v>
      </c>
      <c r="D242" s="140">
        <v>2020</v>
      </c>
      <c r="E242" s="140" t="s">
        <v>980</v>
      </c>
      <c r="F242" s="140" t="s">
        <v>763</v>
      </c>
      <c r="G242" s="140" t="s">
        <v>1207</v>
      </c>
      <c r="H242" s="126">
        <v>1000000</v>
      </c>
    </row>
    <row r="243" spans="2:8" x14ac:dyDescent="0.3">
      <c r="B243" s="138" t="s">
        <v>973</v>
      </c>
      <c r="C243" s="140" t="s">
        <v>975</v>
      </c>
      <c r="D243" s="140">
        <v>2020</v>
      </c>
      <c r="E243" s="140" t="s">
        <v>754</v>
      </c>
      <c r="F243" s="140" t="s">
        <v>763</v>
      </c>
      <c r="G243" s="140" t="s">
        <v>1207</v>
      </c>
      <c r="H243" s="126">
        <v>1000000</v>
      </c>
    </row>
    <row r="244" spans="2:8" x14ac:dyDescent="0.3">
      <c r="B244" s="138" t="s">
        <v>973</v>
      </c>
      <c r="C244" s="140" t="s">
        <v>975</v>
      </c>
      <c r="D244" s="140">
        <v>2020</v>
      </c>
      <c r="E244" s="140" t="s">
        <v>976</v>
      </c>
      <c r="F244" s="140" t="s">
        <v>763</v>
      </c>
      <c r="G244" s="140" t="s">
        <v>1207</v>
      </c>
      <c r="H244" s="126">
        <v>1000000</v>
      </c>
    </row>
    <row r="245" spans="2:8" x14ac:dyDescent="0.3">
      <c r="B245" s="138" t="s">
        <v>973</v>
      </c>
      <c r="C245" s="140" t="s">
        <v>974</v>
      </c>
      <c r="D245" s="140">
        <v>2020</v>
      </c>
      <c r="E245" s="140" t="s">
        <v>758</v>
      </c>
      <c r="F245" s="140" t="s">
        <v>763</v>
      </c>
      <c r="G245" s="140" t="s">
        <v>1207</v>
      </c>
      <c r="H245" s="126">
        <v>1500000</v>
      </c>
    </row>
    <row r="246" spans="2:8" x14ac:dyDescent="0.3">
      <c r="B246" s="138" t="s">
        <v>971</v>
      </c>
      <c r="C246" s="140" t="s">
        <v>972</v>
      </c>
      <c r="D246" s="140">
        <v>2020</v>
      </c>
      <c r="E246" s="140" t="s">
        <v>754</v>
      </c>
      <c r="F246" s="140" t="s">
        <v>763</v>
      </c>
      <c r="G246" s="140" t="s">
        <v>1207</v>
      </c>
      <c r="H246" s="126">
        <v>1000000</v>
      </c>
    </row>
    <row r="247" spans="2:8" x14ac:dyDescent="0.3">
      <c r="B247" s="138" t="s">
        <v>971</v>
      </c>
      <c r="C247" s="140" t="s">
        <v>972</v>
      </c>
      <c r="D247" s="140">
        <v>2020</v>
      </c>
      <c r="E247" s="140" t="s">
        <v>783</v>
      </c>
      <c r="F247" s="140" t="s">
        <v>763</v>
      </c>
      <c r="G247" s="140" t="s">
        <v>1207</v>
      </c>
      <c r="H247" s="126">
        <v>1000000</v>
      </c>
    </row>
    <row r="248" spans="2:8" x14ac:dyDescent="0.3">
      <c r="B248" s="138" t="s">
        <v>971</v>
      </c>
      <c r="C248" s="140" t="s">
        <v>972</v>
      </c>
      <c r="D248" s="140">
        <v>2020</v>
      </c>
      <c r="E248" s="140" t="s">
        <v>786</v>
      </c>
      <c r="F248" s="140" t="s">
        <v>763</v>
      </c>
      <c r="G248" s="140" t="s">
        <v>1207</v>
      </c>
      <c r="H248" s="126">
        <v>1000000</v>
      </c>
    </row>
    <row r="249" spans="2:8" x14ac:dyDescent="0.3">
      <c r="B249" s="138" t="s">
        <v>874</v>
      </c>
      <c r="C249" s="140" t="s">
        <v>891</v>
      </c>
      <c r="D249" s="140">
        <v>2020</v>
      </c>
      <c r="E249" s="140" t="s">
        <v>892</v>
      </c>
      <c r="F249" s="140" t="s">
        <v>763</v>
      </c>
      <c r="G249" s="140" t="s">
        <v>1207</v>
      </c>
      <c r="H249" s="126">
        <v>1500000</v>
      </c>
    </row>
    <row r="250" spans="2:8" x14ac:dyDescent="0.3">
      <c r="B250" s="138" t="s">
        <v>874</v>
      </c>
      <c r="C250" s="140" t="s">
        <v>893</v>
      </c>
      <c r="D250" s="140">
        <v>2020</v>
      </c>
      <c r="E250" s="140" t="s">
        <v>854</v>
      </c>
      <c r="F250" s="140" t="s">
        <v>763</v>
      </c>
      <c r="G250" s="140" t="s">
        <v>1207</v>
      </c>
      <c r="H250" s="126">
        <v>1500000</v>
      </c>
    </row>
    <row r="251" spans="2:8" x14ac:dyDescent="0.3">
      <c r="B251" s="138" t="s">
        <v>874</v>
      </c>
      <c r="C251" s="140" t="s">
        <v>888</v>
      </c>
      <c r="D251" s="140">
        <v>2020</v>
      </c>
      <c r="E251" s="140" t="s">
        <v>889</v>
      </c>
      <c r="F251" s="140" t="s">
        <v>763</v>
      </c>
      <c r="G251" s="140" t="s">
        <v>1207</v>
      </c>
      <c r="H251" s="126">
        <v>1500000</v>
      </c>
    </row>
    <row r="252" spans="2:8" x14ac:dyDescent="0.3">
      <c r="B252" s="138" t="s">
        <v>824</v>
      </c>
      <c r="C252" s="140" t="s">
        <v>825</v>
      </c>
      <c r="D252" s="140">
        <v>2020</v>
      </c>
      <c r="E252" s="140" t="s">
        <v>827</v>
      </c>
      <c r="F252" s="140" t="s">
        <v>763</v>
      </c>
      <c r="G252" s="140" t="s">
        <v>1207</v>
      </c>
      <c r="H252" s="126">
        <v>1000000</v>
      </c>
    </row>
    <row r="253" spans="2:8" x14ac:dyDescent="0.3">
      <c r="B253" s="138" t="s">
        <v>959</v>
      </c>
      <c r="C253" s="140" t="s">
        <v>960</v>
      </c>
      <c r="D253" s="140">
        <v>2020</v>
      </c>
      <c r="E253" s="140" t="s">
        <v>961</v>
      </c>
      <c r="F253" s="140" t="s">
        <v>763</v>
      </c>
      <c r="G253" s="140" t="s">
        <v>1207</v>
      </c>
      <c r="H253" s="126">
        <v>1000000</v>
      </c>
    </row>
    <row r="254" spans="2:8" x14ac:dyDescent="0.3">
      <c r="B254" s="138" t="s">
        <v>959</v>
      </c>
      <c r="C254" s="140" t="s">
        <v>960</v>
      </c>
      <c r="D254" s="140">
        <v>2020</v>
      </c>
      <c r="E254" s="140" t="s">
        <v>962</v>
      </c>
      <c r="F254" s="140" t="s">
        <v>763</v>
      </c>
      <c r="G254" s="140" t="s">
        <v>1207</v>
      </c>
      <c r="H254" s="126">
        <v>1000000</v>
      </c>
    </row>
    <row r="255" spans="2:8" x14ac:dyDescent="0.3">
      <c r="B255" s="138" t="s">
        <v>959</v>
      </c>
      <c r="C255" s="140" t="s">
        <v>960</v>
      </c>
      <c r="D255" s="140">
        <v>2020</v>
      </c>
      <c r="E255" s="140" t="s">
        <v>754</v>
      </c>
      <c r="F255" s="140" t="s">
        <v>763</v>
      </c>
      <c r="G255" s="140" t="s">
        <v>1207</v>
      </c>
      <c r="H255" s="126">
        <v>1000000</v>
      </c>
    </row>
    <row r="256" spans="2:8" x14ac:dyDescent="0.3">
      <c r="B256" s="138" t="s">
        <v>950</v>
      </c>
      <c r="C256" s="140" t="s">
        <v>956</v>
      </c>
      <c r="D256" s="140">
        <v>2020</v>
      </c>
      <c r="E256" s="140" t="s">
        <v>957</v>
      </c>
      <c r="F256" s="140" t="s">
        <v>763</v>
      </c>
      <c r="G256" s="140" t="s">
        <v>1207</v>
      </c>
      <c r="H256" s="126">
        <v>1000000</v>
      </c>
    </row>
    <row r="257" spans="2:8" x14ac:dyDescent="0.3">
      <c r="B257" s="138" t="s">
        <v>950</v>
      </c>
      <c r="C257" s="140" t="s">
        <v>956</v>
      </c>
      <c r="D257" s="140">
        <v>2020</v>
      </c>
      <c r="E257" s="140" t="s">
        <v>958</v>
      </c>
      <c r="F257" s="140" t="s">
        <v>763</v>
      </c>
      <c r="G257" s="140" t="s">
        <v>1207</v>
      </c>
      <c r="H257" s="126">
        <v>1000000</v>
      </c>
    </row>
    <row r="258" spans="2:8" x14ac:dyDescent="0.3">
      <c r="B258" s="138" t="s">
        <v>950</v>
      </c>
      <c r="C258" s="140" t="s">
        <v>956</v>
      </c>
      <c r="D258" s="140">
        <v>2020</v>
      </c>
      <c r="E258" s="140" t="s">
        <v>798</v>
      </c>
      <c r="F258" s="140" t="s">
        <v>763</v>
      </c>
      <c r="G258" s="140" t="s">
        <v>1207</v>
      </c>
      <c r="H258" s="126">
        <v>1000000</v>
      </c>
    </row>
    <row r="259" spans="2:8" x14ac:dyDescent="0.3">
      <c r="B259" s="138" t="s">
        <v>950</v>
      </c>
      <c r="C259" s="140" t="s">
        <v>953</v>
      </c>
      <c r="D259" s="140">
        <v>2020</v>
      </c>
      <c r="E259" s="140" t="s">
        <v>944</v>
      </c>
      <c r="F259" s="140" t="s">
        <v>763</v>
      </c>
      <c r="G259" s="140" t="s">
        <v>1207</v>
      </c>
      <c r="H259" s="126">
        <v>1000000</v>
      </c>
    </row>
    <row r="260" spans="2:8" x14ac:dyDescent="0.3">
      <c r="B260" s="138" t="s">
        <v>950</v>
      </c>
      <c r="C260" s="140" t="s">
        <v>953</v>
      </c>
      <c r="D260" s="140">
        <v>2020</v>
      </c>
      <c r="E260" s="140" t="s">
        <v>954</v>
      </c>
      <c r="F260" s="140" t="s">
        <v>763</v>
      </c>
      <c r="G260" s="140" t="s">
        <v>1207</v>
      </c>
      <c r="H260" s="126">
        <v>1000000</v>
      </c>
    </row>
    <row r="261" spans="2:8" x14ac:dyDescent="0.3">
      <c r="B261" s="138" t="s">
        <v>950</v>
      </c>
      <c r="C261" s="140" t="s">
        <v>953</v>
      </c>
      <c r="D261" s="140">
        <v>2020</v>
      </c>
      <c r="E261" s="140" t="s">
        <v>754</v>
      </c>
      <c r="F261" s="140" t="s">
        <v>763</v>
      </c>
      <c r="G261" s="140" t="s">
        <v>1207</v>
      </c>
      <c r="H261" s="126">
        <v>1000000</v>
      </c>
    </row>
    <row r="262" spans="2:8" x14ac:dyDescent="0.3">
      <c r="B262" s="138" t="s">
        <v>950</v>
      </c>
      <c r="C262" s="140" t="s">
        <v>953</v>
      </c>
      <c r="D262" s="140">
        <v>2020</v>
      </c>
      <c r="E262" s="140" t="s">
        <v>955</v>
      </c>
      <c r="F262" s="140" t="s">
        <v>763</v>
      </c>
      <c r="G262" s="140" t="s">
        <v>1207</v>
      </c>
      <c r="H262" s="126">
        <v>1000000</v>
      </c>
    </row>
    <row r="263" spans="2:8" x14ac:dyDescent="0.3">
      <c r="B263" s="138" t="s">
        <v>950</v>
      </c>
      <c r="C263" s="140" t="s">
        <v>951</v>
      </c>
      <c r="D263" s="140">
        <v>2020</v>
      </c>
      <c r="E263" s="140" t="s">
        <v>875</v>
      </c>
      <c r="F263" s="140" t="s">
        <v>763</v>
      </c>
      <c r="G263" s="140" t="s">
        <v>1207</v>
      </c>
      <c r="H263" s="126">
        <v>1000000</v>
      </c>
    </row>
    <row r="264" spans="2:8" x14ac:dyDescent="0.3">
      <c r="B264" s="138" t="s">
        <v>950</v>
      </c>
      <c r="C264" s="140" t="s">
        <v>951</v>
      </c>
      <c r="D264" s="140">
        <v>2020</v>
      </c>
      <c r="E264" s="140" t="s">
        <v>952</v>
      </c>
      <c r="F264" s="140" t="s">
        <v>763</v>
      </c>
      <c r="G264" s="140" t="s">
        <v>1207</v>
      </c>
      <c r="H264" s="126">
        <v>1000000</v>
      </c>
    </row>
    <row r="265" spans="2:8" x14ac:dyDescent="0.3">
      <c r="B265" s="138" t="s">
        <v>874</v>
      </c>
      <c r="C265" s="140" t="s">
        <v>890</v>
      </c>
      <c r="D265" s="140">
        <v>2020</v>
      </c>
      <c r="E265" s="140" t="s">
        <v>854</v>
      </c>
      <c r="F265" s="140" t="s">
        <v>763</v>
      </c>
      <c r="G265" s="140" t="s">
        <v>1207</v>
      </c>
      <c r="H265" s="126">
        <v>1500000</v>
      </c>
    </row>
    <row r="266" spans="2:8" x14ac:dyDescent="0.3">
      <c r="B266" s="138" t="s">
        <v>319</v>
      </c>
      <c r="C266" s="140" t="s">
        <v>320</v>
      </c>
      <c r="D266" s="140">
        <v>2020</v>
      </c>
      <c r="E266" s="140" t="s">
        <v>985</v>
      </c>
      <c r="F266" s="140" t="s">
        <v>763</v>
      </c>
      <c r="G266" s="140" t="s">
        <v>1207</v>
      </c>
      <c r="H266" s="126">
        <v>1000000</v>
      </c>
    </row>
    <row r="267" spans="2:8" x14ac:dyDescent="0.3">
      <c r="B267" s="138" t="s">
        <v>319</v>
      </c>
      <c r="C267" s="140" t="s">
        <v>320</v>
      </c>
      <c r="D267" s="140">
        <v>2020</v>
      </c>
      <c r="E267" s="140" t="s">
        <v>986</v>
      </c>
      <c r="F267" s="140" t="s">
        <v>763</v>
      </c>
      <c r="G267" s="140" t="s">
        <v>1207</v>
      </c>
      <c r="H267" s="126">
        <v>1000000</v>
      </c>
    </row>
    <row r="268" spans="2:8" x14ac:dyDescent="0.3">
      <c r="B268" s="138" t="s">
        <v>319</v>
      </c>
      <c r="C268" s="140" t="s">
        <v>981</v>
      </c>
      <c r="D268" s="140">
        <v>2020</v>
      </c>
      <c r="E268" s="140" t="s">
        <v>982</v>
      </c>
      <c r="F268" s="140" t="s">
        <v>763</v>
      </c>
      <c r="G268" s="140" t="s">
        <v>1207</v>
      </c>
      <c r="H268" s="126">
        <v>1000000</v>
      </c>
    </row>
    <row r="269" spans="2:8" x14ac:dyDescent="0.3">
      <c r="B269" s="138" t="s">
        <v>319</v>
      </c>
      <c r="C269" s="140" t="s">
        <v>981</v>
      </c>
      <c r="D269" s="140">
        <v>2020</v>
      </c>
      <c r="E269" s="140" t="s">
        <v>983</v>
      </c>
      <c r="F269" s="140" t="s">
        <v>763</v>
      </c>
      <c r="G269" s="140" t="s">
        <v>1207</v>
      </c>
      <c r="H269" s="126">
        <v>1000000</v>
      </c>
    </row>
    <row r="270" spans="2:8" x14ac:dyDescent="0.3">
      <c r="B270" s="138" t="s">
        <v>319</v>
      </c>
      <c r="C270" s="140" t="s">
        <v>981</v>
      </c>
      <c r="D270" s="140">
        <v>2020</v>
      </c>
      <c r="E270" s="140" t="s">
        <v>984</v>
      </c>
      <c r="F270" s="140" t="s">
        <v>763</v>
      </c>
      <c r="G270" s="140" t="s">
        <v>1207</v>
      </c>
      <c r="H270" s="126">
        <v>1000000</v>
      </c>
    </row>
    <row r="271" spans="2:8" x14ac:dyDescent="0.3">
      <c r="B271" s="138" t="s">
        <v>319</v>
      </c>
      <c r="C271" s="140" t="s">
        <v>341</v>
      </c>
      <c r="D271" s="140">
        <v>2020</v>
      </c>
      <c r="E271" s="140" t="s">
        <v>989</v>
      </c>
      <c r="F271" s="140" t="s">
        <v>763</v>
      </c>
      <c r="G271" s="140" t="s">
        <v>1207</v>
      </c>
      <c r="H271" s="126">
        <v>1000000</v>
      </c>
    </row>
    <row r="272" spans="2:8" x14ac:dyDescent="0.3">
      <c r="B272" s="138" t="s">
        <v>319</v>
      </c>
      <c r="C272" s="140" t="s">
        <v>341</v>
      </c>
      <c r="D272" s="140">
        <v>2020</v>
      </c>
      <c r="E272" s="140" t="s">
        <v>990</v>
      </c>
      <c r="F272" s="140" t="s">
        <v>763</v>
      </c>
      <c r="G272" s="140" t="s">
        <v>1207</v>
      </c>
      <c r="H272" s="126">
        <v>1000000</v>
      </c>
    </row>
    <row r="273" spans="2:8" x14ac:dyDescent="0.3">
      <c r="B273" s="138" t="s">
        <v>993</v>
      </c>
      <c r="C273" s="140" t="s">
        <v>994</v>
      </c>
      <c r="D273" s="140">
        <v>2020</v>
      </c>
      <c r="E273" s="140" t="s">
        <v>995</v>
      </c>
      <c r="F273" s="140" t="s">
        <v>763</v>
      </c>
      <c r="G273" s="140" t="s">
        <v>1207</v>
      </c>
      <c r="H273" s="126">
        <v>1000000</v>
      </c>
    </row>
    <row r="274" spans="2:8" x14ac:dyDescent="0.3">
      <c r="B274" s="138" t="s">
        <v>993</v>
      </c>
      <c r="C274" s="140" t="s">
        <v>994</v>
      </c>
      <c r="D274" s="140">
        <v>2020</v>
      </c>
      <c r="E274" s="140" t="s">
        <v>875</v>
      </c>
      <c r="F274" s="140" t="s">
        <v>763</v>
      </c>
      <c r="G274" s="140" t="s">
        <v>1207</v>
      </c>
      <c r="H274" s="126">
        <v>1000000</v>
      </c>
    </row>
    <row r="275" spans="2:8" x14ac:dyDescent="0.3">
      <c r="B275" s="138" t="s">
        <v>993</v>
      </c>
      <c r="C275" s="140" t="s">
        <v>994</v>
      </c>
      <c r="D275" s="140">
        <v>2020</v>
      </c>
      <c r="E275" s="140" t="s">
        <v>996</v>
      </c>
      <c r="F275" s="140" t="s">
        <v>763</v>
      </c>
      <c r="G275" s="140" t="s">
        <v>1207</v>
      </c>
      <c r="H275" s="126">
        <v>1000000</v>
      </c>
    </row>
    <row r="276" spans="2:8" x14ac:dyDescent="0.3">
      <c r="B276" s="138" t="s">
        <v>993</v>
      </c>
      <c r="C276" s="140" t="s">
        <v>997</v>
      </c>
      <c r="D276" s="140">
        <v>2020</v>
      </c>
      <c r="E276" s="140" t="s">
        <v>995</v>
      </c>
      <c r="F276" s="140" t="s">
        <v>763</v>
      </c>
      <c r="G276" s="140" t="s">
        <v>1207</v>
      </c>
      <c r="H276" s="126">
        <v>1000000</v>
      </c>
    </row>
    <row r="277" spans="2:8" x14ac:dyDescent="0.3">
      <c r="B277" s="138" t="s">
        <v>993</v>
      </c>
      <c r="C277" s="140" t="s">
        <v>997</v>
      </c>
      <c r="D277" s="140">
        <v>2020</v>
      </c>
      <c r="E277" s="140" t="s">
        <v>875</v>
      </c>
      <c r="F277" s="140" t="s">
        <v>763</v>
      </c>
      <c r="G277" s="140" t="s">
        <v>1207</v>
      </c>
      <c r="H277" s="126">
        <v>1000000</v>
      </c>
    </row>
    <row r="278" spans="2:8" x14ac:dyDescent="0.3">
      <c r="B278" s="138" t="s">
        <v>993</v>
      </c>
      <c r="C278" s="140" t="s">
        <v>997</v>
      </c>
      <c r="D278" s="140">
        <v>2020</v>
      </c>
      <c r="E278" s="140" t="s">
        <v>996</v>
      </c>
      <c r="F278" s="140" t="s">
        <v>763</v>
      </c>
      <c r="G278" s="140" t="s">
        <v>1207</v>
      </c>
      <c r="H278" s="126">
        <v>1000000</v>
      </c>
    </row>
    <row r="279" spans="2:8" x14ac:dyDescent="0.3">
      <c r="B279" s="138" t="s">
        <v>319</v>
      </c>
      <c r="C279" s="140" t="s">
        <v>330</v>
      </c>
      <c r="D279" s="140">
        <v>2020</v>
      </c>
      <c r="E279" s="140" t="s">
        <v>985</v>
      </c>
      <c r="F279" s="140" t="s">
        <v>763</v>
      </c>
      <c r="G279" s="140" t="s">
        <v>1207</v>
      </c>
      <c r="H279" s="126">
        <v>1000000</v>
      </c>
    </row>
    <row r="280" spans="2:8" x14ac:dyDescent="0.3">
      <c r="B280" s="138" t="s">
        <v>319</v>
      </c>
      <c r="C280" s="140" t="s">
        <v>330</v>
      </c>
      <c r="D280" s="140">
        <v>2020</v>
      </c>
      <c r="E280" s="140" t="s">
        <v>987</v>
      </c>
      <c r="F280" s="140" t="s">
        <v>763</v>
      </c>
      <c r="G280" s="140" t="s">
        <v>1207</v>
      </c>
      <c r="H280" s="126">
        <v>1000000</v>
      </c>
    </row>
    <row r="281" spans="2:8" x14ac:dyDescent="0.3">
      <c r="B281" s="138" t="s">
        <v>319</v>
      </c>
      <c r="C281" s="140" t="s">
        <v>330</v>
      </c>
      <c r="D281" s="140">
        <v>2020</v>
      </c>
      <c r="E281" s="140" t="s">
        <v>988</v>
      </c>
      <c r="F281" s="140" t="s">
        <v>763</v>
      </c>
      <c r="G281" s="140" t="s">
        <v>1207</v>
      </c>
      <c r="H281" s="126">
        <v>1000000</v>
      </c>
    </row>
    <row r="282" spans="2:8" x14ac:dyDescent="0.3">
      <c r="B282" s="138" t="s">
        <v>998</v>
      </c>
      <c r="C282" s="140" t="s">
        <v>999</v>
      </c>
      <c r="D282" s="140">
        <v>2020</v>
      </c>
      <c r="E282" s="140" t="s">
        <v>754</v>
      </c>
      <c r="F282" s="140" t="s">
        <v>763</v>
      </c>
      <c r="G282" s="140" t="s">
        <v>1207</v>
      </c>
      <c r="H282" s="126">
        <v>1000000</v>
      </c>
    </row>
    <row r="283" spans="2:8" x14ac:dyDescent="0.3">
      <c r="B283" s="138" t="s">
        <v>998</v>
      </c>
      <c r="C283" s="140" t="s">
        <v>999</v>
      </c>
      <c r="D283" s="140">
        <v>2020</v>
      </c>
      <c r="E283" s="140" t="s">
        <v>783</v>
      </c>
      <c r="F283" s="140" t="s">
        <v>763</v>
      </c>
      <c r="G283" s="140" t="s">
        <v>1207</v>
      </c>
      <c r="H283" s="126">
        <v>1000000</v>
      </c>
    </row>
    <row r="284" spans="2:8" x14ac:dyDescent="0.3">
      <c r="B284" s="138" t="s">
        <v>998</v>
      </c>
      <c r="C284" s="140" t="s">
        <v>999</v>
      </c>
      <c r="D284" s="140">
        <v>2020</v>
      </c>
      <c r="E284" s="140" t="s">
        <v>786</v>
      </c>
      <c r="F284" s="140" t="s">
        <v>763</v>
      </c>
      <c r="G284" s="140" t="s">
        <v>1207</v>
      </c>
      <c r="H284" s="126">
        <v>1000000</v>
      </c>
    </row>
    <row r="285" spans="2:8" x14ac:dyDescent="0.3">
      <c r="B285" s="138" t="s">
        <v>1012</v>
      </c>
      <c r="C285" s="140" t="s">
        <v>1013</v>
      </c>
      <c r="D285" s="140">
        <v>2021</v>
      </c>
      <c r="E285" s="140" t="s">
        <v>856</v>
      </c>
      <c r="F285" s="140" t="s">
        <v>859</v>
      </c>
      <c r="G285" s="140" t="s">
        <v>1207</v>
      </c>
      <c r="H285" s="126">
        <v>500000</v>
      </c>
    </row>
    <row r="286" spans="2:8" x14ac:dyDescent="0.3">
      <c r="B286" s="138" t="s">
        <v>1012</v>
      </c>
      <c r="C286" s="140" t="s">
        <v>1013</v>
      </c>
      <c r="D286" s="140">
        <v>2021</v>
      </c>
      <c r="E286" s="140" t="s">
        <v>856</v>
      </c>
      <c r="F286" s="140" t="s">
        <v>859</v>
      </c>
      <c r="G286" s="140" t="s">
        <v>1207</v>
      </c>
      <c r="H286" s="126">
        <v>500000</v>
      </c>
    </row>
    <row r="287" spans="2:8" x14ac:dyDescent="0.3">
      <c r="B287" s="138" t="s">
        <v>436</v>
      </c>
      <c r="C287" s="140" t="s">
        <v>1022</v>
      </c>
      <c r="D287" s="140">
        <v>2021</v>
      </c>
      <c r="E287" s="140" t="str">
        <f t="shared" ref="E287:E297" si="0">E286</f>
        <v>B4F 기계실</v>
      </c>
      <c r="F287" s="140" t="s">
        <v>859</v>
      </c>
      <c r="G287" s="140" t="s">
        <v>1207</v>
      </c>
      <c r="H287" s="126">
        <v>500000</v>
      </c>
    </row>
    <row r="288" spans="2:8" x14ac:dyDescent="0.3">
      <c r="B288" s="138" t="s">
        <v>436</v>
      </c>
      <c r="C288" s="140" t="s">
        <v>1022</v>
      </c>
      <c r="D288" s="140">
        <v>2021</v>
      </c>
      <c r="E288" s="140" t="str">
        <f t="shared" si="0"/>
        <v>B4F 기계실</v>
      </c>
      <c r="F288" s="140" t="s">
        <v>859</v>
      </c>
      <c r="G288" s="140" t="s">
        <v>1207</v>
      </c>
      <c r="H288" s="126">
        <v>500000</v>
      </c>
    </row>
    <row r="289" spans="2:8" x14ac:dyDescent="0.3">
      <c r="B289" s="138" t="s">
        <v>436</v>
      </c>
      <c r="C289" s="140" t="s">
        <v>1022</v>
      </c>
      <c r="D289" s="140">
        <v>2021</v>
      </c>
      <c r="E289" s="140" t="str">
        <f t="shared" si="0"/>
        <v>B4F 기계실</v>
      </c>
      <c r="F289" s="140" t="s">
        <v>859</v>
      </c>
      <c r="G289" s="140" t="s">
        <v>1207</v>
      </c>
      <c r="H289" s="126">
        <v>500000</v>
      </c>
    </row>
    <row r="290" spans="2:8" x14ac:dyDescent="0.3">
      <c r="B290" s="138" t="s">
        <v>436</v>
      </c>
      <c r="C290" s="140" t="s">
        <v>1022</v>
      </c>
      <c r="D290" s="140">
        <v>2021</v>
      </c>
      <c r="E290" s="140" t="str">
        <f t="shared" si="0"/>
        <v>B4F 기계실</v>
      </c>
      <c r="F290" s="140" t="s">
        <v>859</v>
      </c>
      <c r="G290" s="140" t="s">
        <v>1207</v>
      </c>
      <c r="H290" s="126">
        <v>500000</v>
      </c>
    </row>
    <row r="291" spans="2:8" x14ac:dyDescent="0.3">
      <c r="B291" s="138" t="s">
        <v>436</v>
      </c>
      <c r="C291" s="140" t="s">
        <v>1022</v>
      </c>
      <c r="D291" s="140">
        <v>2021</v>
      </c>
      <c r="E291" s="140" t="str">
        <f t="shared" si="0"/>
        <v>B4F 기계실</v>
      </c>
      <c r="F291" s="140" t="s">
        <v>859</v>
      </c>
      <c r="G291" s="140" t="s">
        <v>1207</v>
      </c>
      <c r="H291" s="126">
        <v>500000</v>
      </c>
    </row>
    <row r="292" spans="2:8" x14ac:dyDescent="0.3">
      <c r="B292" s="138" t="s">
        <v>429</v>
      </c>
      <c r="C292" s="140" t="s">
        <v>1017</v>
      </c>
      <c r="D292" s="140">
        <v>2021</v>
      </c>
      <c r="E292" s="140" t="str">
        <f t="shared" si="0"/>
        <v>B4F 기계실</v>
      </c>
      <c r="F292" s="140" t="s">
        <v>859</v>
      </c>
      <c r="G292" s="140" t="s">
        <v>1207</v>
      </c>
      <c r="H292" s="126">
        <v>500000</v>
      </c>
    </row>
    <row r="293" spans="2:8" x14ac:dyDescent="0.3">
      <c r="B293" s="138" t="s">
        <v>429</v>
      </c>
      <c r="C293" s="140" t="s">
        <v>1017</v>
      </c>
      <c r="D293" s="140">
        <v>2021</v>
      </c>
      <c r="E293" s="140" t="str">
        <f t="shared" si="0"/>
        <v>B4F 기계실</v>
      </c>
      <c r="F293" s="140" t="s">
        <v>859</v>
      </c>
      <c r="G293" s="140" t="s">
        <v>1207</v>
      </c>
      <c r="H293" s="126">
        <v>500000</v>
      </c>
    </row>
    <row r="294" spans="2:8" x14ac:dyDescent="0.3">
      <c r="B294" s="138" t="s">
        <v>429</v>
      </c>
      <c r="C294" s="140" t="s">
        <v>1017</v>
      </c>
      <c r="D294" s="140">
        <v>2021</v>
      </c>
      <c r="E294" s="140" t="str">
        <f t="shared" si="0"/>
        <v>B4F 기계실</v>
      </c>
      <c r="F294" s="140" t="s">
        <v>859</v>
      </c>
      <c r="G294" s="140" t="s">
        <v>1207</v>
      </c>
      <c r="H294" s="126">
        <v>500000</v>
      </c>
    </row>
    <row r="295" spans="2:8" x14ac:dyDescent="0.3">
      <c r="B295" s="138" t="s">
        <v>429</v>
      </c>
      <c r="C295" s="140" t="s">
        <v>1017</v>
      </c>
      <c r="D295" s="140">
        <v>2021</v>
      </c>
      <c r="E295" s="140" t="str">
        <f t="shared" si="0"/>
        <v>B4F 기계실</v>
      </c>
      <c r="F295" s="140" t="s">
        <v>859</v>
      </c>
      <c r="G295" s="140" t="s">
        <v>1207</v>
      </c>
      <c r="H295" s="126">
        <v>500000</v>
      </c>
    </row>
    <row r="296" spans="2:8" x14ac:dyDescent="0.3">
      <c r="B296" s="138" t="s">
        <v>429</v>
      </c>
      <c r="C296" s="140" t="s">
        <v>1017</v>
      </c>
      <c r="D296" s="140">
        <v>2021</v>
      </c>
      <c r="E296" s="140" t="str">
        <f t="shared" si="0"/>
        <v>B4F 기계실</v>
      </c>
      <c r="F296" s="140" t="s">
        <v>859</v>
      </c>
      <c r="G296" s="140" t="s">
        <v>1207</v>
      </c>
      <c r="H296" s="126">
        <v>500000</v>
      </c>
    </row>
    <row r="297" spans="2:8" x14ac:dyDescent="0.3">
      <c r="B297" s="138" t="s">
        <v>429</v>
      </c>
      <c r="C297" s="140" t="s">
        <v>1017</v>
      </c>
      <c r="D297" s="140">
        <v>2021</v>
      </c>
      <c r="E297" s="140" t="str">
        <f t="shared" si="0"/>
        <v>B4F 기계실</v>
      </c>
      <c r="F297" s="140" t="s">
        <v>859</v>
      </c>
      <c r="G297" s="140" t="s">
        <v>1207</v>
      </c>
      <c r="H297" s="126">
        <v>500000</v>
      </c>
    </row>
    <row r="298" spans="2:8" x14ac:dyDescent="0.3">
      <c r="B298" s="138" t="s">
        <v>1012</v>
      </c>
      <c r="C298" s="140" t="s">
        <v>1013</v>
      </c>
      <c r="D298" s="140">
        <v>2021</v>
      </c>
      <c r="E298" s="140" t="s">
        <v>1014</v>
      </c>
      <c r="F298" s="140" t="s">
        <v>767</v>
      </c>
      <c r="G298" s="140" t="s">
        <v>1207</v>
      </c>
      <c r="H298" s="126">
        <v>1000000</v>
      </c>
    </row>
    <row r="299" spans="2:8" x14ac:dyDescent="0.3">
      <c r="B299" s="138" t="s">
        <v>1012</v>
      </c>
      <c r="C299" s="140" t="s">
        <v>1013</v>
      </c>
      <c r="D299" s="140">
        <v>2021</v>
      </c>
      <c r="E299" s="140" t="s">
        <v>921</v>
      </c>
      <c r="F299" s="140" t="s">
        <v>767</v>
      </c>
      <c r="G299" s="140" t="s">
        <v>1207</v>
      </c>
      <c r="H299" s="126">
        <v>1000000</v>
      </c>
    </row>
    <row r="300" spans="2:8" x14ac:dyDescent="0.3">
      <c r="B300" s="138" t="s">
        <v>1012</v>
      </c>
      <c r="C300" s="140" t="s">
        <v>1013</v>
      </c>
      <c r="D300" s="140">
        <v>2021</v>
      </c>
      <c r="E300" s="140" t="s">
        <v>920</v>
      </c>
      <c r="F300" s="140" t="s">
        <v>767</v>
      </c>
      <c r="G300" s="140" t="s">
        <v>1207</v>
      </c>
      <c r="H300" s="126">
        <v>1000000</v>
      </c>
    </row>
    <row r="301" spans="2:8" x14ac:dyDescent="0.3">
      <c r="B301" s="138" t="s">
        <v>1006</v>
      </c>
      <c r="C301" s="140" t="s">
        <v>1007</v>
      </c>
      <c r="D301" s="140">
        <v>2021</v>
      </c>
      <c r="E301" s="140" t="s">
        <v>1008</v>
      </c>
      <c r="F301" s="140" t="s">
        <v>767</v>
      </c>
      <c r="G301" s="140" t="s">
        <v>1207</v>
      </c>
      <c r="H301" s="126">
        <v>1000000</v>
      </c>
    </row>
    <row r="302" spans="2:8" x14ac:dyDescent="0.3">
      <c r="B302" s="138" t="s">
        <v>1006</v>
      </c>
      <c r="C302" s="140" t="s">
        <v>1007</v>
      </c>
      <c r="D302" s="140">
        <v>2021</v>
      </c>
      <c r="E302" s="140" t="s">
        <v>1009</v>
      </c>
      <c r="F302" s="140" t="s">
        <v>767</v>
      </c>
      <c r="G302" s="140" t="s">
        <v>1207</v>
      </c>
      <c r="H302" s="126">
        <v>1000000</v>
      </c>
    </row>
    <row r="303" spans="2:8" x14ac:dyDescent="0.3">
      <c r="B303" s="138" t="s">
        <v>1006</v>
      </c>
      <c r="C303" s="140" t="s">
        <v>1007</v>
      </c>
      <c r="D303" s="140">
        <v>2021</v>
      </c>
      <c r="E303" s="140" t="s">
        <v>912</v>
      </c>
      <c r="F303" s="140" t="s">
        <v>767</v>
      </c>
      <c r="G303" s="140" t="s">
        <v>1207</v>
      </c>
      <c r="H303" s="126">
        <v>1000000</v>
      </c>
    </row>
    <row r="304" spans="2:8" x14ac:dyDescent="0.3">
      <c r="B304" s="138" t="s">
        <v>1006</v>
      </c>
      <c r="C304" s="140" t="s">
        <v>1007</v>
      </c>
      <c r="D304" s="140">
        <v>2021</v>
      </c>
      <c r="E304" s="140" t="s">
        <v>1010</v>
      </c>
      <c r="F304" s="140" t="s">
        <v>767</v>
      </c>
      <c r="G304" s="140" t="s">
        <v>1207</v>
      </c>
      <c r="H304" s="126">
        <v>1000000</v>
      </c>
    </row>
    <row r="305" spans="2:8" x14ac:dyDescent="0.3">
      <c r="B305" s="138" t="s">
        <v>1006</v>
      </c>
      <c r="C305" s="140" t="s">
        <v>1007</v>
      </c>
      <c r="D305" s="140">
        <v>2021</v>
      </c>
      <c r="E305" s="140" t="s">
        <v>1011</v>
      </c>
      <c r="F305" s="140" t="s">
        <v>767</v>
      </c>
      <c r="G305" s="140" t="s">
        <v>1207</v>
      </c>
      <c r="H305" s="126">
        <v>1000000</v>
      </c>
    </row>
    <row r="306" spans="2:8" x14ac:dyDescent="0.3">
      <c r="B306" s="138" t="s">
        <v>436</v>
      </c>
      <c r="C306" s="140" t="s">
        <v>1022</v>
      </c>
      <c r="D306" s="140">
        <v>2021</v>
      </c>
      <c r="E306" s="140" t="s">
        <v>1023</v>
      </c>
      <c r="F306" s="140" t="s">
        <v>767</v>
      </c>
      <c r="G306" s="140" t="s">
        <v>1207</v>
      </c>
      <c r="H306" s="126">
        <v>1000000</v>
      </c>
    </row>
    <row r="307" spans="2:8" x14ac:dyDescent="0.3">
      <c r="B307" s="138" t="s">
        <v>436</v>
      </c>
      <c r="C307" s="140" t="s">
        <v>1022</v>
      </c>
      <c r="D307" s="140">
        <v>2021</v>
      </c>
      <c r="E307" s="140" t="s">
        <v>1024</v>
      </c>
      <c r="F307" s="140" t="s">
        <v>767</v>
      </c>
      <c r="G307" s="140" t="s">
        <v>1207</v>
      </c>
      <c r="H307" s="126">
        <v>1000000</v>
      </c>
    </row>
    <row r="308" spans="2:8" x14ac:dyDescent="0.3">
      <c r="B308" s="138" t="s">
        <v>436</v>
      </c>
      <c r="C308" s="140" t="s">
        <v>1022</v>
      </c>
      <c r="D308" s="140">
        <v>2021</v>
      </c>
      <c r="E308" s="140" t="s">
        <v>1025</v>
      </c>
      <c r="F308" s="140" t="s">
        <v>767</v>
      </c>
      <c r="G308" s="140" t="s">
        <v>1207</v>
      </c>
      <c r="H308" s="126">
        <v>1000000</v>
      </c>
    </row>
    <row r="309" spans="2:8" x14ac:dyDescent="0.3">
      <c r="B309" s="138" t="s">
        <v>436</v>
      </c>
      <c r="C309" s="140" t="s">
        <v>1022</v>
      </c>
      <c r="D309" s="140">
        <v>2021</v>
      </c>
      <c r="E309" s="140" t="s">
        <v>1026</v>
      </c>
      <c r="F309" s="140" t="s">
        <v>767</v>
      </c>
      <c r="G309" s="140" t="s">
        <v>1207</v>
      </c>
      <c r="H309" s="126">
        <v>1000000</v>
      </c>
    </row>
    <row r="310" spans="2:8" x14ac:dyDescent="0.3">
      <c r="B310" s="138" t="s">
        <v>436</v>
      </c>
      <c r="C310" s="140" t="s">
        <v>1022</v>
      </c>
      <c r="D310" s="140">
        <v>2021</v>
      </c>
      <c r="E310" s="140" t="s">
        <v>1027</v>
      </c>
      <c r="F310" s="140" t="s">
        <v>767</v>
      </c>
      <c r="G310" s="140" t="s">
        <v>1207</v>
      </c>
      <c r="H310" s="126">
        <v>1000000</v>
      </c>
    </row>
    <row r="311" spans="2:8" x14ac:dyDescent="0.3">
      <c r="B311" s="138" t="s">
        <v>1225</v>
      </c>
      <c r="C311" s="140" t="s">
        <v>1225</v>
      </c>
      <c r="D311" s="140">
        <v>2021</v>
      </c>
      <c r="E311" s="140" t="s">
        <v>912</v>
      </c>
      <c r="F311" s="140" t="s">
        <v>767</v>
      </c>
      <c r="G311" s="140" t="s">
        <v>1207</v>
      </c>
      <c r="H311" s="126">
        <v>1500000</v>
      </c>
    </row>
    <row r="312" spans="2:8" x14ac:dyDescent="0.3">
      <c r="B312" s="138" t="s">
        <v>1224</v>
      </c>
      <c r="C312" s="140" t="s">
        <v>1223</v>
      </c>
      <c r="D312" s="140">
        <v>2021</v>
      </c>
      <c r="E312" s="140" t="s">
        <v>1165</v>
      </c>
      <c r="F312" s="140" t="s">
        <v>767</v>
      </c>
      <c r="G312" s="140" t="s">
        <v>1207</v>
      </c>
      <c r="H312" s="126">
        <v>1500000</v>
      </c>
    </row>
    <row r="313" spans="2:8" x14ac:dyDescent="0.3">
      <c r="B313" s="138" t="s">
        <v>1222</v>
      </c>
      <c r="C313" s="140" t="s">
        <v>1222</v>
      </c>
      <c r="D313" s="140">
        <v>2021</v>
      </c>
      <c r="E313" s="140" t="s">
        <v>1164</v>
      </c>
      <c r="F313" s="140" t="s">
        <v>767</v>
      </c>
      <c r="G313" s="140" t="s">
        <v>1207</v>
      </c>
      <c r="H313" s="126">
        <v>1500000</v>
      </c>
    </row>
    <row r="314" spans="2:8" x14ac:dyDescent="0.3">
      <c r="B314" s="138" t="s">
        <v>1221</v>
      </c>
      <c r="C314" s="140" t="s">
        <v>1221</v>
      </c>
      <c r="D314" s="140">
        <v>2021</v>
      </c>
      <c r="E314" s="140" t="s">
        <v>1161</v>
      </c>
      <c r="F314" s="140" t="s">
        <v>767</v>
      </c>
      <c r="G314" s="140" t="s">
        <v>1207</v>
      </c>
      <c r="H314" s="126">
        <v>1500000</v>
      </c>
    </row>
    <row r="315" spans="2:8" x14ac:dyDescent="0.3">
      <c r="B315" s="138" t="s">
        <v>550</v>
      </c>
      <c r="C315" s="140" t="s">
        <v>550</v>
      </c>
      <c r="D315" s="140">
        <v>2021</v>
      </c>
      <c r="E315" s="140" t="s">
        <v>1167</v>
      </c>
      <c r="F315" s="140" t="s">
        <v>767</v>
      </c>
      <c r="G315" s="140" t="s">
        <v>1207</v>
      </c>
      <c r="H315" s="126">
        <v>1000000</v>
      </c>
    </row>
    <row r="316" spans="2:8" x14ac:dyDescent="0.3">
      <c r="B316" s="138" t="s">
        <v>550</v>
      </c>
      <c r="C316" s="140" t="s">
        <v>550</v>
      </c>
      <c r="D316" s="140">
        <v>2021</v>
      </c>
      <c r="E316" s="140" t="s">
        <v>1168</v>
      </c>
      <c r="F316" s="140" t="s">
        <v>767</v>
      </c>
      <c r="G316" s="140" t="s">
        <v>1207</v>
      </c>
      <c r="H316" s="126">
        <v>1000000</v>
      </c>
    </row>
    <row r="317" spans="2:8" x14ac:dyDescent="0.3">
      <c r="B317" s="138" t="s">
        <v>550</v>
      </c>
      <c r="C317" s="140" t="s">
        <v>550</v>
      </c>
      <c r="D317" s="140">
        <v>2021</v>
      </c>
      <c r="E317" s="140" t="s">
        <v>1169</v>
      </c>
      <c r="F317" s="140" t="s">
        <v>767</v>
      </c>
      <c r="G317" s="140" t="s">
        <v>1207</v>
      </c>
      <c r="H317" s="126">
        <v>1000000</v>
      </c>
    </row>
    <row r="318" spans="2:8" x14ac:dyDescent="0.3">
      <c r="B318" s="138" t="s">
        <v>1220</v>
      </c>
      <c r="C318" s="140" t="s">
        <v>1220</v>
      </c>
      <c r="D318" s="140">
        <v>2021</v>
      </c>
      <c r="E318" s="140" t="s">
        <v>1156</v>
      </c>
      <c r="F318" s="140" t="s">
        <v>767</v>
      </c>
      <c r="G318" s="140" t="s">
        <v>1207</v>
      </c>
      <c r="H318" s="126">
        <v>1500000</v>
      </c>
    </row>
    <row r="319" spans="2:8" x14ac:dyDescent="0.3">
      <c r="B319" s="138" t="s">
        <v>1219</v>
      </c>
      <c r="C319" s="140" t="s">
        <v>1219</v>
      </c>
      <c r="D319" s="140">
        <v>2021</v>
      </c>
      <c r="E319" s="140" t="s">
        <v>1156</v>
      </c>
      <c r="F319" s="140" t="s">
        <v>767</v>
      </c>
      <c r="G319" s="140" t="s">
        <v>1207</v>
      </c>
      <c r="H319" s="126">
        <v>1500000</v>
      </c>
    </row>
    <row r="320" spans="2:8" x14ac:dyDescent="0.3">
      <c r="B320" s="138" t="s">
        <v>1218</v>
      </c>
      <c r="C320" s="140" t="s">
        <v>1218</v>
      </c>
      <c r="D320" s="140">
        <v>2021</v>
      </c>
      <c r="E320" s="140" t="s">
        <v>1160</v>
      </c>
      <c r="F320" s="140" t="s">
        <v>767</v>
      </c>
      <c r="G320" s="140" t="s">
        <v>1207</v>
      </c>
      <c r="H320" s="126">
        <v>1500000</v>
      </c>
    </row>
    <row r="321" spans="2:10" x14ac:dyDescent="0.3">
      <c r="B321" s="138" t="s">
        <v>1217</v>
      </c>
      <c r="C321" s="140" t="s">
        <v>1217</v>
      </c>
      <c r="D321" s="140">
        <v>2021</v>
      </c>
      <c r="E321" s="140" t="s">
        <v>1156</v>
      </c>
      <c r="F321" s="140" t="s">
        <v>767</v>
      </c>
      <c r="G321" s="140" t="s">
        <v>1207</v>
      </c>
      <c r="H321" s="126">
        <v>1500000</v>
      </c>
    </row>
    <row r="322" spans="2:10" x14ac:dyDescent="0.3">
      <c r="B322" s="138" t="s">
        <v>1216</v>
      </c>
      <c r="C322" s="140" t="s">
        <v>1166</v>
      </c>
      <c r="D322" s="140">
        <v>2021</v>
      </c>
      <c r="E322" s="140" t="s">
        <v>912</v>
      </c>
      <c r="F322" s="140" t="s">
        <v>767</v>
      </c>
      <c r="G322" s="140" t="s">
        <v>1207</v>
      </c>
      <c r="H322" s="126">
        <v>1500000</v>
      </c>
    </row>
    <row r="323" spans="2:10" x14ac:dyDescent="0.3">
      <c r="B323" s="138" t="s">
        <v>1215</v>
      </c>
      <c r="C323" s="140" t="s">
        <v>1215</v>
      </c>
      <c r="D323" s="140">
        <v>2021</v>
      </c>
      <c r="E323" s="140" t="s">
        <v>1162</v>
      </c>
      <c r="F323" s="140" t="s">
        <v>767</v>
      </c>
      <c r="G323" s="140" t="s">
        <v>1207</v>
      </c>
      <c r="H323" s="126">
        <v>1500000</v>
      </c>
    </row>
    <row r="324" spans="2:10" x14ac:dyDescent="0.3">
      <c r="B324" s="138" t="s">
        <v>1064</v>
      </c>
      <c r="C324" s="140" t="s">
        <v>1065</v>
      </c>
      <c r="D324" s="140">
        <v>2021</v>
      </c>
      <c r="E324" s="140" t="s">
        <v>1086</v>
      </c>
      <c r="F324" s="140" t="s">
        <v>767</v>
      </c>
      <c r="G324" s="140" t="s">
        <v>1207</v>
      </c>
      <c r="H324" s="126">
        <v>1000000</v>
      </c>
    </row>
    <row r="325" spans="2:10" x14ac:dyDescent="0.3">
      <c r="B325" s="138" t="s">
        <v>1064</v>
      </c>
      <c r="C325" s="140" t="s">
        <v>1065</v>
      </c>
      <c r="D325" s="140">
        <v>2021</v>
      </c>
      <c r="E325" s="140" t="s">
        <v>1087</v>
      </c>
      <c r="F325" s="140" t="s">
        <v>767</v>
      </c>
      <c r="G325" s="140" t="s">
        <v>1207</v>
      </c>
      <c r="H325" s="126">
        <v>1500000</v>
      </c>
    </row>
    <row r="326" spans="2:10" x14ac:dyDescent="0.3">
      <c r="B326" s="138" t="s">
        <v>1064</v>
      </c>
      <c r="C326" s="140" t="s">
        <v>1065</v>
      </c>
      <c r="D326" s="140">
        <v>2021</v>
      </c>
      <c r="E326" s="140" t="s">
        <v>1088</v>
      </c>
      <c r="F326" s="140" t="s">
        <v>767</v>
      </c>
      <c r="G326" s="140" t="s">
        <v>1207</v>
      </c>
      <c r="H326" s="126">
        <v>1500000</v>
      </c>
    </row>
    <row r="327" spans="2:10" x14ac:dyDescent="0.3">
      <c r="B327" s="138" t="s">
        <v>1064</v>
      </c>
      <c r="C327" s="140" t="s">
        <v>1065</v>
      </c>
      <c r="D327" s="140">
        <v>2021</v>
      </c>
      <c r="E327" s="140" t="s">
        <v>1089</v>
      </c>
      <c r="F327" s="140" t="s">
        <v>767</v>
      </c>
      <c r="G327" s="140" t="s">
        <v>1207</v>
      </c>
      <c r="H327" s="126">
        <v>1500000</v>
      </c>
      <c r="J327"/>
    </row>
    <row r="328" spans="2:10" x14ac:dyDescent="0.3">
      <c r="B328" s="138" t="s">
        <v>1064</v>
      </c>
      <c r="C328" s="140" t="s">
        <v>1065</v>
      </c>
      <c r="D328" s="140">
        <v>2021</v>
      </c>
      <c r="E328" s="140" t="s">
        <v>1090</v>
      </c>
      <c r="F328" s="140" t="s">
        <v>767</v>
      </c>
      <c r="G328" s="140" t="s">
        <v>1207</v>
      </c>
      <c r="H328" s="126">
        <v>1500000</v>
      </c>
      <c r="J328"/>
    </row>
    <row r="329" spans="2:10" x14ac:dyDescent="0.3">
      <c r="B329" s="138" t="s">
        <v>1064</v>
      </c>
      <c r="C329" s="140" t="s">
        <v>1065</v>
      </c>
      <c r="D329" s="140">
        <v>2021</v>
      </c>
      <c r="E329" s="140" t="s">
        <v>1091</v>
      </c>
      <c r="F329" s="140" t="s">
        <v>767</v>
      </c>
      <c r="G329" s="140" t="s">
        <v>1207</v>
      </c>
      <c r="H329" s="126">
        <v>1000000</v>
      </c>
      <c r="J329"/>
    </row>
    <row r="330" spans="2:10" x14ac:dyDescent="0.3">
      <c r="B330" s="138" t="s">
        <v>1064</v>
      </c>
      <c r="C330" s="140" t="s">
        <v>1065</v>
      </c>
      <c r="D330" s="140">
        <v>2021</v>
      </c>
      <c r="E330" s="140" t="s">
        <v>1092</v>
      </c>
      <c r="F330" s="140" t="s">
        <v>767</v>
      </c>
      <c r="G330" s="140" t="s">
        <v>1207</v>
      </c>
      <c r="H330" s="126">
        <v>1000000</v>
      </c>
      <c r="J330"/>
    </row>
    <row r="331" spans="2:10" x14ac:dyDescent="0.3">
      <c r="B331" s="138" t="s">
        <v>1064</v>
      </c>
      <c r="C331" s="140" t="s">
        <v>1065</v>
      </c>
      <c r="D331" s="140">
        <v>2021</v>
      </c>
      <c r="E331" s="140" t="s">
        <v>1093</v>
      </c>
      <c r="F331" s="140" t="s">
        <v>767</v>
      </c>
      <c r="G331" s="140" t="s">
        <v>1207</v>
      </c>
      <c r="H331" s="126">
        <v>1500000</v>
      </c>
      <c r="J331"/>
    </row>
    <row r="332" spans="2:10" x14ac:dyDescent="0.3">
      <c r="B332" s="138" t="s">
        <v>1064</v>
      </c>
      <c r="C332" s="140" t="s">
        <v>1065</v>
      </c>
      <c r="D332" s="140">
        <v>2021</v>
      </c>
      <c r="E332" s="140" t="s">
        <v>1094</v>
      </c>
      <c r="F332" s="140" t="s">
        <v>767</v>
      </c>
      <c r="G332" s="140" t="s">
        <v>1207</v>
      </c>
      <c r="H332" s="126">
        <v>1000000</v>
      </c>
      <c r="J332"/>
    </row>
    <row r="333" spans="2:10" x14ac:dyDescent="0.3">
      <c r="B333" s="138" t="s">
        <v>1064</v>
      </c>
      <c r="C333" s="140" t="s">
        <v>1065</v>
      </c>
      <c r="D333" s="140">
        <v>2021</v>
      </c>
      <c r="E333" s="140" t="s">
        <v>1095</v>
      </c>
      <c r="F333" s="140" t="s">
        <v>767</v>
      </c>
      <c r="G333" s="140" t="s">
        <v>1207</v>
      </c>
      <c r="H333" s="126">
        <v>1000000</v>
      </c>
      <c r="J333"/>
    </row>
    <row r="334" spans="2:10" x14ac:dyDescent="0.3">
      <c r="B334" s="138" t="s">
        <v>1064</v>
      </c>
      <c r="C334" s="140" t="s">
        <v>1065</v>
      </c>
      <c r="D334" s="140">
        <v>2021</v>
      </c>
      <c r="E334" s="140" t="s">
        <v>1096</v>
      </c>
      <c r="F334" s="140" t="s">
        <v>767</v>
      </c>
      <c r="G334" s="140" t="s">
        <v>1207</v>
      </c>
      <c r="H334" s="126">
        <v>1000000</v>
      </c>
      <c r="J334"/>
    </row>
    <row r="335" spans="2:10" x14ac:dyDescent="0.3">
      <c r="B335" s="138" t="s">
        <v>791</v>
      </c>
      <c r="C335" s="140" t="s">
        <v>792</v>
      </c>
      <c r="D335" s="140">
        <v>2021</v>
      </c>
      <c r="E335" s="140" t="s">
        <v>793</v>
      </c>
      <c r="F335" s="140" t="s">
        <v>767</v>
      </c>
      <c r="G335" s="140" t="s">
        <v>1207</v>
      </c>
      <c r="H335" s="126">
        <v>1500000</v>
      </c>
      <c r="J335"/>
    </row>
    <row r="336" spans="2:10" x14ac:dyDescent="0.3">
      <c r="B336" s="138" t="s">
        <v>1015</v>
      </c>
      <c r="C336" s="140" t="s">
        <v>1016</v>
      </c>
      <c r="D336" s="140">
        <v>2021</v>
      </c>
      <c r="E336" s="140" t="s">
        <v>912</v>
      </c>
      <c r="F336" s="140" t="s">
        <v>767</v>
      </c>
      <c r="G336" s="140" t="s">
        <v>1207</v>
      </c>
      <c r="H336" s="126">
        <v>1000000</v>
      </c>
      <c r="J336"/>
    </row>
    <row r="337" spans="2:10" x14ac:dyDescent="0.3">
      <c r="B337" s="138" t="s">
        <v>1015</v>
      </c>
      <c r="C337" s="140" t="s">
        <v>1016</v>
      </c>
      <c r="D337" s="140">
        <v>2021</v>
      </c>
      <c r="E337" s="140" t="s">
        <v>913</v>
      </c>
      <c r="F337" s="140" t="s">
        <v>767</v>
      </c>
      <c r="G337" s="140" t="s">
        <v>1207</v>
      </c>
      <c r="H337" s="126">
        <v>1000000</v>
      </c>
      <c r="J337"/>
    </row>
    <row r="338" spans="2:10" x14ac:dyDescent="0.3">
      <c r="B338" s="138" t="s">
        <v>1015</v>
      </c>
      <c r="C338" s="140" t="s">
        <v>1016</v>
      </c>
      <c r="D338" s="140">
        <v>2021</v>
      </c>
      <c r="E338" s="140" t="s">
        <v>851</v>
      </c>
      <c r="F338" s="140" t="s">
        <v>767</v>
      </c>
      <c r="G338" s="140" t="s">
        <v>1207</v>
      </c>
      <c r="H338" s="126">
        <v>1000000</v>
      </c>
      <c r="J338"/>
    </row>
    <row r="339" spans="2:10" x14ac:dyDescent="0.3">
      <c r="B339" s="138" t="s">
        <v>874</v>
      </c>
      <c r="C339" s="140" t="s">
        <v>894</v>
      </c>
      <c r="D339" s="140">
        <v>2021</v>
      </c>
      <c r="E339" s="140" t="s">
        <v>766</v>
      </c>
      <c r="F339" s="140" t="s">
        <v>767</v>
      </c>
      <c r="G339" s="140" t="s">
        <v>1207</v>
      </c>
      <c r="H339" s="126">
        <v>1000000</v>
      </c>
      <c r="J339"/>
    </row>
    <row r="340" spans="2:10" x14ac:dyDescent="0.3">
      <c r="B340" s="138" t="s">
        <v>874</v>
      </c>
      <c r="C340" s="140" t="s">
        <v>894</v>
      </c>
      <c r="D340" s="140">
        <v>2021</v>
      </c>
      <c r="E340" s="140" t="s">
        <v>895</v>
      </c>
      <c r="F340" s="140" t="s">
        <v>767</v>
      </c>
      <c r="G340" s="140" t="s">
        <v>1207</v>
      </c>
      <c r="H340" s="126">
        <v>1000000</v>
      </c>
      <c r="J340"/>
    </row>
    <row r="341" spans="2:10" x14ac:dyDescent="0.3">
      <c r="B341" s="138" t="s">
        <v>874</v>
      </c>
      <c r="C341" s="140" t="s">
        <v>894</v>
      </c>
      <c r="D341" s="140">
        <v>2021</v>
      </c>
      <c r="E341" s="140" t="s">
        <v>896</v>
      </c>
      <c r="F341" s="140" t="s">
        <v>767</v>
      </c>
      <c r="G341" s="140" t="s">
        <v>1207</v>
      </c>
      <c r="H341" s="126">
        <v>1000000</v>
      </c>
      <c r="J341"/>
    </row>
    <row r="342" spans="2:10" x14ac:dyDescent="0.3">
      <c r="B342" s="138" t="s">
        <v>768</v>
      </c>
      <c r="C342" s="140" t="s">
        <v>769</v>
      </c>
      <c r="D342" s="140">
        <v>2021</v>
      </c>
      <c r="E342" s="140" t="s">
        <v>766</v>
      </c>
      <c r="F342" s="140" t="s">
        <v>767</v>
      </c>
      <c r="G342" s="140" t="s">
        <v>1207</v>
      </c>
      <c r="H342" s="126">
        <v>1000000</v>
      </c>
      <c r="J342"/>
    </row>
    <row r="343" spans="2:10" x14ac:dyDescent="0.3">
      <c r="B343" s="138" t="s">
        <v>768</v>
      </c>
      <c r="C343" s="140" t="s">
        <v>769</v>
      </c>
      <c r="D343" s="140">
        <v>2021</v>
      </c>
      <c r="E343" s="140" t="s">
        <v>762</v>
      </c>
      <c r="F343" s="140" t="s">
        <v>767</v>
      </c>
      <c r="G343" s="140" t="s">
        <v>1207</v>
      </c>
      <c r="H343" s="126">
        <v>1000000</v>
      </c>
      <c r="J343"/>
    </row>
    <row r="344" spans="2:10" x14ac:dyDescent="0.3">
      <c r="B344" s="138" t="s">
        <v>768</v>
      </c>
      <c r="C344" s="140" t="s">
        <v>769</v>
      </c>
      <c r="D344" s="140">
        <v>2021</v>
      </c>
      <c r="E344" s="140" t="s">
        <v>770</v>
      </c>
      <c r="F344" s="140" t="s">
        <v>767</v>
      </c>
      <c r="G344" s="140" t="s">
        <v>1207</v>
      </c>
      <c r="H344" s="126">
        <v>1000000</v>
      </c>
      <c r="J344"/>
    </row>
    <row r="345" spans="2:10" x14ac:dyDescent="0.3">
      <c r="B345" s="138" t="s">
        <v>768</v>
      </c>
      <c r="C345" s="140" t="s">
        <v>769</v>
      </c>
      <c r="D345" s="140">
        <v>2021</v>
      </c>
      <c r="E345" s="140" t="s">
        <v>771</v>
      </c>
      <c r="F345" s="140" t="s">
        <v>767</v>
      </c>
      <c r="G345" s="140" t="s">
        <v>1207</v>
      </c>
      <c r="H345" s="126">
        <v>1000000</v>
      </c>
      <c r="J345"/>
    </row>
    <row r="346" spans="2:10" x14ac:dyDescent="0.3">
      <c r="B346" s="138" t="s">
        <v>768</v>
      </c>
      <c r="C346" s="140" t="s">
        <v>769</v>
      </c>
      <c r="D346" s="140">
        <v>2021</v>
      </c>
      <c r="E346" s="140" t="s">
        <v>772</v>
      </c>
      <c r="F346" s="140" t="s">
        <v>767</v>
      </c>
      <c r="G346" s="140" t="s">
        <v>1207</v>
      </c>
      <c r="H346" s="126">
        <v>1000000</v>
      </c>
      <c r="J346"/>
    </row>
    <row r="347" spans="2:10" x14ac:dyDescent="0.3">
      <c r="B347" s="138" t="s">
        <v>768</v>
      </c>
      <c r="C347" s="140" t="s">
        <v>769</v>
      </c>
      <c r="D347" s="140">
        <v>2021</v>
      </c>
      <c r="E347" s="140" t="s">
        <v>773</v>
      </c>
      <c r="F347" s="140" t="s">
        <v>767</v>
      </c>
      <c r="G347" s="140" t="s">
        <v>1207</v>
      </c>
      <c r="H347" s="126">
        <v>1000000</v>
      </c>
      <c r="J347"/>
    </row>
    <row r="348" spans="2:10" x14ac:dyDescent="0.3">
      <c r="B348" s="138" t="s">
        <v>768</v>
      </c>
      <c r="C348" s="140" t="s">
        <v>769</v>
      </c>
      <c r="D348" s="140">
        <v>2021</v>
      </c>
      <c r="E348" s="140" t="s">
        <v>775</v>
      </c>
      <c r="F348" s="140" t="s">
        <v>767</v>
      </c>
      <c r="G348" s="140" t="s">
        <v>1207</v>
      </c>
      <c r="H348" s="126">
        <v>1000000</v>
      </c>
      <c r="J348"/>
    </row>
    <row r="349" spans="2:10" x14ac:dyDescent="0.3">
      <c r="B349" s="138" t="s">
        <v>768</v>
      </c>
      <c r="C349" s="140" t="s">
        <v>769</v>
      </c>
      <c r="D349" s="140">
        <v>2021</v>
      </c>
      <c r="E349" s="140" t="s">
        <v>778</v>
      </c>
      <c r="F349" s="140" t="s">
        <v>767</v>
      </c>
      <c r="G349" s="140" t="s">
        <v>1207</v>
      </c>
      <c r="H349" s="126">
        <v>1000000</v>
      </c>
      <c r="J349"/>
    </row>
    <row r="350" spans="2:10" x14ac:dyDescent="0.3">
      <c r="B350" s="138" t="s">
        <v>768</v>
      </c>
      <c r="C350" s="140" t="s">
        <v>769</v>
      </c>
      <c r="D350" s="140">
        <v>2021</v>
      </c>
      <c r="E350" s="140" t="s">
        <v>779</v>
      </c>
      <c r="F350" s="140" t="s">
        <v>767</v>
      </c>
      <c r="G350" s="140" t="s">
        <v>1207</v>
      </c>
      <c r="H350" s="126">
        <v>1000000</v>
      </c>
      <c r="J350"/>
    </row>
    <row r="351" spans="2:10" x14ac:dyDescent="0.3">
      <c r="B351" s="138" t="s">
        <v>764</v>
      </c>
      <c r="C351" s="140" t="s">
        <v>765</v>
      </c>
      <c r="D351" s="140">
        <v>2021</v>
      </c>
      <c r="E351" s="140" t="s">
        <v>766</v>
      </c>
      <c r="F351" s="140" t="s">
        <v>767</v>
      </c>
      <c r="G351" s="140" t="s">
        <v>1207</v>
      </c>
      <c r="H351" s="126">
        <v>1500000</v>
      </c>
      <c r="J351"/>
    </row>
    <row r="352" spans="2:10" x14ac:dyDescent="0.3">
      <c r="B352" s="138" t="s">
        <v>429</v>
      </c>
      <c r="C352" s="140" t="s">
        <v>1017</v>
      </c>
      <c r="D352" s="140">
        <v>2021</v>
      </c>
      <c r="E352" s="140" t="s">
        <v>1018</v>
      </c>
      <c r="F352" s="140" t="s">
        <v>767</v>
      </c>
      <c r="G352" s="140" t="s">
        <v>1207</v>
      </c>
      <c r="H352" s="126">
        <v>1000000</v>
      </c>
      <c r="J352"/>
    </row>
    <row r="353" spans="2:10" x14ac:dyDescent="0.3">
      <c r="B353" s="138" t="s">
        <v>429</v>
      </c>
      <c r="C353" s="140" t="s">
        <v>1017</v>
      </c>
      <c r="D353" s="140">
        <v>2021</v>
      </c>
      <c r="E353" s="140" t="s">
        <v>912</v>
      </c>
      <c r="F353" s="140" t="s">
        <v>767</v>
      </c>
      <c r="G353" s="140" t="s">
        <v>1207</v>
      </c>
      <c r="H353" s="126">
        <v>1000000</v>
      </c>
      <c r="J353"/>
    </row>
    <row r="354" spans="2:10" x14ac:dyDescent="0.3">
      <c r="B354" s="138" t="s">
        <v>429</v>
      </c>
      <c r="C354" s="140" t="s">
        <v>1017</v>
      </c>
      <c r="D354" s="140">
        <v>2021</v>
      </c>
      <c r="E354" s="140" t="s">
        <v>1019</v>
      </c>
      <c r="F354" s="140" t="s">
        <v>767</v>
      </c>
      <c r="G354" s="140" t="s">
        <v>1207</v>
      </c>
      <c r="H354" s="126">
        <v>1000000</v>
      </c>
      <c r="J354"/>
    </row>
    <row r="355" spans="2:10" x14ac:dyDescent="0.3">
      <c r="B355" s="138" t="s">
        <v>429</v>
      </c>
      <c r="C355" s="140" t="s">
        <v>1017</v>
      </c>
      <c r="D355" s="140">
        <v>2021</v>
      </c>
      <c r="E355" s="140" t="s">
        <v>1020</v>
      </c>
      <c r="F355" s="140" t="s">
        <v>767</v>
      </c>
      <c r="G355" s="140" t="s">
        <v>1207</v>
      </c>
      <c r="H355" s="126">
        <v>1000000</v>
      </c>
      <c r="J355"/>
    </row>
    <row r="356" spans="2:10" x14ac:dyDescent="0.3">
      <c r="B356" s="138" t="s">
        <v>429</v>
      </c>
      <c r="C356" s="140" t="s">
        <v>1017</v>
      </c>
      <c r="D356" s="140">
        <v>2021</v>
      </c>
      <c r="E356" s="140" t="s">
        <v>1021</v>
      </c>
      <c r="F356" s="140" t="s">
        <v>767</v>
      </c>
      <c r="G356" s="140" t="s">
        <v>1207</v>
      </c>
      <c r="H356" s="126">
        <v>1000000</v>
      </c>
      <c r="J356"/>
    </row>
    <row r="357" spans="2:10" x14ac:dyDescent="0.3">
      <c r="B357" s="138" t="s">
        <v>850</v>
      </c>
      <c r="C357" s="140" t="s">
        <v>857</v>
      </c>
      <c r="D357" s="140">
        <v>2022</v>
      </c>
      <c r="E357" s="140" t="str">
        <f>E356</f>
        <v>B7F 펌프실</v>
      </c>
      <c r="F357" s="140" t="s">
        <v>859</v>
      </c>
      <c r="G357" s="140" t="s">
        <v>1207</v>
      </c>
      <c r="H357" s="126">
        <v>1000000</v>
      </c>
      <c r="J357"/>
    </row>
    <row r="358" spans="2:10" x14ac:dyDescent="0.3">
      <c r="B358" s="138" t="s">
        <v>850</v>
      </c>
      <c r="C358" s="140" t="s">
        <v>857</v>
      </c>
      <c r="D358" s="140">
        <v>2022</v>
      </c>
      <c r="E358" s="140" t="str">
        <f>E357</f>
        <v>B7F 펌프실</v>
      </c>
      <c r="F358" s="140" t="s">
        <v>859</v>
      </c>
      <c r="G358" s="140" t="s">
        <v>1207</v>
      </c>
      <c r="H358" s="126">
        <v>1000000</v>
      </c>
      <c r="J358"/>
    </row>
    <row r="359" spans="2:10" x14ac:dyDescent="0.3">
      <c r="B359" s="138" t="s">
        <v>332</v>
      </c>
      <c r="C359" s="140" t="s">
        <v>333</v>
      </c>
      <c r="D359" s="140">
        <v>2022</v>
      </c>
      <c r="E359" s="140" t="str">
        <f>E358</f>
        <v>B7F 펌프실</v>
      </c>
      <c r="F359" s="140" t="s">
        <v>859</v>
      </c>
      <c r="G359" s="140" t="s">
        <v>1207</v>
      </c>
      <c r="H359" s="126">
        <v>1000000</v>
      </c>
      <c r="J359"/>
    </row>
    <row r="360" spans="2:10" x14ac:dyDescent="0.3">
      <c r="B360" s="138" t="s">
        <v>292</v>
      </c>
      <c r="C360" s="140" t="s">
        <v>293</v>
      </c>
      <c r="D360" s="140">
        <v>2022</v>
      </c>
      <c r="E360" s="140" t="str">
        <f>E359</f>
        <v>B7F 펌프실</v>
      </c>
      <c r="F360" s="140" t="s">
        <v>859</v>
      </c>
      <c r="G360" s="140" t="s">
        <v>1207</v>
      </c>
      <c r="H360" s="126">
        <v>1000000</v>
      </c>
      <c r="J360"/>
    </row>
    <row r="361" spans="2:10" x14ac:dyDescent="0.3">
      <c r="B361" s="138" t="s">
        <v>292</v>
      </c>
      <c r="C361" s="140" t="s">
        <v>293</v>
      </c>
      <c r="D361" s="140">
        <v>2022</v>
      </c>
      <c r="E361" s="140" t="str">
        <f>E360</f>
        <v>B7F 펌프실</v>
      </c>
      <c r="F361" s="140" t="s">
        <v>859</v>
      </c>
      <c r="G361" s="140" t="s">
        <v>1207</v>
      </c>
      <c r="H361" s="126">
        <v>1000000</v>
      </c>
      <c r="J361"/>
    </row>
    <row r="362" spans="2:10" x14ac:dyDescent="0.3">
      <c r="B362" s="138" t="s">
        <v>253</v>
      </c>
      <c r="C362" s="140" t="s">
        <v>254</v>
      </c>
      <c r="D362" s="140">
        <v>2022</v>
      </c>
      <c r="E362" s="140" t="s">
        <v>750</v>
      </c>
      <c r="F362" s="140" t="s">
        <v>859</v>
      </c>
      <c r="G362" s="140" t="s">
        <v>1207</v>
      </c>
      <c r="H362" s="126">
        <v>1000000</v>
      </c>
      <c r="J362"/>
    </row>
    <row r="363" spans="2:10" x14ac:dyDescent="0.3">
      <c r="B363" s="138" t="s">
        <v>267</v>
      </c>
      <c r="C363" s="140" t="s">
        <v>906</v>
      </c>
      <c r="D363" s="140">
        <v>2022</v>
      </c>
      <c r="E363" s="140" t="str">
        <f>E362</f>
        <v>B3F 기계실</v>
      </c>
      <c r="F363" s="140" t="s">
        <v>859</v>
      </c>
      <c r="G363" s="140" t="s">
        <v>1207</v>
      </c>
      <c r="H363" s="126">
        <v>1000000</v>
      </c>
      <c r="J363"/>
    </row>
    <row r="364" spans="2:10" x14ac:dyDescent="0.3">
      <c r="B364" s="138" t="s">
        <v>302</v>
      </c>
      <c r="C364" s="140" t="s">
        <v>914</v>
      </c>
      <c r="D364" s="140">
        <v>2022</v>
      </c>
      <c r="E364" s="140" t="str">
        <f>E363</f>
        <v>B3F 기계실</v>
      </c>
      <c r="F364" s="140" t="s">
        <v>859</v>
      </c>
      <c r="G364" s="140" t="s">
        <v>1207</v>
      </c>
      <c r="H364" s="126">
        <v>1000000</v>
      </c>
      <c r="J364"/>
    </row>
    <row r="365" spans="2:10" x14ac:dyDescent="0.3">
      <c r="B365" s="138" t="s">
        <v>229</v>
      </c>
      <c r="C365" s="140" t="s">
        <v>230</v>
      </c>
      <c r="D365" s="140">
        <v>2022</v>
      </c>
      <c r="E365" s="140" t="str">
        <f>E364</f>
        <v>B3F 기계실</v>
      </c>
      <c r="F365" s="140" t="s">
        <v>859</v>
      </c>
      <c r="G365" s="140" t="s">
        <v>1207</v>
      </c>
      <c r="H365" s="126">
        <v>1000000</v>
      </c>
      <c r="J365"/>
    </row>
    <row r="366" spans="2:10" x14ac:dyDescent="0.3">
      <c r="B366" s="138" t="s">
        <v>229</v>
      </c>
      <c r="C366" s="140" t="s">
        <v>230</v>
      </c>
      <c r="D366" s="140">
        <v>2022</v>
      </c>
      <c r="E366" s="140" t="str">
        <f>E365</f>
        <v>B3F 기계실</v>
      </c>
      <c r="F366" s="140" t="s">
        <v>859</v>
      </c>
      <c r="G366" s="140" t="s">
        <v>1207</v>
      </c>
      <c r="H366" s="126">
        <v>1000000</v>
      </c>
      <c r="J366"/>
    </row>
    <row r="367" spans="2:10" x14ac:dyDescent="0.3">
      <c r="B367" s="138" t="s">
        <v>229</v>
      </c>
      <c r="C367" s="140" t="s">
        <v>230</v>
      </c>
      <c r="D367" s="140">
        <v>2022</v>
      </c>
      <c r="E367" s="140" t="s">
        <v>925</v>
      </c>
      <c r="F367" s="140" t="s">
        <v>859</v>
      </c>
      <c r="G367" s="140" t="s">
        <v>1207</v>
      </c>
      <c r="H367" s="126">
        <v>1000000</v>
      </c>
      <c r="J367"/>
    </row>
    <row r="368" spans="2:10" x14ac:dyDescent="0.3">
      <c r="B368" s="138" t="s">
        <v>850</v>
      </c>
      <c r="C368" s="140" t="s">
        <v>857</v>
      </c>
      <c r="D368" s="140">
        <v>2022</v>
      </c>
      <c r="E368" s="140" t="s">
        <v>858</v>
      </c>
      <c r="F368" s="140" t="s">
        <v>767</v>
      </c>
      <c r="G368" s="140" t="s">
        <v>1207</v>
      </c>
      <c r="H368" s="126">
        <v>1000000</v>
      </c>
      <c r="J368"/>
    </row>
    <row r="369" spans="2:10" x14ac:dyDescent="0.3">
      <c r="B369" s="138" t="s">
        <v>850</v>
      </c>
      <c r="C369" s="140" t="s">
        <v>857</v>
      </c>
      <c r="D369" s="140">
        <v>2022</v>
      </c>
      <c r="E369" s="140" t="s">
        <v>750</v>
      </c>
      <c r="F369" s="140" t="s">
        <v>767</v>
      </c>
      <c r="G369" s="140" t="s">
        <v>1207</v>
      </c>
      <c r="H369" s="126">
        <v>1000000</v>
      </c>
      <c r="J369"/>
    </row>
    <row r="370" spans="2:10" x14ac:dyDescent="0.3">
      <c r="B370" s="138" t="s">
        <v>1142</v>
      </c>
      <c r="C370" s="140" t="s">
        <v>735</v>
      </c>
      <c r="D370" s="140">
        <v>2022</v>
      </c>
      <c r="E370" s="140" t="s">
        <v>814</v>
      </c>
      <c r="F370" s="140" t="s">
        <v>767</v>
      </c>
      <c r="G370" s="140" t="s">
        <v>1207</v>
      </c>
      <c r="H370" s="126">
        <v>1000000</v>
      </c>
      <c r="J370"/>
    </row>
    <row r="371" spans="2:10" x14ac:dyDescent="0.3">
      <c r="B371" s="138" t="s">
        <v>1142</v>
      </c>
      <c r="C371" s="140" t="s">
        <v>735</v>
      </c>
      <c r="D371" s="140">
        <v>2022</v>
      </c>
      <c r="E371" s="140" t="s">
        <v>1141</v>
      </c>
      <c r="F371" s="140" t="s">
        <v>767</v>
      </c>
      <c r="G371" s="140" t="s">
        <v>1207</v>
      </c>
      <c r="H371" s="126">
        <v>1000000</v>
      </c>
      <c r="J371"/>
    </row>
    <row r="372" spans="2:10" x14ac:dyDescent="0.3">
      <c r="B372" s="138" t="s">
        <v>1142</v>
      </c>
      <c r="C372" s="140" t="s">
        <v>735</v>
      </c>
      <c r="D372" s="140">
        <v>2022</v>
      </c>
      <c r="E372" s="140" t="s">
        <v>811</v>
      </c>
      <c r="F372" s="140" t="s">
        <v>767</v>
      </c>
      <c r="G372" s="140" t="s">
        <v>1207</v>
      </c>
      <c r="H372" s="126">
        <v>1000000</v>
      </c>
      <c r="J372"/>
    </row>
    <row r="373" spans="2:10" x14ac:dyDescent="0.3">
      <c r="B373" s="138" t="s">
        <v>1047</v>
      </c>
      <c r="C373" s="140" t="s">
        <v>735</v>
      </c>
      <c r="D373" s="140">
        <v>2022</v>
      </c>
      <c r="E373" s="140" t="s">
        <v>754</v>
      </c>
      <c r="F373" s="140" t="s">
        <v>767</v>
      </c>
      <c r="G373" s="140" t="s">
        <v>1207</v>
      </c>
      <c r="H373" s="126">
        <v>1000000</v>
      </c>
      <c r="J373"/>
    </row>
    <row r="374" spans="2:10" x14ac:dyDescent="0.3">
      <c r="B374" s="138" t="s">
        <v>1047</v>
      </c>
      <c r="C374" s="140" t="s">
        <v>735</v>
      </c>
      <c r="D374" s="140">
        <v>2022</v>
      </c>
      <c r="E374" s="140" t="s">
        <v>1048</v>
      </c>
      <c r="F374" s="140" t="s">
        <v>767</v>
      </c>
      <c r="G374" s="140" t="s">
        <v>1207</v>
      </c>
      <c r="H374" s="126">
        <v>1000000</v>
      </c>
      <c r="J374"/>
    </row>
    <row r="375" spans="2:10" x14ac:dyDescent="0.3">
      <c r="B375" s="138" t="s">
        <v>1047</v>
      </c>
      <c r="C375" s="140" t="s">
        <v>735</v>
      </c>
      <c r="D375" s="140">
        <v>2022</v>
      </c>
      <c r="E375" s="140" t="s">
        <v>1049</v>
      </c>
      <c r="F375" s="140" t="s">
        <v>767</v>
      </c>
      <c r="G375" s="140" t="s">
        <v>1207</v>
      </c>
      <c r="H375" s="126">
        <v>1000000</v>
      </c>
      <c r="J375"/>
    </row>
    <row r="376" spans="2:10" x14ac:dyDescent="0.3">
      <c r="B376" s="138" t="s">
        <v>1140</v>
      </c>
      <c r="C376" s="140" t="s">
        <v>737</v>
      </c>
      <c r="D376" s="140">
        <v>2022</v>
      </c>
      <c r="E376" s="140" t="s">
        <v>814</v>
      </c>
      <c r="F376" s="140" t="s">
        <v>767</v>
      </c>
      <c r="G376" s="140" t="s">
        <v>1207</v>
      </c>
      <c r="H376" s="126">
        <v>1000000</v>
      </c>
      <c r="J376"/>
    </row>
    <row r="377" spans="2:10" x14ac:dyDescent="0.3">
      <c r="B377" s="138" t="s">
        <v>1140</v>
      </c>
      <c r="C377" s="140" t="s">
        <v>737</v>
      </c>
      <c r="D377" s="140">
        <v>2022</v>
      </c>
      <c r="E377" s="140" t="s">
        <v>1141</v>
      </c>
      <c r="F377" s="140" t="s">
        <v>767</v>
      </c>
      <c r="G377" s="140" t="s">
        <v>1207</v>
      </c>
      <c r="H377" s="126">
        <v>1000000</v>
      </c>
      <c r="J377"/>
    </row>
    <row r="378" spans="2:10" x14ac:dyDescent="0.3">
      <c r="B378" s="138" t="s">
        <v>1140</v>
      </c>
      <c r="C378" s="140" t="s">
        <v>737</v>
      </c>
      <c r="D378" s="140">
        <v>2022</v>
      </c>
      <c r="E378" s="140" t="s">
        <v>811</v>
      </c>
      <c r="F378" s="140" t="s">
        <v>767</v>
      </c>
      <c r="G378" s="140" t="s">
        <v>1207</v>
      </c>
      <c r="H378" s="126">
        <v>1000000</v>
      </c>
      <c r="J378"/>
    </row>
    <row r="379" spans="2:10" x14ac:dyDescent="0.3">
      <c r="B379" s="138" t="s">
        <v>1042</v>
      </c>
      <c r="C379" s="140" t="s">
        <v>1043</v>
      </c>
      <c r="D379" s="140">
        <v>2022</v>
      </c>
      <c r="E379" s="140" t="s">
        <v>790</v>
      </c>
      <c r="F379" s="140" t="s">
        <v>767</v>
      </c>
      <c r="G379" s="140" t="s">
        <v>1207</v>
      </c>
      <c r="H379" s="126">
        <v>1000000</v>
      </c>
      <c r="J379"/>
    </row>
    <row r="380" spans="2:10" x14ac:dyDescent="0.3">
      <c r="B380" s="138" t="s">
        <v>1042</v>
      </c>
      <c r="C380" s="140" t="s">
        <v>1043</v>
      </c>
      <c r="D380" s="140">
        <v>2022</v>
      </c>
      <c r="E380" s="140" t="s">
        <v>1044</v>
      </c>
      <c r="F380" s="140" t="s">
        <v>767</v>
      </c>
      <c r="G380" s="140" t="s">
        <v>1207</v>
      </c>
      <c r="H380" s="126">
        <v>1000000</v>
      </c>
      <c r="J380"/>
    </row>
    <row r="381" spans="2:10" x14ac:dyDescent="0.3">
      <c r="B381" s="138" t="s">
        <v>1042</v>
      </c>
      <c r="C381" s="140" t="s">
        <v>1043</v>
      </c>
      <c r="D381" s="140">
        <v>2022</v>
      </c>
      <c r="E381" s="140" t="s">
        <v>1045</v>
      </c>
      <c r="F381" s="140" t="s">
        <v>767</v>
      </c>
      <c r="G381" s="140" t="s">
        <v>1207</v>
      </c>
      <c r="H381" s="126">
        <v>1000000</v>
      </c>
      <c r="J381"/>
    </row>
    <row r="382" spans="2:10" x14ac:dyDescent="0.3">
      <c r="B382" s="138" t="s">
        <v>1042</v>
      </c>
      <c r="C382" s="140" t="s">
        <v>1043</v>
      </c>
      <c r="D382" s="140">
        <v>2022</v>
      </c>
      <c r="E382" s="140" t="s">
        <v>1046</v>
      </c>
      <c r="F382" s="140" t="s">
        <v>767</v>
      </c>
      <c r="G382" s="140" t="s">
        <v>1207</v>
      </c>
      <c r="H382" s="126">
        <v>1000000</v>
      </c>
      <c r="J382"/>
    </row>
    <row r="383" spans="2:10" x14ac:dyDescent="0.3">
      <c r="B383" s="138" t="s">
        <v>1214</v>
      </c>
      <c r="C383" s="140" t="s">
        <v>1214</v>
      </c>
      <c r="D383" s="140">
        <v>2022</v>
      </c>
      <c r="E383" s="140" t="s">
        <v>1156</v>
      </c>
      <c r="F383" s="140" t="s">
        <v>767</v>
      </c>
      <c r="G383" s="140" t="s">
        <v>1207</v>
      </c>
      <c r="H383" s="126">
        <v>1500000</v>
      </c>
      <c r="J383"/>
    </row>
    <row r="384" spans="2:10" x14ac:dyDescent="0.3">
      <c r="B384" s="138" t="s">
        <v>1213</v>
      </c>
      <c r="C384" s="140" t="s">
        <v>1213</v>
      </c>
      <c r="D384" s="140">
        <v>2022</v>
      </c>
      <c r="E384" s="140" t="s">
        <v>912</v>
      </c>
      <c r="F384" s="140" t="s">
        <v>767</v>
      </c>
      <c r="G384" s="140" t="s">
        <v>1207</v>
      </c>
      <c r="H384" s="126">
        <v>1000000</v>
      </c>
      <c r="J384"/>
    </row>
    <row r="385" spans="2:10" x14ac:dyDescent="0.3">
      <c r="B385" s="138" t="s">
        <v>1213</v>
      </c>
      <c r="C385" s="140" t="s">
        <v>1213</v>
      </c>
      <c r="D385" s="140">
        <v>2022</v>
      </c>
      <c r="E385" s="140" t="s">
        <v>807</v>
      </c>
      <c r="F385" s="140" t="s">
        <v>767</v>
      </c>
      <c r="G385" s="140" t="s">
        <v>1207</v>
      </c>
      <c r="H385" s="126">
        <v>1000000</v>
      </c>
      <c r="J385"/>
    </row>
    <row r="386" spans="2:10" x14ac:dyDescent="0.3">
      <c r="B386" s="138" t="s">
        <v>1213</v>
      </c>
      <c r="C386" s="140" t="s">
        <v>1213</v>
      </c>
      <c r="D386" s="140">
        <v>2022</v>
      </c>
      <c r="E386" s="140" t="s">
        <v>806</v>
      </c>
      <c r="F386" s="140" t="s">
        <v>767</v>
      </c>
      <c r="G386" s="140" t="s">
        <v>1207</v>
      </c>
      <c r="H386" s="126">
        <v>1000000</v>
      </c>
      <c r="J386"/>
    </row>
    <row r="387" spans="2:10" x14ac:dyDescent="0.3">
      <c r="B387" s="138" t="s">
        <v>1212</v>
      </c>
      <c r="C387" s="140" t="s">
        <v>1212</v>
      </c>
      <c r="D387" s="140">
        <v>2022</v>
      </c>
      <c r="E387" s="140" t="s">
        <v>1156</v>
      </c>
      <c r="F387" s="140" t="s">
        <v>767</v>
      </c>
      <c r="G387" s="140" t="s">
        <v>1207</v>
      </c>
      <c r="H387" s="126">
        <v>1500000</v>
      </c>
      <c r="J387"/>
    </row>
    <row r="388" spans="2:10" x14ac:dyDescent="0.3">
      <c r="B388" s="138" t="s">
        <v>1170</v>
      </c>
      <c r="C388" s="140" t="s">
        <v>1170</v>
      </c>
      <c r="D388" s="140">
        <v>2022</v>
      </c>
      <c r="E388" s="140" t="s">
        <v>1171</v>
      </c>
      <c r="F388" s="140" t="s">
        <v>767</v>
      </c>
      <c r="G388" s="140" t="s">
        <v>1207</v>
      </c>
      <c r="H388" s="126">
        <v>1000000</v>
      </c>
      <c r="J388"/>
    </row>
    <row r="389" spans="2:10" x14ac:dyDescent="0.3">
      <c r="B389" s="138" t="s">
        <v>1170</v>
      </c>
      <c r="C389" s="140" t="s">
        <v>1170</v>
      </c>
      <c r="D389" s="140">
        <v>2022</v>
      </c>
      <c r="E389" s="140" t="s">
        <v>851</v>
      </c>
      <c r="F389" s="140" t="s">
        <v>767</v>
      </c>
      <c r="G389" s="140" t="s">
        <v>1207</v>
      </c>
      <c r="H389" s="126">
        <v>1000000</v>
      </c>
      <c r="J389"/>
    </row>
    <row r="390" spans="2:10" x14ac:dyDescent="0.3">
      <c r="B390" s="138" t="s">
        <v>1170</v>
      </c>
      <c r="C390" s="140" t="s">
        <v>1170</v>
      </c>
      <c r="D390" s="140">
        <v>2022</v>
      </c>
      <c r="E390" s="140" t="s">
        <v>917</v>
      </c>
      <c r="F390" s="140" t="s">
        <v>767</v>
      </c>
      <c r="G390" s="140" t="s">
        <v>1207</v>
      </c>
      <c r="H390" s="126">
        <v>1000000</v>
      </c>
      <c r="J390"/>
    </row>
    <row r="391" spans="2:10" x14ac:dyDescent="0.3">
      <c r="B391" s="138" t="s">
        <v>1039</v>
      </c>
      <c r="C391" s="140" t="s">
        <v>1211</v>
      </c>
      <c r="D391" s="140">
        <v>2022</v>
      </c>
      <c r="E391" s="140" t="s">
        <v>1040</v>
      </c>
      <c r="F391" s="140" t="s">
        <v>767</v>
      </c>
      <c r="G391" s="140" t="s">
        <v>1207</v>
      </c>
      <c r="H391" s="126">
        <v>1000000</v>
      </c>
      <c r="J391"/>
    </row>
    <row r="392" spans="2:10" x14ac:dyDescent="0.3">
      <c r="B392" s="138" t="s">
        <v>1039</v>
      </c>
      <c r="C392" s="140" t="s">
        <v>1211</v>
      </c>
      <c r="D392" s="140">
        <v>2022</v>
      </c>
      <c r="E392" s="140" t="s">
        <v>1041</v>
      </c>
      <c r="F392" s="140" t="s">
        <v>767</v>
      </c>
      <c r="G392" s="140" t="s">
        <v>1207</v>
      </c>
      <c r="H392" s="126">
        <v>1000000</v>
      </c>
      <c r="J392"/>
    </row>
    <row r="393" spans="2:10" x14ac:dyDescent="0.3">
      <c r="B393" s="138" t="s">
        <v>850</v>
      </c>
      <c r="C393" s="140" t="s">
        <v>860</v>
      </c>
      <c r="D393" s="140">
        <v>2022</v>
      </c>
      <c r="E393" s="140" t="s">
        <v>861</v>
      </c>
      <c r="F393" s="140" t="s">
        <v>767</v>
      </c>
      <c r="G393" s="140" t="s">
        <v>1207</v>
      </c>
      <c r="H393" s="126">
        <v>1000000</v>
      </c>
      <c r="J393"/>
    </row>
    <row r="394" spans="2:10" x14ac:dyDescent="0.3">
      <c r="B394" s="138" t="s">
        <v>1035</v>
      </c>
      <c r="C394" s="140" t="s">
        <v>669</v>
      </c>
      <c r="D394" s="140">
        <v>2022</v>
      </c>
      <c r="E394" s="140" t="s">
        <v>1036</v>
      </c>
      <c r="F394" s="140" t="s">
        <v>767</v>
      </c>
      <c r="G394" s="140" t="s">
        <v>1207</v>
      </c>
      <c r="H394" s="126">
        <v>1000000</v>
      </c>
      <c r="J394"/>
    </row>
    <row r="395" spans="2:10" x14ac:dyDescent="0.3">
      <c r="B395" s="138" t="s">
        <v>1035</v>
      </c>
      <c r="C395" s="140" t="s">
        <v>669</v>
      </c>
      <c r="D395" s="140">
        <v>2022</v>
      </c>
      <c r="E395" s="140" t="s">
        <v>1037</v>
      </c>
      <c r="F395" s="140" t="s">
        <v>767</v>
      </c>
      <c r="G395" s="140" t="s">
        <v>1207</v>
      </c>
      <c r="H395" s="126">
        <v>1000000</v>
      </c>
      <c r="J395"/>
    </row>
    <row r="396" spans="2:10" x14ac:dyDescent="0.3">
      <c r="B396" s="138" t="s">
        <v>1035</v>
      </c>
      <c r="C396" s="140" t="s">
        <v>669</v>
      </c>
      <c r="D396" s="140">
        <v>2022</v>
      </c>
      <c r="E396" s="140" t="s">
        <v>1038</v>
      </c>
      <c r="F396" s="140" t="s">
        <v>767</v>
      </c>
      <c r="G396" s="140" t="s">
        <v>1207</v>
      </c>
      <c r="H396" s="126">
        <v>1000000</v>
      </c>
      <c r="J396"/>
    </row>
    <row r="397" spans="2:10" x14ac:dyDescent="0.3">
      <c r="B397" s="138" t="s">
        <v>874</v>
      </c>
      <c r="C397" s="140" t="s">
        <v>897</v>
      </c>
      <c r="D397" s="140">
        <v>2022</v>
      </c>
      <c r="E397" s="140" t="s">
        <v>898</v>
      </c>
      <c r="F397" s="140" t="s">
        <v>767</v>
      </c>
      <c r="G397" s="140" t="s">
        <v>1207</v>
      </c>
      <c r="H397" s="126">
        <v>1000000</v>
      </c>
      <c r="J397"/>
    </row>
    <row r="398" spans="2:10" x14ac:dyDescent="0.3">
      <c r="B398" s="138" t="s">
        <v>874</v>
      </c>
      <c r="C398" s="140" t="s">
        <v>897</v>
      </c>
      <c r="D398" s="140">
        <v>2022</v>
      </c>
      <c r="E398" s="140" t="s">
        <v>899</v>
      </c>
      <c r="F398" s="140" t="s">
        <v>767</v>
      </c>
      <c r="G398" s="140" t="s">
        <v>1207</v>
      </c>
      <c r="H398" s="126">
        <v>1000000</v>
      </c>
      <c r="J398"/>
    </row>
    <row r="399" spans="2:10" x14ac:dyDescent="0.3">
      <c r="B399" s="138" t="s">
        <v>874</v>
      </c>
      <c r="C399" s="140" t="s">
        <v>1061</v>
      </c>
      <c r="D399" s="140">
        <v>2022</v>
      </c>
      <c r="E399" s="140" t="s">
        <v>766</v>
      </c>
      <c r="F399" s="140" t="s">
        <v>767</v>
      </c>
      <c r="G399" s="140" t="s">
        <v>1207</v>
      </c>
      <c r="H399" s="126">
        <v>1500000</v>
      </c>
      <c r="J399"/>
    </row>
    <row r="400" spans="2:10" x14ac:dyDescent="0.3">
      <c r="B400" s="138" t="s">
        <v>299</v>
      </c>
      <c r="C400" s="140" t="s">
        <v>1028</v>
      </c>
      <c r="D400" s="140">
        <v>2022</v>
      </c>
      <c r="E400" s="140" t="s">
        <v>1029</v>
      </c>
      <c r="F400" s="140" t="s">
        <v>767</v>
      </c>
      <c r="G400" s="140" t="s">
        <v>1207</v>
      </c>
      <c r="H400" s="126">
        <v>1000000</v>
      </c>
      <c r="J400"/>
    </row>
    <row r="401" spans="2:10" x14ac:dyDescent="0.3">
      <c r="B401" s="138" t="s">
        <v>299</v>
      </c>
      <c r="C401" s="140" t="s">
        <v>1028</v>
      </c>
      <c r="D401" s="140">
        <v>2022</v>
      </c>
      <c r="E401" s="140" t="s">
        <v>1030</v>
      </c>
      <c r="F401" s="140" t="s">
        <v>767</v>
      </c>
      <c r="G401" s="140" t="s">
        <v>1207</v>
      </c>
      <c r="H401" s="126">
        <v>1000000</v>
      </c>
      <c r="J401"/>
    </row>
    <row r="402" spans="2:10" x14ac:dyDescent="0.3">
      <c r="B402" s="138" t="s">
        <v>299</v>
      </c>
      <c r="C402" s="140" t="s">
        <v>1028</v>
      </c>
      <c r="D402" s="140">
        <v>2022</v>
      </c>
      <c r="E402" s="140" t="s">
        <v>1031</v>
      </c>
      <c r="F402" s="140" t="s">
        <v>767</v>
      </c>
      <c r="G402" s="140" t="s">
        <v>1207</v>
      </c>
      <c r="H402" s="126">
        <v>1000000</v>
      </c>
      <c r="J402"/>
    </row>
    <row r="403" spans="2:10" x14ac:dyDescent="0.3">
      <c r="B403" s="138" t="s">
        <v>299</v>
      </c>
      <c r="C403" s="140" t="s">
        <v>1028</v>
      </c>
      <c r="D403" s="140">
        <v>2022</v>
      </c>
      <c r="E403" s="140" t="s">
        <v>1032</v>
      </c>
      <c r="F403" s="140" t="s">
        <v>767</v>
      </c>
      <c r="G403" s="140" t="s">
        <v>1207</v>
      </c>
      <c r="H403" s="126">
        <v>1000000</v>
      </c>
      <c r="J403"/>
    </row>
    <row r="404" spans="2:10" x14ac:dyDescent="0.3">
      <c r="B404" s="138" t="s">
        <v>299</v>
      </c>
      <c r="C404" s="140" t="s">
        <v>1028</v>
      </c>
      <c r="D404" s="140">
        <v>2022</v>
      </c>
      <c r="E404" s="140" t="s">
        <v>1033</v>
      </c>
      <c r="F404" s="140" t="s">
        <v>767</v>
      </c>
      <c r="G404" s="140" t="s">
        <v>1207</v>
      </c>
      <c r="H404" s="126">
        <v>1000000</v>
      </c>
      <c r="J404"/>
    </row>
    <row r="405" spans="2:10" x14ac:dyDescent="0.3">
      <c r="B405" s="138" t="s">
        <v>299</v>
      </c>
      <c r="C405" s="140" t="s">
        <v>1028</v>
      </c>
      <c r="D405" s="140">
        <v>2022</v>
      </c>
      <c r="E405" s="140" t="s">
        <v>1034</v>
      </c>
      <c r="F405" s="140" t="s">
        <v>767</v>
      </c>
      <c r="G405" s="140" t="s">
        <v>1207</v>
      </c>
      <c r="H405" s="126">
        <v>1000000</v>
      </c>
      <c r="J405"/>
    </row>
    <row r="406" spans="2:10" x14ac:dyDescent="0.3">
      <c r="B406" s="138" t="s">
        <v>332</v>
      </c>
      <c r="C406" s="140" t="s">
        <v>333</v>
      </c>
      <c r="D406" s="140">
        <v>2022</v>
      </c>
      <c r="E406" s="140" t="s">
        <v>912</v>
      </c>
      <c r="F406" s="140" t="s">
        <v>767</v>
      </c>
      <c r="G406" s="140" t="s">
        <v>1207</v>
      </c>
      <c r="H406" s="126">
        <v>1000000</v>
      </c>
      <c r="J406"/>
    </row>
    <row r="407" spans="2:10" x14ac:dyDescent="0.3">
      <c r="B407" s="138" t="s">
        <v>332</v>
      </c>
      <c r="C407" s="140" t="s">
        <v>333</v>
      </c>
      <c r="D407" s="140">
        <v>2022</v>
      </c>
      <c r="E407" s="140" t="s">
        <v>921</v>
      </c>
      <c r="F407" s="140" t="s">
        <v>767</v>
      </c>
      <c r="G407" s="140" t="s">
        <v>1207</v>
      </c>
      <c r="H407" s="126">
        <v>1000000</v>
      </c>
      <c r="J407"/>
    </row>
    <row r="408" spans="2:10" x14ac:dyDescent="0.3">
      <c r="B408" s="138" t="s">
        <v>332</v>
      </c>
      <c r="C408" s="140" t="s">
        <v>333</v>
      </c>
      <c r="D408" s="140">
        <v>2022</v>
      </c>
      <c r="E408" s="140" t="s">
        <v>926</v>
      </c>
      <c r="F408" s="140" t="s">
        <v>767</v>
      </c>
      <c r="G408" s="140" t="s">
        <v>1207</v>
      </c>
      <c r="H408" s="126">
        <v>1000000</v>
      </c>
      <c r="J408"/>
    </row>
    <row r="409" spans="2:10" x14ac:dyDescent="0.3">
      <c r="B409" s="138" t="s">
        <v>332</v>
      </c>
      <c r="C409" s="140" t="s">
        <v>333</v>
      </c>
      <c r="D409" s="140">
        <v>2022</v>
      </c>
      <c r="E409" s="140" t="s">
        <v>856</v>
      </c>
      <c r="F409" s="140" t="s">
        <v>767</v>
      </c>
      <c r="G409" s="140" t="s">
        <v>1207</v>
      </c>
      <c r="H409" s="126">
        <v>1000000</v>
      </c>
      <c r="J409"/>
    </row>
    <row r="410" spans="2:10" x14ac:dyDescent="0.3">
      <c r="B410" s="138" t="s">
        <v>292</v>
      </c>
      <c r="C410" s="140" t="s">
        <v>293</v>
      </c>
      <c r="D410" s="140">
        <v>2022</v>
      </c>
      <c r="E410" s="140" t="s">
        <v>912</v>
      </c>
      <c r="F410" s="140" t="s">
        <v>767</v>
      </c>
      <c r="G410" s="140" t="s">
        <v>1207</v>
      </c>
      <c r="H410" s="126">
        <v>1000000</v>
      </c>
      <c r="J410"/>
    </row>
    <row r="411" spans="2:10" x14ac:dyDescent="0.3">
      <c r="B411" s="138" t="s">
        <v>292</v>
      </c>
      <c r="C411" s="140" t="s">
        <v>293</v>
      </c>
      <c r="D411" s="140">
        <v>2022</v>
      </c>
      <c r="E411" s="140" t="s">
        <v>856</v>
      </c>
      <c r="F411" s="140" t="s">
        <v>767</v>
      </c>
      <c r="G411" s="140" t="s">
        <v>1207</v>
      </c>
      <c r="H411" s="126">
        <v>1000000</v>
      </c>
      <c r="J411"/>
    </row>
    <row r="412" spans="2:10" x14ac:dyDescent="0.3">
      <c r="B412" s="138" t="s">
        <v>292</v>
      </c>
      <c r="C412" s="140" t="s">
        <v>293</v>
      </c>
      <c r="D412" s="140">
        <v>2022</v>
      </c>
      <c r="E412" s="140" t="s">
        <v>918</v>
      </c>
      <c r="F412" s="140" t="s">
        <v>767</v>
      </c>
      <c r="G412" s="140" t="s">
        <v>1207</v>
      </c>
      <c r="H412" s="126">
        <v>1000000</v>
      </c>
      <c r="J412"/>
    </row>
    <row r="413" spans="2:10" x14ac:dyDescent="0.3">
      <c r="B413" s="138" t="s">
        <v>292</v>
      </c>
      <c r="C413" s="140" t="s">
        <v>293</v>
      </c>
      <c r="D413" s="140">
        <v>2022</v>
      </c>
      <c r="E413" s="140" t="s">
        <v>919</v>
      </c>
      <c r="F413" s="140" t="s">
        <v>767</v>
      </c>
      <c r="G413" s="140" t="s">
        <v>1207</v>
      </c>
      <c r="H413" s="126">
        <v>1000000</v>
      </c>
      <c r="J413"/>
    </row>
    <row r="414" spans="2:10" x14ac:dyDescent="0.3">
      <c r="B414" s="138" t="s">
        <v>253</v>
      </c>
      <c r="C414" s="140" t="s">
        <v>254</v>
      </c>
      <c r="D414" s="140">
        <v>2022</v>
      </c>
      <c r="E414" s="140" t="s">
        <v>922</v>
      </c>
      <c r="F414" s="140" t="s">
        <v>767</v>
      </c>
      <c r="G414" s="140" t="s">
        <v>1207</v>
      </c>
      <c r="H414" s="126">
        <v>1000000</v>
      </c>
      <c r="J414"/>
    </row>
    <row r="415" spans="2:10" x14ac:dyDescent="0.3">
      <c r="B415" s="138" t="s">
        <v>253</v>
      </c>
      <c r="C415" s="140" t="s">
        <v>254</v>
      </c>
      <c r="D415" s="140">
        <v>2022</v>
      </c>
      <c r="E415" s="140" t="s">
        <v>752</v>
      </c>
      <c r="F415" s="140" t="s">
        <v>767</v>
      </c>
      <c r="G415" s="140" t="s">
        <v>1207</v>
      </c>
      <c r="H415" s="126">
        <v>1000000</v>
      </c>
      <c r="J415"/>
    </row>
    <row r="416" spans="2:10" x14ac:dyDescent="0.3">
      <c r="B416" s="138" t="s">
        <v>253</v>
      </c>
      <c r="C416" s="140" t="s">
        <v>254</v>
      </c>
      <c r="D416" s="140">
        <v>2022</v>
      </c>
      <c r="E416" s="140" t="s">
        <v>923</v>
      </c>
      <c r="F416" s="140" t="s">
        <v>767</v>
      </c>
      <c r="G416" s="140" t="s">
        <v>1207</v>
      </c>
      <c r="H416" s="126">
        <v>1000000</v>
      </c>
      <c r="J416"/>
    </row>
    <row r="417" spans="2:10" x14ac:dyDescent="0.3">
      <c r="B417" s="138" t="s">
        <v>253</v>
      </c>
      <c r="C417" s="140" t="s">
        <v>254</v>
      </c>
      <c r="D417" s="140">
        <v>2022</v>
      </c>
      <c r="E417" s="140" t="s">
        <v>924</v>
      </c>
      <c r="F417" s="140" t="s">
        <v>767</v>
      </c>
      <c r="G417" s="140" t="s">
        <v>1207</v>
      </c>
      <c r="H417" s="126">
        <v>1000000</v>
      </c>
      <c r="J417"/>
    </row>
    <row r="418" spans="2:10" x14ac:dyDescent="0.3">
      <c r="B418" s="138" t="s">
        <v>267</v>
      </c>
      <c r="C418" s="140" t="s">
        <v>906</v>
      </c>
      <c r="D418" s="140">
        <v>2022</v>
      </c>
      <c r="E418" s="140" t="s">
        <v>907</v>
      </c>
      <c r="F418" s="140" t="s">
        <v>767</v>
      </c>
      <c r="G418" s="140" t="s">
        <v>1207</v>
      </c>
      <c r="H418" s="126">
        <v>1000000</v>
      </c>
      <c r="J418"/>
    </row>
    <row r="419" spans="2:10" x14ac:dyDescent="0.3">
      <c r="B419" s="138" t="s">
        <v>267</v>
      </c>
      <c r="C419" s="140" t="s">
        <v>906</v>
      </c>
      <c r="D419" s="140">
        <v>2022</v>
      </c>
      <c r="E419" s="140" t="s">
        <v>854</v>
      </c>
      <c r="F419" s="140" t="s">
        <v>767</v>
      </c>
      <c r="G419" s="140" t="s">
        <v>1207</v>
      </c>
      <c r="H419" s="126">
        <v>1000000</v>
      </c>
      <c r="J419"/>
    </row>
    <row r="420" spans="2:10" x14ac:dyDescent="0.3">
      <c r="B420" s="138" t="s">
        <v>267</v>
      </c>
      <c r="C420" s="140" t="s">
        <v>906</v>
      </c>
      <c r="D420" s="140">
        <v>2022</v>
      </c>
      <c r="E420" s="140" t="s">
        <v>908</v>
      </c>
      <c r="F420" s="140" t="s">
        <v>767</v>
      </c>
      <c r="G420" s="140" t="s">
        <v>1207</v>
      </c>
      <c r="H420" s="126">
        <v>1000000</v>
      </c>
      <c r="J420"/>
    </row>
    <row r="421" spans="2:10" x14ac:dyDescent="0.3">
      <c r="B421" s="138" t="s">
        <v>267</v>
      </c>
      <c r="C421" s="140" t="s">
        <v>906</v>
      </c>
      <c r="D421" s="140">
        <v>2022</v>
      </c>
      <c r="E421" s="140" t="s">
        <v>909</v>
      </c>
      <c r="F421" s="140" t="s">
        <v>767</v>
      </c>
      <c r="G421" s="140" t="s">
        <v>1207</v>
      </c>
      <c r="H421" s="126">
        <v>1000000</v>
      </c>
      <c r="J421"/>
    </row>
    <row r="422" spans="2:10" x14ac:dyDescent="0.3">
      <c r="B422" s="138" t="s">
        <v>310</v>
      </c>
      <c r="C422" s="140" t="s">
        <v>311</v>
      </c>
      <c r="D422" s="140">
        <v>2022</v>
      </c>
      <c r="E422" s="140" t="s">
        <v>912</v>
      </c>
      <c r="F422" s="140" t="s">
        <v>767</v>
      </c>
      <c r="G422" s="140" t="s">
        <v>1207</v>
      </c>
      <c r="H422" s="126">
        <v>1500000</v>
      </c>
      <c r="J422"/>
    </row>
    <row r="423" spans="2:10" x14ac:dyDescent="0.3">
      <c r="B423" s="138" t="s">
        <v>310</v>
      </c>
      <c r="C423" s="140" t="s">
        <v>311</v>
      </c>
      <c r="D423" s="140">
        <v>2022</v>
      </c>
      <c r="E423" s="140" t="s">
        <v>750</v>
      </c>
      <c r="F423" s="140" t="s">
        <v>767</v>
      </c>
      <c r="G423" s="140" t="s">
        <v>1207</v>
      </c>
      <c r="H423" s="126">
        <v>1000000</v>
      </c>
      <c r="J423"/>
    </row>
    <row r="424" spans="2:10" x14ac:dyDescent="0.3">
      <c r="B424" s="138" t="s">
        <v>310</v>
      </c>
      <c r="C424" s="140" t="s">
        <v>311</v>
      </c>
      <c r="D424" s="140">
        <v>2022</v>
      </c>
      <c r="E424" s="140" t="s">
        <v>913</v>
      </c>
      <c r="F424" s="140" t="s">
        <v>767</v>
      </c>
      <c r="G424" s="140" t="s">
        <v>1207</v>
      </c>
      <c r="H424" s="126">
        <v>1000000</v>
      </c>
      <c r="J424"/>
    </row>
    <row r="425" spans="2:10" x14ac:dyDescent="0.3">
      <c r="B425" s="138" t="s">
        <v>302</v>
      </c>
      <c r="C425" s="140" t="s">
        <v>914</v>
      </c>
      <c r="D425" s="140">
        <v>2022</v>
      </c>
      <c r="E425" s="140" t="s">
        <v>915</v>
      </c>
      <c r="F425" s="140" t="s">
        <v>767</v>
      </c>
      <c r="G425" s="140" t="s">
        <v>1207</v>
      </c>
      <c r="H425" s="126">
        <v>1000000</v>
      </c>
      <c r="J425"/>
    </row>
    <row r="426" spans="2:10" x14ac:dyDescent="0.3">
      <c r="B426" s="138" t="s">
        <v>302</v>
      </c>
      <c r="C426" s="140" t="s">
        <v>914</v>
      </c>
      <c r="D426" s="140">
        <v>2022</v>
      </c>
      <c r="E426" s="140" t="s">
        <v>912</v>
      </c>
      <c r="F426" s="140" t="s">
        <v>767</v>
      </c>
      <c r="G426" s="140" t="s">
        <v>1207</v>
      </c>
      <c r="H426" s="126">
        <v>1000000</v>
      </c>
      <c r="J426"/>
    </row>
    <row r="427" spans="2:10" x14ac:dyDescent="0.3">
      <c r="B427" s="138" t="s">
        <v>302</v>
      </c>
      <c r="C427" s="140" t="s">
        <v>914</v>
      </c>
      <c r="D427" s="140">
        <v>2022</v>
      </c>
      <c r="E427" s="140" t="s">
        <v>916</v>
      </c>
      <c r="F427" s="140" t="s">
        <v>767</v>
      </c>
      <c r="G427" s="140" t="s">
        <v>1207</v>
      </c>
      <c r="H427" s="126">
        <v>1000000</v>
      </c>
      <c r="J427"/>
    </row>
    <row r="428" spans="2:10" x14ac:dyDescent="0.3">
      <c r="B428" s="138" t="s">
        <v>302</v>
      </c>
      <c r="C428" s="140" t="s">
        <v>914</v>
      </c>
      <c r="D428" s="140">
        <v>2022</v>
      </c>
      <c r="E428" s="140" t="s">
        <v>917</v>
      </c>
      <c r="F428" s="140" t="s">
        <v>767</v>
      </c>
      <c r="G428" s="140" t="s">
        <v>1207</v>
      </c>
      <c r="H428" s="126">
        <v>1000000</v>
      </c>
      <c r="J428"/>
    </row>
    <row r="429" spans="2:10" x14ac:dyDescent="0.3">
      <c r="B429" s="138" t="s">
        <v>229</v>
      </c>
      <c r="C429" s="140" t="s">
        <v>230</v>
      </c>
      <c r="D429" s="140">
        <v>2022</v>
      </c>
      <c r="E429" s="140" t="s">
        <v>922</v>
      </c>
      <c r="F429" s="140" t="s">
        <v>767</v>
      </c>
      <c r="G429" s="140" t="s">
        <v>1207</v>
      </c>
      <c r="H429" s="126">
        <v>1000000</v>
      </c>
      <c r="J429"/>
    </row>
    <row r="430" spans="2:10" x14ac:dyDescent="0.3">
      <c r="B430" s="138" t="s">
        <v>229</v>
      </c>
      <c r="C430" s="140" t="s">
        <v>230</v>
      </c>
      <c r="D430" s="140">
        <v>2022</v>
      </c>
      <c r="E430" s="140" t="s">
        <v>854</v>
      </c>
      <c r="F430" s="140" t="s">
        <v>767</v>
      </c>
      <c r="G430" s="140" t="s">
        <v>1207</v>
      </c>
      <c r="H430" s="126">
        <v>1000000</v>
      </c>
      <c r="J430"/>
    </row>
    <row r="431" spans="2:10" x14ac:dyDescent="0.3">
      <c r="B431" s="138" t="s">
        <v>229</v>
      </c>
      <c r="C431" s="140" t="s">
        <v>230</v>
      </c>
      <c r="D431" s="140">
        <v>2022</v>
      </c>
      <c r="E431" s="140" t="s">
        <v>921</v>
      </c>
      <c r="F431" s="140" t="s">
        <v>767</v>
      </c>
      <c r="G431" s="140" t="s">
        <v>1207</v>
      </c>
      <c r="H431" s="126">
        <v>1000000</v>
      </c>
      <c r="J431"/>
    </row>
    <row r="432" spans="2:10" x14ac:dyDescent="0.3">
      <c r="B432" s="138" t="s">
        <v>229</v>
      </c>
      <c r="C432" s="140" t="s">
        <v>230</v>
      </c>
      <c r="D432" s="140">
        <v>2022</v>
      </c>
      <c r="E432" s="140" t="s">
        <v>856</v>
      </c>
      <c r="F432" s="140" t="s">
        <v>767</v>
      </c>
      <c r="G432" s="140" t="s">
        <v>1207</v>
      </c>
      <c r="H432" s="126">
        <v>1000000</v>
      </c>
      <c r="J432"/>
    </row>
    <row r="433" spans="2:20" x14ac:dyDescent="0.3">
      <c r="B433" s="138" t="s">
        <v>242</v>
      </c>
      <c r="C433" s="140" t="s">
        <v>243</v>
      </c>
      <c r="D433" s="140">
        <v>2022</v>
      </c>
      <c r="E433" s="140" t="s">
        <v>920</v>
      </c>
      <c r="F433" s="140" t="s">
        <v>767</v>
      </c>
      <c r="G433" s="140" t="s">
        <v>1207</v>
      </c>
      <c r="H433" s="126">
        <v>1000000</v>
      </c>
      <c r="J433"/>
    </row>
    <row r="434" spans="2:20" x14ac:dyDescent="0.3">
      <c r="B434" s="138" t="s">
        <v>242</v>
      </c>
      <c r="C434" s="140" t="s">
        <v>243</v>
      </c>
      <c r="D434" s="140">
        <v>2022</v>
      </c>
      <c r="E434" s="140" t="s">
        <v>912</v>
      </c>
      <c r="F434" s="140" t="s">
        <v>767</v>
      </c>
      <c r="G434" s="140" t="s">
        <v>1207</v>
      </c>
      <c r="H434" s="126">
        <v>1000000</v>
      </c>
      <c r="J434"/>
    </row>
    <row r="435" spans="2:20" x14ac:dyDescent="0.3">
      <c r="B435" s="138" t="s">
        <v>242</v>
      </c>
      <c r="C435" s="140" t="s">
        <v>243</v>
      </c>
      <c r="D435" s="140">
        <v>2022</v>
      </c>
      <c r="E435" s="140" t="s">
        <v>921</v>
      </c>
      <c r="F435" s="140" t="s">
        <v>767</v>
      </c>
      <c r="G435" s="140" t="s">
        <v>1207</v>
      </c>
      <c r="H435" s="126">
        <v>1000000</v>
      </c>
      <c r="J435"/>
    </row>
    <row r="436" spans="2:20" x14ac:dyDescent="0.3">
      <c r="B436" s="138" t="s">
        <v>242</v>
      </c>
      <c r="C436" s="140" t="s">
        <v>243</v>
      </c>
      <c r="D436" s="140">
        <v>2022</v>
      </c>
      <c r="E436" s="140" t="s">
        <v>856</v>
      </c>
      <c r="F436" s="140" t="s">
        <v>767</v>
      </c>
      <c r="G436" s="140" t="s">
        <v>1207</v>
      </c>
      <c r="H436" s="126">
        <v>1000000</v>
      </c>
      <c r="J436"/>
    </row>
    <row r="437" spans="2:20" x14ac:dyDescent="0.3">
      <c r="B437" s="138" t="s">
        <v>279</v>
      </c>
      <c r="C437" s="140" t="s">
        <v>280</v>
      </c>
      <c r="D437" s="140">
        <v>2022</v>
      </c>
      <c r="E437" s="140" t="s">
        <v>854</v>
      </c>
      <c r="F437" s="140" t="s">
        <v>767</v>
      </c>
      <c r="G437" s="140" t="s">
        <v>1207</v>
      </c>
      <c r="H437" s="126">
        <v>1000000</v>
      </c>
      <c r="J437"/>
    </row>
    <row r="438" spans="2:20" x14ac:dyDescent="0.3">
      <c r="B438" s="138" t="s">
        <v>279</v>
      </c>
      <c r="C438" s="140" t="s">
        <v>280</v>
      </c>
      <c r="D438" s="140">
        <v>2022</v>
      </c>
      <c r="E438" s="140" t="s">
        <v>898</v>
      </c>
      <c r="F438" s="140" t="s">
        <v>767</v>
      </c>
      <c r="G438" s="140" t="s">
        <v>1207</v>
      </c>
      <c r="H438" s="126">
        <v>1000000</v>
      </c>
      <c r="J438"/>
    </row>
    <row r="439" spans="2:20" x14ac:dyDescent="0.3">
      <c r="B439" s="138" t="s">
        <v>279</v>
      </c>
      <c r="C439" s="140" t="s">
        <v>280</v>
      </c>
      <c r="D439" s="140">
        <v>2022</v>
      </c>
      <c r="E439" s="140" t="s">
        <v>910</v>
      </c>
      <c r="F439" s="140" t="s">
        <v>767</v>
      </c>
      <c r="G439" s="140" t="s">
        <v>1207</v>
      </c>
      <c r="H439" s="126">
        <v>1000000</v>
      </c>
      <c r="J439"/>
    </row>
    <row r="440" spans="2:20" x14ac:dyDescent="0.3">
      <c r="B440" s="138" t="s">
        <v>279</v>
      </c>
      <c r="C440" s="140" t="s">
        <v>280</v>
      </c>
      <c r="D440" s="140">
        <v>2022</v>
      </c>
      <c r="E440" s="140" t="s">
        <v>752</v>
      </c>
      <c r="F440" s="140" t="s">
        <v>767</v>
      </c>
      <c r="G440" s="140" t="s">
        <v>1207</v>
      </c>
      <c r="H440" s="126">
        <v>1000000</v>
      </c>
      <c r="J440"/>
    </row>
    <row r="441" spans="2:20" x14ac:dyDescent="0.3">
      <c r="B441" s="138" t="s">
        <v>279</v>
      </c>
      <c r="C441" s="140" t="s">
        <v>280</v>
      </c>
      <c r="D441" s="140">
        <v>2022</v>
      </c>
      <c r="E441" s="140" t="s">
        <v>911</v>
      </c>
      <c r="F441" s="140" t="s">
        <v>767</v>
      </c>
      <c r="G441" s="140" t="s">
        <v>1207</v>
      </c>
      <c r="H441" s="126">
        <v>1000000</v>
      </c>
      <c r="J441"/>
    </row>
    <row r="442" spans="2:20" x14ac:dyDescent="0.3">
      <c r="B442" s="138" t="s">
        <v>310</v>
      </c>
      <c r="C442" s="140" t="s">
        <v>322</v>
      </c>
      <c r="D442" s="140">
        <v>2022</v>
      </c>
      <c r="E442" s="140" t="s">
        <v>899</v>
      </c>
      <c r="F442" s="140" t="s">
        <v>767</v>
      </c>
      <c r="G442" s="140" t="s">
        <v>1207</v>
      </c>
      <c r="H442" s="126">
        <v>1500000</v>
      </c>
      <c r="J442"/>
    </row>
    <row r="443" spans="2:20" x14ac:dyDescent="0.3">
      <c r="B443" s="138" t="s">
        <v>319</v>
      </c>
      <c r="C443" s="140" t="s">
        <v>717</v>
      </c>
      <c r="D443" s="140">
        <v>2022</v>
      </c>
      <c r="E443" s="140" t="s">
        <v>991</v>
      </c>
      <c r="F443" s="140" t="s">
        <v>767</v>
      </c>
      <c r="G443" s="140" t="s">
        <v>1207</v>
      </c>
      <c r="H443" s="126">
        <v>1000000</v>
      </c>
      <c r="J443"/>
    </row>
    <row r="444" spans="2:20" x14ac:dyDescent="0.3">
      <c r="B444" s="138" t="s">
        <v>319</v>
      </c>
      <c r="C444" s="140" t="s">
        <v>717</v>
      </c>
      <c r="D444" s="140">
        <v>2022</v>
      </c>
      <c r="E444" s="140" t="s">
        <v>992</v>
      </c>
      <c r="F444" s="140" t="s">
        <v>767</v>
      </c>
      <c r="G444" s="140" t="s">
        <v>1207</v>
      </c>
      <c r="H444" s="126">
        <v>1000000</v>
      </c>
    </row>
    <row r="445" spans="2:20" x14ac:dyDescent="0.3">
      <c r="I445" s="92"/>
      <c r="J445"/>
    </row>
    <row r="446" spans="2:20" s="93" customFormat="1" x14ac:dyDescent="0.3">
      <c r="B446" s="149" t="s">
        <v>850</v>
      </c>
      <c r="C446" s="156" t="s">
        <v>1067</v>
      </c>
      <c r="D446" s="156">
        <v>2015</v>
      </c>
      <c r="E446" s="139" t="s">
        <v>851</v>
      </c>
      <c r="F446" s="139" t="s">
        <v>797</v>
      </c>
      <c r="G446" s="136" t="s">
        <v>1210</v>
      </c>
      <c r="H446" s="121">
        <v>1000000</v>
      </c>
      <c r="I446" s="92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149" t="s">
        <v>850</v>
      </c>
      <c r="C447" s="156" t="s">
        <v>1067</v>
      </c>
      <c r="D447" s="156">
        <v>2015</v>
      </c>
      <c r="E447" s="122" t="s">
        <v>852</v>
      </c>
      <c r="F447" s="139" t="s">
        <v>755</v>
      </c>
      <c r="G447" s="140" t="s">
        <v>1207</v>
      </c>
      <c r="H447" s="121">
        <v>2000000</v>
      </c>
      <c r="I447" s="92"/>
      <c r="J447"/>
    </row>
    <row r="448" spans="2:20" x14ac:dyDescent="0.3">
      <c r="B448" s="149" t="s">
        <v>850</v>
      </c>
      <c r="C448" s="156" t="s">
        <v>1068</v>
      </c>
      <c r="D448" s="156">
        <v>2015</v>
      </c>
      <c r="E448" s="139" t="s">
        <v>853</v>
      </c>
      <c r="F448" s="139" t="s">
        <v>797</v>
      </c>
      <c r="G448" s="136" t="s">
        <v>1210</v>
      </c>
      <c r="H448" s="121">
        <v>1000000</v>
      </c>
      <c r="I448" s="92"/>
      <c r="J448"/>
    </row>
    <row r="449" spans="2:10" x14ac:dyDescent="0.3">
      <c r="B449" s="149" t="s">
        <v>850</v>
      </c>
      <c r="C449" s="156" t="s">
        <v>1068</v>
      </c>
      <c r="D449" s="156">
        <v>2015</v>
      </c>
      <c r="E449" s="122" t="s">
        <v>854</v>
      </c>
      <c r="F449" s="139" t="s">
        <v>797</v>
      </c>
      <c r="G449" s="136" t="s">
        <v>1210</v>
      </c>
      <c r="H449" s="121">
        <v>2000000</v>
      </c>
      <c r="I449" s="92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BB10-0323-4C2A-B8E4-9377FEC4B1B4}">
  <sheetPr>
    <pageSetUpPr fitToPage="1"/>
  </sheetPr>
  <dimension ref="A3:P28"/>
  <sheetViews>
    <sheetView zoomScaleNormal="100" workbookViewId="0">
      <selection activeCell="O27" sqref="O27"/>
    </sheetView>
  </sheetViews>
  <sheetFormatPr defaultRowHeight="16.5" x14ac:dyDescent="0.3"/>
  <cols>
    <col min="1" max="16" width="11" customWidth="1"/>
  </cols>
  <sheetData>
    <row r="3" spans="1:16" x14ac:dyDescent="0.3">
      <c r="A3" s="155" t="s">
        <v>1209</v>
      </c>
      <c r="B3" s="155" t="s">
        <v>1208</v>
      </c>
    </row>
    <row r="4" spans="1:16" x14ac:dyDescent="0.3">
      <c r="B4" t="s">
        <v>1207</v>
      </c>
      <c r="G4" t="s">
        <v>1206</v>
      </c>
      <c r="H4" t="s">
        <v>1205</v>
      </c>
      <c r="I4" t="s">
        <v>1204</v>
      </c>
      <c r="J4" t="s">
        <v>1203</v>
      </c>
      <c r="M4" t="s">
        <v>1202</v>
      </c>
      <c r="N4" t="s">
        <v>1201</v>
      </c>
      <c r="O4" t="s">
        <v>1200</v>
      </c>
      <c r="P4" t="s">
        <v>1192</v>
      </c>
    </row>
    <row r="5" spans="1:16" x14ac:dyDescent="0.3">
      <c r="A5" s="155" t="s">
        <v>1199</v>
      </c>
      <c r="B5" t="s">
        <v>755</v>
      </c>
      <c r="C5" t="s">
        <v>1163</v>
      </c>
      <c r="D5" t="s">
        <v>1198</v>
      </c>
      <c r="E5" t="s">
        <v>1197</v>
      </c>
      <c r="F5" t="s">
        <v>788</v>
      </c>
      <c r="H5" t="s">
        <v>751</v>
      </c>
      <c r="J5" t="s">
        <v>1196</v>
      </c>
      <c r="K5" t="s">
        <v>1195</v>
      </c>
      <c r="L5" t="s">
        <v>1194</v>
      </c>
      <c r="N5" t="s">
        <v>1193</v>
      </c>
    </row>
    <row r="6" spans="1:16" x14ac:dyDescent="0.3">
      <c r="A6" s="154">
        <v>2014</v>
      </c>
      <c r="B6" s="153">
        <v>2</v>
      </c>
      <c r="C6" s="153"/>
      <c r="D6" s="153"/>
      <c r="E6" s="153"/>
      <c r="F6" s="153"/>
      <c r="G6" s="153">
        <v>2</v>
      </c>
      <c r="H6" s="153">
        <v>4</v>
      </c>
      <c r="I6" s="153">
        <v>4</v>
      </c>
      <c r="J6" s="153">
        <v>1</v>
      </c>
      <c r="K6" s="153">
        <v>1</v>
      </c>
      <c r="L6" s="153"/>
      <c r="M6" s="153">
        <v>2</v>
      </c>
      <c r="N6" s="153"/>
      <c r="O6" s="153"/>
      <c r="P6" s="153">
        <v>8</v>
      </c>
    </row>
    <row r="7" spans="1:16" x14ac:dyDescent="0.3">
      <c r="A7" s="154">
        <v>2015</v>
      </c>
      <c r="B7" s="153">
        <v>3</v>
      </c>
      <c r="C7" s="153">
        <v>1</v>
      </c>
      <c r="D7" s="153"/>
      <c r="E7" s="153"/>
      <c r="F7" s="153">
        <v>2</v>
      </c>
      <c r="G7" s="153">
        <v>6</v>
      </c>
      <c r="H7" s="153"/>
      <c r="I7" s="153"/>
      <c r="J7" s="153"/>
      <c r="K7" s="153"/>
      <c r="L7" s="153">
        <v>50</v>
      </c>
      <c r="M7" s="153">
        <v>50</v>
      </c>
      <c r="N7" s="153">
        <v>27</v>
      </c>
      <c r="O7" s="153">
        <v>27</v>
      </c>
      <c r="P7" s="153">
        <v>83</v>
      </c>
    </row>
    <row r="8" spans="1:16" x14ac:dyDescent="0.3">
      <c r="A8" s="154">
        <v>2016</v>
      </c>
      <c r="B8" s="153">
        <v>7</v>
      </c>
      <c r="C8" s="153"/>
      <c r="D8" s="153"/>
      <c r="E8" s="153"/>
      <c r="F8" s="153"/>
      <c r="G8" s="153">
        <v>7</v>
      </c>
      <c r="H8" s="153"/>
      <c r="I8" s="153"/>
      <c r="J8" s="153">
        <v>39</v>
      </c>
      <c r="K8" s="153"/>
      <c r="L8" s="153">
        <v>7</v>
      </c>
      <c r="M8" s="153">
        <v>46</v>
      </c>
      <c r="N8" s="153"/>
      <c r="O8" s="153"/>
      <c r="P8" s="153">
        <v>53</v>
      </c>
    </row>
    <row r="9" spans="1:16" x14ac:dyDescent="0.3">
      <c r="A9" s="154">
        <v>2017</v>
      </c>
      <c r="B9" s="153">
        <v>6</v>
      </c>
      <c r="C9" s="153"/>
      <c r="D9" s="153"/>
      <c r="E9" s="153"/>
      <c r="F9" s="153"/>
      <c r="G9" s="153">
        <v>6</v>
      </c>
      <c r="H9" s="153"/>
      <c r="I9" s="153"/>
      <c r="J9" s="153">
        <v>18</v>
      </c>
      <c r="K9" s="153"/>
      <c r="L9" s="153"/>
      <c r="M9" s="153">
        <v>18</v>
      </c>
      <c r="N9" s="153"/>
      <c r="O9" s="153"/>
      <c r="P9" s="153">
        <v>24</v>
      </c>
    </row>
    <row r="10" spans="1:16" x14ac:dyDescent="0.3">
      <c r="A10" s="154">
        <v>2018</v>
      </c>
      <c r="B10" s="153">
        <v>20</v>
      </c>
      <c r="C10" s="153">
        <v>2</v>
      </c>
      <c r="D10" s="153"/>
      <c r="E10" s="153"/>
      <c r="F10" s="153">
        <v>15</v>
      </c>
      <c r="G10" s="153">
        <v>37</v>
      </c>
      <c r="H10" s="153"/>
      <c r="I10" s="153"/>
      <c r="J10" s="153"/>
      <c r="K10" s="153"/>
      <c r="L10" s="153"/>
      <c r="M10" s="153"/>
      <c r="N10" s="153"/>
      <c r="O10" s="153"/>
      <c r="P10" s="153">
        <v>37</v>
      </c>
    </row>
    <row r="11" spans="1:16" x14ac:dyDescent="0.3">
      <c r="A11" s="154">
        <v>2019</v>
      </c>
      <c r="B11" s="153">
        <v>10</v>
      </c>
      <c r="C11" s="153"/>
      <c r="D11" s="153">
        <v>1</v>
      </c>
      <c r="E11" s="153"/>
      <c r="F11" s="153">
        <v>5</v>
      </c>
      <c r="G11" s="153">
        <v>16</v>
      </c>
      <c r="H11" s="153"/>
      <c r="I11" s="153"/>
      <c r="J11" s="153"/>
      <c r="K11" s="153"/>
      <c r="L11" s="153"/>
      <c r="M11" s="153"/>
      <c r="N11" s="153"/>
      <c r="O11" s="153"/>
      <c r="P11" s="153">
        <v>16</v>
      </c>
    </row>
    <row r="12" spans="1:16" x14ac:dyDescent="0.3">
      <c r="A12" s="154">
        <v>2020</v>
      </c>
      <c r="B12" s="153">
        <v>51</v>
      </c>
      <c r="C12" s="153">
        <v>6</v>
      </c>
      <c r="D12" s="153"/>
      <c r="E12" s="153"/>
      <c r="F12" s="153">
        <v>2</v>
      </c>
      <c r="G12" s="153">
        <v>59</v>
      </c>
      <c r="H12" s="153"/>
      <c r="I12" s="153"/>
      <c r="J12" s="153"/>
      <c r="K12" s="153"/>
      <c r="L12" s="153"/>
      <c r="M12" s="153"/>
      <c r="N12" s="153"/>
      <c r="O12" s="153"/>
      <c r="P12" s="153">
        <v>59</v>
      </c>
    </row>
    <row r="13" spans="1:16" x14ac:dyDescent="0.3">
      <c r="A13" s="154">
        <v>2021</v>
      </c>
      <c r="B13" s="153"/>
      <c r="C13" s="153">
        <v>59</v>
      </c>
      <c r="D13" s="153"/>
      <c r="E13" s="153">
        <v>13</v>
      </c>
      <c r="F13" s="153"/>
      <c r="G13" s="153">
        <v>72</v>
      </c>
      <c r="H13" s="153"/>
      <c r="I13" s="153"/>
      <c r="J13" s="153"/>
      <c r="K13" s="153"/>
      <c r="L13" s="153"/>
      <c r="M13" s="153"/>
      <c r="N13" s="153"/>
      <c r="O13" s="153"/>
      <c r="P13" s="153">
        <v>72</v>
      </c>
    </row>
    <row r="14" spans="1:16" x14ac:dyDescent="0.3">
      <c r="A14" s="154">
        <v>2022</v>
      </c>
      <c r="B14" s="153"/>
      <c r="C14" s="153">
        <v>77</v>
      </c>
      <c r="D14" s="153"/>
      <c r="E14" s="153">
        <v>11</v>
      </c>
      <c r="F14" s="153"/>
      <c r="G14" s="153">
        <v>88</v>
      </c>
      <c r="H14" s="153"/>
      <c r="I14" s="153"/>
      <c r="J14" s="153"/>
      <c r="K14" s="153"/>
      <c r="L14" s="153"/>
      <c r="M14" s="153"/>
      <c r="N14" s="153"/>
      <c r="O14" s="153"/>
      <c r="P14" s="153">
        <v>88</v>
      </c>
    </row>
    <row r="15" spans="1:16" x14ac:dyDescent="0.3">
      <c r="A15" s="154" t="s">
        <v>1192</v>
      </c>
      <c r="B15" s="153">
        <v>99</v>
      </c>
      <c r="C15" s="153">
        <v>145</v>
      </c>
      <c r="D15" s="153">
        <v>1</v>
      </c>
      <c r="E15" s="153">
        <v>24</v>
      </c>
      <c r="F15" s="153">
        <v>24</v>
      </c>
      <c r="G15" s="153">
        <v>293</v>
      </c>
      <c r="H15" s="153">
        <v>4</v>
      </c>
      <c r="I15" s="153">
        <v>4</v>
      </c>
      <c r="J15" s="153">
        <v>58</v>
      </c>
      <c r="K15" s="153">
        <v>1</v>
      </c>
      <c r="L15" s="153">
        <v>57</v>
      </c>
      <c r="M15" s="153">
        <v>116</v>
      </c>
      <c r="N15" s="153">
        <v>27</v>
      </c>
      <c r="O15" s="153">
        <v>27</v>
      </c>
      <c r="P15" s="153">
        <v>440</v>
      </c>
    </row>
    <row r="17" spans="8:13" x14ac:dyDescent="0.3">
      <c r="H17" s="152" t="s">
        <v>1191</v>
      </c>
      <c r="I17" s="224" t="s">
        <v>1190</v>
      </c>
      <c r="J17" s="225"/>
      <c r="K17" s="225"/>
      <c r="L17" s="225"/>
      <c r="M17" s="226"/>
    </row>
    <row r="18" spans="8:13" x14ac:dyDescent="0.3">
      <c r="H18" s="106"/>
      <c r="I18" s="150" t="s">
        <v>777</v>
      </c>
      <c r="J18" s="150" t="s">
        <v>1189</v>
      </c>
      <c r="K18" s="150" t="s">
        <v>1188</v>
      </c>
      <c r="L18" s="150" t="s">
        <v>1187</v>
      </c>
      <c r="M18" s="150" t="s">
        <v>1186</v>
      </c>
    </row>
    <row r="19" spans="8:13" x14ac:dyDescent="0.3">
      <c r="H19" s="125">
        <v>2014</v>
      </c>
      <c r="I19" s="151">
        <v>2</v>
      </c>
      <c r="J19" s="151">
        <v>4</v>
      </c>
      <c r="K19" s="151">
        <v>2</v>
      </c>
      <c r="L19" s="151"/>
      <c r="M19" s="151">
        <v>8</v>
      </c>
    </row>
    <row r="20" spans="8:13" x14ac:dyDescent="0.3">
      <c r="H20" s="125">
        <v>2015</v>
      </c>
      <c r="I20" s="151">
        <v>6</v>
      </c>
      <c r="J20" s="151"/>
      <c r="K20" s="151">
        <v>50</v>
      </c>
      <c r="L20" s="151">
        <v>27</v>
      </c>
      <c r="M20" s="151">
        <v>83</v>
      </c>
    </row>
    <row r="21" spans="8:13" x14ac:dyDescent="0.3">
      <c r="H21" s="125">
        <v>2016</v>
      </c>
      <c r="I21" s="151">
        <v>7</v>
      </c>
      <c r="J21" s="151"/>
      <c r="K21" s="151">
        <v>46</v>
      </c>
      <c r="L21" s="151"/>
      <c r="M21" s="151">
        <v>53</v>
      </c>
    </row>
    <row r="22" spans="8:13" x14ac:dyDescent="0.3">
      <c r="H22" s="125">
        <v>2017</v>
      </c>
      <c r="I22" s="151">
        <v>6</v>
      </c>
      <c r="J22" s="151"/>
      <c r="K22" s="151">
        <v>18</v>
      </c>
      <c r="L22" s="151"/>
      <c r="M22" s="151">
        <v>24</v>
      </c>
    </row>
    <row r="23" spans="8:13" x14ac:dyDescent="0.3">
      <c r="H23" s="125">
        <v>2018</v>
      </c>
      <c r="I23" s="151">
        <v>37</v>
      </c>
      <c r="J23" s="151"/>
      <c r="K23" s="151"/>
      <c r="L23" s="151"/>
      <c r="M23" s="151">
        <v>37</v>
      </c>
    </row>
    <row r="24" spans="8:13" x14ac:dyDescent="0.3">
      <c r="H24" s="150">
        <v>2019</v>
      </c>
      <c r="I24" s="98">
        <v>16</v>
      </c>
      <c r="J24" s="98"/>
      <c r="K24" s="98"/>
      <c r="L24" s="98"/>
      <c r="M24" s="98">
        <v>16</v>
      </c>
    </row>
    <row r="25" spans="8:13" x14ac:dyDescent="0.3">
      <c r="H25" s="150">
        <v>2020</v>
      </c>
      <c r="I25" s="98">
        <v>59</v>
      </c>
      <c r="J25" s="98"/>
      <c r="K25" s="98"/>
      <c r="L25" s="98"/>
      <c r="M25" s="98">
        <v>59</v>
      </c>
    </row>
    <row r="26" spans="8:13" x14ac:dyDescent="0.3">
      <c r="H26" s="150">
        <v>2021</v>
      </c>
      <c r="I26" s="98">
        <v>72</v>
      </c>
      <c r="J26" s="98"/>
      <c r="K26" s="98"/>
      <c r="L26" s="98"/>
      <c r="M26" s="98">
        <v>72</v>
      </c>
    </row>
    <row r="27" spans="8:13" x14ac:dyDescent="0.3">
      <c r="H27" s="150">
        <v>2022</v>
      </c>
      <c r="I27" s="98">
        <v>88</v>
      </c>
      <c r="J27" s="98"/>
      <c r="K27" s="98"/>
      <c r="L27" s="98"/>
      <c r="M27" s="98">
        <v>88</v>
      </c>
    </row>
    <row r="28" spans="8:13" x14ac:dyDescent="0.3">
      <c r="H28" s="150" t="s">
        <v>1186</v>
      </c>
      <c r="I28" s="98">
        <v>293</v>
      </c>
      <c r="J28" s="98">
        <v>4</v>
      </c>
      <c r="K28" s="98">
        <v>116</v>
      </c>
      <c r="L28" s="98">
        <v>27</v>
      </c>
      <c r="M28" s="98">
        <v>440</v>
      </c>
    </row>
  </sheetData>
  <mergeCells count="1">
    <mergeCell ref="I17:M17"/>
  </mergeCells>
  <phoneticPr fontId="1" type="noConversion"/>
  <pageMargins left="0.7" right="0.7" top="0.75" bottom="0.75" header="0.3" footer="0.3"/>
  <pageSetup paperSize="9" scale="68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9081-FAF2-4D38-9BFD-36506172232C}">
  <dimension ref="B2:N20"/>
  <sheetViews>
    <sheetView zoomScale="115" zoomScaleNormal="115" workbookViewId="0">
      <selection activeCell="G23" sqref="G23"/>
    </sheetView>
  </sheetViews>
  <sheetFormatPr defaultColWidth="8.75" defaultRowHeight="14.25" x14ac:dyDescent="0.3"/>
  <cols>
    <col min="1" max="1" width="1.625" style="159" customWidth="1"/>
    <col min="2" max="2" width="23.75" style="159" customWidth="1"/>
    <col min="3" max="3" width="12.875" style="159" customWidth="1"/>
    <col min="4" max="12" width="8.75" style="159"/>
    <col min="13" max="13" width="11.375" style="159" customWidth="1"/>
    <col min="14" max="16384" width="8.75" style="159"/>
  </cols>
  <sheetData>
    <row r="2" spans="2:14" ht="20.25" x14ac:dyDescent="0.2">
      <c r="B2" s="177" t="s">
        <v>1256</v>
      </c>
      <c r="L2" s="227">
        <v>44853</v>
      </c>
      <c r="M2" s="227"/>
      <c r="N2" s="176"/>
    </row>
    <row r="3" spans="2:14" ht="8.25" customHeight="1" thickBot="1" x14ac:dyDescent="0.35">
      <c r="G3" s="175"/>
    </row>
    <row r="4" spans="2:14" ht="29.45" customHeight="1" thickBot="1" x14ac:dyDescent="0.35">
      <c r="B4" s="174" t="s">
        <v>1255</v>
      </c>
      <c r="C4" s="173" t="s">
        <v>1254</v>
      </c>
      <c r="D4" s="173">
        <v>2014</v>
      </c>
      <c r="E4" s="173">
        <v>2015</v>
      </c>
      <c r="F4" s="173">
        <v>2016</v>
      </c>
      <c r="G4" s="173">
        <v>2017</v>
      </c>
      <c r="H4" s="173">
        <v>2018</v>
      </c>
      <c r="I4" s="173">
        <v>2019</v>
      </c>
      <c r="J4" s="173">
        <v>2020</v>
      </c>
      <c r="K4" s="173">
        <v>2021</v>
      </c>
      <c r="L4" s="173">
        <v>2022</v>
      </c>
      <c r="M4" s="172" t="s">
        <v>1253</v>
      </c>
    </row>
    <row r="5" spans="2:14" ht="16.899999999999999" customHeight="1" thickTop="1" x14ac:dyDescent="0.3">
      <c r="B5" s="232" t="s">
        <v>1252</v>
      </c>
      <c r="C5" s="166" t="s">
        <v>1247</v>
      </c>
      <c r="D5" s="171">
        <v>2</v>
      </c>
      <c r="E5" s="171">
        <v>46</v>
      </c>
      <c r="F5" s="171">
        <v>2</v>
      </c>
      <c r="G5" s="171">
        <v>12</v>
      </c>
      <c r="H5" s="171">
        <v>10</v>
      </c>
      <c r="I5" s="171">
        <v>4</v>
      </c>
      <c r="J5" s="171">
        <v>28</v>
      </c>
      <c r="K5" s="171">
        <v>20</v>
      </c>
      <c r="L5" s="171">
        <v>25</v>
      </c>
      <c r="M5" s="170">
        <f t="shared" ref="M5:M18" si="0">SUM(D5:L5)</f>
        <v>149</v>
      </c>
    </row>
    <row r="6" spans="2:14" ht="16.899999999999999" customHeight="1" x14ac:dyDescent="0.3">
      <c r="B6" s="228"/>
      <c r="C6" s="169" t="s">
        <v>1246</v>
      </c>
      <c r="D6" s="168">
        <v>2</v>
      </c>
      <c r="E6" s="168">
        <v>1</v>
      </c>
      <c r="F6" s="168">
        <v>5</v>
      </c>
      <c r="G6" s="168">
        <v>0</v>
      </c>
      <c r="H6" s="168">
        <v>19</v>
      </c>
      <c r="I6" s="168">
        <v>12</v>
      </c>
      <c r="J6" s="168">
        <v>60</v>
      </c>
      <c r="K6" s="168">
        <v>57</v>
      </c>
      <c r="L6" s="168">
        <v>67</v>
      </c>
      <c r="M6" s="167">
        <f t="shared" si="0"/>
        <v>223</v>
      </c>
    </row>
    <row r="7" spans="2:14" ht="16.899999999999999" customHeight="1" x14ac:dyDescent="0.3">
      <c r="B7" s="228" t="s">
        <v>1251</v>
      </c>
      <c r="C7" s="166" t="s">
        <v>1247</v>
      </c>
      <c r="D7" s="165"/>
      <c r="E7" s="165">
        <v>17</v>
      </c>
      <c r="F7" s="165">
        <v>0</v>
      </c>
      <c r="G7" s="165">
        <v>17</v>
      </c>
      <c r="H7" s="165">
        <v>4</v>
      </c>
      <c r="I7" s="165">
        <v>8</v>
      </c>
      <c r="J7" s="165">
        <v>7</v>
      </c>
      <c r="K7" s="165">
        <v>5</v>
      </c>
      <c r="L7" s="165">
        <v>2</v>
      </c>
      <c r="M7" s="164">
        <f t="shared" si="0"/>
        <v>60</v>
      </c>
    </row>
    <row r="8" spans="2:14" ht="16.899999999999999" customHeight="1" x14ac:dyDescent="0.3">
      <c r="B8" s="228"/>
      <c r="C8" s="169" t="s">
        <v>1246</v>
      </c>
      <c r="D8" s="168"/>
      <c r="E8" s="168">
        <v>20</v>
      </c>
      <c r="F8" s="168">
        <v>0</v>
      </c>
      <c r="G8" s="168">
        <v>6</v>
      </c>
      <c r="H8" s="168">
        <v>5</v>
      </c>
      <c r="I8" s="168">
        <v>10</v>
      </c>
      <c r="J8" s="168">
        <v>4</v>
      </c>
      <c r="K8" s="168">
        <v>5</v>
      </c>
      <c r="L8" s="168">
        <v>2</v>
      </c>
      <c r="M8" s="167">
        <f t="shared" si="0"/>
        <v>52</v>
      </c>
    </row>
    <row r="9" spans="2:14" ht="16.899999999999999" customHeight="1" x14ac:dyDescent="0.3">
      <c r="B9" s="228" t="s">
        <v>709</v>
      </c>
      <c r="C9" s="166" t="s">
        <v>1247</v>
      </c>
      <c r="D9" s="165"/>
      <c r="E9" s="165"/>
      <c r="F9" s="165"/>
      <c r="G9" s="165"/>
      <c r="H9" s="165">
        <v>19</v>
      </c>
      <c r="I9" s="165">
        <v>57</v>
      </c>
      <c r="J9" s="165">
        <v>9</v>
      </c>
      <c r="K9" s="165">
        <v>15</v>
      </c>
      <c r="L9" s="165">
        <v>15</v>
      </c>
      <c r="M9" s="164">
        <f t="shared" si="0"/>
        <v>115</v>
      </c>
    </row>
    <row r="10" spans="2:14" ht="16.899999999999999" customHeight="1" x14ac:dyDescent="0.3">
      <c r="B10" s="228"/>
      <c r="C10" s="169" t="s">
        <v>1246</v>
      </c>
      <c r="D10" s="168"/>
      <c r="E10" s="168"/>
      <c r="F10" s="168"/>
      <c r="G10" s="168"/>
      <c r="H10" s="168">
        <v>19</v>
      </c>
      <c r="I10" s="168">
        <v>2</v>
      </c>
      <c r="J10" s="168"/>
      <c r="K10" s="168"/>
      <c r="L10" s="168"/>
      <c r="M10" s="167">
        <f t="shared" si="0"/>
        <v>21</v>
      </c>
    </row>
    <row r="11" spans="2:14" ht="16.899999999999999" customHeight="1" x14ac:dyDescent="0.3">
      <c r="B11" s="228" t="s">
        <v>1250</v>
      </c>
      <c r="C11" s="166" t="s">
        <v>1247</v>
      </c>
      <c r="D11" s="165"/>
      <c r="E11" s="165"/>
      <c r="F11" s="165"/>
      <c r="G11" s="165"/>
      <c r="H11" s="165">
        <v>17</v>
      </c>
      <c r="I11" s="165">
        <v>3</v>
      </c>
      <c r="J11" s="165">
        <v>4</v>
      </c>
      <c r="K11" s="165"/>
      <c r="L11" s="165"/>
      <c r="M11" s="164">
        <f t="shared" si="0"/>
        <v>24</v>
      </c>
    </row>
    <row r="12" spans="2:14" ht="16.899999999999999" customHeight="1" x14ac:dyDescent="0.3">
      <c r="B12" s="228"/>
      <c r="C12" s="169" t="s">
        <v>1246</v>
      </c>
      <c r="D12" s="168"/>
      <c r="E12" s="168"/>
      <c r="F12" s="168"/>
      <c r="G12" s="168"/>
      <c r="H12" s="168">
        <v>17</v>
      </c>
      <c r="I12" s="168">
        <v>9</v>
      </c>
      <c r="J12" s="168">
        <v>12</v>
      </c>
      <c r="K12" s="168"/>
      <c r="L12" s="168"/>
      <c r="M12" s="167">
        <f t="shared" si="0"/>
        <v>38</v>
      </c>
    </row>
    <row r="13" spans="2:14" ht="16.899999999999999" customHeight="1" x14ac:dyDescent="0.3">
      <c r="B13" s="228" t="s">
        <v>720</v>
      </c>
      <c r="C13" s="166" t="s">
        <v>1247</v>
      </c>
      <c r="D13" s="165"/>
      <c r="E13" s="165"/>
      <c r="F13" s="165"/>
      <c r="G13" s="165"/>
      <c r="H13" s="165"/>
      <c r="I13" s="165"/>
      <c r="J13" s="165">
        <v>9</v>
      </c>
      <c r="K13" s="165">
        <v>2</v>
      </c>
      <c r="L13" s="165"/>
      <c r="M13" s="164">
        <f t="shared" si="0"/>
        <v>11</v>
      </c>
    </row>
    <row r="14" spans="2:14" ht="16.899999999999999" customHeight="1" x14ac:dyDescent="0.3">
      <c r="B14" s="228"/>
      <c r="C14" s="169" t="s">
        <v>1246</v>
      </c>
      <c r="D14" s="168"/>
      <c r="E14" s="168"/>
      <c r="F14" s="168"/>
      <c r="G14" s="168"/>
      <c r="H14" s="168"/>
      <c r="I14" s="168"/>
      <c r="J14" s="168">
        <v>110</v>
      </c>
      <c r="K14" s="168">
        <v>17</v>
      </c>
      <c r="L14" s="168"/>
      <c r="M14" s="167">
        <f t="shared" si="0"/>
        <v>127</v>
      </c>
    </row>
    <row r="15" spans="2:14" ht="16.899999999999999" customHeight="1" x14ac:dyDescent="0.3">
      <c r="B15" s="228" t="s">
        <v>1249</v>
      </c>
      <c r="C15" s="166" t="s">
        <v>1247</v>
      </c>
      <c r="D15" s="165"/>
      <c r="E15" s="165"/>
      <c r="F15" s="165"/>
      <c r="G15" s="165">
        <v>44</v>
      </c>
      <c r="H15" s="165">
        <v>95</v>
      </c>
      <c r="I15" s="165">
        <v>88</v>
      </c>
      <c r="J15" s="165">
        <v>76</v>
      </c>
      <c r="K15" s="165">
        <v>3</v>
      </c>
      <c r="L15" s="165"/>
      <c r="M15" s="164">
        <f t="shared" si="0"/>
        <v>306</v>
      </c>
    </row>
    <row r="16" spans="2:14" ht="16.899999999999999" customHeight="1" x14ac:dyDescent="0.3">
      <c r="B16" s="228"/>
      <c r="C16" s="169" t="s">
        <v>1246</v>
      </c>
      <c r="D16" s="168"/>
      <c r="E16" s="168"/>
      <c r="F16" s="168"/>
      <c r="G16" s="168">
        <v>44</v>
      </c>
      <c r="H16" s="168">
        <v>95</v>
      </c>
      <c r="I16" s="168">
        <v>88</v>
      </c>
      <c r="J16" s="168">
        <v>76</v>
      </c>
      <c r="K16" s="168">
        <v>3</v>
      </c>
      <c r="L16" s="168"/>
      <c r="M16" s="167">
        <f t="shared" si="0"/>
        <v>306</v>
      </c>
    </row>
    <row r="17" spans="2:13" ht="16.899999999999999" customHeight="1" x14ac:dyDescent="0.3">
      <c r="B17" s="228" t="s">
        <v>1248</v>
      </c>
      <c r="C17" s="166" t="s">
        <v>1247</v>
      </c>
      <c r="D17" s="165"/>
      <c r="E17" s="165"/>
      <c r="F17" s="165"/>
      <c r="G17" s="165"/>
      <c r="H17" s="165">
        <v>179</v>
      </c>
      <c r="I17" s="165">
        <v>60</v>
      </c>
      <c r="J17" s="165">
        <v>51</v>
      </c>
      <c r="K17" s="165">
        <v>41</v>
      </c>
      <c r="L17" s="165">
        <v>48</v>
      </c>
      <c r="M17" s="164">
        <f t="shared" si="0"/>
        <v>379</v>
      </c>
    </row>
    <row r="18" spans="2:13" ht="16.899999999999999" customHeight="1" thickBot="1" x14ac:dyDescent="0.35">
      <c r="B18" s="229"/>
      <c r="C18" s="163" t="s">
        <v>1246</v>
      </c>
      <c r="D18" s="162"/>
      <c r="E18" s="162"/>
      <c r="F18" s="162"/>
      <c r="G18" s="162"/>
      <c r="H18" s="162">
        <v>179</v>
      </c>
      <c r="I18" s="162">
        <v>60</v>
      </c>
      <c r="J18" s="162">
        <v>51</v>
      </c>
      <c r="K18" s="162">
        <v>41</v>
      </c>
      <c r="L18" s="162">
        <v>48</v>
      </c>
      <c r="M18" s="161">
        <f t="shared" si="0"/>
        <v>379</v>
      </c>
    </row>
    <row r="19" spans="2:13" ht="10.5" customHeight="1" thickBot="1" x14ac:dyDescent="0.35"/>
    <row r="20" spans="2:13" ht="17.45" customHeight="1" thickBot="1" x14ac:dyDescent="0.35">
      <c r="K20" s="230" t="s">
        <v>1245</v>
      </c>
      <c r="L20" s="231"/>
      <c r="M20" s="160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36F6-20F3-4001-92CC-093404D20AD7}">
  <dimension ref="A1:L18"/>
  <sheetViews>
    <sheetView tabSelected="1" workbookViewId="0">
      <selection activeCell="L7" sqref="L7"/>
    </sheetView>
  </sheetViews>
  <sheetFormatPr defaultRowHeight="16.5" x14ac:dyDescent="0.3"/>
  <cols>
    <col min="1" max="1" width="25.25" style="178" customWidth="1"/>
    <col min="2" max="2" width="14.625" style="178" customWidth="1"/>
    <col min="3" max="11" width="10.25" style="178" bestFit="1" customWidth="1"/>
    <col min="12" max="12" width="15.125" style="178" customWidth="1"/>
    <col min="13" max="16384" width="9" style="178"/>
  </cols>
  <sheetData>
    <row r="1" spans="1:12" x14ac:dyDescent="0.3">
      <c r="A1" s="179"/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12" ht="26.25" x14ac:dyDescent="0.3">
      <c r="A2" s="182" t="s">
        <v>1261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</row>
    <row r="3" spans="1:12" x14ac:dyDescent="0.3">
      <c r="A3" s="179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</row>
    <row r="4" spans="1:12" ht="28.5" customHeight="1" x14ac:dyDescent="0.3">
      <c r="A4" s="181" t="s">
        <v>1255</v>
      </c>
      <c r="B4" s="181" t="s">
        <v>1260</v>
      </c>
      <c r="C4" s="181">
        <v>2014</v>
      </c>
      <c r="D4" s="181">
        <v>2015</v>
      </c>
      <c r="E4" s="181">
        <v>2016</v>
      </c>
      <c r="F4" s="181">
        <v>2017</v>
      </c>
      <c r="G4" s="181">
        <v>2018</v>
      </c>
      <c r="H4" s="181">
        <v>2019</v>
      </c>
      <c r="I4" s="181">
        <v>2020</v>
      </c>
      <c r="J4" s="181">
        <v>2021</v>
      </c>
      <c r="K4" s="181">
        <v>2022</v>
      </c>
      <c r="L4" s="181" t="s">
        <v>1186</v>
      </c>
    </row>
    <row r="5" spans="1:12" ht="22.5" customHeight="1" x14ac:dyDescent="0.3">
      <c r="A5" s="233" t="s">
        <v>1252</v>
      </c>
      <c r="B5" s="180" t="s">
        <v>1259</v>
      </c>
      <c r="C5" s="246">
        <v>4</v>
      </c>
      <c r="D5" s="246"/>
      <c r="E5" s="246"/>
      <c r="F5" s="246"/>
      <c r="G5" s="246"/>
      <c r="H5" s="246"/>
      <c r="I5" s="246"/>
      <c r="J5" s="246"/>
      <c r="K5" s="246"/>
      <c r="L5" s="247">
        <f t="shared" ref="L5:L14" si="0">SUM(C5:K5)</f>
        <v>4</v>
      </c>
    </row>
    <row r="6" spans="1:12" ht="22.5" customHeight="1" x14ac:dyDescent="0.3">
      <c r="A6" s="234"/>
      <c r="B6" s="180" t="s">
        <v>1258</v>
      </c>
      <c r="C6" s="246">
        <v>2</v>
      </c>
      <c r="D6" s="246">
        <v>50</v>
      </c>
      <c r="E6" s="246">
        <v>46</v>
      </c>
      <c r="F6" s="246">
        <v>18</v>
      </c>
      <c r="G6" s="246"/>
      <c r="H6" s="246"/>
      <c r="I6" s="246"/>
      <c r="J6" s="246"/>
      <c r="K6" s="246"/>
      <c r="L6" s="247">
        <f t="shared" si="0"/>
        <v>116</v>
      </c>
    </row>
    <row r="7" spans="1:12" ht="22.5" customHeight="1" x14ac:dyDescent="0.3">
      <c r="A7" s="234"/>
      <c r="B7" s="180" t="s">
        <v>1257</v>
      </c>
      <c r="C7" s="246"/>
      <c r="D7" s="246">
        <v>27</v>
      </c>
      <c r="E7" s="246"/>
      <c r="F7" s="246"/>
      <c r="G7" s="246"/>
      <c r="H7" s="246"/>
      <c r="I7" s="246"/>
      <c r="J7" s="246"/>
      <c r="K7" s="246"/>
      <c r="L7" s="247">
        <f t="shared" si="0"/>
        <v>27</v>
      </c>
    </row>
    <row r="8" spans="1:12" ht="22.5" customHeight="1" x14ac:dyDescent="0.3">
      <c r="A8" s="235"/>
      <c r="B8" s="180" t="s">
        <v>777</v>
      </c>
      <c r="C8" s="248">
        <v>2</v>
      </c>
      <c r="D8" s="248">
        <v>1</v>
      </c>
      <c r="E8" s="248">
        <v>5</v>
      </c>
      <c r="F8" s="248">
        <v>0</v>
      </c>
      <c r="G8" s="248">
        <v>19</v>
      </c>
      <c r="H8" s="248">
        <v>12</v>
      </c>
      <c r="I8" s="248">
        <v>60</v>
      </c>
      <c r="J8" s="248">
        <v>57</v>
      </c>
      <c r="K8" s="248">
        <v>67</v>
      </c>
      <c r="L8" s="247">
        <f t="shared" si="0"/>
        <v>223</v>
      </c>
    </row>
    <row r="9" spans="1:12" ht="22.5" customHeight="1" x14ac:dyDescent="0.3">
      <c r="A9" s="180" t="s">
        <v>1251</v>
      </c>
      <c r="B9" s="180" t="s">
        <v>777</v>
      </c>
      <c r="C9" s="248"/>
      <c r="D9" s="248">
        <v>20</v>
      </c>
      <c r="E9" s="248">
        <v>0</v>
      </c>
      <c r="F9" s="248">
        <v>6</v>
      </c>
      <c r="G9" s="248">
        <v>5</v>
      </c>
      <c r="H9" s="248">
        <v>10</v>
      </c>
      <c r="I9" s="248">
        <v>4</v>
      </c>
      <c r="J9" s="248">
        <v>5</v>
      </c>
      <c r="K9" s="248">
        <v>2</v>
      </c>
      <c r="L9" s="247">
        <f t="shared" si="0"/>
        <v>52</v>
      </c>
    </row>
    <row r="10" spans="1:12" ht="22.5" customHeight="1" x14ac:dyDescent="0.3">
      <c r="A10" s="180" t="s">
        <v>709</v>
      </c>
      <c r="B10" s="180" t="s">
        <v>777</v>
      </c>
      <c r="C10" s="248"/>
      <c r="D10" s="248"/>
      <c r="E10" s="248"/>
      <c r="F10" s="248"/>
      <c r="G10" s="248">
        <v>19</v>
      </c>
      <c r="H10" s="248">
        <v>2</v>
      </c>
      <c r="I10" s="248"/>
      <c r="J10" s="248"/>
      <c r="K10" s="248"/>
      <c r="L10" s="247">
        <f t="shared" si="0"/>
        <v>21</v>
      </c>
    </row>
    <row r="11" spans="1:12" ht="22.5" customHeight="1" x14ac:dyDescent="0.3">
      <c r="A11" s="180" t="s">
        <v>1250</v>
      </c>
      <c r="B11" s="180" t="s">
        <v>777</v>
      </c>
      <c r="C11" s="248"/>
      <c r="D11" s="248"/>
      <c r="E11" s="248"/>
      <c r="F11" s="248"/>
      <c r="G11" s="248">
        <v>17</v>
      </c>
      <c r="H11" s="248">
        <v>9</v>
      </c>
      <c r="I11" s="248">
        <v>12</v>
      </c>
      <c r="J11" s="248"/>
      <c r="K11" s="248"/>
      <c r="L11" s="247">
        <f t="shared" si="0"/>
        <v>38</v>
      </c>
    </row>
    <row r="12" spans="1:12" ht="22.5" customHeight="1" x14ac:dyDescent="0.3">
      <c r="A12" s="180" t="s">
        <v>720</v>
      </c>
      <c r="B12" s="180" t="s">
        <v>777</v>
      </c>
      <c r="C12" s="248"/>
      <c r="D12" s="248"/>
      <c r="E12" s="248"/>
      <c r="F12" s="248"/>
      <c r="G12" s="248"/>
      <c r="H12" s="248"/>
      <c r="I12" s="248">
        <v>110</v>
      </c>
      <c r="J12" s="248">
        <v>17</v>
      </c>
      <c r="K12" s="248"/>
      <c r="L12" s="247">
        <f t="shared" si="0"/>
        <v>127</v>
      </c>
    </row>
    <row r="13" spans="1:12" ht="22.5" customHeight="1" x14ac:dyDescent="0.3">
      <c r="A13" s="180" t="s">
        <v>1249</v>
      </c>
      <c r="B13" s="180" t="s">
        <v>777</v>
      </c>
      <c r="C13" s="248"/>
      <c r="D13" s="248"/>
      <c r="E13" s="248"/>
      <c r="F13" s="248">
        <v>44</v>
      </c>
      <c r="G13" s="248">
        <v>95</v>
      </c>
      <c r="H13" s="248">
        <v>88</v>
      </c>
      <c r="I13" s="248">
        <v>76</v>
      </c>
      <c r="J13" s="248">
        <v>3</v>
      </c>
      <c r="K13" s="248"/>
      <c r="L13" s="247">
        <f t="shared" si="0"/>
        <v>306</v>
      </c>
    </row>
    <row r="14" spans="1:12" ht="22.5" customHeight="1" x14ac:dyDescent="0.3">
      <c r="A14" s="180" t="s">
        <v>1248</v>
      </c>
      <c r="B14" s="180" t="s">
        <v>777</v>
      </c>
      <c r="C14" s="248"/>
      <c r="D14" s="248"/>
      <c r="E14" s="248"/>
      <c r="F14" s="248"/>
      <c r="G14" s="248">
        <v>179</v>
      </c>
      <c r="H14" s="248">
        <v>60</v>
      </c>
      <c r="I14" s="248">
        <v>51</v>
      </c>
      <c r="J14" s="248">
        <v>41</v>
      </c>
      <c r="K14" s="248">
        <v>48</v>
      </c>
      <c r="L14" s="247">
        <f t="shared" si="0"/>
        <v>379</v>
      </c>
    </row>
    <row r="15" spans="1:12" ht="25.5" customHeight="1" x14ac:dyDescent="0.3">
      <c r="A15" s="236" t="s">
        <v>1186</v>
      </c>
      <c r="B15" s="236"/>
      <c r="C15" s="237">
        <f>SUM(C5:C14)</f>
        <v>8</v>
      </c>
      <c r="D15" s="237">
        <f t="shared" ref="D15:K15" si="1">SUM(D5:D14)</f>
        <v>98</v>
      </c>
      <c r="E15" s="237">
        <f t="shared" si="1"/>
        <v>51</v>
      </c>
      <c r="F15" s="237">
        <f t="shared" si="1"/>
        <v>68</v>
      </c>
      <c r="G15" s="237">
        <f t="shared" si="1"/>
        <v>334</v>
      </c>
      <c r="H15" s="237">
        <f t="shared" si="1"/>
        <v>181</v>
      </c>
      <c r="I15" s="237">
        <f t="shared" si="1"/>
        <v>313</v>
      </c>
      <c r="J15" s="237">
        <f t="shared" si="1"/>
        <v>123</v>
      </c>
      <c r="K15" s="237">
        <f t="shared" si="1"/>
        <v>117</v>
      </c>
      <c r="L15" s="237">
        <f>SUM(L5:L14)</f>
        <v>1293</v>
      </c>
    </row>
    <row r="16" spans="1:12" x14ac:dyDescent="0.3">
      <c r="A16" s="238"/>
      <c r="B16" s="239" t="s">
        <v>1262</v>
      </c>
      <c r="C16" s="240">
        <f>SUM(C15:G15)</f>
        <v>559</v>
      </c>
      <c r="D16" s="241"/>
      <c r="E16" s="241"/>
      <c r="F16" s="241"/>
      <c r="G16" s="242"/>
      <c r="H16" s="243"/>
      <c r="I16" s="244"/>
      <c r="J16" s="244"/>
      <c r="K16" s="244"/>
      <c r="L16" s="245"/>
    </row>
    <row r="17" spans="1:12" x14ac:dyDescent="0.3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</row>
    <row r="18" spans="1:12" x14ac:dyDescent="0.3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</row>
  </sheetData>
  <autoFilter ref="A4:L14" xr:uid="{E398F224-C312-4600-BD87-6727DFE94768}"/>
  <mergeCells count="2">
    <mergeCell ref="A5:A8"/>
    <mergeCell ref="C16:G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3</vt:i4>
      </vt:variant>
    </vt:vector>
  </HeadingPairs>
  <TitlesOfParts>
    <vt:vector size="14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Sheet2</vt:lpstr>
      <vt:lpstr>A2USGW</vt:lpstr>
      <vt:lpstr>Sheet3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2022-11-02T00:08:16Z</dcterms:modified>
</cp:coreProperties>
</file>