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40009_{BFED8004-F2C1-4C20-8580-1A4D22655A5F}" xr6:coauthVersionLast="36" xr6:coauthVersionMax="36" xr10:uidLastSave="{00000000-0000-0000-0000-000000000000}"/>
  <bookViews>
    <workbookView xWindow="0" yWindow="0" windowWidth="28800" windowHeight="12060"/>
  </bookViews>
  <sheets>
    <sheet name="집계" sheetId="2" r:id="rId1"/>
    <sheet name="21년  발화기기 - 전체  전국 상세 결과" sheetId="1" r:id="rId2"/>
    <sheet name="20년  발화기기 - 전체  전국 상세 결과" sheetId="3" r:id="rId3"/>
    <sheet name="19년  발화기기 - 전체  전국 상세 결과" sheetId="4" r:id="rId4"/>
  </sheets>
  <definedNames>
    <definedName name="_xlnm._FilterDatabase" localSheetId="3" hidden="1">'19년  발화기기 - 전체  전국 상세 결과'!$A$1:$C$217</definedName>
    <definedName name="_xlnm._FilterDatabase" localSheetId="2" hidden="1">'20년  발화기기 - 전체  전국 상세 결과'!$A$1:$C$1</definedName>
    <definedName name="_xlnm._FilterDatabase" localSheetId="1" hidden="1">'21년  발화기기 - 전체  전국 상세 결과'!$A$1:$C$217</definedName>
    <definedName name="_xlchart.v2.0" hidden="1">집계!$B$10</definedName>
    <definedName name="_xlchart.v2.1" hidden="1">집계!$B$10</definedName>
    <definedName name="_xlchart.v2.10" hidden="1">집계!$B$15</definedName>
    <definedName name="_xlchart.v2.100" hidden="1">집계!$B$4:$B$15</definedName>
    <definedName name="_xlchart.v2.101" hidden="1">집계!$B$5</definedName>
    <definedName name="_xlchart.v2.102" hidden="1">집계!$B$5</definedName>
    <definedName name="_xlchart.v2.103" hidden="1">집계!$B$6</definedName>
    <definedName name="_xlchart.v2.104" hidden="1">집계!$B$6</definedName>
    <definedName name="_xlchart.v2.105" hidden="1">집계!$B$7</definedName>
    <definedName name="_xlchart.v2.106" hidden="1">집계!$B$7</definedName>
    <definedName name="_xlchart.v2.107" hidden="1">집계!$B$8</definedName>
    <definedName name="_xlchart.v2.108" hidden="1">집계!$B$8</definedName>
    <definedName name="_xlchart.v2.109" hidden="1">집계!$B$9</definedName>
    <definedName name="_xlchart.v2.11" hidden="1">집계!$B$15</definedName>
    <definedName name="_xlchart.v2.110" hidden="1">집계!$B$9</definedName>
    <definedName name="_xlchart.v2.111" hidden="1">집계!$F$10</definedName>
    <definedName name="_xlchart.v2.112" hidden="1">집계!$F$10</definedName>
    <definedName name="_xlchart.v2.113" hidden="1">집계!$F$11</definedName>
    <definedName name="_xlchart.v2.114" hidden="1">집계!$F$11</definedName>
    <definedName name="_xlchart.v2.115" hidden="1">집계!$F$12</definedName>
    <definedName name="_xlchart.v2.116" hidden="1">집계!$F$12</definedName>
    <definedName name="_xlchart.v2.117" hidden="1">집계!$F$13</definedName>
    <definedName name="_xlchart.v2.118" hidden="1">집계!$F$13</definedName>
    <definedName name="_xlchart.v2.119" hidden="1">집계!$F$14</definedName>
    <definedName name="_xlchart.v2.12" hidden="1">집계!$B$16</definedName>
    <definedName name="_xlchart.v2.120" hidden="1">집계!$F$14</definedName>
    <definedName name="_xlchart.v2.121" hidden="1">집계!$F$15</definedName>
    <definedName name="_xlchart.v2.122" hidden="1">집계!$F$15</definedName>
    <definedName name="_xlchart.v2.123" hidden="1">집계!$F$3</definedName>
    <definedName name="_xlchart.v2.124" hidden="1">집계!$F$3</definedName>
    <definedName name="_xlchart.v2.125" hidden="1">집계!$F$3</definedName>
    <definedName name="_xlchart.v2.126" hidden="1">집계!$F$4</definedName>
    <definedName name="_xlchart.v2.127" hidden="1">집계!$F$4</definedName>
    <definedName name="_xlchart.v2.128" hidden="1">집계!$F$4:$F$15</definedName>
    <definedName name="_xlchart.v2.129" hidden="1">집계!$F$4:$F$15</definedName>
    <definedName name="_xlchart.v2.13" hidden="1">집계!$B$16</definedName>
    <definedName name="_xlchart.v2.130" hidden="1">집계!$F$5</definedName>
    <definedName name="_xlchart.v2.131" hidden="1">집계!$F$5</definedName>
    <definedName name="_xlchart.v2.132" hidden="1">집계!$F$6</definedName>
    <definedName name="_xlchart.v2.133" hidden="1">집계!$F$6</definedName>
    <definedName name="_xlchart.v2.134" hidden="1">집계!$F$7</definedName>
    <definedName name="_xlchart.v2.135" hidden="1">집계!$F$7</definedName>
    <definedName name="_xlchart.v2.136" hidden="1">집계!$F$8</definedName>
    <definedName name="_xlchart.v2.137" hidden="1">집계!$F$8</definedName>
    <definedName name="_xlchart.v2.138" hidden="1">집계!$F$9</definedName>
    <definedName name="_xlchart.v2.139" hidden="1">집계!$F$9</definedName>
    <definedName name="_xlchart.v2.14" hidden="1">집계!$B$17</definedName>
    <definedName name="_xlchart.v2.15" hidden="1">집계!$B$17</definedName>
    <definedName name="_xlchart.v2.16" hidden="1">집계!$B$18</definedName>
    <definedName name="_xlchart.v2.17" hidden="1">집계!$B$18</definedName>
    <definedName name="_xlchart.v2.18" hidden="1">집계!$B$19</definedName>
    <definedName name="_xlchart.v2.19" hidden="1">집계!$B$19</definedName>
    <definedName name="_xlchart.v2.2" hidden="1">집계!$B$11</definedName>
    <definedName name="_xlchart.v2.20" hidden="1">집계!$B$4</definedName>
    <definedName name="_xlchart.v2.21" hidden="1">집계!$B$4</definedName>
    <definedName name="_xlchart.v2.22" hidden="1">집계!$B$4:$B$19</definedName>
    <definedName name="_xlchart.v2.23" hidden="1">집계!$B$5</definedName>
    <definedName name="_xlchart.v2.24" hidden="1">집계!$B$5</definedName>
    <definedName name="_xlchart.v2.25" hidden="1">집계!$B$6</definedName>
    <definedName name="_xlchart.v2.26" hidden="1">집계!$B$6</definedName>
    <definedName name="_xlchart.v2.27" hidden="1">집계!$B$7</definedName>
    <definedName name="_xlchart.v2.28" hidden="1">집계!$B$7</definedName>
    <definedName name="_xlchart.v2.29" hidden="1">집계!$B$8</definedName>
    <definedName name="_xlchart.v2.3" hidden="1">집계!$B$11</definedName>
    <definedName name="_xlchart.v2.30" hidden="1">집계!$B$8</definedName>
    <definedName name="_xlchart.v2.31" hidden="1">집계!$B$9</definedName>
    <definedName name="_xlchart.v2.32" hidden="1">집계!$B$9</definedName>
    <definedName name="_xlchart.v2.33" hidden="1">집계!$F$10</definedName>
    <definedName name="_xlchart.v2.34" hidden="1">집계!$F$10</definedName>
    <definedName name="_xlchart.v2.35" hidden="1">집계!$F$11</definedName>
    <definedName name="_xlchart.v2.36" hidden="1">집계!$F$11</definedName>
    <definedName name="_xlchart.v2.37" hidden="1">집계!$F$12</definedName>
    <definedName name="_xlchart.v2.38" hidden="1">집계!$F$12</definedName>
    <definedName name="_xlchart.v2.39" hidden="1">집계!$F$13</definedName>
    <definedName name="_xlchart.v2.4" hidden="1">집계!$B$12</definedName>
    <definedName name="_xlchart.v2.40" hidden="1">집계!$F$13</definedName>
    <definedName name="_xlchart.v2.41" hidden="1">집계!$F$14</definedName>
    <definedName name="_xlchart.v2.42" hidden="1">집계!$F$14</definedName>
    <definedName name="_xlchart.v2.43" hidden="1">집계!$F$15</definedName>
    <definedName name="_xlchart.v2.44" hidden="1">집계!$F$15</definedName>
    <definedName name="_xlchart.v2.45" hidden="1">집계!$F$16</definedName>
    <definedName name="_xlchart.v2.46" hidden="1">집계!$F$16</definedName>
    <definedName name="_xlchart.v2.47" hidden="1">집계!$F$17</definedName>
    <definedName name="_xlchart.v2.48" hidden="1">집계!$F$17</definedName>
    <definedName name="_xlchart.v2.49" hidden="1">집계!$F$18</definedName>
    <definedName name="_xlchart.v2.5" hidden="1">집계!$B$12</definedName>
    <definedName name="_xlchart.v2.50" hidden="1">집계!$F$18</definedName>
    <definedName name="_xlchart.v2.51" hidden="1">집계!$F$19</definedName>
    <definedName name="_xlchart.v2.52" hidden="1">집계!$F$19</definedName>
    <definedName name="_xlchart.v2.53" hidden="1">집계!$F$3</definedName>
    <definedName name="_xlchart.v2.54" hidden="1">집계!$F$3</definedName>
    <definedName name="_xlchart.v2.55" hidden="1">집계!$F$3</definedName>
    <definedName name="_xlchart.v2.56" hidden="1">집계!$F$4</definedName>
    <definedName name="_xlchart.v2.57" hidden="1">집계!$F$4</definedName>
    <definedName name="_xlchart.v2.58" hidden="1">집계!$F$4:$F$19</definedName>
    <definedName name="_xlchart.v2.59" hidden="1">집계!$F$4:$F$19</definedName>
    <definedName name="_xlchart.v2.6" hidden="1">집계!$B$13</definedName>
    <definedName name="_xlchart.v2.60" hidden="1">집계!$F$5</definedName>
    <definedName name="_xlchart.v2.61" hidden="1">집계!$F$5</definedName>
    <definedName name="_xlchart.v2.62" hidden="1">집계!$F$6</definedName>
    <definedName name="_xlchart.v2.63" hidden="1">집계!$F$6</definedName>
    <definedName name="_xlchart.v2.64" hidden="1">집계!$F$7</definedName>
    <definedName name="_xlchart.v2.65" hidden="1">집계!$F$7</definedName>
    <definedName name="_xlchart.v2.66" hidden="1">집계!$F$8</definedName>
    <definedName name="_xlchart.v2.67" hidden="1">집계!$F$8</definedName>
    <definedName name="_xlchart.v2.68" hidden="1">집계!$F$9</definedName>
    <definedName name="_xlchart.v2.69" hidden="1">집계!$F$9</definedName>
    <definedName name="_xlchart.v2.7" hidden="1">집계!$B$13</definedName>
    <definedName name="_xlchart.v2.70" hidden="1">집계!#REF!</definedName>
    <definedName name="_xlchart.v2.71" hidden="1">집계!#REF!</definedName>
    <definedName name="_xlchart.v2.72" hidden="1">집계!#REF!</definedName>
    <definedName name="_xlchart.v2.73" hidden="1">집계!#REF!</definedName>
    <definedName name="_xlchart.v2.74" hidden="1">집계!#REF!</definedName>
    <definedName name="_xlchart.v2.75" hidden="1">집계!#REF!</definedName>
    <definedName name="_xlchart.v2.76" hidden="1">집계!#REF!</definedName>
    <definedName name="_xlchart.v2.77" hidden="1">집계!#REF!</definedName>
    <definedName name="_xlchart.v2.78" hidden="1">집계!#REF!</definedName>
    <definedName name="_xlchart.v2.79" hidden="1">집계!#REF!</definedName>
    <definedName name="_xlchart.v2.8" hidden="1">집계!$B$14</definedName>
    <definedName name="_xlchart.v2.80" hidden="1">집계!#REF!</definedName>
    <definedName name="_xlchart.v2.81" hidden="1">집계!#REF!</definedName>
    <definedName name="_xlchart.v2.82" hidden="1">집계!#REF!</definedName>
    <definedName name="_xlchart.v2.83" hidden="1">집계!#REF!</definedName>
    <definedName name="_xlchart.v2.84" hidden="1">집계!#REF!</definedName>
    <definedName name="_xlchart.v2.85" hidden="1">집계!#REF!</definedName>
    <definedName name="_xlchart.v2.86" hidden="1">집계!$B$10</definedName>
    <definedName name="_xlchart.v2.87" hidden="1">집계!$B$10</definedName>
    <definedName name="_xlchart.v2.88" hidden="1">집계!$B$11</definedName>
    <definedName name="_xlchart.v2.89" hidden="1">집계!$B$11</definedName>
    <definedName name="_xlchart.v2.9" hidden="1">집계!$B$14</definedName>
    <definedName name="_xlchart.v2.90" hidden="1">집계!$B$12</definedName>
    <definedName name="_xlchart.v2.91" hidden="1">집계!$B$12</definedName>
    <definedName name="_xlchart.v2.92" hidden="1">집계!$B$13</definedName>
    <definedName name="_xlchart.v2.93" hidden="1">집계!$B$13</definedName>
    <definedName name="_xlchart.v2.94" hidden="1">집계!$B$14</definedName>
    <definedName name="_xlchart.v2.95" hidden="1">집계!$B$14</definedName>
    <definedName name="_xlchart.v2.96" hidden="1">집계!$B$15</definedName>
    <definedName name="_xlchart.v2.97" hidden="1">집계!$B$15</definedName>
    <definedName name="_xlchart.v2.98" hidden="1">집계!$B$4</definedName>
    <definedName name="_xlchart.v2.99" hidden="1">집계!$B$4</definedName>
  </definedNames>
  <calcPr calcId="191029"/>
</workbook>
</file>

<file path=xl/calcChain.xml><?xml version="1.0" encoding="utf-8"?>
<calcChain xmlns="http://schemas.openxmlformats.org/spreadsheetml/2006/main">
  <c r="D15" i="2" l="1"/>
  <c r="D16" i="2" s="1"/>
  <c r="D23" i="2"/>
  <c r="E23" i="2"/>
  <c r="E15" i="2" s="1"/>
  <c r="E16" i="2" s="1"/>
  <c r="C23" i="2"/>
  <c r="C15" i="2" s="1"/>
  <c r="F22" i="2"/>
  <c r="F21" i="2"/>
  <c r="F20" i="2"/>
  <c r="F19" i="2"/>
  <c r="F18" i="2"/>
  <c r="F14" i="2"/>
  <c r="F7" i="2"/>
  <c r="F8" i="2"/>
  <c r="F13" i="2"/>
  <c r="F9" i="2"/>
  <c r="F11" i="2"/>
  <c r="F4" i="2"/>
  <c r="F5" i="2"/>
  <c r="F12" i="2"/>
  <c r="F10" i="2"/>
  <c r="F6" i="2"/>
  <c r="F15" i="2" l="1"/>
  <c r="C16" i="2"/>
  <c r="F16" i="2" s="1"/>
  <c r="G11" i="2" l="1"/>
  <c r="G16" i="2"/>
  <c r="G5" i="2"/>
  <c r="G13" i="2"/>
  <c r="G4" i="2"/>
  <c r="G6" i="2"/>
  <c r="G14" i="2"/>
  <c r="G7" i="2"/>
  <c r="G8" i="2"/>
  <c r="G9" i="2"/>
  <c r="G10" i="2"/>
  <c r="G12" i="2"/>
  <c r="G15" i="2"/>
</calcChain>
</file>

<file path=xl/sharedStrings.xml><?xml version="1.0" encoding="utf-8"?>
<sst xmlns="http://schemas.openxmlformats.org/spreadsheetml/2006/main" count="730" uniqueCount="226">
  <si>
    <t>구분</t>
  </si>
  <si>
    <t>화재건수</t>
  </si>
  <si>
    <t>계절용 기기</t>
  </si>
  <si>
    <t>소계</t>
  </si>
  <si>
    <t>가스난로/스토브</t>
  </si>
  <si>
    <t>가습기</t>
  </si>
  <si>
    <t>가정용 보일러</t>
  </si>
  <si>
    <t>공기청정기</t>
  </si>
  <si>
    <t>나무/목탄난로</t>
  </si>
  <si>
    <t>냉각탑</t>
  </si>
  <si>
    <t>냉난방기</t>
  </si>
  <si>
    <t>석유난로/곤로</t>
  </si>
  <si>
    <t>선풍기</t>
  </si>
  <si>
    <t>에어컨</t>
  </si>
  <si>
    <t>연탄/석탄난로</t>
  </si>
  <si>
    <t>열선</t>
  </si>
  <si>
    <t>전기장판/담요/방석류</t>
  </si>
  <si>
    <t>전기패널</t>
  </si>
  <si>
    <t>전기히터/스토브</t>
  </si>
  <si>
    <t>항온항습기/제습기</t>
  </si>
  <si>
    <t>화목보일러</t>
  </si>
  <si>
    <t>환풍기/송풍기/공조기</t>
  </si>
  <si>
    <t>기타(계절용기기)</t>
  </si>
  <si>
    <t>농업용장비</t>
  </si>
  <si>
    <t>농업용 로봇</t>
  </si>
  <si>
    <t>발효기</t>
  </si>
  <si>
    <t>수확/탈곡기/정미기</t>
  </si>
  <si>
    <t>양수기</t>
  </si>
  <si>
    <t>파쇄기</t>
  </si>
  <si>
    <t>기타(농업용장비)</t>
  </si>
  <si>
    <t>드론</t>
  </si>
  <si>
    <t>농업용드론</t>
  </si>
  <si>
    <t>물류용드론</t>
  </si>
  <si>
    <t>방송용드론</t>
  </si>
  <si>
    <t>상업용드론</t>
  </si>
  <si>
    <t>수상용드론</t>
  </si>
  <si>
    <t>전자전용드론</t>
  </si>
  <si>
    <t>전투용드론</t>
  </si>
  <si>
    <t>정찰용드론</t>
  </si>
  <si>
    <t>취미레져용드론</t>
  </si>
  <si>
    <t>통신중계용드론</t>
  </si>
  <si>
    <t>기타(드론)</t>
  </si>
  <si>
    <t>배선/배선기구</t>
  </si>
  <si>
    <t>소켓</t>
  </si>
  <si>
    <t>스위치 멀티탭</t>
  </si>
  <si>
    <t>옥내 인입배선</t>
  </si>
  <si>
    <t>옥내배선용 전선</t>
  </si>
  <si>
    <t>전기기기용 전선/코드</t>
  </si>
  <si>
    <t>전력공급용 전선</t>
  </si>
  <si>
    <t>콘센트</t>
  </si>
  <si>
    <t>플러그</t>
  </si>
  <si>
    <t>기타(배선/배선기구)</t>
  </si>
  <si>
    <t>사무기기</t>
  </si>
  <si>
    <t>복사기/팩스</t>
  </si>
  <si>
    <t>컴퓨터</t>
  </si>
  <si>
    <t>프린터</t>
  </si>
  <si>
    <t>기타(사무기기)</t>
  </si>
  <si>
    <t>산업장비</t>
  </si>
  <si>
    <t>가스버너</t>
  </si>
  <si>
    <t>교환기</t>
  </si>
  <si>
    <t>그라인더</t>
  </si>
  <si>
    <t>기중기</t>
  </si>
  <si>
    <t>내연기관/엔진</t>
  </si>
  <si>
    <t>담금질기계</t>
  </si>
  <si>
    <t>도장기계(부스)</t>
  </si>
  <si>
    <t>동력선반</t>
  </si>
  <si>
    <t>동력전달장치/PTO</t>
  </si>
  <si>
    <t>모터 인쇄기 집진기</t>
  </si>
  <si>
    <t>방역기</t>
  </si>
  <si>
    <t>방직기계</t>
  </si>
  <si>
    <t>보일러</t>
  </si>
  <si>
    <t>사출성형기</t>
  </si>
  <si>
    <t>산업용 로봇</t>
  </si>
  <si>
    <t>산업용 용광로/가마</t>
  </si>
  <si>
    <t>소각로</t>
  </si>
  <si>
    <t>승강기</t>
  </si>
  <si>
    <t>실험실장비</t>
  </si>
  <si>
    <t>열교환기</t>
  </si>
  <si>
    <t>열풍기</t>
  </si>
  <si>
    <t>온도제어기</t>
  </si>
  <si>
    <t>용접절단기(토치)</t>
  </si>
  <si>
    <t>전동톱/절단기</t>
  </si>
  <si>
    <t>주유기</t>
  </si>
  <si>
    <t>주조/주형/단조장비</t>
  </si>
  <si>
    <t>증류/반응/교반기</t>
  </si>
  <si>
    <t>착암기</t>
  </si>
  <si>
    <t>컨베이어 벨트</t>
  </si>
  <si>
    <t>콤프레셔</t>
  </si>
  <si>
    <t>탈유기</t>
  </si>
  <si>
    <t>통신장비</t>
  </si>
  <si>
    <t>펌프</t>
  </si>
  <si>
    <t>히터/히터봉/가열장치</t>
  </si>
  <si>
    <t>기타(산업장비)</t>
  </si>
  <si>
    <t>상업장비</t>
  </si>
  <si>
    <t>가스온수기</t>
  </si>
  <si>
    <t>노래방기기</t>
  </si>
  <si>
    <t>놀이기구</t>
  </si>
  <si>
    <t>사진현상/인화기</t>
  </si>
  <si>
    <t>상업용 로봇</t>
  </si>
  <si>
    <t>스튜디오장비</t>
  </si>
  <si>
    <t>자동판매기</t>
  </si>
  <si>
    <t>전자오락기</t>
  </si>
  <si>
    <t>기타(상업장비)</t>
  </si>
  <si>
    <t>생활기기</t>
  </si>
  <si>
    <t>건조기</t>
  </si>
  <si>
    <t>다리미</t>
  </si>
  <si>
    <t>비데</t>
  </si>
  <si>
    <t>세탁기</t>
  </si>
  <si>
    <t>소독기</t>
  </si>
  <si>
    <t>어항용 펌프모터/보온장치</t>
  </si>
  <si>
    <t>전기안마기/맛사지</t>
  </si>
  <si>
    <t>전기자전거</t>
  </si>
  <si>
    <t>전동킥보드</t>
  </si>
  <si>
    <t>전자담배</t>
  </si>
  <si>
    <t>전자모기향/훈증기</t>
  </si>
  <si>
    <t>헤어드라이어/헤어브러쉬</t>
  </si>
  <si>
    <t>휴대폰</t>
  </si>
  <si>
    <t>기타(생활기기)</t>
  </si>
  <si>
    <t>영상음향기기</t>
  </si>
  <si>
    <t>비디오/DVD플레이어</t>
  </si>
  <si>
    <t>셋톱박스</t>
  </si>
  <si>
    <t>오디오/카세트</t>
  </si>
  <si>
    <t>음향기기</t>
  </si>
  <si>
    <t>텔레비젼</t>
  </si>
  <si>
    <t>기타(영상음향기기)</t>
  </si>
  <si>
    <t>의료장비</t>
  </si>
  <si>
    <t>방사성 장비</t>
  </si>
  <si>
    <t>산소장비</t>
  </si>
  <si>
    <t>의료용 매트</t>
  </si>
  <si>
    <t>의료용 전동의자</t>
  </si>
  <si>
    <t>의료용 화상장비</t>
  </si>
  <si>
    <t>전동휠체어</t>
  </si>
  <si>
    <t>기타(의료장비)</t>
  </si>
  <si>
    <t>전기설비</t>
  </si>
  <si>
    <t>고압특고압 개폐기</t>
  </si>
  <si>
    <t>고압특고압 차단기</t>
  </si>
  <si>
    <t>무정전전원장치(UPS)</t>
  </si>
  <si>
    <t>발전기</t>
  </si>
  <si>
    <t>배전반/분전반</t>
  </si>
  <si>
    <t>배터리/축전기</t>
  </si>
  <si>
    <t>배터리충전기</t>
  </si>
  <si>
    <t>변압기</t>
  </si>
  <si>
    <t>보조전원장치</t>
  </si>
  <si>
    <t>이동용발전기</t>
  </si>
  <si>
    <t>인버터/컨버터</t>
  </si>
  <si>
    <t>자동조정전압기(AVR)</t>
  </si>
  <si>
    <t>저압개폐기</t>
  </si>
  <si>
    <t>저압차단기</t>
  </si>
  <si>
    <t>적산전력계</t>
  </si>
  <si>
    <t>정류기</t>
  </si>
  <si>
    <t>제어반</t>
  </si>
  <si>
    <t>컨트롤박스</t>
  </si>
  <si>
    <t>콘덴서</t>
  </si>
  <si>
    <t>태양광발전설비</t>
  </si>
  <si>
    <t>기타(전기설비)</t>
  </si>
  <si>
    <t>조명 간판</t>
  </si>
  <si>
    <t>LED조명</t>
  </si>
  <si>
    <t>나트륨등</t>
  </si>
  <si>
    <t>네온사인/간판등</t>
  </si>
  <si>
    <t>백열등</t>
  </si>
  <si>
    <t>수은등</t>
  </si>
  <si>
    <t>신호등</t>
  </si>
  <si>
    <t>전광판</t>
  </si>
  <si>
    <t>전등펜스/라이트라인</t>
  </si>
  <si>
    <t>할로겐등</t>
  </si>
  <si>
    <t>형광등</t>
  </si>
  <si>
    <t>기타(조명간판)</t>
  </si>
  <si>
    <t>주방기기</t>
  </si>
  <si>
    <t>가스렌지</t>
  </si>
  <si>
    <t>가스밥솥</t>
  </si>
  <si>
    <t>가스오븐</t>
  </si>
  <si>
    <t>가스오븐렌지</t>
  </si>
  <si>
    <t>김치냉장고</t>
  </si>
  <si>
    <t>냉온수기/정수기</t>
  </si>
  <si>
    <t>냉장고</t>
  </si>
  <si>
    <t>식기건조기</t>
  </si>
  <si>
    <t>약탕기</t>
  </si>
  <si>
    <t>이동용 가스렌지</t>
  </si>
  <si>
    <t>인덕션</t>
  </si>
  <si>
    <t>전기 프라이팬/쿠커</t>
  </si>
  <si>
    <t>전기레인지</t>
  </si>
  <si>
    <t>전기밥솥/보온밥통</t>
  </si>
  <si>
    <t>전기전자 그릴/오븐</t>
  </si>
  <si>
    <t>전자레인지</t>
  </si>
  <si>
    <t>청소기</t>
  </si>
  <si>
    <t>커피포트</t>
  </si>
  <si>
    <t>토스터기</t>
  </si>
  <si>
    <t>튀김기</t>
  </si>
  <si>
    <t>기타(주방기기)</t>
  </si>
  <si>
    <t>차량 선박부품</t>
  </si>
  <si>
    <t>LPG기화기</t>
  </si>
  <si>
    <t>기동장치</t>
  </si>
  <si>
    <t>냉각팬</t>
  </si>
  <si>
    <t>라디에이터</t>
  </si>
  <si>
    <t>라이트장치</t>
  </si>
  <si>
    <t>배기가스매니홀드</t>
  </si>
  <si>
    <t>배기관</t>
  </si>
  <si>
    <t>배선</t>
  </si>
  <si>
    <t>배전기</t>
  </si>
  <si>
    <t>배터리</t>
  </si>
  <si>
    <t>브레이크장치</t>
  </si>
  <si>
    <t>소음기</t>
  </si>
  <si>
    <t>엔진본체</t>
  </si>
  <si>
    <t>연료분사장치/카브레터</t>
  </si>
  <si>
    <t>연료탱크</t>
  </si>
  <si>
    <t>연료파이프</t>
  </si>
  <si>
    <t>오일필터</t>
  </si>
  <si>
    <t>워터펌프</t>
  </si>
  <si>
    <t>전동카트</t>
  </si>
  <si>
    <t>점화장치</t>
  </si>
  <si>
    <t>차축베어링</t>
  </si>
  <si>
    <t>촉매장치</t>
  </si>
  <si>
    <t>충전장치</t>
  </si>
  <si>
    <t>팬벨트</t>
  </si>
  <si>
    <t>기타(차량선박부품)</t>
  </si>
  <si>
    <t>미상</t>
  </si>
  <si>
    <t>기타</t>
  </si>
  <si>
    <t>구분2</t>
    <phoneticPr fontId="20" type="noConversion"/>
  </si>
  <si>
    <t>년도별 화재건수</t>
    <phoneticPr fontId="20" type="noConversion"/>
  </si>
  <si>
    <t>21년도</t>
    <phoneticPr fontId="20" type="noConversion"/>
  </si>
  <si>
    <t>20년도</t>
    <phoneticPr fontId="20" type="noConversion"/>
  </si>
  <si>
    <t>19년도</t>
    <phoneticPr fontId="20" type="noConversion"/>
  </si>
  <si>
    <t>발화기기</t>
    <phoneticPr fontId="20" type="noConversion"/>
  </si>
  <si>
    <t>구분</t>
    <phoneticPr fontId="20" type="noConversion"/>
  </si>
  <si>
    <t>계</t>
    <phoneticPr fontId="20" type="noConversion"/>
  </si>
  <si>
    <t>기타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</si>
</sst>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80" formatCode="0.0%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18" fillId="0" borderId="16" xfId="0" applyFont="1" applyBorder="1" applyAlignment="1">
      <alignment horizontal="center" vertical="center" wrapText="1"/>
    </xf>
    <xf numFmtId="41" fontId="18" fillId="0" borderId="16" xfId="1" applyFont="1" applyBorder="1" applyAlignment="1">
      <alignment horizontal="center" vertical="center" wrapText="1"/>
    </xf>
    <xf numFmtId="41" fontId="18" fillId="0" borderId="16" xfId="1" applyFont="1" applyFill="1" applyBorder="1" applyAlignment="1">
      <alignment horizontal="center" vertical="center" wrapText="1"/>
    </xf>
    <xf numFmtId="0" fontId="18" fillId="33" borderId="17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horizontal="center" vertical="center" wrapText="1"/>
    </xf>
    <xf numFmtId="41" fontId="18" fillId="33" borderId="16" xfId="1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180" fontId="0" fillId="0" borderId="0" xfId="2" applyNumberFormat="1" applyFont="1">
      <alignment vertical="center"/>
    </xf>
    <xf numFmtId="41" fontId="0" fillId="0" borderId="0" xfId="0" applyNumberFormat="1">
      <alignment vertical="center"/>
    </xf>
  </cellXfs>
  <cellStyles count="44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_xlchart.v2.100</cx:f>
      </cx:strDim>
      <cx:numDim type="val">
        <cx:f>_xlchart.v2.129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[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발화기기</a:t>
            </a: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]</a:t>
            </a:r>
            <a:r>
              <a:rPr lang="ko-KR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  화재건수 </a:t>
            </a:r>
            <a:r>
              <a:rPr lang="en-US" altLang="ko-KR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('19~</a:t>
            </a:r>
            <a:r>
              <a:rPr lang="ko-KR" altLang="en-US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 </a:t>
            </a:r>
            <a:r>
              <a:rPr lang="en-US" altLang="ko-KR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'21</a:t>
            </a:r>
            <a:r>
              <a:rPr lang="ko-KR" altLang="en-US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년도</a:t>
            </a:r>
            <a:r>
              <a:rPr lang="en-US" altLang="ko-KR" sz="11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50" charset="-127"/>
              </a:rPr>
              <a:t>)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50" charset="-127"/>
            </a:endParaRPr>
          </a:p>
        </cx:rich>
      </cx:tx>
    </cx:title>
    <cx:plotArea>
      <cx:plotAreaRegion>
        <cx:series layoutId="funnel" uniqueId="{6A1E4211-2B5A-4958-BB7E-6D61557EDC7A}" formatIdx="0">
          <cx:tx>
            <cx:txData>
              <cx:f>_xlchart.v2.124</cx:f>
              <cx:v> 계 </cx:v>
            </cx:txData>
          </cx:tx>
          <cx:spPr>
            <a:solidFill>
              <a:schemeClr val="bg1">
                <a:lumMod val="65000"/>
              </a:schemeClr>
            </a:solidFill>
          </cx:spPr>
          <cx:dataPt idx="0">
            <cx:spPr>
              <a:solidFill>
                <a:sysClr val="windowText" lastClr="000000"/>
              </a:solidFill>
            </cx:spPr>
          </cx:dataPt>
          <cx:dataLabels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ko-KR" altLang="en-US" sz="900" b="0" i="0" u="none" strike="noStrike" baseline="0">
                      <a:solidFill>
                        <a:schemeClr val="bg1"/>
                      </a:solidFill>
                      <a:latin typeface="Calibri" panose="020F0502020204030204"/>
                      <a:ea typeface="맑은 고딕" panose="020B0503020000020004" pitchFamily="50" charset="-127"/>
                    </a:rPr>
                    <a:t> 9,316 </a:t>
                  </a:r>
                </a:p>
              </cx:txPr>
            </cx:dataLabel>
          </cx:dataLabels>
          <cx:dataId val="0"/>
          <cx:layoutPr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571501</xdr:colOff>
      <xdr:row>5</xdr:row>
      <xdr:rowOff>104775</xdr:rowOff>
    </xdr:from>
    <xdr:to>
      <xdr:col>15</xdr:col>
      <xdr:colOff>9525</xdr:colOff>
      <xdr:row>19</xdr:row>
      <xdr:rowOff>133349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4B7CE307-B309-45A8-B6ED-52CE63A743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4126" y="1152525"/>
              <a:ext cx="4924424" cy="29622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tabSelected="1" workbookViewId="0">
      <selection activeCell="N27" sqref="N27"/>
    </sheetView>
  </sheetViews>
  <sheetFormatPr defaultRowHeight="16.5" x14ac:dyDescent="0.3"/>
  <cols>
    <col min="2" max="2" width="21.625" customWidth="1"/>
  </cols>
  <sheetData>
    <row r="2" spans="2:7" ht="16.5" customHeight="1" x14ac:dyDescent="0.3">
      <c r="B2" s="15" t="s">
        <v>223</v>
      </c>
      <c r="C2" s="11" t="s">
        <v>218</v>
      </c>
      <c r="D2" s="12"/>
      <c r="E2" s="12"/>
      <c r="F2" s="13"/>
    </row>
    <row r="3" spans="2:7" ht="16.5" customHeight="1" x14ac:dyDescent="0.3">
      <c r="B3" s="15" t="s">
        <v>222</v>
      </c>
      <c r="C3" s="14" t="s">
        <v>221</v>
      </c>
      <c r="D3" s="14" t="s">
        <v>220</v>
      </c>
      <c r="E3" s="14" t="s">
        <v>219</v>
      </c>
      <c r="F3" s="14" t="s">
        <v>224</v>
      </c>
    </row>
    <row r="4" spans="2:7" x14ac:dyDescent="0.3">
      <c r="B4" s="8" t="s">
        <v>167</v>
      </c>
      <c r="C4" s="9">
        <v>3420</v>
      </c>
      <c r="D4" s="9">
        <v>3113</v>
      </c>
      <c r="E4" s="9">
        <v>2783</v>
      </c>
      <c r="F4" s="9">
        <f>SUM(C4:E4)</f>
        <v>9316</v>
      </c>
      <c r="G4" s="16">
        <f>F4/$F$16</f>
        <v>0.18721112495478479</v>
      </c>
    </row>
    <row r="5" spans="2:7" x14ac:dyDescent="0.3">
      <c r="B5" s="8" t="s">
        <v>189</v>
      </c>
      <c r="C5" s="9">
        <v>2618</v>
      </c>
      <c r="D5" s="9">
        <v>2484</v>
      </c>
      <c r="E5" s="9">
        <v>2420</v>
      </c>
      <c r="F5" s="9">
        <f>SUM(C5:E5)</f>
        <v>7522</v>
      </c>
      <c r="G5" s="16">
        <f>F5/$F$16</f>
        <v>0.15115951931192476</v>
      </c>
    </row>
    <row r="6" spans="2:7" x14ac:dyDescent="0.3">
      <c r="B6" s="8" t="s">
        <v>2</v>
      </c>
      <c r="C6" s="9">
        <v>2330</v>
      </c>
      <c r="D6" s="9">
        <v>2245</v>
      </c>
      <c r="E6" s="9">
        <v>2332</v>
      </c>
      <c r="F6" s="9">
        <f>SUM(C6:E6)</f>
        <v>6907</v>
      </c>
      <c r="G6" s="16">
        <f>F6/$F$16</f>
        <v>0.13880069129054298</v>
      </c>
    </row>
    <row r="7" spans="2:7" x14ac:dyDescent="0.3">
      <c r="B7" s="8" t="s">
        <v>42</v>
      </c>
      <c r="C7" s="9">
        <v>2378</v>
      </c>
      <c r="D7" s="9">
        <v>2123</v>
      </c>
      <c r="E7" s="9">
        <v>2113</v>
      </c>
      <c r="F7" s="9">
        <f>SUM(C7:E7)</f>
        <v>6614</v>
      </c>
      <c r="G7" s="16">
        <f>F7/$F$16</f>
        <v>0.13291266428198223</v>
      </c>
    </row>
    <row r="8" spans="2:7" x14ac:dyDescent="0.3">
      <c r="B8" s="8" t="s">
        <v>57</v>
      </c>
      <c r="C8" s="9">
        <v>1914</v>
      </c>
      <c r="D8" s="9">
        <v>1919</v>
      </c>
      <c r="E8" s="9">
        <v>1727</v>
      </c>
      <c r="F8" s="9">
        <f>SUM(C8:E8)</f>
        <v>5560</v>
      </c>
      <c r="G8" s="16">
        <f>F8/$F$16</f>
        <v>0.11173184357541899</v>
      </c>
    </row>
    <row r="9" spans="2:7" x14ac:dyDescent="0.3">
      <c r="B9" s="8" t="s">
        <v>133</v>
      </c>
      <c r="C9" s="9">
        <v>1390</v>
      </c>
      <c r="D9" s="9">
        <v>1480</v>
      </c>
      <c r="E9" s="9">
        <v>1350</v>
      </c>
      <c r="F9" s="9">
        <f>SUM(C9:E9)</f>
        <v>4220</v>
      </c>
      <c r="G9" s="16">
        <f>F9/$F$16</f>
        <v>8.4803665447530249E-2</v>
      </c>
    </row>
    <row r="10" spans="2:7" x14ac:dyDescent="0.3">
      <c r="B10" s="8" t="s">
        <v>216</v>
      </c>
      <c r="C10" s="10">
        <v>1062</v>
      </c>
      <c r="D10" s="10">
        <v>1125</v>
      </c>
      <c r="E10" s="10">
        <v>1168</v>
      </c>
      <c r="F10" s="9">
        <f>SUM(C10:E10)</f>
        <v>3355</v>
      </c>
      <c r="G10" s="16">
        <f>F10/$F$16</f>
        <v>6.7420923596318474E-2</v>
      </c>
    </row>
    <row r="11" spans="2:7" x14ac:dyDescent="0.3">
      <c r="B11" s="8" t="s">
        <v>155</v>
      </c>
      <c r="C11" s="9">
        <v>655</v>
      </c>
      <c r="D11" s="9">
        <v>552</v>
      </c>
      <c r="E11" s="9">
        <v>527</v>
      </c>
      <c r="F11" s="9">
        <f>SUM(C11:E11)</f>
        <v>1734</v>
      </c>
      <c r="G11" s="16">
        <f>F11/$F$16</f>
        <v>3.4845866323700819E-2</v>
      </c>
    </row>
    <row r="12" spans="2:7" x14ac:dyDescent="0.3">
      <c r="B12" s="8" t="s">
        <v>215</v>
      </c>
      <c r="C12" s="9">
        <v>675</v>
      </c>
      <c r="D12" s="9">
        <v>530</v>
      </c>
      <c r="E12" s="9">
        <v>497</v>
      </c>
      <c r="F12" s="9">
        <f>SUM(C12:E12)</f>
        <v>1702</v>
      </c>
      <c r="G12" s="16">
        <f>F12/$F$16</f>
        <v>3.4202805353482579E-2</v>
      </c>
    </row>
    <row r="13" spans="2:7" x14ac:dyDescent="0.3">
      <c r="B13" s="8" t="s">
        <v>103</v>
      </c>
      <c r="C13" s="9">
        <v>482</v>
      </c>
      <c r="D13" s="9">
        <v>534</v>
      </c>
      <c r="E13" s="9">
        <v>521</v>
      </c>
      <c r="F13" s="9">
        <f>SUM(C13:E13)</f>
        <v>1537</v>
      </c>
      <c r="G13" s="16">
        <f>F13/$F$16</f>
        <v>3.0887022225794782E-2</v>
      </c>
    </row>
    <row r="14" spans="2:7" x14ac:dyDescent="0.3">
      <c r="B14" s="8" t="s">
        <v>23</v>
      </c>
      <c r="C14" s="9">
        <v>248</v>
      </c>
      <c r="D14" s="9">
        <v>261</v>
      </c>
      <c r="E14" s="9">
        <v>283</v>
      </c>
      <c r="F14" s="9">
        <f>SUM(C14:E14)</f>
        <v>792</v>
      </c>
      <c r="G14" s="16">
        <f>F14/$F$16</f>
        <v>1.5915759012901411E-2</v>
      </c>
    </row>
    <row r="15" spans="2:7" x14ac:dyDescent="0.3">
      <c r="B15" s="8" t="s">
        <v>225</v>
      </c>
      <c r="C15" s="9">
        <f>C23</f>
        <v>156</v>
      </c>
      <c r="D15" s="9">
        <f>D23</f>
        <v>187</v>
      </c>
      <c r="E15" s="9">
        <f>E23</f>
        <v>160</v>
      </c>
      <c r="F15" s="9">
        <f>SUM(C15:E15)</f>
        <v>503</v>
      </c>
      <c r="G15" s="16">
        <f>F15/$F$16</f>
        <v>1.0108114625617941E-2</v>
      </c>
    </row>
    <row r="16" spans="2:7" x14ac:dyDescent="0.3">
      <c r="B16" s="15" t="s">
        <v>224</v>
      </c>
      <c r="C16" s="14">
        <f>SUM(C4:C15)</f>
        <v>17328</v>
      </c>
      <c r="D16" s="14">
        <f>SUM(D4:D15)</f>
        <v>16553</v>
      </c>
      <c r="E16" s="14">
        <f>SUM(E4:E15)</f>
        <v>15881</v>
      </c>
      <c r="F16" s="14">
        <f t="shared" ref="F16" si="0">SUM(C16:E16)</f>
        <v>49762</v>
      </c>
      <c r="G16" s="16">
        <f>F16/$F$16</f>
        <v>1</v>
      </c>
    </row>
    <row r="18" spans="2:6" x14ac:dyDescent="0.3">
      <c r="B18" s="8" t="s">
        <v>118</v>
      </c>
      <c r="C18" s="9">
        <v>63</v>
      </c>
      <c r="D18" s="9">
        <v>80</v>
      </c>
      <c r="E18" s="9">
        <v>49</v>
      </c>
      <c r="F18" s="9">
        <f>SUM(C18:E18)</f>
        <v>192</v>
      </c>
    </row>
    <row r="19" spans="2:6" x14ac:dyDescent="0.3">
      <c r="B19" s="8" t="s">
        <v>93</v>
      </c>
      <c r="C19" s="9">
        <v>37</v>
      </c>
      <c r="D19" s="9">
        <v>37</v>
      </c>
      <c r="E19" s="9">
        <v>49</v>
      </c>
      <c r="F19" s="9">
        <f>SUM(C19:E19)</f>
        <v>123</v>
      </c>
    </row>
    <row r="20" spans="2:6" x14ac:dyDescent="0.3">
      <c r="B20" s="8" t="s">
        <v>52</v>
      </c>
      <c r="C20" s="9">
        <v>36</v>
      </c>
      <c r="D20" s="9">
        <v>43</v>
      </c>
      <c r="E20" s="9">
        <v>40</v>
      </c>
      <c r="F20" s="9">
        <f>SUM(C20:E20)</f>
        <v>119</v>
      </c>
    </row>
    <row r="21" spans="2:6" x14ac:dyDescent="0.3">
      <c r="B21" s="8" t="s">
        <v>125</v>
      </c>
      <c r="C21" s="9">
        <v>20</v>
      </c>
      <c r="D21" s="9">
        <v>25</v>
      </c>
      <c r="E21" s="9">
        <v>12</v>
      </c>
      <c r="F21" s="9">
        <f>SUM(C21:E21)</f>
        <v>57</v>
      </c>
    </row>
    <row r="22" spans="2:6" x14ac:dyDescent="0.3">
      <c r="B22" s="8" t="s">
        <v>30</v>
      </c>
      <c r="C22" s="9">
        <v>0</v>
      </c>
      <c r="D22" s="9">
        <v>2</v>
      </c>
      <c r="E22" s="9">
        <v>10</v>
      </c>
      <c r="F22" s="9">
        <f>SUM(C22:E22)</f>
        <v>12</v>
      </c>
    </row>
    <row r="23" spans="2:6" x14ac:dyDescent="0.3">
      <c r="C23" s="17">
        <f>SUM(C18:C22)</f>
        <v>156</v>
      </c>
      <c r="D23" s="17">
        <f t="shared" ref="D23:E23" si="1">SUM(D18:D22)</f>
        <v>187</v>
      </c>
      <c r="E23" s="17">
        <f t="shared" si="1"/>
        <v>160</v>
      </c>
      <c r="F23" s="17"/>
    </row>
  </sheetData>
  <sortState ref="B4:F15">
    <sortCondition descending="1" ref="F4:F15"/>
  </sortState>
  <mergeCells count="1">
    <mergeCell ref="C2:F2"/>
  </mergeCells>
  <phoneticPr fontId="2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Views>
    <sheetView showGridLines="0" workbookViewId="0">
      <selection activeCell="F27" sqref="F27"/>
    </sheetView>
  </sheetViews>
  <sheetFormatPr defaultRowHeight="16.5" x14ac:dyDescent="0.3"/>
  <cols>
    <col min="1" max="1" width="12.125" bestFit="1" customWidth="1"/>
    <col min="2" max="2" width="21.75" bestFit="1" customWidth="1"/>
    <col min="3" max="3" width="8" bestFit="1" customWidth="1"/>
  </cols>
  <sheetData>
    <row r="1" spans="1:4" x14ac:dyDescent="0.3">
      <c r="A1" s="6" t="s">
        <v>0</v>
      </c>
      <c r="B1" s="7" t="s">
        <v>217</v>
      </c>
      <c r="C1" s="1" t="s">
        <v>1</v>
      </c>
      <c r="D1" s="2">
        <v>15881</v>
      </c>
    </row>
    <row r="2" spans="1:4" x14ac:dyDescent="0.3">
      <c r="A2" s="3" t="s">
        <v>2</v>
      </c>
      <c r="B2" s="2" t="s">
        <v>3</v>
      </c>
      <c r="C2" s="2">
        <v>2332</v>
      </c>
    </row>
    <row r="3" spans="1:4" x14ac:dyDescent="0.3">
      <c r="A3" s="4"/>
      <c r="B3" s="2" t="s">
        <v>4</v>
      </c>
      <c r="C3" s="2">
        <v>36</v>
      </c>
    </row>
    <row r="4" spans="1:4" x14ac:dyDescent="0.3">
      <c r="A4" s="4"/>
      <c r="B4" s="2" t="s">
        <v>5</v>
      </c>
      <c r="C4" s="2">
        <v>2</v>
      </c>
    </row>
    <row r="5" spans="1:4" x14ac:dyDescent="0.3">
      <c r="A5" s="4"/>
      <c r="B5" s="2" t="s">
        <v>6</v>
      </c>
      <c r="C5" s="2">
        <v>173</v>
      </c>
    </row>
    <row r="6" spans="1:4" x14ac:dyDescent="0.3">
      <c r="A6" s="4"/>
      <c r="B6" s="2" t="s">
        <v>7</v>
      </c>
      <c r="C6" s="2">
        <v>3</v>
      </c>
    </row>
    <row r="7" spans="1:4" x14ac:dyDescent="0.3">
      <c r="A7" s="4"/>
      <c r="B7" s="2" t="s">
        <v>8</v>
      </c>
      <c r="C7" s="2">
        <v>120</v>
      </c>
    </row>
    <row r="8" spans="1:4" x14ac:dyDescent="0.3">
      <c r="A8" s="4"/>
      <c r="B8" s="2" t="s">
        <v>9</v>
      </c>
      <c r="C8" s="2">
        <v>2</v>
      </c>
    </row>
    <row r="9" spans="1:4" x14ac:dyDescent="0.3">
      <c r="A9" s="4"/>
      <c r="B9" s="2" t="s">
        <v>10</v>
      </c>
      <c r="C9" s="2">
        <v>86</v>
      </c>
    </row>
    <row r="10" spans="1:4" x14ac:dyDescent="0.3">
      <c r="A10" s="4"/>
      <c r="B10" s="2" t="s">
        <v>11</v>
      </c>
      <c r="C10" s="2">
        <v>49</v>
      </c>
    </row>
    <row r="11" spans="1:4" x14ac:dyDescent="0.3">
      <c r="A11" s="4"/>
      <c r="B11" s="2" t="s">
        <v>12</v>
      </c>
      <c r="C11" s="2">
        <v>119</v>
      </c>
    </row>
    <row r="12" spans="1:4" x14ac:dyDescent="0.3">
      <c r="A12" s="4"/>
      <c r="B12" s="2" t="s">
        <v>13</v>
      </c>
      <c r="C12" s="2">
        <v>255</v>
      </c>
    </row>
    <row r="13" spans="1:4" x14ac:dyDescent="0.3">
      <c r="A13" s="4"/>
      <c r="B13" s="2" t="s">
        <v>14</v>
      </c>
      <c r="C13" s="2">
        <v>17</v>
      </c>
    </row>
    <row r="14" spans="1:4" x14ac:dyDescent="0.3">
      <c r="A14" s="4"/>
      <c r="B14" s="2" t="s">
        <v>15</v>
      </c>
      <c r="C14" s="2">
        <v>350</v>
      </c>
    </row>
    <row r="15" spans="1:4" x14ac:dyDescent="0.3">
      <c r="A15" s="4"/>
      <c r="B15" s="2" t="s">
        <v>16</v>
      </c>
      <c r="C15" s="2">
        <v>179</v>
      </c>
    </row>
    <row r="16" spans="1:4" x14ac:dyDescent="0.3">
      <c r="A16" s="4"/>
      <c r="B16" s="2" t="s">
        <v>17</v>
      </c>
      <c r="C16" s="2">
        <v>38</v>
      </c>
    </row>
    <row r="17" spans="1:3" x14ac:dyDescent="0.3">
      <c r="A17" s="4"/>
      <c r="B17" s="2" t="s">
        <v>18</v>
      </c>
      <c r="C17" s="2">
        <v>253</v>
      </c>
    </row>
    <row r="18" spans="1:3" x14ac:dyDescent="0.3">
      <c r="A18" s="4"/>
      <c r="B18" s="2" t="s">
        <v>19</v>
      </c>
      <c r="C18" s="2">
        <v>8</v>
      </c>
    </row>
    <row r="19" spans="1:3" x14ac:dyDescent="0.3">
      <c r="A19" s="4"/>
      <c r="B19" s="2" t="s">
        <v>20</v>
      </c>
      <c r="C19" s="2">
        <v>267</v>
      </c>
    </row>
    <row r="20" spans="1:3" x14ac:dyDescent="0.3">
      <c r="A20" s="4"/>
      <c r="B20" s="2" t="s">
        <v>21</v>
      </c>
      <c r="C20" s="2">
        <v>145</v>
      </c>
    </row>
    <row r="21" spans="1:3" x14ac:dyDescent="0.3">
      <c r="A21" s="5"/>
      <c r="B21" s="2" t="s">
        <v>22</v>
      </c>
      <c r="C21" s="2">
        <v>230</v>
      </c>
    </row>
    <row r="22" spans="1:3" x14ac:dyDescent="0.3">
      <c r="A22" s="3" t="s">
        <v>23</v>
      </c>
      <c r="B22" s="2" t="s">
        <v>3</v>
      </c>
      <c r="C22" s="2">
        <v>283</v>
      </c>
    </row>
    <row r="23" spans="1:3" x14ac:dyDescent="0.3">
      <c r="A23" s="4"/>
      <c r="B23" s="2" t="s">
        <v>24</v>
      </c>
      <c r="C23" s="2">
        <v>0</v>
      </c>
    </row>
    <row r="24" spans="1:3" x14ac:dyDescent="0.3">
      <c r="A24" s="4"/>
      <c r="B24" s="2" t="s">
        <v>25</v>
      </c>
      <c r="C24" s="2">
        <v>3</v>
      </c>
    </row>
    <row r="25" spans="1:3" x14ac:dyDescent="0.3">
      <c r="A25" s="4"/>
      <c r="B25" s="2" t="s">
        <v>26</v>
      </c>
      <c r="C25" s="2">
        <v>25</v>
      </c>
    </row>
    <row r="26" spans="1:3" x14ac:dyDescent="0.3">
      <c r="A26" s="4"/>
      <c r="B26" s="2" t="s">
        <v>27</v>
      </c>
      <c r="C26" s="2">
        <v>26</v>
      </c>
    </row>
    <row r="27" spans="1:3" x14ac:dyDescent="0.3">
      <c r="A27" s="4"/>
      <c r="B27" s="2" t="s">
        <v>28</v>
      </c>
      <c r="C27" s="2">
        <v>3</v>
      </c>
    </row>
    <row r="28" spans="1:3" x14ac:dyDescent="0.3">
      <c r="A28" s="5"/>
      <c r="B28" s="2" t="s">
        <v>29</v>
      </c>
      <c r="C28" s="2">
        <v>226</v>
      </c>
    </row>
    <row r="29" spans="1:3" x14ac:dyDescent="0.3">
      <c r="A29" s="3" t="s">
        <v>30</v>
      </c>
      <c r="B29" s="2" t="s">
        <v>3</v>
      </c>
      <c r="C29" s="2">
        <v>10</v>
      </c>
    </row>
    <row r="30" spans="1:3" x14ac:dyDescent="0.3">
      <c r="A30" s="4"/>
      <c r="B30" s="2" t="s">
        <v>31</v>
      </c>
      <c r="C30" s="2">
        <v>2</v>
      </c>
    </row>
    <row r="31" spans="1:3" x14ac:dyDescent="0.3">
      <c r="A31" s="4"/>
      <c r="B31" s="2" t="s">
        <v>32</v>
      </c>
      <c r="C31" s="2">
        <v>0</v>
      </c>
    </row>
    <row r="32" spans="1:3" x14ac:dyDescent="0.3">
      <c r="A32" s="4"/>
      <c r="B32" s="2" t="s">
        <v>33</v>
      </c>
      <c r="C32" s="2">
        <v>1</v>
      </c>
    </row>
    <row r="33" spans="1:3" x14ac:dyDescent="0.3">
      <c r="A33" s="4"/>
      <c r="B33" s="2" t="s">
        <v>34</v>
      </c>
      <c r="C33" s="2">
        <v>0</v>
      </c>
    </row>
    <row r="34" spans="1:3" x14ac:dyDescent="0.3">
      <c r="A34" s="4"/>
      <c r="B34" s="2" t="s">
        <v>35</v>
      </c>
      <c r="C34" s="2">
        <v>0</v>
      </c>
    </row>
    <row r="35" spans="1:3" x14ac:dyDescent="0.3">
      <c r="A35" s="4"/>
      <c r="B35" s="2" t="s">
        <v>36</v>
      </c>
      <c r="C35" s="2">
        <v>0</v>
      </c>
    </row>
    <row r="36" spans="1:3" x14ac:dyDescent="0.3">
      <c r="A36" s="4"/>
      <c r="B36" s="2" t="s">
        <v>37</v>
      </c>
      <c r="C36" s="2">
        <v>0</v>
      </c>
    </row>
    <row r="37" spans="1:3" x14ac:dyDescent="0.3">
      <c r="A37" s="4"/>
      <c r="B37" s="2" t="s">
        <v>38</v>
      </c>
      <c r="C37" s="2">
        <v>0</v>
      </c>
    </row>
    <row r="38" spans="1:3" x14ac:dyDescent="0.3">
      <c r="A38" s="4"/>
      <c r="B38" s="2" t="s">
        <v>39</v>
      </c>
      <c r="C38" s="2">
        <v>5</v>
      </c>
    </row>
    <row r="39" spans="1:3" x14ac:dyDescent="0.3">
      <c r="A39" s="4"/>
      <c r="B39" s="2" t="s">
        <v>40</v>
      </c>
      <c r="C39" s="2">
        <v>0</v>
      </c>
    </row>
    <row r="40" spans="1:3" x14ac:dyDescent="0.3">
      <c r="A40" s="5"/>
      <c r="B40" s="2" t="s">
        <v>41</v>
      </c>
      <c r="C40" s="2">
        <v>2</v>
      </c>
    </row>
    <row r="41" spans="1:3" x14ac:dyDescent="0.3">
      <c r="A41" s="3" t="s">
        <v>42</v>
      </c>
      <c r="B41" s="2" t="s">
        <v>3</v>
      </c>
      <c r="C41" s="2">
        <v>2113</v>
      </c>
    </row>
    <row r="42" spans="1:3" x14ac:dyDescent="0.3">
      <c r="A42" s="4"/>
      <c r="B42" s="2" t="s">
        <v>43</v>
      </c>
      <c r="C42" s="2">
        <v>3</v>
      </c>
    </row>
    <row r="43" spans="1:3" x14ac:dyDescent="0.3">
      <c r="A43" s="4"/>
      <c r="B43" s="2" t="s">
        <v>44</v>
      </c>
      <c r="C43" s="2">
        <v>233</v>
      </c>
    </row>
    <row r="44" spans="1:3" x14ac:dyDescent="0.3">
      <c r="A44" s="4"/>
      <c r="B44" s="2" t="s">
        <v>45</v>
      </c>
      <c r="C44" s="2">
        <v>174</v>
      </c>
    </row>
    <row r="45" spans="1:3" x14ac:dyDescent="0.3">
      <c r="A45" s="4"/>
      <c r="B45" s="2" t="s">
        <v>46</v>
      </c>
      <c r="C45" s="2">
        <v>377</v>
      </c>
    </row>
    <row r="46" spans="1:3" x14ac:dyDescent="0.3">
      <c r="A46" s="4"/>
      <c r="B46" s="2" t="s">
        <v>47</v>
      </c>
      <c r="C46" s="2">
        <v>365</v>
      </c>
    </row>
    <row r="47" spans="1:3" x14ac:dyDescent="0.3">
      <c r="A47" s="4"/>
      <c r="B47" s="2" t="s">
        <v>48</v>
      </c>
      <c r="C47" s="2">
        <v>206</v>
      </c>
    </row>
    <row r="48" spans="1:3" x14ac:dyDescent="0.3">
      <c r="A48" s="4"/>
      <c r="B48" s="2" t="s">
        <v>49</v>
      </c>
      <c r="C48" s="2">
        <v>439</v>
      </c>
    </row>
    <row r="49" spans="1:3" x14ac:dyDescent="0.3">
      <c r="A49" s="4"/>
      <c r="B49" s="2" t="s">
        <v>50</v>
      </c>
      <c r="C49" s="2">
        <v>15</v>
      </c>
    </row>
    <row r="50" spans="1:3" x14ac:dyDescent="0.3">
      <c r="A50" s="5"/>
      <c r="B50" s="2" t="s">
        <v>51</v>
      </c>
      <c r="C50" s="2">
        <v>301</v>
      </c>
    </row>
    <row r="51" spans="1:3" x14ac:dyDescent="0.3">
      <c r="A51" s="3" t="s">
        <v>52</v>
      </c>
      <c r="B51" s="2" t="s">
        <v>3</v>
      </c>
      <c r="C51" s="2">
        <v>40</v>
      </c>
    </row>
    <row r="52" spans="1:3" x14ac:dyDescent="0.3">
      <c r="A52" s="4"/>
      <c r="B52" s="2" t="s">
        <v>53</v>
      </c>
      <c r="C52" s="2">
        <v>2</v>
      </c>
    </row>
    <row r="53" spans="1:3" x14ac:dyDescent="0.3">
      <c r="A53" s="4"/>
      <c r="B53" s="2" t="s">
        <v>54</v>
      </c>
      <c r="C53" s="2">
        <v>22</v>
      </c>
    </row>
    <row r="54" spans="1:3" x14ac:dyDescent="0.3">
      <c r="A54" s="4"/>
      <c r="B54" s="2" t="s">
        <v>55</v>
      </c>
      <c r="C54" s="2">
        <v>3</v>
      </c>
    </row>
    <row r="55" spans="1:3" x14ac:dyDescent="0.3">
      <c r="A55" s="5"/>
      <c r="B55" s="2" t="s">
        <v>56</v>
      </c>
      <c r="C55" s="2">
        <v>13</v>
      </c>
    </row>
    <row r="56" spans="1:3" x14ac:dyDescent="0.3">
      <c r="A56" s="3" t="s">
        <v>57</v>
      </c>
      <c r="B56" s="2" t="s">
        <v>3</v>
      </c>
      <c r="C56" s="2">
        <v>1727</v>
      </c>
    </row>
    <row r="57" spans="1:3" x14ac:dyDescent="0.3">
      <c r="A57" s="4"/>
      <c r="B57" s="2" t="s">
        <v>58</v>
      </c>
      <c r="C57" s="2">
        <v>17</v>
      </c>
    </row>
    <row r="58" spans="1:3" x14ac:dyDescent="0.3">
      <c r="A58" s="4"/>
      <c r="B58" s="2" t="s">
        <v>59</v>
      </c>
      <c r="C58" s="2">
        <v>1</v>
      </c>
    </row>
    <row r="59" spans="1:3" x14ac:dyDescent="0.3">
      <c r="A59" s="4"/>
      <c r="B59" s="2" t="s">
        <v>60</v>
      </c>
      <c r="C59" s="2">
        <v>87</v>
      </c>
    </row>
    <row r="60" spans="1:3" x14ac:dyDescent="0.3">
      <c r="A60" s="4"/>
      <c r="B60" s="2" t="s">
        <v>61</v>
      </c>
      <c r="C60" s="2">
        <v>3</v>
      </c>
    </row>
    <row r="61" spans="1:3" x14ac:dyDescent="0.3">
      <c r="A61" s="4"/>
      <c r="B61" s="2" t="s">
        <v>62</v>
      </c>
      <c r="C61" s="2">
        <v>10</v>
      </c>
    </row>
    <row r="62" spans="1:3" x14ac:dyDescent="0.3">
      <c r="A62" s="4"/>
      <c r="B62" s="2" t="s">
        <v>63</v>
      </c>
      <c r="C62" s="2">
        <v>7</v>
      </c>
    </row>
    <row r="63" spans="1:3" x14ac:dyDescent="0.3">
      <c r="A63" s="4"/>
      <c r="B63" s="2" t="s">
        <v>64</v>
      </c>
      <c r="C63" s="2">
        <v>12</v>
      </c>
    </row>
    <row r="64" spans="1:3" x14ac:dyDescent="0.3">
      <c r="A64" s="4"/>
      <c r="B64" s="2" t="s">
        <v>65</v>
      </c>
      <c r="C64" s="2">
        <v>17</v>
      </c>
    </row>
    <row r="65" spans="1:3" x14ac:dyDescent="0.3">
      <c r="A65" s="4"/>
      <c r="B65" s="2" t="s">
        <v>66</v>
      </c>
      <c r="C65" s="2">
        <v>0</v>
      </c>
    </row>
    <row r="66" spans="1:3" x14ac:dyDescent="0.3">
      <c r="A66" s="4"/>
      <c r="B66" s="2" t="s">
        <v>67</v>
      </c>
      <c r="C66" s="2">
        <v>155</v>
      </c>
    </row>
    <row r="67" spans="1:3" x14ac:dyDescent="0.3">
      <c r="A67" s="4"/>
      <c r="B67" s="2" t="s">
        <v>68</v>
      </c>
      <c r="C67" s="2">
        <v>2</v>
      </c>
    </row>
    <row r="68" spans="1:3" x14ac:dyDescent="0.3">
      <c r="A68" s="4"/>
      <c r="B68" s="2" t="s">
        <v>69</v>
      </c>
      <c r="C68" s="2">
        <v>22</v>
      </c>
    </row>
    <row r="69" spans="1:3" x14ac:dyDescent="0.3">
      <c r="A69" s="4"/>
      <c r="B69" s="2" t="s">
        <v>70</v>
      </c>
      <c r="C69" s="2">
        <v>20</v>
      </c>
    </row>
    <row r="70" spans="1:3" x14ac:dyDescent="0.3">
      <c r="A70" s="4"/>
      <c r="B70" s="2" t="s">
        <v>71</v>
      </c>
      <c r="C70" s="2">
        <v>28</v>
      </c>
    </row>
    <row r="71" spans="1:3" x14ac:dyDescent="0.3">
      <c r="A71" s="4"/>
      <c r="B71" s="2" t="s">
        <v>72</v>
      </c>
      <c r="C71" s="2">
        <v>1</v>
      </c>
    </row>
    <row r="72" spans="1:3" x14ac:dyDescent="0.3">
      <c r="A72" s="4"/>
      <c r="B72" s="2" t="s">
        <v>73</v>
      </c>
      <c r="C72" s="2">
        <v>20</v>
      </c>
    </row>
    <row r="73" spans="1:3" x14ac:dyDescent="0.3">
      <c r="A73" s="4"/>
      <c r="B73" s="2" t="s">
        <v>74</v>
      </c>
      <c r="C73" s="2">
        <v>2</v>
      </c>
    </row>
    <row r="74" spans="1:3" x14ac:dyDescent="0.3">
      <c r="A74" s="4"/>
      <c r="B74" s="2" t="s">
        <v>75</v>
      </c>
      <c r="C74" s="2">
        <v>10</v>
      </c>
    </row>
    <row r="75" spans="1:3" x14ac:dyDescent="0.3">
      <c r="A75" s="4"/>
      <c r="B75" s="2" t="s">
        <v>76</v>
      </c>
      <c r="C75" s="2">
        <v>5</v>
      </c>
    </row>
    <row r="76" spans="1:3" x14ac:dyDescent="0.3">
      <c r="A76" s="4"/>
      <c r="B76" s="2" t="s">
        <v>77</v>
      </c>
      <c r="C76" s="2">
        <v>6</v>
      </c>
    </row>
    <row r="77" spans="1:3" x14ac:dyDescent="0.3">
      <c r="A77" s="4"/>
      <c r="B77" s="2" t="s">
        <v>78</v>
      </c>
      <c r="C77" s="2">
        <v>22</v>
      </c>
    </row>
    <row r="78" spans="1:3" x14ac:dyDescent="0.3">
      <c r="A78" s="4"/>
      <c r="B78" s="2" t="s">
        <v>79</v>
      </c>
      <c r="C78" s="2">
        <v>4</v>
      </c>
    </row>
    <row r="79" spans="1:3" x14ac:dyDescent="0.3">
      <c r="A79" s="4"/>
      <c r="B79" s="2" t="s">
        <v>80</v>
      </c>
      <c r="C79" s="2">
        <v>425</v>
      </c>
    </row>
    <row r="80" spans="1:3" x14ac:dyDescent="0.3">
      <c r="A80" s="4"/>
      <c r="B80" s="2" t="s">
        <v>81</v>
      </c>
      <c r="C80" s="2">
        <v>37</v>
      </c>
    </row>
    <row r="81" spans="1:3" x14ac:dyDescent="0.3">
      <c r="A81" s="4"/>
      <c r="B81" s="2" t="s">
        <v>82</v>
      </c>
      <c r="C81" s="2">
        <v>0</v>
      </c>
    </row>
    <row r="82" spans="1:3" x14ac:dyDescent="0.3">
      <c r="A82" s="4"/>
      <c r="B82" s="2" t="s">
        <v>83</v>
      </c>
      <c r="C82" s="2">
        <v>20</v>
      </c>
    </row>
    <row r="83" spans="1:3" x14ac:dyDescent="0.3">
      <c r="A83" s="4"/>
      <c r="B83" s="2" t="s">
        <v>84</v>
      </c>
      <c r="C83" s="2">
        <v>10</v>
      </c>
    </row>
    <row r="84" spans="1:3" x14ac:dyDescent="0.3">
      <c r="A84" s="4"/>
      <c r="B84" s="2" t="s">
        <v>85</v>
      </c>
      <c r="C84" s="2">
        <v>0</v>
      </c>
    </row>
    <row r="85" spans="1:3" x14ac:dyDescent="0.3">
      <c r="A85" s="4"/>
      <c r="B85" s="2" t="s">
        <v>86</v>
      </c>
      <c r="C85" s="2">
        <v>11</v>
      </c>
    </row>
    <row r="86" spans="1:3" x14ac:dyDescent="0.3">
      <c r="A86" s="4"/>
      <c r="B86" s="2" t="s">
        <v>87</v>
      </c>
      <c r="C86" s="2">
        <v>58</v>
      </c>
    </row>
    <row r="87" spans="1:3" x14ac:dyDescent="0.3">
      <c r="A87" s="4"/>
      <c r="B87" s="2" t="s">
        <v>88</v>
      </c>
      <c r="C87" s="2">
        <v>0</v>
      </c>
    </row>
    <row r="88" spans="1:3" x14ac:dyDescent="0.3">
      <c r="A88" s="4"/>
      <c r="B88" s="2" t="s">
        <v>89</v>
      </c>
      <c r="C88" s="2">
        <v>1</v>
      </c>
    </row>
    <row r="89" spans="1:3" x14ac:dyDescent="0.3">
      <c r="A89" s="4"/>
      <c r="B89" s="2" t="s">
        <v>90</v>
      </c>
      <c r="C89" s="2">
        <v>31</v>
      </c>
    </row>
    <row r="90" spans="1:3" x14ac:dyDescent="0.3">
      <c r="A90" s="4"/>
      <c r="B90" s="2" t="s">
        <v>91</v>
      </c>
      <c r="C90" s="2">
        <v>229</v>
      </c>
    </row>
    <row r="91" spans="1:3" x14ac:dyDescent="0.3">
      <c r="A91" s="5"/>
      <c r="B91" s="2" t="s">
        <v>92</v>
      </c>
      <c r="C91" s="2">
        <v>454</v>
      </c>
    </row>
    <row r="92" spans="1:3" x14ac:dyDescent="0.3">
      <c r="A92" s="3" t="s">
        <v>93</v>
      </c>
      <c r="B92" s="2" t="s">
        <v>3</v>
      </c>
      <c r="C92" s="2">
        <v>49</v>
      </c>
    </row>
    <row r="93" spans="1:3" x14ac:dyDescent="0.3">
      <c r="A93" s="4"/>
      <c r="B93" s="2" t="s">
        <v>94</v>
      </c>
      <c r="C93" s="2">
        <v>3</v>
      </c>
    </row>
    <row r="94" spans="1:3" x14ac:dyDescent="0.3">
      <c r="A94" s="4"/>
      <c r="B94" s="2" t="s">
        <v>95</v>
      </c>
      <c r="C94" s="2">
        <v>2</v>
      </c>
    </row>
    <row r="95" spans="1:3" x14ac:dyDescent="0.3">
      <c r="A95" s="4"/>
      <c r="B95" s="2" t="s">
        <v>96</v>
      </c>
      <c r="C95" s="2">
        <v>0</v>
      </c>
    </row>
    <row r="96" spans="1:3" x14ac:dyDescent="0.3">
      <c r="A96" s="4"/>
      <c r="B96" s="2" t="s">
        <v>97</v>
      </c>
      <c r="C96" s="2">
        <v>0</v>
      </c>
    </row>
    <row r="97" spans="1:3" x14ac:dyDescent="0.3">
      <c r="A97" s="4"/>
      <c r="B97" s="2" t="s">
        <v>98</v>
      </c>
      <c r="C97" s="2">
        <v>0</v>
      </c>
    </row>
    <row r="98" spans="1:3" x14ac:dyDescent="0.3">
      <c r="A98" s="4"/>
      <c r="B98" s="2" t="s">
        <v>99</v>
      </c>
      <c r="C98" s="2">
        <v>0</v>
      </c>
    </row>
    <row r="99" spans="1:3" x14ac:dyDescent="0.3">
      <c r="A99" s="4"/>
      <c r="B99" s="2" t="s">
        <v>100</v>
      </c>
      <c r="C99" s="2">
        <v>2</v>
      </c>
    </row>
    <row r="100" spans="1:3" x14ac:dyDescent="0.3">
      <c r="A100" s="4"/>
      <c r="B100" s="2" t="s">
        <v>101</v>
      </c>
      <c r="C100" s="2">
        <v>0</v>
      </c>
    </row>
    <row r="101" spans="1:3" x14ac:dyDescent="0.3">
      <c r="A101" s="5"/>
      <c r="B101" s="2" t="s">
        <v>102</v>
      </c>
      <c r="C101" s="2">
        <v>42</v>
      </c>
    </row>
    <row r="102" spans="1:3" x14ac:dyDescent="0.3">
      <c r="A102" s="3" t="s">
        <v>103</v>
      </c>
      <c r="B102" s="2" t="s">
        <v>3</v>
      </c>
      <c r="C102" s="2">
        <v>521</v>
      </c>
    </row>
    <row r="103" spans="1:3" x14ac:dyDescent="0.3">
      <c r="A103" s="4"/>
      <c r="B103" s="2" t="s">
        <v>104</v>
      </c>
      <c r="C103" s="2">
        <v>74</v>
      </c>
    </row>
    <row r="104" spans="1:3" x14ac:dyDescent="0.3">
      <c r="A104" s="4"/>
      <c r="B104" s="2" t="s">
        <v>105</v>
      </c>
      <c r="C104" s="2">
        <v>4</v>
      </c>
    </row>
    <row r="105" spans="1:3" x14ac:dyDescent="0.3">
      <c r="A105" s="4"/>
      <c r="B105" s="2" t="s">
        <v>106</v>
      </c>
      <c r="C105" s="2">
        <v>2</v>
      </c>
    </row>
    <row r="106" spans="1:3" x14ac:dyDescent="0.3">
      <c r="A106" s="4"/>
      <c r="B106" s="2" t="s">
        <v>107</v>
      </c>
      <c r="C106" s="2">
        <v>138</v>
      </c>
    </row>
    <row r="107" spans="1:3" x14ac:dyDescent="0.3">
      <c r="A107" s="4"/>
      <c r="B107" s="2" t="s">
        <v>108</v>
      </c>
      <c r="C107" s="2">
        <v>10</v>
      </c>
    </row>
    <row r="108" spans="1:3" x14ac:dyDescent="0.3">
      <c r="A108" s="4"/>
      <c r="B108" s="2" t="s">
        <v>109</v>
      </c>
      <c r="C108" s="2">
        <v>21</v>
      </c>
    </row>
    <row r="109" spans="1:3" x14ac:dyDescent="0.3">
      <c r="A109" s="4"/>
      <c r="B109" s="2" t="s">
        <v>110</v>
      </c>
      <c r="C109" s="2">
        <v>16</v>
      </c>
    </row>
    <row r="110" spans="1:3" x14ac:dyDescent="0.3">
      <c r="A110" s="4"/>
      <c r="B110" s="2" t="s">
        <v>111</v>
      </c>
      <c r="C110" s="2">
        <v>11</v>
      </c>
    </row>
    <row r="111" spans="1:3" x14ac:dyDescent="0.3">
      <c r="A111" s="4"/>
      <c r="B111" s="2" t="s">
        <v>112</v>
      </c>
      <c r="C111" s="2">
        <v>39</v>
      </c>
    </row>
    <row r="112" spans="1:3" x14ac:dyDescent="0.3">
      <c r="A112" s="4"/>
      <c r="B112" s="2" t="s">
        <v>113</v>
      </c>
      <c r="C112" s="2">
        <v>0</v>
      </c>
    </row>
    <row r="113" spans="1:3" x14ac:dyDescent="0.3">
      <c r="A113" s="4"/>
      <c r="B113" s="2" t="s">
        <v>114</v>
      </c>
      <c r="C113" s="2">
        <v>0</v>
      </c>
    </row>
    <row r="114" spans="1:3" x14ac:dyDescent="0.3">
      <c r="A114" s="4"/>
      <c r="B114" s="2" t="s">
        <v>115</v>
      </c>
      <c r="C114" s="2">
        <v>41</v>
      </c>
    </row>
    <row r="115" spans="1:3" x14ac:dyDescent="0.3">
      <c r="A115" s="4"/>
      <c r="B115" s="2" t="s">
        <v>116</v>
      </c>
      <c r="C115" s="2">
        <v>7</v>
      </c>
    </row>
    <row r="116" spans="1:3" x14ac:dyDescent="0.3">
      <c r="A116" s="5"/>
      <c r="B116" s="2" t="s">
        <v>117</v>
      </c>
      <c r="C116" s="2">
        <v>158</v>
      </c>
    </row>
    <row r="117" spans="1:3" x14ac:dyDescent="0.3">
      <c r="A117" s="3" t="s">
        <v>118</v>
      </c>
      <c r="B117" s="2" t="s">
        <v>3</v>
      </c>
      <c r="C117" s="2">
        <v>49</v>
      </c>
    </row>
    <row r="118" spans="1:3" x14ac:dyDescent="0.3">
      <c r="A118" s="4"/>
      <c r="B118" s="2" t="s">
        <v>119</v>
      </c>
      <c r="C118" s="2">
        <v>0</v>
      </c>
    </row>
    <row r="119" spans="1:3" x14ac:dyDescent="0.3">
      <c r="A119" s="4"/>
      <c r="B119" s="2" t="s">
        <v>120</v>
      </c>
      <c r="C119" s="2">
        <v>3</v>
      </c>
    </row>
    <row r="120" spans="1:3" x14ac:dyDescent="0.3">
      <c r="A120" s="4"/>
      <c r="B120" s="2" t="s">
        <v>121</v>
      </c>
      <c r="C120" s="2">
        <v>2</v>
      </c>
    </row>
    <row r="121" spans="1:3" x14ac:dyDescent="0.3">
      <c r="A121" s="4"/>
      <c r="B121" s="2" t="s">
        <v>122</v>
      </c>
      <c r="C121" s="2">
        <v>3</v>
      </c>
    </row>
    <row r="122" spans="1:3" x14ac:dyDescent="0.3">
      <c r="A122" s="4"/>
      <c r="B122" s="2" t="s">
        <v>123</v>
      </c>
      <c r="C122" s="2">
        <v>16</v>
      </c>
    </row>
    <row r="123" spans="1:3" x14ac:dyDescent="0.3">
      <c r="A123" s="5"/>
      <c r="B123" s="2" t="s">
        <v>124</v>
      </c>
      <c r="C123" s="2">
        <v>25</v>
      </c>
    </row>
    <row r="124" spans="1:3" x14ac:dyDescent="0.3">
      <c r="A124" s="3" t="s">
        <v>125</v>
      </c>
      <c r="B124" s="2" t="s">
        <v>3</v>
      </c>
      <c r="C124" s="2">
        <v>12</v>
      </c>
    </row>
    <row r="125" spans="1:3" x14ac:dyDescent="0.3">
      <c r="A125" s="4"/>
      <c r="B125" s="2" t="s">
        <v>126</v>
      </c>
      <c r="C125" s="2">
        <v>0</v>
      </c>
    </row>
    <row r="126" spans="1:3" x14ac:dyDescent="0.3">
      <c r="A126" s="4"/>
      <c r="B126" s="2" t="s">
        <v>127</v>
      </c>
      <c r="C126" s="2">
        <v>2</v>
      </c>
    </row>
    <row r="127" spans="1:3" x14ac:dyDescent="0.3">
      <c r="A127" s="4"/>
      <c r="B127" s="2" t="s">
        <v>128</v>
      </c>
      <c r="C127" s="2">
        <v>1</v>
      </c>
    </row>
    <row r="128" spans="1:3" x14ac:dyDescent="0.3">
      <c r="A128" s="4"/>
      <c r="B128" s="2" t="s">
        <v>129</v>
      </c>
      <c r="C128" s="2">
        <v>0</v>
      </c>
    </row>
    <row r="129" spans="1:3" x14ac:dyDescent="0.3">
      <c r="A129" s="4"/>
      <c r="B129" s="2" t="s">
        <v>130</v>
      </c>
      <c r="C129" s="2">
        <v>0</v>
      </c>
    </row>
    <row r="130" spans="1:3" x14ac:dyDescent="0.3">
      <c r="A130" s="4"/>
      <c r="B130" s="2" t="s">
        <v>131</v>
      </c>
      <c r="C130" s="2">
        <v>1</v>
      </c>
    </row>
    <row r="131" spans="1:3" x14ac:dyDescent="0.3">
      <c r="A131" s="5"/>
      <c r="B131" s="2" t="s">
        <v>132</v>
      </c>
      <c r="C131" s="2">
        <v>8</v>
      </c>
    </row>
    <row r="132" spans="1:3" x14ac:dyDescent="0.3">
      <c r="A132" s="3" t="s">
        <v>133</v>
      </c>
      <c r="B132" s="2" t="s">
        <v>3</v>
      </c>
      <c r="C132" s="2">
        <v>1350</v>
      </c>
    </row>
    <row r="133" spans="1:3" x14ac:dyDescent="0.3">
      <c r="A133" s="4"/>
      <c r="B133" s="2" t="s">
        <v>134</v>
      </c>
      <c r="C133" s="2">
        <v>8</v>
      </c>
    </row>
    <row r="134" spans="1:3" x14ac:dyDescent="0.3">
      <c r="A134" s="4"/>
      <c r="B134" s="2" t="s">
        <v>135</v>
      </c>
      <c r="C134" s="2">
        <v>17</v>
      </c>
    </row>
    <row r="135" spans="1:3" x14ac:dyDescent="0.3">
      <c r="A135" s="4"/>
      <c r="B135" s="2" t="s">
        <v>136</v>
      </c>
      <c r="C135" s="2">
        <v>12</v>
      </c>
    </row>
    <row r="136" spans="1:3" x14ac:dyDescent="0.3">
      <c r="A136" s="4"/>
      <c r="B136" s="2" t="s">
        <v>137</v>
      </c>
      <c r="C136" s="2">
        <v>15</v>
      </c>
    </row>
    <row r="137" spans="1:3" x14ac:dyDescent="0.3">
      <c r="A137" s="4"/>
      <c r="B137" s="2" t="s">
        <v>138</v>
      </c>
      <c r="C137" s="2">
        <v>472</v>
      </c>
    </row>
    <row r="138" spans="1:3" x14ac:dyDescent="0.3">
      <c r="A138" s="4"/>
      <c r="B138" s="2" t="s">
        <v>139</v>
      </c>
      <c r="C138" s="2">
        <v>131</v>
      </c>
    </row>
    <row r="139" spans="1:3" x14ac:dyDescent="0.3">
      <c r="A139" s="4"/>
      <c r="B139" s="2" t="s">
        <v>140</v>
      </c>
      <c r="C139" s="2">
        <v>32</v>
      </c>
    </row>
    <row r="140" spans="1:3" x14ac:dyDescent="0.3">
      <c r="A140" s="4"/>
      <c r="B140" s="2" t="s">
        <v>141</v>
      </c>
      <c r="C140" s="2">
        <v>57</v>
      </c>
    </row>
    <row r="141" spans="1:3" x14ac:dyDescent="0.3">
      <c r="A141" s="4"/>
      <c r="B141" s="2" t="s">
        <v>142</v>
      </c>
      <c r="C141" s="2">
        <v>5</v>
      </c>
    </row>
    <row r="142" spans="1:3" x14ac:dyDescent="0.3">
      <c r="A142" s="4"/>
      <c r="B142" s="2" t="s">
        <v>143</v>
      </c>
      <c r="C142" s="2">
        <v>3</v>
      </c>
    </row>
    <row r="143" spans="1:3" x14ac:dyDescent="0.3">
      <c r="A143" s="4"/>
      <c r="B143" s="2" t="s">
        <v>144</v>
      </c>
      <c r="C143" s="2">
        <v>22</v>
      </c>
    </row>
    <row r="144" spans="1:3" x14ac:dyDescent="0.3">
      <c r="A144" s="4"/>
      <c r="B144" s="2" t="s">
        <v>145</v>
      </c>
      <c r="C144" s="2">
        <v>4</v>
      </c>
    </row>
    <row r="145" spans="1:3" x14ac:dyDescent="0.3">
      <c r="A145" s="4"/>
      <c r="B145" s="2" t="s">
        <v>146</v>
      </c>
      <c r="C145" s="2">
        <v>5</v>
      </c>
    </row>
    <row r="146" spans="1:3" x14ac:dyDescent="0.3">
      <c r="A146" s="4"/>
      <c r="B146" s="2" t="s">
        <v>147</v>
      </c>
      <c r="C146" s="2">
        <v>74</v>
      </c>
    </row>
    <row r="147" spans="1:3" x14ac:dyDescent="0.3">
      <c r="A147" s="4"/>
      <c r="B147" s="2" t="s">
        <v>148</v>
      </c>
      <c r="C147" s="2">
        <v>148</v>
      </c>
    </row>
    <row r="148" spans="1:3" x14ac:dyDescent="0.3">
      <c r="A148" s="4"/>
      <c r="B148" s="2" t="s">
        <v>149</v>
      </c>
      <c r="C148" s="2">
        <v>2</v>
      </c>
    </row>
    <row r="149" spans="1:3" x14ac:dyDescent="0.3">
      <c r="A149" s="4"/>
      <c r="B149" s="2" t="s">
        <v>150</v>
      </c>
      <c r="C149" s="2">
        <v>25</v>
      </c>
    </row>
    <row r="150" spans="1:3" x14ac:dyDescent="0.3">
      <c r="A150" s="4"/>
      <c r="B150" s="2" t="s">
        <v>151</v>
      </c>
      <c r="C150" s="2">
        <v>33</v>
      </c>
    </row>
    <row r="151" spans="1:3" x14ac:dyDescent="0.3">
      <c r="A151" s="4"/>
      <c r="B151" s="2" t="s">
        <v>152</v>
      </c>
      <c r="C151" s="2">
        <v>22</v>
      </c>
    </row>
    <row r="152" spans="1:3" x14ac:dyDescent="0.3">
      <c r="A152" s="4"/>
      <c r="B152" s="2" t="s">
        <v>153</v>
      </c>
      <c r="C152" s="2">
        <v>81</v>
      </c>
    </row>
    <row r="153" spans="1:3" x14ac:dyDescent="0.3">
      <c r="A153" s="5"/>
      <c r="B153" s="2" t="s">
        <v>154</v>
      </c>
      <c r="C153" s="2">
        <v>182</v>
      </c>
    </row>
    <row r="154" spans="1:3" x14ac:dyDescent="0.3">
      <c r="A154" s="3" t="s">
        <v>155</v>
      </c>
      <c r="B154" s="2" t="s">
        <v>3</v>
      </c>
      <c r="C154" s="2">
        <v>527</v>
      </c>
    </row>
    <row r="155" spans="1:3" x14ac:dyDescent="0.3">
      <c r="A155" s="4"/>
      <c r="B155" s="2" t="s">
        <v>156</v>
      </c>
      <c r="C155" s="2">
        <v>183</v>
      </c>
    </row>
    <row r="156" spans="1:3" x14ac:dyDescent="0.3">
      <c r="A156" s="4"/>
      <c r="B156" s="2" t="s">
        <v>157</v>
      </c>
      <c r="C156" s="2">
        <v>3</v>
      </c>
    </row>
    <row r="157" spans="1:3" x14ac:dyDescent="0.3">
      <c r="A157" s="4"/>
      <c r="B157" s="2" t="s">
        <v>158</v>
      </c>
      <c r="C157" s="2">
        <v>52</v>
      </c>
    </row>
    <row r="158" spans="1:3" x14ac:dyDescent="0.3">
      <c r="A158" s="4"/>
      <c r="B158" s="2" t="s">
        <v>159</v>
      </c>
      <c r="C158" s="2">
        <v>31</v>
      </c>
    </row>
    <row r="159" spans="1:3" x14ac:dyDescent="0.3">
      <c r="A159" s="4"/>
      <c r="B159" s="2" t="s">
        <v>160</v>
      </c>
      <c r="C159" s="2">
        <v>4</v>
      </c>
    </row>
    <row r="160" spans="1:3" x14ac:dyDescent="0.3">
      <c r="A160" s="4"/>
      <c r="B160" s="2" t="s">
        <v>161</v>
      </c>
      <c r="C160" s="2">
        <v>2</v>
      </c>
    </row>
    <row r="161" spans="1:3" x14ac:dyDescent="0.3">
      <c r="A161" s="4"/>
      <c r="B161" s="2" t="s">
        <v>162</v>
      </c>
      <c r="C161" s="2">
        <v>14</v>
      </c>
    </row>
    <row r="162" spans="1:3" x14ac:dyDescent="0.3">
      <c r="A162" s="4"/>
      <c r="B162" s="2" t="s">
        <v>163</v>
      </c>
      <c r="C162" s="2">
        <v>1</v>
      </c>
    </row>
    <row r="163" spans="1:3" x14ac:dyDescent="0.3">
      <c r="A163" s="4"/>
      <c r="B163" s="2" t="s">
        <v>164</v>
      </c>
      <c r="C163" s="2">
        <v>28</v>
      </c>
    </row>
    <row r="164" spans="1:3" x14ac:dyDescent="0.3">
      <c r="A164" s="4"/>
      <c r="B164" s="2" t="s">
        <v>165</v>
      </c>
      <c r="C164" s="2">
        <v>121</v>
      </c>
    </row>
    <row r="165" spans="1:3" x14ac:dyDescent="0.3">
      <c r="A165" s="5"/>
      <c r="B165" s="2" t="s">
        <v>166</v>
      </c>
      <c r="C165" s="2">
        <v>88</v>
      </c>
    </row>
    <row r="166" spans="1:3" x14ac:dyDescent="0.3">
      <c r="A166" s="3" t="s">
        <v>167</v>
      </c>
      <c r="B166" s="2" t="s">
        <v>3</v>
      </c>
      <c r="C166" s="2">
        <v>2783</v>
      </c>
    </row>
    <row r="167" spans="1:3" x14ac:dyDescent="0.3">
      <c r="A167" s="4"/>
      <c r="B167" s="2" t="s">
        <v>168</v>
      </c>
      <c r="C167" s="2">
        <v>1054</v>
      </c>
    </row>
    <row r="168" spans="1:3" x14ac:dyDescent="0.3">
      <c r="A168" s="4"/>
      <c r="B168" s="2" t="s">
        <v>169</v>
      </c>
      <c r="C168" s="2">
        <v>1</v>
      </c>
    </row>
    <row r="169" spans="1:3" x14ac:dyDescent="0.3">
      <c r="A169" s="4"/>
      <c r="B169" s="2" t="s">
        <v>170</v>
      </c>
      <c r="C169" s="2">
        <v>8</v>
      </c>
    </row>
    <row r="170" spans="1:3" x14ac:dyDescent="0.3">
      <c r="A170" s="4"/>
      <c r="B170" s="2" t="s">
        <v>171</v>
      </c>
      <c r="C170" s="2">
        <v>25</v>
      </c>
    </row>
    <row r="171" spans="1:3" x14ac:dyDescent="0.3">
      <c r="A171" s="4"/>
      <c r="B171" s="2" t="s">
        <v>172</v>
      </c>
      <c r="C171" s="2">
        <v>303</v>
      </c>
    </row>
    <row r="172" spans="1:3" x14ac:dyDescent="0.3">
      <c r="A172" s="4"/>
      <c r="B172" s="2" t="s">
        <v>173</v>
      </c>
      <c r="C172" s="2">
        <v>36</v>
      </c>
    </row>
    <row r="173" spans="1:3" x14ac:dyDescent="0.3">
      <c r="A173" s="4"/>
      <c r="B173" s="2" t="s">
        <v>174</v>
      </c>
      <c r="C173" s="2">
        <v>206</v>
      </c>
    </row>
    <row r="174" spans="1:3" x14ac:dyDescent="0.3">
      <c r="A174" s="4"/>
      <c r="B174" s="2" t="s">
        <v>175</v>
      </c>
      <c r="C174" s="2">
        <v>14</v>
      </c>
    </row>
    <row r="175" spans="1:3" x14ac:dyDescent="0.3">
      <c r="A175" s="4"/>
      <c r="B175" s="2" t="s">
        <v>176</v>
      </c>
      <c r="C175" s="2">
        <v>2</v>
      </c>
    </row>
    <row r="176" spans="1:3" x14ac:dyDescent="0.3">
      <c r="A176" s="4"/>
      <c r="B176" s="2" t="s">
        <v>177</v>
      </c>
      <c r="C176" s="2">
        <v>122</v>
      </c>
    </row>
    <row r="177" spans="1:3" x14ac:dyDescent="0.3">
      <c r="A177" s="4"/>
      <c r="B177" s="2" t="s">
        <v>178</v>
      </c>
      <c r="C177" s="2">
        <v>65</v>
      </c>
    </row>
    <row r="178" spans="1:3" x14ac:dyDescent="0.3">
      <c r="A178" s="4"/>
      <c r="B178" s="2" t="s">
        <v>179</v>
      </c>
      <c r="C178" s="2">
        <v>6</v>
      </c>
    </row>
    <row r="179" spans="1:3" x14ac:dyDescent="0.3">
      <c r="A179" s="4"/>
      <c r="B179" s="2" t="s">
        <v>180</v>
      </c>
      <c r="C179" s="2">
        <v>312</v>
      </c>
    </row>
    <row r="180" spans="1:3" x14ac:dyDescent="0.3">
      <c r="A180" s="4"/>
      <c r="B180" s="2" t="s">
        <v>181</v>
      </c>
      <c r="C180" s="2">
        <v>23</v>
      </c>
    </row>
    <row r="181" spans="1:3" x14ac:dyDescent="0.3">
      <c r="A181" s="4"/>
      <c r="B181" s="2" t="s">
        <v>182</v>
      </c>
      <c r="C181" s="2">
        <v>29</v>
      </c>
    </row>
    <row r="182" spans="1:3" x14ac:dyDescent="0.3">
      <c r="A182" s="4"/>
      <c r="B182" s="2" t="s">
        <v>183</v>
      </c>
      <c r="C182" s="2">
        <v>49</v>
      </c>
    </row>
    <row r="183" spans="1:3" x14ac:dyDescent="0.3">
      <c r="A183" s="4"/>
      <c r="B183" s="2" t="s">
        <v>184</v>
      </c>
      <c r="C183" s="2">
        <v>21</v>
      </c>
    </row>
    <row r="184" spans="1:3" x14ac:dyDescent="0.3">
      <c r="A184" s="4"/>
      <c r="B184" s="2" t="s">
        <v>185</v>
      </c>
      <c r="C184" s="2">
        <v>18</v>
      </c>
    </row>
    <row r="185" spans="1:3" x14ac:dyDescent="0.3">
      <c r="A185" s="4"/>
      <c r="B185" s="2" t="s">
        <v>186</v>
      </c>
      <c r="C185" s="2">
        <v>6</v>
      </c>
    </row>
    <row r="186" spans="1:3" x14ac:dyDescent="0.3">
      <c r="A186" s="4"/>
      <c r="B186" s="2" t="s">
        <v>187</v>
      </c>
      <c r="C186" s="2">
        <v>169</v>
      </c>
    </row>
    <row r="187" spans="1:3" x14ac:dyDescent="0.3">
      <c r="A187" s="5"/>
      <c r="B187" s="2" t="s">
        <v>188</v>
      </c>
      <c r="C187" s="2">
        <v>314</v>
      </c>
    </row>
    <row r="188" spans="1:3" x14ac:dyDescent="0.3">
      <c r="A188" s="3" t="s">
        <v>189</v>
      </c>
      <c r="B188" s="2" t="s">
        <v>3</v>
      </c>
      <c r="C188" s="2">
        <v>2420</v>
      </c>
    </row>
    <row r="189" spans="1:3" x14ac:dyDescent="0.3">
      <c r="A189" s="4"/>
      <c r="B189" s="2" t="s">
        <v>190</v>
      </c>
      <c r="C189" s="2">
        <v>4</v>
      </c>
    </row>
    <row r="190" spans="1:3" x14ac:dyDescent="0.3">
      <c r="A190" s="4"/>
      <c r="B190" s="2" t="s">
        <v>191</v>
      </c>
      <c r="C190" s="2">
        <v>31</v>
      </c>
    </row>
    <row r="191" spans="1:3" x14ac:dyDescent="0.3">
      <c r="A191" s="4"/>
      <c r="B191" s="2" t="s">
        <v>192</v>
      </c>
      <c r="C191" s="2">
        <v>8</v>
      </c>
    </row>
    <row r="192" spans="1:3" x14ac:dyDescent="0.3">
      <c r="A192" s="4"/>
      <c r="B192" s="2" t="s">
        <v>193</v>
      </c>
      <c r="C192" s="2">
        <v>8</v>
      </c>
    </row>
    <row r="193" spans="1:3" x14ac:dyDescent="0.3">
      <c r="A193" s="4"/>
      <c r="B193" s="2" t="s">
        <v>194</v>
      </c>
      <c r="C193" s="2">
        <v>38</v>
      </c>
    </row>
    <row r="194" spans="1:3" x14ac:dyDescent="0.3">
      <c r="A194" s="4"/>
      <c r="B194" s="2" t="s">
        <v>195</v>
      </c>
      <c r="C194" s="2">
        <v>87</v>
      </c>
    </row>
    <row r="195" spans="1:3" x14ac:dyDescent="0.3">
      <c r="A195" s="4"/>
      <c r="B195" s="2" t="s">
        <v>196</v>
      </c>
      <c r="C195" s="2">
        <v>129</v>
      </c>
    </row>
    <row r="196" spans="1:3" x14ac:dyDescent="0.3">
      <c r="A196" s="4"/>
      <c r="B196" s="2" t="s">
        <v>197</v>
      </c>
      <c r="C196" s="2">
        <v>488</v>
      </c>
    </row>
    <row r="197" spans="1:3" x14ac:dyDescent="0.3">
      <c r="A197" s="4"/>
      <c r="B197" s="2" t="s">
        <v>198</v>
      </c>
      <c r="C197" s="2">
        <v>9</v>
      </c>
    </row>
    <row r="198" spans="1:3" x14ac:dyDescent="0.3">
      <c r="A198" s="4"/>
      <c r="B198" s="2" t="s">
        <v>199</v>
      </c>
      <c r="C198" s="2">
        <v>210</v>
      </c>
    </row>
    <row r="199" spans="1:3" x14ac:dyDescent="0.3">
      <c r="A199" s="4"/>
      <c r="B199" s="2" t="s">
        <v>200</v>
      </c>
      <c r="C199" s="2">
        <v>211</v>
      </c>
    </row>
    <row r="200" spans="1:3" x14ac:dyDescent="0.3">
      <c r="A200" s="4"/>
      <c r="B200" s="2" t="s">
        <v>201</v>
      </c>
      <c r="C200" s="2">
        <v>8</v>
      </c>
    </row>
    <row r="201" spans="1:3" x14ac:dyDescent="0.3">
      <c r="A201" s="4"/>
      <c r="B201" s="2" t="s">
        <v>202</v>
      </c>
      <c r="C201" s="2">
        <v>394</v>
      </c>
    </row>
    <row r="202" spans="1:3" x14ac:dyDescent="0.3">
      <c r="A202" s="4"/>
      <c r="B202" s="2" t="s">
        <v>203</v>
      </c>
      <c r="C202" s="2">
        <v>19</v>
      </c>
    </row>
    <row r="203" spans="1:3" x14ac:dyDescent="0.3">
      <c r="A203" s="4"/>
      <c r="B203" s="2" t="s">
        <v>204</v>
      </c>
      <c r="C203" s="2">
        <v>22</v>
      </c>
    </row>
    <row r="204" spans="1:3" x14ac:dyDescent="0.3">
      <c r="A204" s="4"/>
      <c r="B204" s="2" t="s">
        <v>205</v>
      </c>
      <c r="C204" s="2">
        <v>45</v>
      </c>
    </row>
    <row r="205" spans="1:3" x14ac:dyDescent="0.3">
      <c r="A205" s="4"/>
      <c r="B205" s="2" t="s">
        <v>206</v>
      </c>
      <c r="C205" s="2">
        <v>5</v>
      </c>
    </row>
    <row r="206" spans="1:3" x14ac:dyDescent="0.3">
      <c r="A206" s="4"/>
      <c r="B206" s="2" t="s">
        <v>207</v>
      </c>
      <c r="C206" s="2">
        <v>2</v>
      </c>
    </row>
    <row r="207" spans="1:3" x14ac:dyDescent="0.3">
      <c r="A207" s="4"/>
      <c r="B207" s="2" t="s">
        <v>208</v>
      </c>
      <c r="C207" s="2">
        <v>5</v>
      </c>
    </row>
    <row r="208" spans="1:3" x14ac:dyDescent="0.3">
      <c r="A208" s="4"/>
      <c r="B208" s="2" t="s">
        <v>209</v>
      </c>
      <c r="C208" s="2">
        <v>7</v>
      </c>
    </row>
    <row r="209" spans="1:3" x14ac:dyDescent="0.3">
      <c r="A209" s="4"/>
      <c r="B209" s="2" t="s">
        <v>210</v>
      </c>
      <c r="C209" s="2">
        <v>41</v>
      </c>
    </row>
    <row r="210" spans="1:3" x14ac:dyDescent="0.3">
      <c r="A210" s="4"/>
      <c r="B210" s="2" t="s">
        <v>211</v>
      </c>
      <c r="C210" s="2">
        <v>27</v>
      </c>
    </row>
    <row r="211" spans="1:3" x14ac:dyDescent="0.3">
      <c r="A211" s="4"/>
      <c r="B211" s="2" t="s">
        <v>212</v>
      </c>
      <c r="C211" s="2">
        <v>20</v>
      </c>
    </row>
    <row r="212" spans="1:3" x14ac:dyDescent="0.3">
      <c r="A212" s="4"/>
      <c r="B212" s="2" t="s">
        <v>213</v>
      </c>
      <c r="C212" s="2">
        <v>6</v>
      </c>
    </row>
    <row r="213" spans="1:3" x14ac:dyDescent="0.3">
      <c r="A213" s="5"/>
      <c r="B213" s="2" t="s">
        <v>214</v>
      </c>
      <c r="C213" s="2">
        <v>596</v>
      </c>
    </row>
    <row r="214" spans="1:3" x14ac:dyDescent="0.3">
      <c r="A214" s="3" t="s">
        <v>215</v>
      </c>
      <c r="B214" s="2" t="s">
        <v>3</v>
      </c>
      <c r="C214" s="2">
        <v>497</v>
      </c>
    </row>
    <row r="215" spans="1:3" x14ac:dyDescent="0.3">
      <c r="A215" s="5"/>
      <c r="B215" s="2" t="s">
        <v>215</v>
      </c>
      <c r="C215" s="2">
        <v>497</v>
      </c>
    </row>
    <row r="216" spans="1:3" x14ac:dyDescent="0.3">
      <c r="A216" s="3" t="s">
        <v>216</v>
      </c>
      <c r="B216" s="2" t="s">
        <v>3</v>
      </c>
      <c r="C216" s="2">
        <v>1168</v>
      </c>
    </row>
    <row r="217" spans="1:3" x14ac:dyDescent="0.3">
      <c r="A217" s="5"/>
      <c r="B217" s="2" t="s">
        <v>216</v>
      </c>
      <c r="C217" s="2">
        <v>1168</v>
      </c>
    </row>
  </sheetData>
  <autoFilter ref="A1:C217"/>
  <phoneticPr fontId="20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Views>
    <sheetView showGridLines="0" workbookViewId="0">
      <selection activeCell="L5" sqref="L5"/>
    </sheetView>
  </sheetViews>
  <sheetFormatPr defaultRowHeight="16.5" x14ac:dyDescent="0.3"/>
  <cols>
    <col min="1" max="1" width="12.125" bestFit="1" customWidth="1"/>
    <col min="2" max="2" width="21.75" bestFit="1" customWidth="1"/>
    <col min="3" max="3" width="8" bestFit="1" customWidth="1"/>
  </cols>
  <sheetData>
    <row r="1" spans="1:4" x14ac:dyDescent="0.3">
      <c r="A1" s="6" t="s">
        <v>0</v>
      </c>
      <c r="B1" s="7" t="s">
        <v>217</v>
      </c>
      <c r="C1" s="1" t="s">
        <v>1</v>
      </c>
      <c r="D1" s="2">
        <v>16553</v>
      </c>
    </row>
    <row r="2" spans="1:4" x14ac:dyDescent="0.3">
      <c r="A2" s="3" t="s">
        <v>2</v>
      </c>
      <c r="B2" s="2" t="s">
        <v>3</v>
      </c>
      <c r="C2" s="2">
        <v>2245</v>
      </c>
    </row>
    <row r="3" spans="1:4" x14ac:dyDescent="0.3">
      <c r="A3" s="4"/>
      <c r="B3" s="2" t="s">
        <v>4</v>
      </c>
      <c r="C3" s="2">
        <v>31</v>
      </c>
    </row>
    <row r="4" spans="1:4" x14ac:dyDescent="0.3">
      <c r="A4" s="4"/>
      <c r="B4" s="2" t="s">
        <v>5</v>
      </c>
      <c r="C4" s="2">
        <v>3</v>
      </c>
    </row>
    <row r="5" spans="1:4" x14ac:dyDescent="0.3">
      <c r="A5" s="4"/>
      <c r="B5" s="2" t="s">
        <v>6</v>
      </c>
      <c r="C5" s="2">
        <v>168</v>
      </c>
    </row>
    <row r="6" spans="1:4" x14ac:dyDescent="0.3">
      <c r="A6" s="4"/>
      <c r="B6" s="2" t="s">
        <v>7</v>
      </c>
      <c r="C6" s="2">
        <v>3</v>
      </c>
    </row>
    <row r="7" spans="1:4" x14ac:dyDescent="0.3">
      <c r="A7" s="4"/>
      <c r="B7" s="2" t="s">
        <v>8</v>
      </c>
      <c r="C7" s="2">
        <v>160</v>
      </c>
    </row>
    <row r="8" spans="1:4" x14ac:dyDescent="0.3">
      <c r="A8" s="4"/>
      <c r="B8" s="2" t="s">
        <v>9</v>
      </c>
      <c r="C8" s="2">
        <v>3</v>
      </c>
    </row>
    <row r="9" spans="1:4" x14ac:dyDescent="0.3">
      <c r="A9" s="4"/>
      <c r="B9" s="2" t="s">
        <v>10</v>
      </c>
      <c r="C9" s="2">
        <v>74</v>
      </c>
    </row>
    <row r="10" spans="1:4" x14ac:dyDescent="0.3">
      <c r="A10" s="4"/>
      <c r="B10" s="2" t="s">
        <v>11</v>
      </c>
      <c r="C10" s="2">
        <v>27</v>
      </c>
    </row>
    <row r="11" spans="1:4" x14ac:dyDescent="0.3">
      <c r="A11" s="4"/>
      <c r="B11" s="2" t="s">
        <v>12</v>
      </c>
      <c r="C11" s="2">
        <v>99</v>
      </c>
    </row>
    <row r="12" spans="1:4" x14ac:dyDescent="0.3">
      <c r="A12" s="4"/>
      <c r="B12" s="2" t="s">
        <v>13</v>
      </c>
      <c r="C12" s="2">
        <v>221</v>
      </c>
    </row>
    <row r="13" spans="1:4" x14ac:dyDescent="0.3">
      <c r="A13" s="4"/>
      <c r="B13" s="2" t="s">
        <v>14</v>
      </c>
      <c r="C13" s="2">
        <v>19</v>
      </c>
    </row>
    <row r="14" spans="1:4" x14ac:dyDescent="0.3">
      <c r="A14" s="4"/>
      <c r="B14" s="2" t="s">
        <v>15</v>
      </c>
      <c r="C14" s="2">
        <v>240</v>
      </c>
    </row>
    <row r="15" spans="1:4" x14ac:dyDescent="0.3">
      <c r="A15" s="4"/>
      <c r="B15" s="2" t="s">
        <v>16</v>
      </c>
      <c r="C15" s="2">
        <v>242</v>
      </c>
    </row>
    <row r="16" spans="1:4" x14ac:dyDescent="0.3">
      <c r="A16" s="4"/>
      <c r="B16" s="2" t="s">
        <v>17</v>
      </c>
      <c r="C16" s="2">
        <v>44</v>
      </c>
    </row>
    <row r="17" spans="1:3" x14ac:dyDescent="0.3">
      <c r="A17" s="4"/>
      <c r="B17" s="2" t="s">
        <v>18</v>
      </c>
      <c r="C17" s="2">
        <v>214</v>
      </c>
    </row>
    <row r="18" spans="1:3" x14ac:dyDescent="0.3">
      <c r="A18" s="4"/>
      <c r="B18" s="2" t="s">
        <v>19</v>
      </c>
      <c r="C18" s="2">
        <v>9</v>
      </c>
    </row>
    <row r="19" spans="1:3" x14ac:dyDescent="0.3">
      <c r="A19" s="4"/>
      <c r="B19" s="2" t="s">
        <v>20</v>
      </c>
      <c r="C19" s="2">
        <v>343</v>
      </c>
    </row>
    <row r="20" spans="1:3" x14ac:dyDescent="0.3">
      <c r="A20" s="4"/>
      <c r="B20" s="2" t="s">
        <v>21</v>
      </c>
      <c r="C20" s="2">
        <v>141</v>
      </c>
    </row>
    <row r="21" spans="1:3" x14ac:dyDescent="0.3">
      <c r="A21" s="5"/>
      <c r="B21" s="2" t="s">
        <v>22</v>
      </c>
      <c r="C21" s="2">
        <v>204</v>
      </c>
    </row>
    <row r="22" spans="1:3" x14ac:dyDescent="0.3">
      <c r="A22" s="3" t="s">
        <v>23</v>
      </c>
      <c r="B22" s="2" t="s">
        <v>3</v>
      </c>
      <c r="C22" s="2">
        <v>261</v>
      </c>
    </row>
    <row r="23" spans="1:3" x14ac:dyDescent="0.3">
      <c r="A23" s="4"/>
      <c r="B23" s="2" t="s">
        <v>24</v>
      </c>
      <c r="C23" s="2">
        <v>0</v>
      </c>
    </row>
    <row r="24" spans="1:3" x14ac:dyDescent="0.3">
      <c r="A24" s="4"/>
      <c r="B24" s="2" t="s">
        <v>25</v>
      </c>
      <c r="C24" s="2">
        <v>4</v>
      </c>
    </row>
    <row r="25" spans="1:3" x14ac:dyDescent="0.3">
      <c r="A25" s="4"/>
      <c r="B25" s="2" t="s">
        <v>26</v>
      </c>
      <c r="C25" s="2">
        <v>20</v>
      </c>
    </row>
    <row r="26" spans="1:3" x14ac:dyDescent="0.3">
      <c r="A26" s="4"/>
      <c r="B26" s="2" t="s">
        <v>27</v>
      </c>
      <c r="C26" s="2">
        <v>30</v>
      </c>
    </row>
    <row r="27" spans="1:3" x14ac:dyDescent="0.3">
      <c r="A27" s="4"/>
      <c r="B27" s="2" t="s">
        <v>28</v>
      </c>
      <c r="C27" s="2">
        <v>6</v>
      </c>
    </row>
    <row r="28" spans="1:3" x14ac:dyDescent="0.3">
      <c r="A28" s="5"/>
      <c r="B28" s="2" t="s">
        <v>29</v>
      </c>
      <c r="C28" s="2">
        <v>201</v>
      </c>
    </row>
    <row r="29" spans="1:3" x14ac:dyDescent="0.3">
      <c r="A29" s="3" t="s">
        <v>30</v>
      </c>
      <c r="B29" s="2" t="s">
        <v>3</v>
      </c>
      <c r="C29" s="2">
        <v>2</v>
      </c>
    </row>
    <row r="30" spans="1:3" x14ac:dyDescent="0.3">
      <c r="A30" s="4"/>
      <c r="B30" s="2" t="s">
        <v>31</v>
      </c>
      <c r="C30" s="2">
        <v>0</v>
      </c>
    </row>
    <row r="31" spans="1:3" x14ac:dyDescent="0.3">
      <c r="A31" s="4"/>
      <c r="B31" s="2" t="s">
        <v>32</v>
      </c>
      <c r="C31" s="2">
        <v>0</v>
      </c>
    </row>
    <row r="32" spans="1:3" x14ac:dyDescent="0.3">
      <c r="A32" s="4"/>
      <c r="B32" s="2" t="s">
        <v>33</v>
      </c>
      <c r="C32" s="2">
        <v>0</v>
      </c>
    </row>
    <row r="33" spans="1:3" x14ac:dyDescent="0.3">
      <c r="A33" s="4"/>
      <c r="B33" s="2" t="s">
        <v>34</v>
      </c>
      <c r="C33" s="2">
        <v>0</v>
      </c>
    </row>
    <row r="34" spans="1:3" x14ac:dyDescent="0.3">
      <c r="A34" s="4"/>
      <c r="B34" s="2" t="s">
        <v>35</v>
      </c>
      <c r="C34" s="2">
        <v>0</v>
      </c>
    </row>
    <row r="35" spans="1:3" x14ac:dyDescent="0.3">
      <c r="A35" s="4"/>
      <c r="B35" s="2" t="s">
        <v>36</v>
      </c>
      <c r="C35" s="2">
        <v>0</v>
      </c>
    </row>
    <row r="36" spans="1:3" x14ac:dyDescent="0.3">
      <c r="A36" s="4"/>
      <c r="B36" s="2" t="s">
        <v>37</v>
      </c>
      <c r="C36" s="2">
        <v>0</v>
      </c>
    </row>
    <row r="37" spans="1:3" x14ac:dyDescent="0.3">
      <c r="A37" s="4"/>
      <c r="B37" s="2" t="s">
        <v>38</v>
      </c>
      <c r="C37" s="2">
        <v>0</v>
      </c>
    </row>
    <row r="38" spans="1:3" x14ac:dyDescent="0.3">
      <c r="A38" s="4"/>
      <c r="B38" s="2" t="s">
        <v>39</v>
      </c>
      <c r="C38" s="2">
        <v>1</v>
      </c>
    </row>
    <row r="39" spans="1:3" x14ac:dyDescent="0.3">
      <c r="A39" s="4"/>
      <c r="B39" s="2" t="s">
        <v>40</v>
      </c>
      <c r="C39" s="2">
        <v>0</v>
      </c>
    </row>
    <row r="40" spans="1:3" x14ac:dyDescent="0.3">
      <c r="A40" s="5"/>
      <c r="B40" s="2" t="s">
        <v>41</v>
      </c>
      <c r="C40" s="2">
        <v>1</v>
      </c>
    </row>
    <row r="41" spans="1:3" x14ac:dyDescent="0.3">
      <c r="A41" s="3" t="s">
        <v>42</v>
      </c>
      <c r="B41" s="2" t="s">
        <v>3</v>
      </c>
      <c r="C41" s="2">
        <v>2123</v>
      </c>
    </row>
    <row r="42" spans="1:3" x14ac:dyDescent="0.3">
      <c r="A42" s="4"/>
      <c r="B42" s="2" t="s">
        <v>43</v>
      </c>
      <c r="C42" s="2">
        <v>3</v>
      </c>
    </row>
    <row r="43" spans="1:3" x14ac:dyDescent="0.3">
      <c r="A43" s="4"/>
      <c r="B43" s="2" t="s">
        <v>44</v>
      </c>
      <c r="C43" s="2">
        <v>203</v>
      </c>
    </row>
    <row r="44" spans="1:3" x14ac:dyDescent="0.3">
      <c r="A44" s="4"/>
      <c r="B44" s="2" t="s">
        <v>45</v>
      </c>
      <c r="C44" s="2">
        <v>179</v>
      </c>
    </row>
    <row r="45" spans="1:3" x14ac:dyDescent="0.3">
      <c r="A45" s="4"/>
      <c r="B45" s="2" t="s">
        <v>46</v>
      </c>
      <c r="C45" s="2">
        <v>400</v>
      </c>
    </row>
    <row r="46" spans="1:3" x14ac:dyDescent="0.3">
      <c r="A46" s="4"/>
      <c r="B46" s="2" t="s">
        <v>47</v>
      </c>
      <c r="C46" s="2">
        <v>396</v>
      </c>
    </row>
    <row r="47" spans="1:3" x14ac:dyDescent="0.3">
      <c r="A47" s="4"/>
      <c r="B47" s="2" t="s">
        <v>48</v>
      </c>
      <c r="C47" s="2">
        <v>254</v>
      </c>
    </row>
    <row r="48" spans="1:3" x14ac:dyDescent="0.3">
      <c r="A48" s="4"/>
      <c r="B48" s="2" t="s">
        <v>49</v>
      </c>
      <c r="C48" s="2">
        <v>393</v>
      </c>
    </row>
    <row r="49" spans="1:3" x14ac:dyDescent="0.3">
      <c r="A49" s="4"/>
      <c r="B49" s="2" t="s">
        <v>50</v>
      </c>
      <c r="C49" s="2">
        <v>18</v>
      </c>
    </row>
    <row r="50" spans="1:3" x14ac:dyDescent="0.3">
      <c r="A50" s="5"/>
      <c r="B50" s="2" t="s">
        <v>51</v>
      </c>
      <c r="C50" s="2">
        <v>277</v>
      </c>
    </row>
    <row r="51" spans="1:3" x14ac:dyDescent="0.3">
      <c r="A51" s="3" t="s">
        <v>52</v>
      </c>
      <c r="B51" s="2" t="s">
        <v>3</v>
      </c>
      <c r="C51" s="2">
        <v>43</v>
      </c>
    </row>
    <row r="52" spans="1:3" x14ac:dyDescent="0.3">
      <c r="A52" s="4"/>
      <c r="B52" s="2" t="s">
        <v>53</v>
      </c>
      <c r="C52" s="2">
        <v>1</v>
      </c>
    </row>
    <row r="53" spans="1:3" x14ac:dyDescent="0.3">
      <c r="A53" s="4"/>
      <c r="B53" s="2" t="s">
        <v>54</v>
      </c>
      <c r="C53" s="2">
        <v>31</v>
      </c>
    </row>
    <row r="54" spans="1:3" x14ac:dyDescent="0.3">
      <c r="A54" s="4"/>
      <c r="B54" s="2" t="s">
        <v>55</v>
      </c>
      <c r="C54" s="2">
        <v>1</v>
      </c>
    </row>
    <row r="55" spans="1:3" x14ac:dyDescent="0.3">
      <c r="A55" s="5"/>
      <c r="B55" s="2" t="s">
        <v>56</v>
      </c>
      <c r="C55" s="2">
        <v>10</v>
      </c>
    </row>
    <row r="56" spans="1:3" x14ac:dyDescent="0.3">
      <c r="A56" s="3" t="s">
        <v>57</v>
      </c>
      <c r="B56" s="2" t="s">
        <v>3</v>
      </c>
      <c r="C56" s="2">
        <v>1919</v>
      </c>
    </row>
    <row r="57" spans="1:3" x14ac:dyDescent="0.3">
      <c r="A57" s="4"/>
      <c r="B57" s="2" t="s">
        <v>58</v>
      </c>
      <c r="C57" s="2">
        <v>27</v>
      </c>
    </row>
    <row r="58" spans="1:3" x14ac:dyDescent="0.3">
      <c r="A58" s="4"/>
      <c r="B58" s="2" t="s">
        <v>59</v>
      </c>
      <c r="C58" s="2">
        <v>1</v>
      </c>
    </row>
    <row r="59" spans="1:3" x14ac:dyDescent="0.3">
      <c r="A59" s="4"/>
      <c r="B59" s="2" t="s">
        <v>60</v>
      </c>
      <c r="C59" s="2">
        <v>110</v>
      </c>
    </row>
    <row r="60" spans="1:3" x14ac:dyDescent="0.3">
      <c r="A60" s="4"/>
      <c r="B60" s="2" t="s">
        <v>61</v>
      </c>
      <c r="C60" s="2">
        <v>2</v>
      </c>
    </row>
    <row r="61" spans="1:3" x14ac:dyDescent="0.3">
      <c r="A61" s="4"/>
      <c r="B61" s="2" t="s">
        <v>62</v>
      </c>
      <c r="C61" s="2">
        <v>8</v>
      </c>
    </row>
    <row r="62" spans="1:3" x14ac:dyDescent="0.3">
      <c r="A62" s="4"/>
      <c r="B62" s="2" t="s">
        <v>63</v>
      </c>
      <c r="C62" s="2">
        <v>4</v>
      </c>
    </row>
    <row r="63" spans="1:3" x14ac:dyDescent="0.3">
      <c r="A63" s="4"/>
      <c r="B63" s="2" t="s">
        <v>64</v>
      </c>
      <c r="C63" s="2">
        <v>13</v>
      </c>
    </row>
    <row r="64" spans="1:3" x14ac:dyDescent="0.3">
      <c r="A64" s="4"/>
      <c r="B64" s="2" t="s">
        <v>65</v>
      </c>
      <c r="C64" s="2">
        <v>17</v>
      </c>
    </row>
    <row r="65" spans="1:3" x14ac:dyDescent="0.3">
      <c r="A65" s="4"/>
      <c r="B65" s="2" t="s">
        <v>66</v>
      </c>
      <c r="C65" s="2">
        <v>0</v>
      </c>
    </row>
    <row r="66" spans="1:3" x14ac:dyDescent="0.3">
      <c r="A66" s="4"/>
      <c r="B66" s="2" t="s">
        <v>67</v>
      </c>
      <c r="C66" s="2">
        <v>144</v>
      </c>
    </row>
    <row r="67" spans="1:3" x14ac:dyDescent="0.3">
      <c r="A67" s="4"/>
      <c r="B67" s="2" t="s">
        <v>68</v>
      </c>
      <c r="C67" s="2">
        <v>4</v>
      </c>
    </row>
    <row r="68" spans="1:3" x14ac:dyDescent="0.3">
      <c r="A68" s="4"/>
      <c r="B68" s="2" t="s">
        <v>69</v>
      </c>
      <c r="C68" s="2">
        <v>26</v>
      </c>
    </row>
    <row r="69" spans="1:3" x14ac:dyDescent="0.3">
      <c r="A69" s="4"/>
      <c r="B69" s="2" t="s">
        <v>70</v>
      </c>
      <c r="C69" s="2">
        <v>30</v>
      </c>
    </row>
    <row r="70" spans="1:3" x14ac:dyDescent="0.3">
      <c r="A70" s="4"/>
      <c r="B70" s="2" t="s">
        <v>71</v>
      </c>
      <c r="C70" s="2">
        <v>35</v>
      </c>
    </row>
    <row r="71" spans="1:3" x14ac:dyDescent="0.3">
      <c r="A71" s="4"/>
      <c r="B71" s="2" t="s">
        <v>72</v>
      </c>
      <c r="C71" s="2">
        <v>0</v>
      </c>
    </row>
    <row r="72" spans="1:3" x14ac:dyDescent="0.3">
      <c r="A72" s="4"/>
      <c r="B72" s="2" t="s">
        <v>73</v>
      </c>
      <c r="C72" s="2">
        <v>24</v>
      </c>
    </row>
    <row r="73" spans="1:3" x14ac:dyDescent="0.3">
      <c r="A73" s="4"/>
      <c r="B73" s="2" t="s">
        <v>74</v>
      </c>
      <c r="C73" s="2">
        <v>7</v>
      </c>
    </row>
    <row r="74" spans="1:3" x14ac:dyDescent="0.3">
      <c r="A74" s="4"/>
      <c r="B74" s="2" t="s">
        <v>75</v>
      </c>
      <c r="C74" s="2">
        <v>3</v>
      </c>
    </row>
    <row r="75" spans="1:3" x14ac:dyDescent="0.3">
      <c r="A75" s="4"/>
      <c r="B75" s="2" t="s">
        <v>76</v>
      </c>
      <c r="C75" s="2">
        <v>4</v>
      </c>
    </row>
    <row r="76" spans="1:3" x14ac:dyDescent="0.3">
      <c r="A76" s="4"/>
      <c r="B76" s="2" t="s">
        <v>77</v>
      </c>
      <c r="C76" s="2">
        <v>4</v>
      </c>
    </row>
    <row r="77" spans="1:3" x14ac:dyDescent="0.3">
      <c r="A77" s="4"/>
      <c r="B77" s="2" t="s">
        <v>78</v>
      </c>
      <c r="C77" s="2">
        <v>17</v>
      </c>
    </row>
    <row r="78" spans="1:3" x14ac:dyDescent="0.3">
      <c r="A78" s="4"/>
      <c r="B78" s="2" t="s">
        <v>79</v>
      </c>
      <c r="C78" s="2">
        <v>8</v>
      </c>
    </row>
    <row r="79" spans="1:3" x14ac:dyDescent="0.3">
      <c r="A79" s="4"/>
      <c r="B79" s="2" t="s">
        <v>80</v>
      </c>
      <c r="C79" s="2">
        <v>509</v>
      </c>
    </row>
    <row r="80" spans="1:3" x14ac:dyDescent="0.3">
      <c r="A80" s="4"/>
      <c r="B80" s="2" t="s">
        <v>81</v>
      </c>
      <c r="C80" s="2">
        <v>52</v>
      </c>
    </row>
    <row r="81" spans="1:3" x14ac:dyDescent="0.3">
      <c r="A81" s="4"/>
      <c r="B81" s="2" t="s">
        <v>82</v>
      </c>
      <c r="C81" s="2">
        <v>1</v>
      </c>
    </row>
    <row r="82" spans="1:3" x14ac:dyDescent="0.3">
      <c r="A82" s="4"/>
      <c r="B82" s="2" t="s">
        <v>83</v>
      </c>
      <c r="C82" s="2">
        <v>23</v>
      </c>
    </row>
    <row r="83" spans="1:3" x14ac:dyDescent="0.3">
      <c r="A83" s="4"/>
      <c r="B83" s="2" t="s">
        <v>84</v>
      </c>
      <c r="C83" s="2">
        <v>9</v>
      </c>
    </row>
    <row r="84" spans="1:3" x14ac:dyDescent="0.3">
      <c r="A84" s="4"/>
      <c r="B84" s="2" t="s">
        <v>85</v>
      </c>
      <c r="C84" s="2">
        <v>0</v>
      </c>
    </row>
    <row r="85" spans="1:3" x14ac:dyDescent="0.3">
      <c r="A85" s="4"/>
      <c r="B85" s="2" t="s">
        <v>86</v>
      </c>
      <c r="C85" s="2">
        <v>12</v>
      </c>
    </row>
    <row r="86" spans="1:3" x14ac:dyDescent="0.3">
      <c r="A86" s="4"/>
      <c r="B86" s="2" t="s">
        <v>87</v>
      </c>
      <c r="C86" s="2">
        <v>71</v>
      </c>
    </row>
    <row r="87" spans="1:3" x14ac:dyDescent="0.3">
      <c r="A87" s="4"/>
      <c r="B87" s="2" t="s">
        <v>88</v>
      </c>
      <c r="C87" s="2">
        <v>0</v>
      </c>
    </row>
    <row r="88" spans="1:3" x14ac:dyDescent="0.3">
      <c r="A88" s="4"/>
      <c r="B88" s="2" t="s">
        <v>89</v>
      </c>
      <c r="C88" s="2">
        <v>6</v>
      </c>
    </row>
    <row r="89" spans="1:3" x14ac:dyDescent="0.3">
      <c r="A89" s="4"/>
      <c r="B89" s="2" t="s">
        <v>90</v>
      </c>
      <c r="C89" s="2">
        <v>40</v>
      </c>
    </row>
    <row r="90" spans="1:3" x14ac:dyDescent="0.3">
      <c r="A90" s="4"/>
      <c r="B90" s="2" t="s">
        <v>91</v>
      </c>
      <c r="C90" s="2">
        <v>228</v>
      </c>
    </row>
    <row r="91" spans="1:3" x14ac:dyDescent="0.3">
      <c r="A91" s="5"/>
      <c r="B91" s="2" t="s">
        <v>92</v>
      </c>
      <c r="C91" s="2">
        <v>480</v>
      </c>
    </row>
    <row r="92" spans="1:3" x14ac:dyDescent="0.3">
      <c r="A92" s="3" t="s">
        <v>93</v>
      </c>
      <c r="B92" s="2" t="s">
        <v>3</v>
      </c>
      <c r="C92" s="2">
        <v>37</v>
      </c>
    </row>
    <row r="93" spans="1:3" x14ac:dyDescent="0.3">
      <c r="A93" s="4"/>
      <c r="B93" s="2" t="s">
        <v>94</v>
      </c>
      <c r="C93" s="2">
        <v>1</v>
      </c>
    </row>
    <row r="94" spans="1:3" x14ac:dyDescent="0.3">
      <c r="A94" s="4"/>
      <c r="B94" s="2" t="s">
        <v>95</v>
      </c>
      <c r="C94" s="2">
        <v>1</v>
      </c>
    </row>
    <row r="95" spans="1:3" x14ac:dyDescent="0.3">
      <c r="A95" s="4"/>
      <c r="B95" s="2" t="s">
        <v>96</v>
      </c>
      <c r="C95" s="2">
        <v>0</v>
      </c>
    </row>
    <row r="96" spans="1:3" x14ac:dyDescent="0.3">
      <c r="A96" s="4"/>
      <c r="B96" s="2" t="s">
        <v>97</v>
      </c>
      <c r="C96" s="2">
        <v>0</v>
      </c>
    </row>
    <row r="97" spans="1:3" x14ac:dyDescent="0.3">
      <c r="A97" s="4"/>
      <c r="B97" s="2" t="s">
        <v>98</v>
      </c>
      <c r="C97" s="2">
        <v>0</v>
      </c>
    </row>
    <row r="98" spans="1:3" x14ac:dyDescent="0.3">
      <c r="A98" s="4"/>
      <c r="B98" s="2" t="s">
        <v>99</v>
      </c>
      <c r="C98" s="2">
        <v>0</v>
      </c>
    </row>
    <row r="99" spans="1:3" x14ac:dyDescent="0.3">
      <c r="A99" s="4"/>
      <c r="B99" s="2" t="s">
        <v>100</v>
      </c>
      <c r="C99" s="2">
        <v>1</v>
      </c>
    </row>
    <row r="100" spans="1:3" x14ac:dyDescent="0.3">
      <c r="A100" s="4"/>
      <c r="B100" s="2" t="s">
        <v>101</v>
      </c>
      <c r="C100" s="2">
        <v>0</v>
      </c>
    </row>
    <row r="101" spans="1:3" x14ac:dyDescent="0.3">
      <c r="A101" s="5"/>
      <c r="B101" s="2" t="s">
        <v>102</v>
      </c>
      <c r="C101" s="2">
        <v>34</v>
      </c>
    </row>
    <row r="102" spans="1:3" x14ac:dyDescent="0.3">
      <c r="A102" s="3" t="s">
        <v>103</v>
      </c>
      <c r="B102" s="2" t="s">
        <v>3</v>
      </c>
      <c r="C102" s="2">
        <v>534</v>
      </c>
    </row>
    <row r="103" spans="1:3" x14ac:dyDescent="0.3">
      <c r="A103" s="4"/>
      <c r="B103" s="2" t="s">
        <v>104</v>
      </c>
      <c r="C103" s="2">
        <v>51</v>
      </c>
    </row>
    <row r="104" spans="1:3" x14ac:dyDescent="0.3">
      <c r="A104" s="4"/>
      <c r="B104" s="2" t="s">
        <v>105</v>
      </c>
      <c r="C104" s="2">
        <v>4</v>
      </c>
    </row>
    <row r="105" spans="1:3" x14ac:dyDescent="0.3">
      <c r="A105" s="4"/>
      <c r="B105" s="2" t="s">
        <v>106</v>
      </c>
      <c r="C105" s="2">
        <v>2</v>
      </c>
    </row>
    <row r="106" spans="1:3" x14ac:dyDescent="0.3">
      <c r="A106" s="4"/>
      <c r="B106" s="2" t="s">
        <v>107</v>
      </c>
      <c r="C106" s="2">
        <v>194</v>
      </c>
    </row>
    <row r="107" spans="1:3" x14ac:dyDescent="0.3">
      <c r="A107" s="4"/>
      <c r="B107" s="2" t="s">
        <v>108</v>
      </c>
      <c r="C107" s="2">
        <v>0</v>
      </c>
    </row>
    <row r="108" spans="1:3" x14ac:dyDescent="0.3">
      <c r="A108" s="4"/>
      <c r="B108" s="2" t="s">
        <v>109</v>
      </c>
      <c r="C108" s="2">
        <v>32</v>
      </c>
    </row>
    <row r="109" spans="1:3" x14ac:dyDescent="0.3">
      <c r="A109" s="4"/>
      <c r="B109" s="2" t="s">
        <v>110</v>
      </c>
      <c r="C109" s="2">
        <v>17</v>
      </c>
    </row>
    <row r="110" spans="1:3" x14ac:dyDescent="0.3">
      <c r="A110" s="4"/>
      <c r="B110" s="2" t="s">
        <v>111</v>
      </c>
      <c r="C110" s="2">
        <v>6</v>
      </c>
    </row>
    <row r="111" spans="1:3" x14ac:dyDescent="0.3">
      <c r="A111" s="4"/>
      <c r="B111" s="2" t="s">
        <v>112</v>
      </c>
      <c r="C111" s="2">
        <v>39</v>
      </c>
    </row>
    <row r="112" spans="1:3" x14ac:dyDescent="0.3">
      <c r="A112" s="4"/>
      <c r="B112" s="2" t="s">
        <v>113</v>
      </c>
      <c r="C112" s="2">
        <v>4</v>
      </c>
    </row>
    <row r="113" spans="1:3" x14ac:dyDescent="0.3">
      <c r="A113" s="4"/>
      <c r="B113" s="2" t="s">
        <v>114</v>
      </c>
      <c r="C113" s="2">
        <v>2</v>
      </c>
    </row>
    <row r="114" spans="1:3" x14ac:dyDescent="0.3">
      <c r="A114" s="4"/>
      <c r="B114" s="2" t="s">
        <v>115</v>
      </c>
      <c r="C114" s="2">
        <v>32</v>
      </c>
    </row>
    <row r="115" spans="1:3" x14ac:dyDescent="0.3">
      <c r="A115" s="4"/>
      <c r="B115" s="2" t="s">
        <v>116</v>
      </c>
      <c r="C115" s="2">
        <v>4</v>
      </c>
    </row>
    <row r="116" spans="1:3" x14ac:dyDescent="0.3">
      <c r="A116" s="5"/>
      <c r="B116" s="2" t="s">
        <v>117</v>
      </c>
      <c r="C116" s="2">
        <v>147</v>
      </c>
    </row>
    <row r="117" spans="1:3" x14ac:dyDescent="0.3">
      <c r="A117" s="3" t="s">
        <v>118</v>
      </c>
      <c r="B117" s="2" t="s">
        <v>3</v>
      </c>
      <c r="C117" s="2">
        <v>80</v>
      </c>
    </row>
    <row r="118" spans="1:3" x14ac:dyDescent="0.3">
      <c r="A118" s="4"/>
      <c r="B118" s="2" t="s">
        <v>119</v>
      </c>
      <c r="C118" s="2">
        <v>0</v>
      </c>
    </row>
    <row r="119" spans="1:3" x14ac:dyDescent="0.3">
      <c r="A119" s="4"/>
      <c r="B119" s="2" t="s">
        <v>120</v>
      </c>
      <c r="C119" s="2">
        <v>4</v>
      </c>
    </row>
    <row r="120" spans="1:3" x14ac:dyDescent="0.3">
      <c r="A120" s="4"/>
      <c r="B120" s="2" t="s">
        <v>121</v>
      </c>
      <c r="C120" s="2">
        <v>2</v>
      </c>
    </row>
    <row r="121" spans="1:3" x14ac:dyDescent="0.3">
      <c r="A121" s="4"/>
      <c r="B121" s="2" t="s">
        <v>122</v>
      </c>
      <c r="C121" s="2">
        <v>11</v>
      </c>
    </row>
    <row r="122" spans="1:3" x14ac:dyDescent="0.3">
      <c r="A122" s="4"/>
      <c r="B122" s="2" t="s">
        <v>123</v>
      </c>
      <c r="C122" s="2">
        <v>35</v>
      </c>
    </row>
    <row r="123" spans="1:3" x14ac:dyDescent="0.3">
      <c r="A123" s="5"/>
      <c r="B123" s="2" t="s">
        <v>124</v>
      </c>
      <c r="C123" s="2">
        <v>28</v>
      </c>
    </row>
    <row r="124" spans="1:3" x14ac:dyDescent="0.3">
      <c r="A124" s="3" t="s">
        <v>125</v>
      </c>
      <c r="B124" s="2" t="s">
        <v>3</v>
      </c>
      <c r="C124" s="2">
        <v>25</v>
      </c>
    </row>
    <row r="125" spans="1:3" x14ac:dyDescent="0.3">
      <c r="A125" s="4"/>
      <c r="B125" s="2" t="s">
        <v>126</v>
      </c>
      <c r="C125" s="2">
        <v>0</v>
      </c>
    </row>
    <row r="126" spans="1:3" x14ac:dyDescent="0.3">
      <c r="A126" s="4"/>
      <c r="B126" s="2" t="s">
        <v>127</v>
      </c>
      <c r="C126" s="2">
        <v>1</v>
      </c>
    </row>
    <row r="127" spans="1:3" x14ac:dyDescent="0.3">
      <c r="A127" s="4"/>
      <c r="B127" s="2" t="s">
        <v>128</v>
      </c>
      <c r="C127" s="2">
        <v>5</v>
      </c>
    </row>
    <row r="128" spans="1:3" x14ac:dyDescent="0.3">
      <c r="A128" s="4"/>
      <c r="B128" s="2" t="s">
        <v>129</v>
      </c>
      <c r="C128" s="2">
        <v>0</v>
      </c>
    </row>
    <row r="129" spans="1:3" x14ac:dyDescent="0.3">
      <c r="A129" s="4"/>
      <c r="B129" s="2" t="s">
        <v>130</v>
      </c>
      <c r="C129" s="2">
        <v>0</v>
      </c>
    </row>
    <row r="130" spans="1:3" x14ac:dyDescent="0.3">
      <c r="A130" s="4"/>
      <c r="B130" s="2" t="s">
        <v>131</v>
      </c>
      <c r="C130" s="2">
        <v>2</v>
      </c>
    </row>
    <row r="131" spans="1:3" x14ac:dyDescent="0.3">
      <c r="A131" s="5"/>
      <c r="B131" s="2" t="s">
        <v>132</v>
      </c>
      <c r="C131" s="2">
        <v>17</v>
      </c>
    </row>
    <row r="132" spans="1:3" x14ac:dyDescent="0.3">
      <c r="A132" s="3" t="s">
        <v>133</v>
      </c>
      <c r="B132" s="2" t="s">
        <v>3</v>
      </c>
      <c r="C132" s="2">
        <v>1480</v>
      </c>
    </row>
    <row r="133" spans="1:3" x14ac:dyDescent="0.3">
      <c r="A133" s="4"/>
      <c r="B133" s="2" t="s">
        <v>134</v>
      </c>
      <c r="C133" s="2">
        <v>14</v>
      </c>
    </row>
    <row r="134" spans="1:3" x14ac:dyDescent="0.3">
      <c r="A134" s="4"/>
      <c r="B134" s="2" t="s">
        <v>135</v>
      </c>
      <c r="C134" s="2">
        <v>12</v>
      </c>
    </row>
    <row r="135" spans="1:3" x14ac:dyDescent="0.3">
      <c r="A135" s="4"/>
      <c r="B135" s="2" t="s">
        <v>136</v>
      </c>
      <c r="C135" s="2">
        <v>12</v>
      </c>
    </row>
    <row r="136" spans="1:3" x14ac:dyDescent="0.3">
      <c r="A136" s="4"/>
      <c r="B136" s="2" t="s">
        <v>137</v>
      </c>
      <c r="C136" s="2">
        <v>11</v>
      </c>
    </row>
    <row r="137" spans="1:3" x14ac:dyDescent="0.3">
      <c r="A137" s="4"/>
      <c r="B137" s="2" t="s">
        <v>138</v>
      </c>
      <c r="C137" s="2">
        <v>600</v>
      </c>
    </row>
    <row r="138" spans="1:3" x14ac:dyDescent="0.3">
      <c r="A138" s="4"/>
      <c r="B138" s="2" t="s">
        <v>139</v>
      </c>
      <c r="C138" s="2">
        <v>113</v>
      </c>
    </row>
    <row r="139" spans="1:3" x14ac:dyDescent="0.3">
      <c r="A139" s="4"/>
      <c r="B139" s="2" t="s">
        <v>140</v>
      </c>
      <c r="C139" s="2">
        <v>22</v>
      </c>
    </row>
    <row r="140" spans="1:3" x14ac:dyDescent="0.3">
      <c r="A140" s="4"/>
      <c r="B140" s="2" t="s">
        <v>141</v>
      </c>
      <c r="C140" s="2">
        <v>52</v>
      </c>
    </row>
    <row r="141" spans="1:3" x14ac:dyDescent="0.3">
      <c r="A141" s="4"/>
      <c r="B141" s="2" t="s">
        <v>142</v>
      </c>
      <c r="C141" s="2">
        <v>9</v>
      </c>
    </row>
    <row r="142" spans="1:3" x14ac:dyDescent="0.3">
      <c r="A142" s="4"/>
      <c r="B142" s="2" t="s">
        <v>143</v>
      </c>
      <c r="C142" s="2">
        <v>6</v>
      </c>
    </row>
    <row r="143" spans="1:3" x14ac:dyDescent="0.3">
      <c r="A143" s="4"/>
      <c r="B143" s="2" t="s">
        <v>144</v>
      </c>
      <c r="C143" s="2">
        <v>15</v>
      </c>
    </row>
    <row r="144" spans="1:3" x14ac:dyDescent="0.3">
      <c r="A144" s="4"/>
      <c r="B144" s="2" t="s">
        <v>145</v>
      </c>
      <c r="C144" s="2">
        <v>1</v>
      </c>
    </row>
    <row r="145" spans="1:3" x14ac:dyDescent="0.3">
      <c r="A145" s="4"/>
      <c r="B145" s="2" t="s">
        <v>146</v>
      </c>
      <c r="C145" s="2">
        <v>5</v>
      </c>
    </row>
    <row r="146" spans="1:3" x14ac:dyDescent="0.3">
      <c r="A146" s="4"/>
      <c r="B146" s="2" t="s">
        <v>147</v>
      </c>
      <c r="C146" s="2">
        <v>73</v>
      </c>
    </row>
    <row r="147" spans="1:3" x14ac:dyDescent="0.3">
      <c r="A147" s="4"/>
      <c r="B147" s="2" t="s">
        <v>148</v>
      </c>
      <c r="C147" s="2">
        <v>200</v>
      </c>
    </row>
    <row r="148" spans="1:3" x14ac:dyDescent="0.3">
      <c r="A148" s="4"/>
      <c r="B148" s="2" t="s">
        <v>149</v>
      </c>
      <c r="C148" s="2">
        <v>0</v>
      </c>
    </row>
    <row r="149" spans="1:3" x14ac:dyDescent="0.3">
      <c r="A149" s="4"/>
      <c r="B149" s="2" t="s">
        <v>150</v>
      </c>
      <c r="C149" s="2">
        <v>22</v>
      </c>
    </row>
    <row r="150" spans="1:3" x14ac:dyDescent="0.3">
      <c r="A150" s="4"/>
      <c r="B150" s="2" t="s">
        <v>151</v>
      </c>
      <c r="C150" s="2">
        <v>35</v>
      </c>
    </row>
    <row r="151" spans="1:3" x14ac:dyDescent="0.3">
      <c r="A151" s="4"/>
      <c r="B151" s="2" t="s">
        <v>152</v>
      </c>
      <c r="C151" s="2">
        <v>22</v>
      </c>
    </row>
    <row r="152" spans="1:3" x14ac:dyDescent="0.3">
      <c r="A152" s="4"/>
      <c r="B152" s="2" t="s">
        <v>153</v>
      </c>
      <c r="C152" s="2">
        <v>69</v>
      </c>
    </row>
    <row r="153" spans="1:3" x14ac:dyDescent="0.3">
      <c r="A153" s="5"/>
      <c r="B153" s="2" t="s">
        <v>154</v>
      </c>
      <c r="C153" s="2">
        <v>187</v>
      </c>
    </row>
    <row r="154" spans="1:3" x14ac:dyDescent="0.3">
      <c r="A154" s="3" t="s">
        <v>155</v>
      </c>
      <c r="B154" s="2" t="s">
        <v>3</v>
      </c>
      <c r="C154" s="2">
        <v>552</v>
      </c>
    </row>
    <row r="155" spans="1:3" x14ac:dyDescent="0.3">
      <c r="A155" s="4"/>
      <c r="B155" s="2" t="s">
        <v>156</v>
      </c>
      <c r="C155" s="2">
        <v>103</v>
      </c>
    </row>
    <row r="156" spans="1:3" x14ac:dyDescent="0.3">
      <c r="A156" s="4"/>
      <c r="B156" s="2" t="s">
        <v>157</v>
      </c>
      <c r="C156" s="2">
        <v>10</v>
      </c>
    </row>
    <row r="157" spans="1:3" x14ac:dyDescent="0.3">
      <c r="A157" s="4"/>
      <c r="B157" s="2" t="s">
        <v>158</v>
      </c>
      <c r="C157" s="2">
        <v>68</v>
      </c>
    </row>
    <row r="158" spans="1:3" x14ac:dyDescent="0.3">
      <c r="A158" s="4"/>
      <c r="B158" s="2" t="s">
        <v>159</v>
      </c>
      <c r="C158" s="2">
        <v>33</v>
      </c>
    </row>
    <row r="159" spans="1:3" x14ac:dyDescent="0.3">
      <c r="A159" s="4"/>
      <c r="B159" s="2" t="s">
        <v>160</v>
      </c>
      <c r="C159" s="2">
        <v>4</v>
      </c>
    </row>
    <row r="160" spans="1:3" x14ac:dyDescent="0.3">
      <c r="A160" s="4"/>
      <c r="B160" s="2" t="s">
        <v>161</v>
      </c>
      <c r="C160" s="2">
        <v>0</v>
      </c>
    </row>
    <row r="161" spans="1:3" x14ac:dyDescent="0.3">
      <c r="A161" s="4"/>
      <c r="B161" s="2" t="s">
        <v>162</v>
      </c>
      <c r="C161" s="2">
        <v>17</v>
      </c>
    </row>
    <row r="162" spans="1:3" x14ac:dyDescent="0.3">
      <c r="A162" s="4"/>
      <c r="B162" s="2" t="s">
        <v>163</v>
      </c>
      <c r="C162" s="2">
        <v>2</v>
      </c>
    </row>
    <row r="163" spans="1:3" x14ac:dyDescent="0.3">
      <c r="A163" s="4"/>
      <c r="B163" s="2" t="s">
        <v>164</v>
      </c>
      <c r="C163" s="2">
        <v>28</v>
      </c>
    </row>
    <row r="164" spans="1:3" x14ac:dyDescent="0.3">
      <c r="A164" s="4"/>
      <c r="B164" s="2" t="s">
        <v>165</v>
      </c>
      <c r="C164" s="2">
        <v>145</v>
      </c>
    </row>
    <row r="165" spans="1:3" x14ac:dyDescent="0.3">
      <c r="A165" s="5"/>
      <c r="B165" s="2" t="s">
        <v>166</v>
      </c>
      <c r="C165" s="2">
        <v>142</v>
      </c>
    </row>
    <row r="166" spans="1:3" x14ac:dyDescent="0.3">
      <c r="A166" s="3" t="s">
        <v>167</v>
      </c>
      <c r="B166" s="2" t="s">
        <v>3</v>
      </c>
      <c r="C166" s="2">
        <v>3113</v>
      </c>
    </row>
    <row r="167" spans="1:3" x14ac:dyDescent="0.3">
      <c r="A167" s="4"/>
      <c r="B167" s="2" t="s">
        <v>168</v>
      </c>
      <c r="C167" s="2">
        <v>1337</v>
      </c>
    </row>
    <row r="168" spans="1:3" x14ac:dyDescent="0.3">
      <c r="A168" s="4"/>
      <c r="B168" s="2" t="s">
        <v>169</v>
      </c>
      <c r="C168" s="2">
        <v>0</v>
      </c>
    </row>
    <row r="169" spans="1:3" x14ac:dyDescent="0.3">
      <c r="A169" s="4"/>
      <c r="B169" s="2" t="s">
        <v>170</v>
      </c>
      <c r="C169" s="2">
        <v>18</v>
      </c>
    </row>
    <row r="170" spans="1:3" x14ac:dyDescent="0.3">
      <c r="A170" s="4"/>
      <c r="B170" s="2" t="s">
        <v>171</v>
      </c>
      <c r="C170" s="2">
        <v>24</v>
      </c>
    </row>
    <row r="171" spans="1:3" x14ac:dyDescent="0.3">
      <c r="A171" s="4"/>
      <c r="B171" s="2" t="s">
        <v>172</v>
      </c>
      <c r="C171" s="2">
        <v>354</v>
      </c>
    </row>
    <row r="172" spans="1:3" x14ac:dyDescent="0.3">
      <c r="A172" s="4"/>
      <c r="B172" s="2" t="s">
        <v>173</v>
      </c>
      <c r="C172" s="2">
        <v>45</v>
      </c>
    </row>
    <row r="173" spans="1:3" x14ac:dyDescent="0.3">
      <c r="A173" s="4"/>
      <c r="B173" s="2" t="s">
        <v>174</v>
      </c>
      <c r="C173" s="2">
        <v>210</v>
      </c>
    </row>
    <row r="174" spans="1:3" x14ac:dyDescent="0.3">
      <c r="A174" s="4"/>
      <c r="B174" s="2" t="s">
        <v>175</v>
      </c>
      <c r="C174" s="2">
        <v>13</v>
      </c>
    </row>
    <row r="175" spans="1:3" x14ac:dyDescent="0.3">
      <c r="A175" s="4"/>
      <c r="B175" s="2" t="s">
        <v>176</v>
      </c>
      <c r="C175" s="2">
        <v>4</v>
      </c>
    </row>
    <row r="176" spans="1:3" x14ac:dyDescent="0.3">
      <c r="A176" s="4"/>
      <c r="B176" s="2" t="s">
        <v>177</v>
      </c>
      <c r="C176" s="2">
        <v>107</v>
      </c>
    </row>
    <row r="177" spans="1:3" x14ac:dyDescent="0.3">
      <c r="A177" s="4"/>
      <c r="B177" s="2" t="s">
        <v>178</v>
      </c>
      <c r="C177" s="2">
        <v>42</v>
      </c>
    </row>
    <row r="178" spans="1:3" x14ac:dyDescent="0.3">
      <c r="A178" s="4"/>
      <c r="B178" s="2" t="s">
        <v>179</v>
      </c>
      <c r="C178" s="2">
        <v>2</v>
      </c>
    </row>
    <row r="179" spans="1:3" x14ac:dyDescent="0.3">
      <c r="A179" s="4"/>
      <c r="B179" s="2" t="s">
        <v>180</v>
      </c>
      <c r="C179" s="2">
        <v>314</v>
      </c>
    </row>
    <row r="180" spans="1:3" x14ac:dyDescent="0.3">
      <c r="A180" s="4"/>
      <c r="B180" s="2" t="s">
        <v>181</v>
      </c>
      <c r="C180" s="2">
        <v>19</v>
      </c>
    </row>
    <row r="181" spans="1:3" x14ac:dyDescent="0.3">
      <c r="A181" s="4"/>
      <c r="B181" s="2" t="s">
        <v>182</v>
      </c>
      <c r="C181" s="2">
        <v>24</v>
      </c>
    </row>
    <row r="182" spans="1:3" x14ac:dyDescent="0.3">
      <c r="A182" s="4"/>
      <c r="B182" s="2" t="s">
        <v>183</v>
      </c>
      <c r="C182" s="2">
        <v>58</v>
      </c>
    </row>
    <row r="183" spans="1:3" x14ac:dyDescent="0.3">
      <c r="A183" s="4"/>
      <c r="B183" s="2" t="s">
        <v>184</v>
      </c>
      <c r="C183" s="2">
        <v>21</v>
      </c>
    </row>
    <row r="184" spans="1:3" x14ac:dyDescent="0.3">
      <c r="A184" s="4"/>
      <c r="B184" s="2" t="s">
        <v>185</v>
      </c>
      <c r="C184" s="2">
        <v>20</v>
      </c>
    </row>
    <row r="185" spans="1:3" x14ac:dyDescent="0.3">
      <c r="A185" s="4"/>
      <c r="B185" s="2" t="s">
        <v>186</v>
      </c>
      <c r="C185" s="2">
        <v>7</v>
      </c>
    </row>
    <row r="186" spans="1:3" x14ac:dyDescent="0.3">
      <c r="A186" s="4"/>
      <c r="B186" s="2" t="s">
        <v>187</v>
      </c>
      <c r="C186" s="2">
        <v>171</v>
      </c>
    </row>
    <row r="187" spans="1:3" x14ac:dyDescent="0.3">
      <c r="A187" s="5"/>
      <c r="B187" s="2" t="s">
        <v>188</v>
      </c>
      <c r="C187" s="2">
        <v>323</v>
      </c>
    </row>
    <row r="188" spans="1:3" x14ac:dyDescent="0.3">
      <c r="A188" s="3" t="s">
        <v>189</v>
      </c>
      <c r="B188" s="2" t="s">
        <v>3</v>
      </c>
      <c r="C188" s="2">
        <v>2484</v>
      </c>
    </row>
    <row r="189" spans="1:3" x14ac:dyDescent="0.3">
      <c r="A189" s="4"/>
      <c r="B189" s="2" t="s">
        <v>190</v>
      </c>
      <c r="C189" s="2">
        <v>1</v>
      </c>
    </row>
    <row r="190" spans="1:3" x14ac:dyDescent="0.3">
      <c r="A190" s="4"/>
      <c r="B190" s="2" t="s">
        <v>191</v>
      </c>
      <c r="C190" s="2">
        <v>39</v>
      </c>
    </row>
    <row r="191" spans="1:3" x14ac:dyDescent="0.3">
      <c r="A191" s="4"/>
      <c r="B191" s="2" t="s">
        <v>192</v>
      </c>
      <c r="C191" s="2">
        <v>5</v>
      </c>
    </row>
    <row r="192" spans="1:3" x14ac:dyDescent="0.3">
      <c r="A192" s="4"/>
      <c r="B192" s="2" t="s">
        <v>193</v>
      </c>
      <c r="C192" s="2">
        <v>16</v>
      </c>
    </row>
    <row r="193" spans="1:3" x14ac:dyDescent="0.3">
      <c r="A193" s="4"/>
      <c r="B193" s="2" t="s">
        <v>194</v>
      </c>
      <c r="C193" s="2">
        <v>32</v>
      </c>
    </row>
    <row r="194" spans="1:3" x14ac:dyDescent="0.3">
      <c r="A194" s="4"/>
      <c r="B194" s="2" t="s">
        <v>195</v>
      </c>
      <c r="C194" s="2">
        <v>77</v>
      </c>
    </row>
    <row r="195" spans="1:3" x14ac:dyDescent="0.3">
      <c r="A195" s="4"/>
      <c r="B195" s="2" t="s">
        <v>196</v>
      </c>
      <c r="C195" s="2">
        <v>118</v>
      </c>
    </row>
    <row r="196" spans="1:3" x14ac:dyDescent="0.3">
      <c r="A196" s="4"/>
      <c r="B196" s="2" t="s">
        <v>197</v>
      </c>
      <c r="C196" s="2">
        <v>471</v>
      </c>
    </row>
    <row r="197" spans="1:3" x14ac:dyDescent="0.3">
      <c r="A197" s="4"/>
      <c r="B197" s="2" t="s">
        <v>198</v>
      </c>
      <c r="C197" s="2">
        <v>6</v>
      </c>
    </row>
    <row r="198" spans="1:3" x14ac:dyDescent="0.3">
      <c r="A198" s="4"/>
      <c r="B198" s="2" t="s">
        <v>199</v>
      </c>
      <c r="C198" s="2">
        <v>195</v>
      </c>
    </row>
    <row r="199" spans="1:3" x14ac:dyDescent="0.3">
      <c r="A199" s="4"/>
      <c r="B199" s="2" t="s">
        <v>200</v>
      </c>
      <c r="C199" s="2">
        <v>245</v>
      </c>
    </row>
    <row r="200" spans="1:3" x14ac:dyDescent="0.3">
      <c r="A200" s="4"/>
      <c r="B200" s="2" t="s">
        <v>201</v>
      </c>
      <c r="C200" s="2">
        <v>18</v>
      </c>
    </row>
    <row r="201" spans="1:3" x14ac:dyDescent="0.3">
      <c r="A201" s="4"/>
      <c r="B201" s="2" t="s">
        <v>202</v>
      </c>
      <c r="C201" s="2">
        <v>444</v>
      </c>
    </row>
    <row r="202" spans="1:3" x14ac:dyDescent="0.3">
      <c r="A202" s="4"/>
      <c r="B202" s="2" t="s">
        <v>203</v>
      </c>
      <c r="C202" s="2">
        <v>20</v>
      </c>
    </row>
    <row r="203" spans="1:3" x14ac:dyDescent="0.3">
      <c r="A203" s="4"/>
      <c r="B203" s="2" t="s">
        <v>204</v>
      </c>
      <c r="C203" s="2">
        <v>19</v>
      </c>
    </row>
    <row r="204" spans="1:3" x14ac:dyDescent="0.3">
      <c r="A204" s="4"/>
      <c r="B204" s="2" t="s">
        <v>205</v>
      </c>
      <c r="C204" s="2">
        <v>39</v>
      </c>
    </row>
    <row r="205" spans="1:3" x14ac:dyDescent="0.3">
      <c r="A205" s="4"/>
      <c r="B205" s="2" t="s">
        <v>206</v>
      </c>
      <c r="C205" s="2">
        <v>4</v>
      </c>
    </row>
    <row r="206" spans="1:3" x14ac:dyDescent="0.3">
      <c r="A206" s="4"/>
      <c r="B206" s="2" t="s">
        <v>207</v>
      </c>
      <c r="C206" s="2">
        <v>1</v>
      </c>
    </row>
    <row r="207" spans="1:3" x14ac:dyDescent="0.3">
      <c r="A207" s="4"/>
      <c r="B207" s="2" t="s">
        <v>208</v>
      </c>
      <c r="C207" s="2">
        <v>7</v>
      </c>
    </row>
    <row r="208" spans="1:3" x14ac:dyDescent="0.3">
      <c r="A208" s="4"/>
      <c r="B208" s="2" t="s">
        <v>209</v>
      </c>
      <c r="C208" s="2">
        <v>13</v>
      </c>
    </row>
    <row r="209" spans="1:3" x14ac:dyDescent="0.3">
      <c r="A209" s="4"/>
      <c r="B209" s="2" t="s">
        <v>210</v>
      </c>
      <c r="C209" s="2">
        <v>38</v>
      </c>
    </row>
    <row r="210" spans="1:3" x14ac:dyDescent="0.3">
      <c r="A210" s="4"/>
      <c r="B210" s="2" t="s">
        <v>211</v>
      </c>
      <c r="C210" s="2">
        <v>26</v>
      </c>
    </row>
    <row r="211" spans="1:3" x14ac:dyDescent="0.3">
      <c r="A211" s="4"/>
      <c r="B211" s="2" t="s">
        <v>212</v>
      </c>
      <c r="C211" s="2">
        <v>15</v>
      </c>
    </row>
    <row r="212" spans="1:3" x14ac:dyDescent="0.3">
      <c r="A212" s="4"/>
      <c r="B212" s="2" t="s">
        <v>213</v>
      </c>
      <c r="C212" s="2">
        <v>10</v>
      </c>
    </row>
    <row r="213" spans="1:3" x14ac:dyDescent="0.3">
      <c r="A213" s="5"/>
      <c r="B213" s="2" t="s">
        <v>214</v>
      </c>
      <c r="C213" s="2">
        <v>625</v>
      </c>
    </row>
    <row r="214" spans="1:3" x14ac:dyDescent="0.3">
      <c r="A214" s="3" t="s">
        <v>215</v>
      </c>
      <c r="B214" s="2" t="s">
        <v>3</v>
      </c>
      <c r="C214" s="2">
        <v>530</v>
      </c>
    </row>
    <row r="215" spans="1:3" x14ac:dyDescent="0.3">
      <c r="A215" s="5"/>
      <c r="B215" s="2" t="s">
        <v>215</v>
      </c>
      <c r="C215" s="2">
        <v>530</v>
      </c>
    </row>
    <row r="216" spans="1:3" x14ac:dyDescent="0.3">
      <c r="A216" s="3" t="s">
        <v>216</v>
      </c>
      <c r="B216" s="2" t="s">
        <v>3</v>
      </c>
      <c r="C216" s="2">
        <v>1125</v>
      </c>
    </row>
    <row r="217" spans="1:3" x14ac:dyDescent="0.3">
      <c r="A217" s="5"/>
      <c r="B217" s="2" t="s">
        <v>216</v>
      </c>
      <c r="C217" s="2">
        <v>1125</v>
      </c>
    </row>
  </sheetData>
  <autoFilter ref="A1:C1"/>
  <phoneticPr fontId="2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Views>
    <sheetView showGridLines="0" workbookViewId="0">
      <selection activeCell="E216" sqref="E216"/>
    </sheetView>
  </sheetViews>
  <sheetFormatPr defaultRowHeight="16.5" x14ac:dyDescent="0.3"/>
  <cols>
    <col min="1" max="1" width="12.125" bestFit="1" customWidth="1"/>
    <col min="2" max="2" width="21.75" bestFit="1" customWidth="1"/>
    <col min="3" max="3" width="8" bestFit="1" customWidth="1"/>
  </cols>
  <sheetData>
    <row r="1" spans="1:4" x14ac:dyDescent="0.3">
      <c r="A1" s="6" t="s">
        <v>0</v>
      </c>
      <c r="B1" s="7" t="s">
        <v>217</v>
      </c>
      <c r="C1" s="1" t="s">
        <v>1</v>
      </c>
      <c r="D1" s="2">
        <v>17328</v>
      </c>
    </row>
    <row r="2" spans="1:4" x14ac:dyDescent="0.3">
      <c r="A2" s="3" t="s">
        <v>2</v>
      </c>
      <c r="B2" s="2" t="s">
        <v>3</v>
      </c>
      <c r="C2" s="2">
        <v>2330</v>
      </c>
    </row>
    <row r="3" spans="1:4" x14ac:dyDescent="0.3">
      <c r="A3" s="4"/>
      <c r="B3" s="2" t="s">
        <v>4</v>
      </c>
      <c r="C3" s="2">
        <v>35</v>
      </c>
    </row>
    <row r="4" spans="1:4" x14ac:dyDescent="0.3">
      <c r="A4" s="4"/>
      <c r="B4" s="2" t="s">
        <v>5</v>
      </c>
      <c r="C4" s="2">
        <v>1</v>
      </c>
    </row>
    <row r="5" spans="1:4" x14ac:dyDescent="0.3">
      <c r="A5" s="4"/>
      <c r="B5" s="2" t="s">
        <v>6</v>
      </c>
      <c r="C5" s="2">
        <v>164</v>
      </c>
    </row>
    <row r="6" spans="1:4" x14ac:dyDescent="0.3">
      <c r="A6" s="4"/>
      <c r="B6" s="2" t="s">
        <v>7</v>
      </c>
      <c r="C6" s="2">
        <v>4</v>
      </c>
    </row>
    <row r="7" spans="1:4" x14ac:dyDescent="0.3">
      <c r="A7" s="4"/>
      <c r="B7" s="2" t="s">
        <v>8</v>
      </c>
      <c r="C7" s="2">
        <v>161</v>
      </c>
    </row>
    <row r="8" spans="1:4" x14ac:dyDescent="0.3">
      <c r="A8" s="4"/>
      <c r="B8" s="2" t="s">
        <v>9</v>
      </c>
      <c r="C8" s="2">
        <v>1</v>
      </c>
    </row>
    <row r="9" spans="1:4" x14ac:dyDescent="0.3">
      <c r="A9" s="4"/>
      <c r="B9" s="2" t="s">
        <v>10</v>
      </c>
      <c r="C9" s="2">
        <v>92</v>
      </c>
    </row>
    <row r="10" spans="1:4" x14ac:dyDescent="0.3">
      <c r="A10" s="4"/>
      <c r="B10" s="2" t="s">
        <v>11</v>
      </c>
      <c r="C10" s="2">
        <v>37</v>
      </c>
    </row>
    <row r="11" spans="1:4" x14ac:dyDescent="0.3">
      <c r="A11" s="4"/>
      <c r="B11" s="2" t="s">
        <v>12</v>
      </c>
      <c r="C11" s="2">
        <v>120</v>
      </c>
    </row>
    <row r="12" spans="1:4" x14ac:dyDescent="0.3">
      <c r="A12" s="4"/>
      <c r="B12" s="2" t="s">
        <v>13</v>
      </c>
      <c r="C12" s="2">
        <v>223</v>
      </c>
    </row>
    <row r="13" spans="1:4" x14ac:dyDescent="0.3">
      <c r="A13" s="4"/>
      <c r="B13" s="2" t="s">
        <v>14</v>
      </c>
      <c r="C13" s="2">
        <v>22</v>
      </c>
    </row>
    <row r="14" spans="1:4" x14ac:dyDescent="0.3">
      <c r="A14" s="4"/>
      <c r="B14" s="2" t="s">
        <v>15</v>
      </c>
      <c r="C14" s="2">
        <v>269</v>
      </c>
    </row>
    <row r="15" spans="1:4" x14ac:dyDescent="0.3">
      <c r="A15" s="4"/>
      <c r="B15" s="2" t="s">
        <v>16</v>
      </c>
      <c r="C15" s="2">
        <v>251</v>
      </c>
    </row>
    <row r="16" spans="1:4" x14ac:dyDescent="0.3">
      <c r="A16" s="4"/>
      <c r="B16" s="2" t="s">
        <v>17</v>
      </c>
      <c r="C16" s="2">
        <v>58</v>
      </c>
    </row>
    <row r="17" spans="1:3" x14ac:dyDescent="0.3">
      <c r="A17" s="4"/>
      <c r="B17" s="2" t="s">
        <v>18</v>
      </c>
      <c r="C17" s="2">
        <v>231</v>
      </c>
    </row>
    <row r="18" spans="1:3" x14ac:dyDescent="0.3">
      <c r="A18" s="4"/>
      <c r="B18" s="2" t="s">
        <v>19</v>
      </c>
      <c r="C18" s="2">
        <v>14</v>
      </c>
    </row>
    <row r="19" spans="1:3" x14ac:dyDescent="0.3">
      <c r="A19" s="4"/>
      <c r="B19" s="2" t="s">
        <v>20</v>
      </c>
      <c r="C19" s="2">
        <v>286</v>
      </c>
    </row>
    <row r="20" spans="1:3" x14ac:dyDescent="0.3">
      <c r="A20" s="4"/>
      <c r="B20" s="2" t="s">
        <v>21</v>
      </c>
      <c r="C20" s="2">
        <v>159</v>
      </c>
    </row>
    <row r="21" spans="1:3" x14ac:dyDescent="0.3">
      <c r="A21" s="5"/>
      <c r="B21" s="2" t="s">
        <v>22</v>
      </c>
      <c r="C21" s="2">
        <v>202</v>
      </c>
    </row>
    <row r="22" spans="1:3" x14ac:dyDescent="0.3">
      <c r="A22" s="3" t="s">
        <v>23</v>
      </c>
      <c r="B22" s="2" t="s">
        <v>3</v>
      </c>
      <c r="C22" s="2">
        <v>248</v>
      </c>
    </row>
    <row r="23" spans="1:3" x14ac:dyDescent="0.3">
      <c r="A23" s="4"/>
      <c r="B23" s="2" t="s">
        <v>24</v>
      </c>
      <c r="C23" s="2">
        <v>0</v>
      </c>
    </row>
    <row r="24" spans="1:3" x14ac:dyDescent="0.3">
      <c r="A24" s="4"/>
      <c r="B24" s="2" t="s">
        <v>25</v>
      </c>
      <c r="C24" s="2">
        <v>2</v>
      </c>
    </row>
    <row r="25" spans="1:3" x14ac:dyDescent="0.3">
      <c r="A25" s="4"/>
      <c r="B25" s="2" t="s">
        <v>26</v>
      </c>
      <c r="C25" s="2">
        <v>15</v>
      </c>
    </row>
    <row r="26" spans="1:3" x14ac:dyDescent="0.3">
      <c r="A26" s="4"/>
      <c r="B26" s="2" t="s">
        <v>27</v>
      </c>
      <c r="C26" s="2">
        <v>20</v>
      </c>
    </row>
    <row r="27" spans="1:3" x14ac:dyDescent="0.3">
      <c r="A27" s="4"/>
      <c r="B27" s="2" t="s">
        <v>28</v>
      </c>
      <c r="C27" s="2">
        <v>6</v>
      </c>
    </row>
    <row r="28" spans="1:3" x14ac:dyDescent="0.3">
      <c r="A28" s="5"/>
      <c r="B28" s="2" t="s">
        <v>29</v>
      </c>
      <c r="C28" s="2">
        <v>205</v>
      </c>
    </row>
    <row r="29" spans="1:3" x14ac:dyDescent="0.3">
      <c r="A29" s="3" t="s">
        <v>30</v>
      </c>
      <c r="B29" s="2" t="s">
        <v>3</v>
      </c>
      <c r="C29" s="2">
        <v>0</v>
      </c>
    </row>
    <row r="30" spans="1:3" x14ac:dyDescent="0.3">
      <c r="A30" s="4"/>
      <c r="B30" s="2" t="s">
        <v>31</v>
      </c>
      <c r="C30" s="2">
        <v>0</v>
      </c>
    </row>
    <row r="31" spans="1:3" x14ac:dyDescent="0.3">
      <c r="A31" s="4"/>
      <c r="B31" s="2" t="s">
        <v>32</v>
      </c>
      <c r="C31" s="2">
        <v>0</v>
      </c>
    </row>
    <row r="32" spans="1:3" x14ac:dyDescent="0.3">
      <c r="A32" s="4"/>
      <c r="B32" s="2" t="s">
        <v>33</v>
      </c>
      <c r="C32" s="2">
        <v>0</v>
      </c>
    </row>
    <row r="33" spans="1:3" x14ac:dyDescent="0.3">
      <c r="A33" s="4"/>
      <c r="B33" s="2" t="s">
        <v>34</v>
      </c>
      <c r="C33" s="2">
        <v>0</v>
      </c>
    </row>
    <row r="34" spans="1:3" x14ac:dyDescent="0.3">
      <c r="A34" s="4"/>
      <c r="B34" s="2" t="s">
        <v>35</v>
      </c>
      <c r="C34" s="2">
        <v>0</v>
      </c>
    </row>
    <row r="35" spans="1:3" x14ac:dyDescent="0.3">
      <c r="A35" s="4"/>
      <c r="B35" s="2" t="s">
        <v>36</v>
      </c>
      <c r="C35" s="2">
        <v>0</v>
      </c>
    </row>
    <row r="36" spans="1:3" x14ac:dyDescent="0.3">
      <c r="A36" s="4"/>
      <c r="B36" s="2" t="s">
        <v>37</v>
      </c>
      <c r="C36" s="2">
        <v>0</v>
      </c>
    </row>
    <row r="37" spans="1:3" x14ac:dyDescent="0.3">
      <c r="A37" s="4"/>
      <c r="B37" s="2" t="s">
        <v>38</v>
      </c>
      <c r="C37" s="2">
        <v>0</v>
      </c>
    </row>
    <row r="38" spans="1:3" x14ac:dyDescent="0.3">
      <c r="A38" s="4"/>
      <c r="B38" s="2" t="s">
        <v>39</v>
      </c>
      <c r="C38" s="2">
        <v>0</v>
      </c>
    </row>
    <row r="39" spans="1:3" x14ac:dyDescent="0.3">
      <c r="A39" s="4"/>
      <c r="B39" s="2" t="s">
        <v>40</v>
      </c>
      <c r="C39" s="2">
        <v>0</v>
      </c>
    </row>
    <row r="40" spans="1:3" x14ac:dyDescent="0.3">
      <c r="A40" s="5"/>
      <c r="B40" s="2" t="s">
        <v>41</v>
      </c>
      <c r="C40" s="2">
        <v>0</v>
      </c>
    </row>
    <row r="41" spans="1:3" x14ac:dyDescent="0.3">
      <c r="A41" s="3" t="s">
        <v>42</v>
      </c>
      <c r="B41" s="2" t="s">
        <v>3</v>
      </c>
      <c r="C41" s="2">
        <v>2378</v>
      </c>
    </row>
    <row r="42" spans="1:3" x14ac:dyDescent="0.3">
      <c r="A42" s="4"/>
      <c r="B42" s="2" t="s">
        <v>43</v>
      </c>
      <c r="C42" s="2">
        <v>5</v>
      </c>
    </row>
    <row r="43" spans="1:3" x14ac:dyDescent="0.3">
      <c r="A43" s="4"/>
      <c r="B43" s="2" t="s">
        <v>44</v>
      </c>
      <c r="C43" s="2">
        <v>192</v>
      </c>
    </row>
    <row r="44" spans="1:3" x14ac:dyDescent="0.3">
      <c r="A44" s="4"/>
      <c r="B44" s="2" t="s">
        <v>45</v>
      </c>
      <c r="C44" s="2">
        <v>209</v>
      </c>
    </row>
    <row r="45" spans="1:3" x14ac:dyDescent="0.3">
      <c r="A45" s="4"/>
      <c r="B45" s="2" t="s">
        <v>46</v>
      </c>
      <c r="C45" s="2">
        <v>512</v>
      </c>
    </row>
    <row r="46" spans="1:3" x14ac:dyDescent="0.3">
      <c r="A46" s="4"/>
      <c r="B46" s="2" t="s">
        <v>47</v>
      </c>
      <c r="C46" s="2">
        <v>479</v>
      </c>
    </row>
    <row r="47" spans="1:3" x14ac:dyDescent="0.3">
      <c r="A47" s="4"/>
      <c r="B47" s="2" t="s">
        <v>48</v>
      </c>
      <c r="C47" s="2">
        <v>253</v>
      </c>
    </row>
    <row r="48" spans="1:3" x14ac:dyDescent="0.3">
      <c r="A48" s="4"/>
      <c r="B48" s="2" t="s">
        <v>49</v>
      </c>
      <c r="C48" s="2">
        <v>401</v>
      </c>
    </row>
    <row r="49" spans="1:3" x14ac:dyDescent="0.3">
      <c r="A49" s="4"/>
      <c r="B49" s="2" t="s">
        <v>50</v>
      </c>
      <c r="C49" s="2">
        <v>27</v>
      </c>
    </row>
    <row r="50" spans="1:3" x14ac:dyDescent="0.3">
      <c r="A50" s="5"/>
      <c r="B50" s="2" t="s">
        <v>51</v>
      </c>
      <c r="C50" s="2">
        <v>300</v>
      </c>
    </row>
    <row r="51" spans="1:3" x14ac:dyDescent="0.3">
      <c r="A51" s="3" t="s">
        <v>52</v>
      </c>
      <c r="B51" s="2" t="s">
        <v>3</v>
      </c>
      <c r="C51" s="2">
        <v>36</v>
      </c>
    </row>
    <row r="52" spans="1:3" x14ac:dyDescent="0.3">
      <c r="A52" s="4"/>
      <c r="B52" s="2" t="s">
        <v>53</v>
      </c>
      <c r="C52" s="2">
        <v>0</v>
      </c>
    </row>
    <row r="53" spans="1:3" x14ac:dyDescent="0.3">
      <c r="A53" s="4"/>
      <c r="B53" s="2" t="s">
        <v>54</v>
      </c>
      <c r="C53" s="2">
        <v>25</v>
      </c>
    </row>
    <row r="54" spans="1:3" x14ac:dyDescent="0.3">
      <c r="A54" s="4"/>
      <c r="B54" s="2" t="s">
        <v>55</v>
      </c>
      <c r="C54" s="2">
        <v>3</v>
      </c>
    </row>
    <row r="55" spans="1:3" x14ac:dyDescent="0.3">
      <c r="A55" s="5"/>
      <c r="B55" s="2" t="s">
        <v>56</v>
      </c>
      <c r="C55" s="2">
        <v>8</v>
      </c>
    </row>
    <row r="56" spans="1:3" x14ac:dyDescent="0.3">
      <c r="A56" s="3" t="s">
        <v>57</v>
      </c>
      <c r="B56" s="2" t="s">
        <v>3</v>
      </c>
      <c r="C56" s="2">
        <v>1914</v>
      </c>
    </row>
    <row r="57" spans="1:3" x14ac:dyDescent="0.3">
      <c r="A57" s="4"/>
      <c r="B57" s="2" t="s">
        <v>58</v>
      </c>
      <c r="C57" s="2">
        <v>24</v>
      </c>
    </row>
    <row r="58" spans="1:3" x14ac:dyDescent="0.3">
      <c r="A58" s="4"/>
      <c r="B58" s="2" t="s">
        <v>59</v>
      </c>
      <c r="C58" s="2">
        <v>2</v>
      </c>
    </row>
    <row r="59" spans="1:3" x14ac:dyDescent="0.3">
      <c r="A59" s="4"/>
      <c r="B59" s="2" t="s">
        <v>60</v>
      </c>
      <c r="C59" s="2">
        <v>116</v>
      </c>
    </row>
    <row r="60" spans="1:3" x14ac:dyDescent="0.3">
      <c r="A60" s="4"/>
      <c r="B60" s="2" t="s">
        <v>61</v>
      </c>
      <c r="C60" s="2">
        <v>4</v>
      </c>
    </row>
    <row r="61" spans="1:3" x14ac:dyDescent="0.3">
      <c r="A61" s="4"/>
      <c r="B61" s="2" t="s">
        <v>62</v>
      </c>
      <c r="C61" s="2">
        <v>3</v>
      </c>
    </row>
    <row r="62" spans="1:3" x14ac:dyDescent="0.3">
      <c r="A62" s="4"/>
      <c r="B62" s="2" t="s">
        <v>63</v>
      </c>
      <c r="C62" s="2">
        <v>7</v>
      </c>
    </row>
    <row r="63" spans="1:3" x14ac:dyDescent="0.3">
      <c r="A63" s="4"/>
      <c r="B63" s="2" t="s">
        <v>64</v>
      </c>
      <c r="C63" s="2">
        <v>19</v>
      </c>
    </row>
    <row r="64" spans="1:3" x14ac:dyDescent="0.3">
      <c r="A64" s="4"/>
      <c r="B64" s="2" t="s">
        <v>65</v>
      </c>
      <c r="C64" s="2">
        <v>18</v>
      </c>
    </row>
    <row r="65" spans="1:3" x14ac:dyDescent="0.3">
      <c r="A65" s="4"/>
      <c r="B65" s="2" t="s">
        <v>66</v>
      </c>
      <c r="C65" s="2">
        <v>1</v>
      </c>
    </row>
    <row r="66" spans="1:3" x14ac:dyDescent="0.3">
      <c r="A66" s="4"/>
      <c r="B66" s="2" t="s">
        <v>67</v>
      </c>
      <c r="C66" s="2">
        <v>170</v>
      </c>
    </row>
    <row r="67" spans="1:3" x14ac:dyDescent="0.3">
      <c r="A67" s="4"/>
      <c r="B67" s="2" t="s">
        <v>68</v>
      </c>
      <c r="C67" s="2">
        <v>2</v>
      </c>
    </row>
    <row r="68" spans="1:3" x14ac:dyDescent="0.3">
      <c r="A68" s="4"/>
      <c r="B68" s="2" t="s">
        <v>69</v>
      </c>
      <c r="C68" s="2">
        <v>28</v>
      </c>
    </row>
    <row r="69" spans="1:3" x14ac:dyDescent="0.3">
      <c r="A69" s="4"/>
      <c r="B69" s="2" t="s">
        <v>70</v>
      </c>
      <c r="C69" s="2">
        <v>27</v>
      </c>
    </row>
    <row r="70" spans="1:3" x14ac:dyDescent="0.3">
      <c r="A70" s="4"/>
      <c r="B70" s="2" t="s">
        <v>71</v>
      </c>
      <c r="C70" s="2">
        <v>19</v>
      </c>
    </row>
    <row r="71" spans="1:3" x14ac:dyDescent="0.3">
      <c r="A71" s="4"/>
      <c r="B71" s="2" t="s">
        <v>72</v>
      </c>
      <c r="C71" s="2">
        <v>0</v>
      </c>
    </row>
    <row r="72" spans="1:3" x14ac:dyDescent="0.3">
      <c r="A72" s="4"/>
      <c r="B72" s="2" t="s">
        <v>73</v>
      </c>
      <c r="C72" s="2">
        <v>27</v>
      </c>
    </row>
    <row r="73" spans="1:3" x14ac:dyDescent="0.3">
      <c r="A73" s="4"/>
      <c r="B73" s="2" t="s">
        <v>74</v>
      </c>
      <c r="C73" s="2">
        <v>7</v>
      </c>
    </row>
    <row r="74" spans="1:3" x14ac:dyDescent="0.3">
      <c r="A74" s="4"/>
      <c r="B74" s="2" t="s">
        <v>75</v>
      </c>
      <c r="C74" s="2">
        <v>2</v>
      </c>
    </row>
    <row r="75" spans="1:3" x14ac:dyDescent="0.3">
      <c r="A75" s="4"/>
      <c r="B75" s="2" t="s">
        <v>76</v>
      </c>
      <c r="C75" s="2">
        <v>8</v>
      </c>
    </row>
    <row r="76" spans="1:3" x14ac:dyDescent="0.3">
      <c r="A76" s="4"/>
      <c r="B76" s="2" t="s">
        <v>77</v>
      </c>
      <c r="C76" s="2">
        <v>7</v>
      </c>
    </row>
    <row r="77" spans="1:3" x14ac:dyDescent="0.3">
      <c r="A77" s="4"/>
      <c r="B77" s="2" t="s">
        <v>78</v>
      </c>
      <c r="C77" s="2">
        <v>29</v>
      </c>
    </row>
    <row r="78" spans="1:3" x14ac:dyDescent="0.3">
      <c r="A78" s="4"/>
      <c r="B78" s="2" t="s">
        <v>79</v>
      </c>
      <c r="C78" s="2">
        <v>9</v>
      </c>
    </row>
    <row r="79" spans="1:3" x14ac:dyDescent="0.3">
      <c r="A79" s="4"/>
      <c r="B79" s="2" t="s">
        <v>80</v>
      </c>
      <c r="C79" s="2">
        <v>527</v>
      </c>
    </row>
    <row r="80" spans="1:3" x14ac:dyDescent="0.3">
      <c r="A80" s="4"/>
      <c r="B80" s="2" t="s">
        <v>81</v>
      </c>
      <c r="C80" s="2">
        <v>52</v>
      </c>
    </row>
    <row r="81" spans="1:3" x14ac:dyDescent="0.3">
      <c r="A81" s="4"/>
      <c r="B81" s="2" t="s">
        <v>82</v>
      </c>
      <c r="C81" s="2">
        <v>1</v>
      </c>
    </row>
    <row r="82" spans="1:3" x14ac:dyDescent="0.3">
      <c r="A82" s="4"/>
      <c r="B82" s="2" t="s">
        <v>83</v>
      </c>
      <c r="C82" s="2">
        <v>21</v>
      </c>
    </row>
    <row r="83" spans="1:3" x14ac:dyDescent="0.3">
      <c r="A83" s="4"/>
      <c r="B83" s="2" t="s">
        <v>84</v>
      </c>
      <c r="C83" s="2">
        <v>5</v>
      </c>
    </row>
    <row r="84" spans="1:3" x14ac:dyDescent="0.3">
      <c r="A84" s="4"/>
      <c r="B84" s="2" t="s">
        <v>85</v>
      </c>
      <c r="C84" s="2">
        <v>4</v>
      </c>
    </row>
    <row r="85" spans="1:3" x14ac:dyDescent="0.3">
      <c r="A85" s="4"/>
      <c r="B85" s="2" t="s">
        <v>86</v>
      </c>
      <c r="C85" s="2">
        <v>15</v>
      </c>
    </row>
    <row r="86" spans="1:3" x14ac:dyDescent="0.3">
      <c r="A86" s="4"/>
      <c r="B86" s="2" t="s">
        <v>87</v>
      </c>
      <c r="C86" s="2">
        <v>72</v>
      </c>
    </row>
    <row r="87" spans="1:3" x14ac:dyDescent="0.3">
      <c r="A87" s="4"/>
      <c r="B87" s="2" t="s">
        <v>88</v>
      </c>
      <c r="C87" s="2">
        <v>3</v>
      </c>
    </row>
    <row r="88" spans="1:3" x14ac:dyDescent="0.3">
      <c r="A88" s="4"/>
      <c r="B88" s="2" t="s">
        <v>89</v>
      </c>
      <c r="C88" s="2">
        <v>2</v>
      </c>
    </row>
    <row r="89" spans="1:3" x14ac:dyDescent="0.3">
      <c r="A89" s="4"/>
      <c r="B89" s="2" t="s">
        <v>90</v>
      </c>
      <c r="C89" s="2">
        <v>35</v>
      </c>
    </row>
    <row r="90" spans="1:3" x14ac:dyDescent="0.3">
      <c r="A90" s="4"/>
      <c r="B90" s="2" t="s">
        <v>91</v>
      </c>
      <c r="C90" s="2">
        <v>202</v>
      </c>
    </row>
    <row r="91" spans="1:3" x14ac:dyDescent="0.3">
      <c r="A91" s="5"/>
      <c r="B91" s="2" t="s">
        <v>92</v>
      </c>
      <c r="C91" s="2">
        <v>446</v>
      </c>
    </row>
    <row r="92" spans="1:3" x14ac:dyDescent="0.3">
      <c r="A92" s="3" t="s">
        <v>93</v>
      </c>
      <c r="B92" s="2" t="s">
        <v>3</v>
      </c>
      <c r="C92" s="2">
        <v>37</v>
      </c>
    </row>
    <row r="93" spans="1:3" x14ac:dyDescent="0.3">
      <c r="A93" s="4"/>
      <c r="B93" s="2" t="s">
        <v>94</v>
      </c>
      <c r="C93" s="2">
        <v>3</v>
      </c>
    </row>
    <row r="94" spans="1:3" x14ac:dyDescent="0.3">
      <c r="A94" s="4"/>
      <c r="B94" s="2" t="s">
        <v>95</v>
      </c>
      <c r="C94" s="2">
        <v>0</v>
      </c>
    </row>
    <row r="95" spans="1:3" x14ac:dyDescent="0.3">
      <c r="A95" s="4"/>
      <c r="B95" s="2" t="s">
        <v>96</v>
      </c>
      <c r="C95" s="2">
        <v>0</v>
      </c>
    </row>
    <row r="96" spans="1:3" x14ac:dyDescent="0.3">
      <c r="A96" s="4"/>
      <c r="B96" s="2" t="s">
        <v>97</v>
      </c>
      <c r="C96" s="2">
        <v>0</v>
      </c>
    </row>
    <row r="97" spans="1:3" x14ac:dyDescent="0.3">
      <c r="A97" s="4"/>
      <c r="B97" s="2" t="s">
        <v>98</v>
      </c>
      <c r="C97" s="2">
        <v>0</v>
      </c>
    </row>
    <row r="98" spans="1:3" x14ac:dyDescent="0.3">
      <c r="A98" s="4"/>
      <c r="B98" s="2" t="s">
        <v>99</v>
      </c>
      <c r="C98" s="2">
        <v>0</v>
      </c>
    </row>
    <row r="99" spans="1:3" x14ac:dyDescent="0.3">
      <c r="A99" s="4"/>
      <c r="B99" s="2" t="s">
        <v>100</v>
      </c>
      <c r="C99" s="2">
        <v>3</v>
      </c>
    </row>
    <row r="100" spans="1:3" x14ac:dyDescent="0.3">
      <c r="A100" s="4"/>
      <c r="B100" s="2" t="s">
        <v>101</v>
      </c>
      <c r="C100" s="2">
        <v>1</v>
      </c>
    </row>
    <row r="101" spans="1:3" x14ac:dyDescent="0.3">
      <c r="A101" s="5"/>
      <c r="B101" s="2" t="s">
        <v>102</v>
      </c>
      <c r="C101" s="2">
        <v>30</v>
      </c>
    </row>
    <row r="102" spans="1:3" x14ac:dyDescent="0.3">
      <c r="A102" s="3" t="s">
        <v>103</v>
      </c>
      <c r="B102" s="2" t="s">
        <v>3</v>
      </c>
      <c r="C102" s="2">
        <v>482</v>
      </c>
    </row>
    <row r="103" spans="1:3" x14ac:dyDescent="0.3">
      <c r="A103" s="4"/>
      <c r="B103" s="2" t="s">
        <v>104</v>
      </c>
      <c r="C103" s="2">
        <v>69</v>
      </c>
    </row>
    <row r="104" spans="1:3" x14ac:dyDescent="0.3">
      <c r="A104" s="4"/>
      <c r="B104" s="2" t="s">
        <v>105</v>
      </c>
      <c r="C104" s="2">
        <v>2</v>
      </c>
    </row>
    <row r="105" spans="1:3" x14ac:dyDescent="0.3">
      <c r="A105" s="4"/>
      <c r="B105" s="2" t="s">
        <v>106</v>
      </c>
      <c r="C105" s="2">
        <v>5</v>
      </c>
    </row>
    <row r="106" spans="1:3" x14ac:dyDescent="0.3">
      <c r="A106" s="4"/>
      <c r="B106" s="2" t="s">
        <v>107</v>
      </c>
      <c r="C106" s="2">
        <v>159</v>
      </c>
    </row>
    <row r="107" spans="1:3" x14ac:dyDescent="0.3">
      <c r="A107" s="4"/>
      <c r="B107" s="2" t="s">
        <v>108</v>
      </c>
      <c r="C107" s="2">
        <v>3</v>
      </c>
    </row>
    <row r="108" spans="1:3" x14ac:dyDescent="0.3">
      <c r="A108" s="4"/>
      <c r="B108" s="2" t="s">
        <v>109</v>
      </c>
      <c r="C108" s="2">
        <v>33</v>
      </c>
    </row>
    <row r="109" spans="1:3" x14ac:dyDescent="0.3">
      <c r="A109" s="4"/>
      <c r="B109" s="2" t="s">
        <v>110</v>
      </c>
      <c r="C109" s="2">
        <v>15</v>
      </c>
    </row>
    <row r="110" spans="1:3" x14ac:dyDescent="0.3">
      <c r="A110" s="4"/>
      <c r="B110" s="2" t="s">
        <v>111</v>
      </c>
      <c r="C110" s="2">
        <v>2</v>
      </c>
    </row>
    <row r="111" spans="1:3" x14ac:dyDescent="0.3">
      <c r="A111" s="4"/>
      <c r="B111" s="2" t="s">
        <v>112</v>
      </c>
      <c r="C111" s="2">
        <v>10</v>
      </c>
    </row>
    <row r="112" spans="1:3" x14ac:dyDescent="0.3">
      <c r="A112" s="4"/>
      <c r="B112" s="2" t="s">
        <v>113</v>
      </c>
      <c r="C112" s="2">
        <v>0</v>
      </c>
    </row>
    <row r="113" spans="1:3" x14ac:dyDescent="0.3">
      <c r="A113" s="4"/>
      <c r="B113" s="2" t="s">
        <v>114</v>
      </c>
      <c r="C113" s="2">
        <v>0</v>
      </c>
    </row>
    <row r="114" spans="1:3" x14ac:dyDescent="0.3">
      <c r="A114" s="4"/>
      <c r="B114" s="2" t="s">
        <v>115</v>
      </c>
      <c r="C114" s="2">
        <v>36</v>
      </c>
    </row>
    <row r="115" spans="1:3" x14ac:dyDescent="0.3">
      <c r="A115" s="4"/>
      <c r="B115" s="2" t="s">
        <v>116</v>
      </c>
      <c r="C115" s="2">
        <v>0</v>
      </c>
    </row>
    <row r="116" spans="1:3" x14ac:dyDescent="0.3">
      <c r="A116" s="5"/>
      <c r="B116" s="2" t="s">
        <v>117</v>
      </c>
      <c r="C116" s="2">
        <v>148</v>
      </c>
    </row>
    <row r="117" spans="1:3" x14ac:dyDescent="0.3">
      <c r="A117" s="3" t="s">
        <v>118</v>
      </c>
      <c r="B117" s="2" t="s">
        <v>3</v>
      </c>
      <c r="C117" s="2">
        <v>63</v>
      </c>
    </row>
    <row r="118" spans="1:3" x14ac:dyDescent="0.3">
      <c r="A118" s="4"/>
      <c r="B118" s="2" t="s">
        <v>119</v>
      </c>
      <c r="C118" s="2">
        <v>1</v>
      </c>
    </row>
    <row r="119" spans="1:3" x14ac:dyDescent="0.3">
      <c r="A119" s="4"/>
      <c r="B119" s="2" t="s">
        <v>120</v>
      </c>
      <c r="C119" s="2">
        <v>1</v>
      </c>
    </row>
    <row r="120" spans="1:3" x14ac:dyDescent="0.3">
      <c r="A120" s="4"/>
      <c r="B120" s="2" t="s">
        <v>121</v>
      </c>
      <c r="C120" s="2">
        <v>2</v>
      </c>
    </row>
    <row r="121" spans="1:3" x14ac:dyDescent="0.3">
      <c r="A121" s="4"/>
      <c r="B121" s="2" t="s">
        <v>122</v>
      </c>
      <c r="C121" s="2">
        <v>5</v>
      </c>
    </row>
    <row r="122" spans="1:3" x14ac:dyDescent="0.3">
      <c r="A122" s="4"/>
      <c r="B122" s="2" t="s">
        <v>123</v>
      </c>
      <c r="C122" s="2">
        <v>28</v>
      </c>
    </row>
    <row r="123" spans="1:3" x14ac:dyDescent="0.3">
      <c r="A123" s="5"/>
      <c r="B123" s="2" t="s">
        <v>124</v>
      </c>
      <c r="C123" s="2">
        <v>26</v>
      </c>
    </row>
    <row r="124" spans="1:3" x14ac:dyDescent="0.3">
      <c r="A124" s="3" t="s">
        <v>125</v>
      </c>
      <c r="B124" s="2" t="s">
        <v>3</v>
      </c>
      <c r="C124" s="2">
        <v>20</v>
      </c>
    </row>
    <row r="125" spans="1:3" x14ac:dyDescent="0.3">
      <c r="A125" s="4"/>
      <c r="B125" s="2" t="s">
        <v>126</v>
      </c>
      <c r="C125" s="2">
        <v>0</v>
      </c>
    </row>
    <row r="126" spans="1:3" x14ac:dyDescent="0.3">
      <c r="A126" s="4"/>
      <c r="B126" s="2" t="s">
        <v>127</v>
      </c>
      <c r="C126" s="2">
        <v>1</v>
      </c>
    </row>
    <row r="127" spans="1:3" x14ac:dyDescent="0.3">
      <c r="A127" s="4"/>
      <c r="B127" s="2" t="s">
        <v>128</v>
      </c>
      <c r="C127" s="2">
        <v>2</v>
      </c>
    </row>
    <row r="128" spans="1:3" x14ac:dyDescent="0.3">
      <c r="A128" s="4"/>
      <c r="B128" s="2" t="s">
        <v>129</v>
      </c>
      <c r="C128" s="2">
        <v>0</v>
      </c>
    </row>
    <row r="129" spans="1:3" x14ac:dyDescent="0.3">
      <c r="A129" s="4"/>
      <c r="B129" s="2" t="s">
        <v>130</v>
      </c>
      <c r="C129" s="2">
        <v>0</v>
      </c>
    </row>
    <row r="130" spans="1:3" x14ac:dyDescent="0.3">
      <c r="A130" s="4"/>
      <c r="B130" s="2" t="s">
        <v>131</v>
      </c>
      <c r="C130" s="2">
        <v>3</v>
      </c>
    </row>
    <row r="131" spans="1:3" x14ac:dyDescent="0.3">
      <c r="A131" s="5"/>
      <c r="B131" s="2" t="s">
        <v>132</v>
      </c>
      <c r="C131" s="2">
        <v>14</v>
      </c>
    </row>
    <row r="132" spans="1:3" x14ac:dyDescent="0.3">
      <c r="A132" s="3" t="s">
        <v>133</v>
      </c>
      <c r="B132" s="2" t="s">
        <v>3</v>
      </c>
      <c r="C132" s="2">
        <v>1390</v>
      </c>
    </row>
    <row r="133" spans="1:3" x14ac:dyDescent="0.3">
      <c r="A133" s="4"/>
      <c r="B133" s="2" t="s">
        <v>134</v>
      </c>
      <c r="C133" s="2">
        <v>12</v>
      </c>
    </row>
    <row r="134" spans="1:3" x14ac:dyDescent="0.3">
      <c r="A134" s="4"/>
      <c r="B134" s="2" t="s">
        <v>135</v>
      </c>
      <c r="C134" s="2">
        <v>13</v>
      </c>
    </row>
    <row r="135" spans="1:3" x14ac:dyDescent="0.3">
      <c r="A135" s="4"/>
      <c r="B135" s="2" t="s">
        <v>136</v>
      </c>
      <c r="C135" s="2">
        <v>11</v>
      </c>
    </row>
    <row r="136" spans="1:3" x14ac:dyDescent="0.3">
      <c r="A136" s="4"/>
      <c r="B136" s="2" t="s">
        <v>137</v>
      </c>
      <c r="C136" s="2">
        <v>9</v>
      </c>
    </row>
    <row r="137" spans="1:3" x14ac:dyDescent="0.3">
      <c r="A137" s="4"/>
      <c r="B137" s="2" t="s">
        <v>138</v>
      </c>
      <c r="C137" s="2">
        <v>498</v>
      </c>
    </row>
    <row r="138" spans="1:3" x14ac:dyDescent="0.3">
      <c r="A138" s="4"/>
      <c r="B138" s="2" t="s">
        <v>139</v>
      </c>
      <c r="C138" s="2">
        <v>94</v>
      </c>
    </row>
    <row r="139" spans="1:3" x14ac:dyDescent="0.3">
      <c r="A139" s="4"/>
      <c r="B139" s="2" t="s">
        <v>140</v>
      </c>
      <c r="C139" s="2">
        <v>25</v>
      </c>
    </row>
    <row r="140" spans="1:3" x14ac:dyDescent="0.3">
      <c r="A140" s="4"/>
      <c r="B140" s="2" t="s">
        <v>141</v>
      </c>
      <c r="C140" s="2">
        <v>57</v>
      </c>
    </row>
    <row r="141" spans="1:3" x14ac:dyDescent="0.3">
      <c r="A141" s="4"/>
      <c r="B141" s="2" t="s">
        <v>142</v>
      </c>
      <c r="C141" s="2">
        <v>4</v>
      </c>
    </row>
    <row r="142" spans="1:3" x14ac:dyDescent="0.3">
      <c r="A142" s="4"/>
      <c r="B142" s="2" t="s">
        <v>143</v>
      </c>
      <c r="C142" s="2">
        <v>9</v>
      </c>
    </row>
    <row r="143" spans="1:3" x14ac:dyDescent="0.3">
      <c r="A143" s="4"/>
      <c r="B143" s="2" t="s">
        <v>144</v>
      </c>
      <c r="C143" s="2">
        <v>30</v>
      </c>
    </row>
    <row r="144" spans="1:3" x14ac:dyDescent="0.3">
      <c r="A144" s="4"/>
      <c r="B144" s="2" t="s">
        <v>145</v>
      </c>
      <c r="C144" s="2">
        <v>1</v>
      </c>
    </row>
    <row r="145" spans="1:3" x14ac:dyDescent="0.3">
      <c r="A145" s="4"/>
      <c r="B145" s="2" t="s">
        <v>146</v>
      </c>
      <c r="C145" s="2">
        <v>8</v>
      </c>
    </row>
    <row r="146" spans="1:3" x14ac:dyDescent="0.3">
      <c r="A146" s="4"/>
      <c r="B146" s="2" t="s">
        <v>147</v>
      </c>
      <c r="C146" s="2">
        <v>66</v>
      </c>
    </row>
    <row r="147" spans="1:3" x14ac:dyDescent="0.3">
      <c r="A147" s="4"/>
      <c r="B147" s="2" t="s">
        <v>148</v>
      </c>
      <c r="C147" s="2">
        <v>204</v>
      </c>
    </row>
    <row r="148" spans="1:3" x14ac:dyDescent="0.3">
      <c r="A148" s="4"/>
      <c r="B148" s="2" t="s">
        <v>149</v>
      </c>
      <c r="C148" s="2">
        <v>1</v>
      </c>
    </row>
    <row r="149" spans="1:3" x14ac:dyDescent="0.3">
      <c r="A149" s="4"/>
      <c r="B149" s="2" t="s">
        <v>150</v>
      </c>
      <c r="C149" s="2">
        <v>19</v>
      </c>
    </row>
    <row r="150" spans="1:3" x14ac:dyDescent="0.3">
      <c r="A150" s="4"/>
      <c r="B150" s="2" t="s">
        <v>151</v>
      </c>
      <c r="C150" s="2">
        <v>45</v>
      </c>
    </row>
    <row r="151" spans="1:3" x14ac:dyDescent="0.3">
      <c r="A151" s="4"/>
      <c r="B151" s="2" t="s">
        <v>152</v>
      </c>
      <c r="C151" s="2">
        <v>31</v>
      </c>
    </row>
    <row r="152" spans="1:3" x14ac:dyDescent="0.3">
      <c r="A152" s="4"/>
      <c r="B152" s="2" t="s">
        <v>153</v>
      </c>
      <c r="C152" s="2">
        <v>62</v>
      </c>
    </row>
    <row r="153" spans="1:3" x14ac:dyDescent="0.3">
      <c r="A153" s="5"/>
      <c r="B153" s="2" t="s">
        <v>154</v>
      </c>
      <c r="C153" s="2">
        <v>191</v>
      </c>
    </row>
    <row r="154" spans="1:3" x14ac:dyDescent="0.3">
      <c r="A154" s="3" t="s">
        <v>155</v>
      </c>
      <c r="B154" s="2" t="s">
        <v>3</v>
      </c>
      <c r="C154" s="2">
        <v>655</v>
      </c>
    </row>
    <row r="155" spans="1:3" x14ac:dyDescent="0.3">
      <c r="A155" s="4"/>
      <c r="B155" s="2" t="s">
        <v>156</v>
      </c>
      <c r="C155" s="2">
        <v>0</v>
      </c>
    </row>
    <row r="156" spans="1:3" x14ac:dyDescent="0.3">
      <c r="A156" s="4"/>
      <c r="B156" s="2" t="s">
        <v>157</v>
      </c>
      <c r="C156" s="2">
        <v>17</v>
      </c>
    </row>
    <row r="157" spans="1:3" x14ac:dyDescent="0.3">
      <c r="A157" s="4"/>
      <c r="B157" s="2" t="s">
        <v>158</v>
      </c>
      <c r="C157" s="2">
        <v>113</v>
      </c>
    </row>
    <row r="158" spans="1:3" x14ac:dyDescent="0.3">
      <c r="A158" s="4"/>
      <c r="B158" s="2" t="s">
        <v>159</v>
      </c>
      <c r="C158" s="2">
        <v>40</v>
      </c>
    </row>
    <row r="159" spans="1:3" x14ac:dyDescent="0.3">
      <c r="A159" s="4"/>
      <c r="B159" s="2" t="s">
        <v>160</v>
      </c>
      <c r="C159" s="2">
        <v>7</v>
      </c>
    </row>
    <row r="160" spans="1:3" x14ac:dyDescent="0.3">
      <c r="A160" s="4"/>
      <c r="B160" s="2" t="s">
        <v>161</v>
      </c>
      <c r="C160" s="2">
        <v>0</v>
      </c>
    </row>
    <row r="161" spans="1:3" x14ac:dyDescent="0.3">
      <c r="A161" s="4"/>
      <c r="B161" s="2" t="s">
        <v>162</v>
      </c>
      <c r="C161" s="2">
        <v>10</v>
      </c>
    </row>
    <row r="162" spans="1:3" x14ac:dyDescent="0.3">
      <c r="A162" s="4"/>
      <c r="B162" s="2" t="s">
        <v>163</v>
      </c>
      <c r="C162" s="2">
        <v>7</v>
      </c>
    </row>
    <row r="163" spans="1:3" x14ac:dyDescent="0.3">
      <c r="A163" s="4"/>
      <c r="B163" s="2" t="s">
        <v>164</v>
      </c>
      <c r="C163" s="2">
        <v>37</v>
      </c>
    </row>
    <row r="164" spans="1:3" x14ac:dyDescent="0.3">
      <c r="A164" s="4"/>
      <c r="B164" s="2" t="s">
        <v>165</v>
      </c>
      <c r="C164" s="2">
        <v>208</v>
      </c>
    </row>
    <row r="165" spans="1:3" x14ac:dyDescent="0.3">
      <c r="A165" s="5"/>
      <c r="B165" s="2" t="s">
        <v>166</v>
      </c>
      <c r="C165" s="2">
        <v>216</v>
      </c>
    </row>
    <row r="166" spans="1:3" x14ac:dyDescent="0.3">
      <c r="A166" s="3" t="s">
        <v>167</v>
      </c>
      <c r="B166" s="2" t="s">
        <v>3</v>
      </c>
      <c r="C166" s="2">
        <v>3420</v>
      </c>
    </row>
    <row r="167" spans="1:3" x14ac:dyDescent="0.3">
      <c r="A167" s="4"/>
      <c r="B167" s="2" t="s">
        <v>168</v>
      </c>
      <c r="C167" s="2">
        <v>1603</v>
      </c>
    </row>
    <row r="168" spans="1:3" x14ac:dyDescent="0.3">
      <c r="A168" s="4"/>
      <c r="B168" s="2" t="s">
        <v>169</v>
      </c>
      <c r="C168" s="2">
        <v>5</v>
      </c>
    </row>
    <row r="169" spans="1:3" x14ac:dyDescent="0.3">
      <c r="A169" s="4"/>
      <c r="B169" s="2" t="s">
        <v>170</v>
      </c>
      <c r="C169" s="2">
        <v>16</v>
      </c>
    </row>
    <row r="170" spans="1:3" x14ac:dyDescent="0.3">
      <c r="A170" s="4"/>
      <c r="B170" s="2" t="s">
        <v>171</v>
      </c>
      <c r="C170" s="2">
        <v>44</v>
      </c>
    </row>
    <row r="171" spans="1:3" x14ac:dyDescent="0.3">
      <c r="A171" s="4"/>
      <c r="B171" s="2" t="s">
        <v>172</v>
      </c>
      <c r="C171" s="2">
        <v>302</v>
      </c>
    </row>
    <row r="172" spans="1:3" x14ac:dyDescent="0.3">
      <c r="A172" s="4"/>
      <c r="B172" s="2" t="s">
        <v>173</v>
      </c>
      <c r="C172" s="2">
        <v>25</v>
      </c>
    </row>
    <row r="173" spans="1:3" x14ac:dyDescent="0.3">
      <c r="A173" s="4"/>
      <c r="B173" s="2" t="s">
        <v>174</v>
      </c>
      <c r="C173" s="2">
        <v>224</v>
      </c>
    </row>
    <row r="174" spans="1:3" x14ac:dyDescent="0.3">
      <c r="A174" s="4"/>
      <c r="B174" s="2" t="s">
        <v>175</v>
      </c>
      <c r="C174" s="2">
        <v>20</v>
      </c>
    </row>
    <row r="175" spans="1:3" x14ac:dyDescent="0.3">
      <c r="A175" s="4"/>
      <c r="B175" s="2" t="s">
        <v>176</v>
      </c>
      <c r="C175" s="2">
        <v>7</v>
      </c>
    </row>
    <row r="176" spans="1:3" x14ac:dyDescent="0.3">
      <c r="A176" s="4"/>
      <c r="B176" s="2" t="s">
        <v>177</v>
      </c>
      <c r="C176" s="2">
        <v>124</v>
      </c>
    </row>
    <row r="177" spans="1:3" x14ac:dyDescent="0.3">
      <c r="A177" s="4"/>
      <c r="B177" s="2" t="s">
        <v>178</v>
      </c>
      <c r="C177" s="2">
        <v>0</v>
      </c>
    </row>
    <row r="178" spans="1:3" x14ac:dyDescent="0.3">
      <c r="A178" s="4"/>
      <c r="B178" s="2" t="s">
        <v>179</v>
      </c>
      <c r="C178" s="2">
        <v>5</v>
      </c>
    </row>
    <row r="179" spans="1:3" x14ac:dyDescent="0.3">
      <c r="A179" s="4"/>
      <c r="B179" s="2" t="s">
        <v>180</v>
      </c>
      <c r="C179" s="2">
        <v>402</v>
      </c>
    </row>
    <row r="180" spans="1:3" x14ac:dyDescent="0.3">
      <c r="A180" s="4"/>
      <c r="B180" s="2" t="s">
        <v>181</v>
      </c>
      <c r="C180" s="2">
        <v>21</v>
      </c>
    </row>
    <row r="181" spans="1:3" x14ac:dyDescent="0.3">
      <c r="A181" s="4"/>
      <c r="B181" s="2" t="s">
        <v>182</v>
      </c>
      <c r="C181" s="2">
        <v>33</v>
      </c>
    </row>
    <row r="182" spans="1:3" x14ac:dyDescent="0.3">
      <c r="A182" s="4"/>
      <c r="B182" s="2" t="s">
        <v>183</v>
      </c>
      <c r="C182" s="2">
        <v>41</v>
      </c>
    </row>
    <row r="183" spans="1:3" x14ac:dyDescent="0.3">
      <c r="A183" s="4"/>
      <c r="B183" s="2" t="s">
        <v>184</v>
      </c>
      <c r="C183" s="2">
        <v>15</v>
      </c>
    </row>
    <row r="184" spans="1:3" x14ac:dyDescent="0.3">
      <c r="A184" s="4"/>
      <c r="B184" s="2" t="s">
        <v>185</v>
      </c>
      <c r="C184" s="2">
        <v>20</v>
      </c>
    </row>
    <row r="185" spans="1:3" x14ac:dyDescent="0.3">
      <c r="A185" s="4"/>
      <c r="B185" s="2" t="s">
        <v>186</v>
      </c>
      <c r="C185" s="2">
        <v>7</v>
      </c>
    </row>
    <row r="186" spans="1:3" x14ac:dyDescent="0.3">
      <c r="A186" s="4"/>
      <c r="B186" s="2" t="s">
        <v>187</v>
      </c>
      <c r="C186" s="2">
        <v>158</v>
      </c>
    </row>
    <row r="187" spans="1:3" x14ac:dyDescent="0.3">
      <c r="A187" s="5"/>
      <c r="B187" s="2" t="s">
        <v>188</v>
      </c>
      <c r="C187" s="2">
        <v>348</v>
      </c>
    </row>
    <row r="188" spans="1:3" x14ac:dyDescent="0.3">
      <c r="A188" s="3" t="s">
        <v>189</v>
      </c>
      <c r="B188" s="2" t="s">
        <v>3</v>
      </c>
      <c r="C188" s="2">
        <v>2618</v>
      </c>
    </row>
    <row r="189" spans="1:3" x14ac:dyDescent="0.3">
      <c r="A189" s="4"/>
      <c r="B189" s="2" t="s">
        <v>190</v>
      </c>
      <c r="C189" s="2">
        <v>4</v>
      </c>
    </row>
    <row r="190" spans="1:3" x14ac:dyDescent="0.3">
      <c r="A190" s="4"/>
      <c r="B190" s="2" t="s">
        <v>191</v>
      </c>
      <c r="C190" s="2">
        <v>41</v>
      </c>
    </row>
    <row r="191" spans="1:3" x14ac:dyDescent="0.3">
      <c r="A191" s="4"/>
      <c r="B191" s="2" t="s">
        <v>192</v>
      </c>
      <c r="C191" s="2">
        <v>4</v>
      </c>
    </row>
    <row r="192" spans="1:3" x14ac:dyDescent="0.3">
      <c r="A192" s="4"/>
      <c r="B192" s="2" t="s">
        <v>193</v>
      </c>
      <c r="C192" s="2">
        <v>26</v>
      </c>
    </row>
    <row r="193" spans="1:3" x14ac:dyDescent="0.3">
      <c r="A193" s="4"/>
      <c r="B193" s="2" t="s">
        <v>194</v>
      </c>
      <c r="C193" s="2">
        <v>49</v>
      </c>
    </row>
    <row r="194" spans="1:3" x14ac:dyDescent="0.3">
      <c r="A194" s="4"/>
      <c r="B194" s="2" t="s">
        <v>195</v>
      </c>
      <c r="C194" s="2">
        <v>69</v>
      </c>
    </row>
    <row r="195" spans="1:3" x14ac:dyDescent="0.3">
      <c r="A195" s="4"/>
      <c r="B195" s="2" t="s">
        <v>196</v>
      </c>
      <c r="C195" s="2">
        <v>120</v>
      </c>
    </row>
    <row r="196" spans="1:3" x14ac:dyDescent="0.3">
      <c r="A196" s="4"/>
      <c r="B196" s="2" t="s">
        <v>197</v>
      </c>
      <c r="C196" s="2">
        <v>608</v>
      </c>
    </row>
    <row r="197" spans="1:3" x14ac:dyDescent="0.3">
      <c r="A197" s="4"/>
      <c r="B197" s="2" t="s">
        <v>198</v>
      </c>
      <c r="C197" s="2">
        <v>7</v>
      </c>
    </row>
    <row r="198" spans="1:3" x14ac:dyDescent="0.3">
      <c r="A198" s="4"/>
      <c r="B198" s="2" t="s">
        <v>199</v>
      </c>
      <c r="C198" s="2">
        <v>194</v>
      </c>
    </row>
    <row r="199" spans="1:3" x14ac:dyDescent="0.3">
      <c r="A199" s="4"/>
      <c r="B199" s="2" t="s">
        <v>200</v>
      </c>
      <c r="C199" s="2">
        <v>222</v>
      </c>
    </row>
    <row r="200" spans="1:3" x14ac:dyDescent="0.3">
      <c r="A200" s="4"/>
      <c r="B200" s="2" t="s">
        <v>201</v>
      </c>
      <c r="C200" s="2">
        <v>10</v>
      </c>
    </row>
    <row r="201" spans="1:3" x14ac:dyDescent="0.3">
      <c r="A201" s="4"/>
      <c r="B201" s="2" t="s">
        <v>202</v>
      </c>
      <c r="C201" s="2">
        <v>548</v>
      </c>
    </row>
    <row r="202" spans="1:3" x14ac:dyDescent="0.3">
      <c r="A202" s="4"/>
      <c r="B202" s="2" t="s">
        <v>203</v>
      </c>
      <c r="C202" s="2">
        <v>27</v>
      </c>
    </row>
    <row r="203" spans="1:3" x14ac:dyDescent="0.3">
      <c r="A203" s="4"/>
      <c r="B203" s="2" t="s">
        <v>204</v>
      </c>
      <c r="C203" s="2">
        <v>14</v>
      </c>
    </row>
    <row r="204" spans="1:3" x14ac:dyDescent="0.3">
      <c r="A204" s="4"/>
      <c r="B204" s="2" t="s">
        <v>205</v>
      </c>
      <c r="C204" s="2">
        <v>29</v>
      </c>
    </row>
    <row r="205" spans="1:3" x14ac:dyDescent="0.3">
      <c r="A205" s="4"/>
      <c r="B205" s="2" t="s">
        <v>206</v>
      </c>
      <c r="C205" s="2">
        <v>6</v>
      </c>
    </row>
    <row r="206" spans="1:3" x14ac:dyDescent="0.3">
      <c r="A206" s="4"/>
      <c r="B206" s="2" t="s">
        <v>207</v>
      </c>
      <c r="C206" s="2">
        <v>1</v>
      </c>
    </row>
    <row r="207" spans="1:3" x14ac:dyDescent="0.3">
      <c r="A207" s="4"/>
      <c r="B207" s="2" t="s">
        <v>208</v>
      </c>
      <c r="C207" s="2">
        <v>2</v>
      </c>
    </row>
    <row r="208" spans="1:3" x14ac:dyDescent="0.3">
      <c r="A208" s="4"/>
      <c r="B208" s="2" t="s">
        <v>209</v>
      </c>
      <c r="C208" s="2">
        <v>19</v>
      </c>
    </row>
    <row r="209" spans="1:3" x14ac:dyDescent="0.3">
      <c r="A209" s="4"/>
      <c r="B209" s="2" t="s">
        <v>210</v>
      </c>
      <c r="C209" s="2">
        <v>39</v>
      </c>
    </row>
    <row r="210" spans="1:3" x14ac:dyDescent="0.3">
      <c r="A210" s="4"/>
      <c r="B210" s="2" t="s">
        <v>211</v>
      </c>
      <c r="C210" s="2">
        <v>23</v>
      </c>
    </row>
    <row r="211" spans="1:3" x14ac:dyDescent="0.3">
      <c r="A211" s="4"/>
      <c r="B211" s="2" t="s">
        <v>212</v>
      </c>
      <c r="C211" s="2">
        <v>16</v>
      </c>
    </row>
    <row r="212" spans="1:3" x14ac:dyDescent="0.3">
      <c r="A212" s="4"/>
      <c r="B212" s="2" t="s">
        <v>213</v>
      </c>
      <c r="C212" s="2">
        <v>12</v>
      </c>
    </row>
    <row r="213" spans="1:3" x14ac:dyDescent="0.3">
      <c r="A213" s="5"/>
      <c r="B213" s="2" t="s">
        <v>214</v>
      </c>
      <c r="C213" s="2">
        <v>528</v>
      </c>
    </row>
    <row r="214" spans="1:3" x14ac:dyDescent="0.3">
      <c r="A214" s="3" t="s">
        <v>215</v>
      </c>
      <c r="B214" s="2" t="s">
        <v>3</v>
      </c>
      <c r="C214" s="2">
        <v>675</v>
      </c>
    </row>
    <row r="215" spans="1:3" x14ac:dyDescent="0.3">
      <c r="A215" s="5"/>
      <c r="B215" s="2" t="s">
        <v>215</v>
      </c>
      <c r="C215" s="2">
        <v>675</v>
      </c>
    </row>
    <row r="216" spans="1:3" x14ac:dyDescent="0.3">
      <c r="A216" s="3" t="s">
        <v>216</v>
      </c>
      <c r="B216" s="2" t="s">
        <v>3</v>
      </c>
      <c r="C216" s="2">
        <v>1062</v>
      </c>
    </row>
    <row r="217" spans="1:3" x14ac:dyDescent="0.3">
      <c r="A217" s="5"/>
      <c r="B217" s="2" t="s">
        <v>216</v>
      </c>
      <c r="C217" s="2">
        <v>1062</v>
      </c>
    </row>
  </sheetData>
  <autoFilter ref="A1:C217"/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집계</vt:lpstr>
      <vt:lpstr>21년  발화기기 - 전체  전국 상세 결과</vt:lpstr>
      <vt:lpstr>20년  발화기기 - 전체  전국 상세 결과</vt:lpstr>
      <vt:lpstr>19년  발화기기 - 전체  전국 상세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</dc:creator>
  <cp:lastModifiedBy>Ucjh</cp:lastModifiedBy>
  <dcterms:created xsi:type="dcterms:W3CDTF">2022-09-27T07:05:36Z</dcterms:created>
  <dcterms:modified xsi:type="dcterms:W3CDTF">2022-09-27T08:16:16Z</dcterms:modified>
</cp:coreProperties>
</file>