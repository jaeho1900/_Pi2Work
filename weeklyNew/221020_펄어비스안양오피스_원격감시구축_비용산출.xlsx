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Z:\원격현장\기타현장\64. 펄어비스\"/>
    </mc:Choice>
  </mc:AlternateContent>
  <xr:revisionPtr revIDLastSave="0" documentId="13_ncr:1_{99A0559F-1B2C-4C7F-BB36-177ED52EFE44}" xr6:coauthVersionLast="47" xr6:coauthVersionMax="47" xr10:uidLastSave="{00000000-0000-0000-0000-000000000000}"/>
  <bookViews>
    <workbookView xWindow="-108" yWindow="-108" windowWidth="30936" windowHeight="16776" tabRatio="915" xr2:uid="{00000000-000D-0000-FFFF-FFFF00000000}"/>
  </bookViews>
  <sheets>
    <sheet name="1.구축견적" sheetId="56" r:id="rId1"/>
    <sheet name="2.관제점리스트" sheetId="55" r:id="rId2"/>
    <sheet name="3.공사예산내역서(갑)" sheetId="46" r:id="rId3"/>
    <sheet name="4.공사예산내역서(을)" sheetId="47" r:id="rId4"/>
    <sheet name="5.일위대가" sheetId="7" r:id="rId5"/>
    <sheet name="6.일위대가 산출근거" sheetId="40" r:id="rId6"/>
    <sheet name="7.MP산출근거" sheetId="29" r:id="rId7"/>
    <sheet name="8.공사물량산출서" sheetId="8" r:id="rId8"/>
    <sheet name="9.공사업체 출장경비" sheetId="59" r:id="rId9"/>
    <sheet name="첨부2_출장경비" sheetId="4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_______________PRN2" localSheetId="9">[1]내역서!#REF!</definedName>
    <definedName name="_________________PRN3" localSheetId="9">[1]내역서!#REF!</definedName>
    <definedName name="_________________PRN4" localSheetId="9">[1]내역서!#REF!</definedName>
    <definedName name="_________________PRN6" localSheetId="9">[1]내역서!#REF!</definedName>
    <definedName name="_________________PRN7" localSheetId="9">[1]내역서!#REF!</definedName>
    <definedName name="________________PRN2" localSheetId="9">[1]내역서!#REF!</definedName>
    <definedName name="________________PRN3" localSheetId="9">[1]내역서!#REF!</definedName>
    <definedName name="________________PRN4" localSheetId="9">[1]내역서!#REF!</definedName>
    <definedName name="________________PRN6" localSheetId="9">[1]내역서!#REF!</definedName>
    <definedName name="________________PRN7" localSheetId="9">[1]내역서!#REF!</definedName>
    <definedName name="_______________PRN2" localSheetId="9">[1]내역서!#REF!</definedName>
    <definedName name="_______________PRN3" localSheetId="9">[1]내역서!#REF!</definedName>
    <definedName name="_______________PRN4" localSheetId="9">[1]내역서!#REF!</definedName>
    <definedName name="_______________PRN6" localSheetId="9">[1]내역서!#REF!</definedName>
    <definedName name="_______________PRN7" localSheetId="9">[1]내역서!#REF!</definedName>
    <definedName name="______________PRN2" localSheetId="9">[1]내역서!#REF!</definedName>
    <definedName name="______________PRN3" localSheetId="9">[1]내역서!#REF!</definedName>
    <definedName name="______________PRN4" localSheetId="9">[1]내역서!#REF!</definedName>
    <definedName name="______________PRN6" localSheetId="9">[1]내역서!#REF!</definedName>
    <definedName name="______________PRN7" localSheetId="9">[1]내역서!#REF!</definedName>
    <definedName name="_____________PRN2" localSheetId="9">[1]내역서!#REF!</definedName>
    <definedName name="_____________PRN3" localSheetId="9">[1]내역서!#REF!</definedName>
    <definedName name="_____________PRN4" localSheetId="9">[1]내역서!#REF!</definedName>
    <definedName name="_____________PRN6" localSheetId="9">[1]내역서!#REF!</definedName>
    <definedName name="_____________PRN7" localSheetId="9">[1]내역서!#REF!</definedName>
    <definedName name="____________PRN2" localSheetId="9">[1]내역서!#REF!</definedName>
    <definedName name="____________PRN3" localSheetId="9">[1]내역서!#REF!</definedName>
    <definedName name="____________PRN4" localSheetId="9">[1]내역서!#REF!</definedName>
    <definedName name="____________PRN6" localSheetId="9">[1]내역서!#REF!</definedName>
    <definedName name="____________PRN7" localSheetId="9">[1]내역서!#REF!</definedName>
    <definedName name="___________PRN2" localSheetId="9">[1]내역서!#REF!</definedName>
    <definedName name="___________PRN3" localSheetId="9">[1]내역서!#REF!</definedName>
    <definedName name="___________PRN4" localSheetId="9">[1]내역서!#REF!</definedName>
    <definedName name="___________PRN6" localSheetId="9">[1]내역서!#REF!</definedName>
    <definedName name="___________PRN7" localSheetId="9">[1]내역서!#REF!</definedName>
    <definedName name="__________PRN2" localSheetId="9">[1]내역서!#REF!</definedName>
    <definedName name="__________PRN3" localSheetId="9">[1]내역서!#REF!</definedName>
    <definedName name="__________PRN4" localSheetId="9">[1]내역서!#REF!</definedName>
    <definedName name="__________PRN6" localSheetId="9">[1]내역서!#REF!</definedName>
    <definedName name="__________PRN7" localSheetId="9">[1]내역서!#REF!</definedName>
    <definedName name="_________PRN2" localSheetId="9">[1]내역서!#REF!</definedName>
    <definedName name="_________PRN3" localSheetId="9">[1]내역서!#REF!</definedName>
    <definedName name="_________PRN4" localSheetId="9">[1]내역서!#REF!</definedName>
    <definedName name="_________PRN6" localSheetId="9">[1]내역서!#REF!</definedName>
    <definedName name="_________PRN7" localSheetId="9">[1]내역서!#REF!</definedName>
    <definedName name="________PRN2" localSheetId="9">[1]내역서!#REF!</definedName>
    <definedName name="________PRN3" localSheetId="9">[1]내역서!#REF!</definedName>
    <definedName name="________PRN4" localSheetId="9">[1]내역서!#REF!</definedName>
    <definedName name="________PRN6" localSheetId="9">[1]내역서!#REF!</definedName>
    <definedName name="________PRN7" localSheetId="9">[1]내역서!#REF!</definedName>
    <definedName name="_______DOG1" localSheetId="9">#REF!</definedName>
    <definedName name="_______DOG2" localSheetId="9">#REF!</definedName>
    <definedName name="_______DOG22" localSheetId="9">#REF!</definedName>
    <definedName name="_______DOG3" localSheetId="9">#REF!</definedName>
    <definedName name="_______DOG33" localSheetId="9">#REF!</definedName>
    <definedName name="_______DOG4" localSheetId="9">#REF!</definedName>
    <definedName name="_______IL1" localSheetId="9">#REF!</definedName>
    <definedName name="_______PI48" localSheetId="9">#REF!</definedName>
    <definedName name="_______PI60" localSheetId="9">#REF!</definedName>
    <definedName name="_______PRN2" localSheetId="9">[1]내역서!#REF!</definedName>
    <definedName name="_______PRN3" localSheetId="9">[1]내역서!#REF!</definedName>
    <definedName name="_______PRN4" localSheetId="9">[1]내역서!#REF!</definedName>
    <definedName name="_______PRN6" localSheetId="9">[1]내역서!#REF!</definedName>
    <definedName name="_______PRN7" localSheetId="9">[1]내역서!#REF!</definedName>
    <definedName name="_______RO110" localSheetId="9">#REF!</definedName>
    <definedName name="_______RO22" localSheetId="9">#REF!</definedName>
    <definedName name="_______RO35" localSheetId="9">#REF!</definedName>
    <definedName name="_______RO45" localSheetId="9">#REF!</definedName>
    <definedName name="_______RO60" localSheetId="9">#REF!</definedName>
    <definedName name="_______RO80" localSheetId="9">#REF!</definedName>
    <definedName name="_______TON1" localSheetId="9">#REF!</definedName>
    <definedName name="_______TON2" localSheetId="9">#REF!</definedName>
    <definedName name="_______WW2" localSheetId="9">#REF!</definedName>
    <definedName name="_______WW3" localSheetId="9">#REF!</definedName>
    <definedName name="_______WW6" localSheetId="9">#REF!</definedName>
    <definedName name="_______WW7" localSheetId="9">#REF!</definedName>
    <definedName name="_______WW8" localSheetId="9">#REF!</definedName>
    <definedName name="______DOG1" localSheetId="9">#REF!</definedName>
    <definedName name="______DOG2" localSheetId="9">#REF!</definedName>
    <definedName name="______DOG22" localSheetId="9">#REF!</definedName>
    <definedName name="______DOG3" localSheetId="9">#REF!</definedName>
    <definedName name="______DOG33" localSheetId="9">#REF!</definedName>
    <definedName name="______DOG4" localSheetId="9">#REF!</definedName>
    <definedName name="______IL1" localSheetId="9">#REF!</definedName>
    <definedName name="______PI48" localSheetId="9">#REF!</definedName>
    <definedName name="______PI60" localSheetId="9">#REF!</definedName>
    <definedName name="______PRN2" localSheetId="9">[1]내역서!#REF!</definedName>
    <definedName name="______PRN3" localSheetId="9">[1]내역서!#REF!</definedName>
    <definedName name="______PRN4" localSheetId="9">[1]내역서!#REF!</definedName>
    <definedName name="______PRN6" localSheetId="9">[1]내역서!#REF!</definedName>
    <definedName name="______PRN7" localSheetId="9">[1]내역서!#REF!</definedName>
    <definedName name="______RO110" localSheetId="9">#REF!</definedName>
    <definedName name="______RO22" localSheetId="9">#REF!</definedName>
    <definedName name="______RO35" localSheetId="9">#REF!</definedName>
    <definedName name="______RO45" localSheetId="9">#REF!</definedName>
    <definedName name="______RO60" localSheetId="9">#REF!</definedName>
    <definedName name="______RO80" localSheetId="9">#REF!</definedName>
    <definedName name="______TON1" localSheetId="9">#REF!</definedName>
    <definedName name="______TON2" localSheetId="9">#REF!</definedName>
    <definedName name="______WW2" localSheetId="9">#REF!</definedName>
    <definedName name="______WW3" localSheetId="9">#REF!</definedName>
    <definedName name="______WW6" localSheetId="9">#REF!</definedName>
    <definedName name="______WW7" localSheetId="9">#REF!</definedName>
    <definedName name="______WW8" localSheetId="9">#REF!</definedName>
    <definedName name="_____DOG1" localSheetId="9">#REF!</definedName>
    <definedName name="_____DOG2" localSheetId="9">#REF!</definedName>
    <definedName name="_____DOG22" localSheetId="9">#REF!</definedName>
    <definedName name="_____DOG3" localSheetId="9">#REF!</definedName>
    <definedName name="_____DOG33" localSheetId="9">#REF!</definedName>
    <definedName name="_____DOG4" localSheetId="9">#REF!</definedName>
    <definedName name="_____IL1" localSheetId="9">#REF!</definedName>
    <definedName name="_____PI48" localSheetId="9">#REF!</definedName>
    <definedName name="_____PI60" localSheetId="9">#REF!</definedName>
    <definedName name="_____PRN2" localSheetId="9">[1]내역서!#REF!</definedName>
    <definedName name="_____PRN3" localSheetId="9">[1]내역서!#REF!</definedName>
    <definedName name="_____PRN4" localSheetId="9">[1]내역서!#REF!</definedName>
    <definedName name="_____PRN6" localSheetId="9">[1]내역서!#REF!</definedName>
    <definedName name="_____PRN7" localSheetId="9">[1]내역서!#REF!</definedName>
    <definedName name="_____RO110" localSheetId="9">#REF!</definedName>
    <definedName name="_____RO22" localSheetId="9">#REF!</definedName>
    <definedName name="_____RO35" localSheetId="9">#REF!</definedName>
    <definedName name="_____RO45" localSheetId="9">#REF!</definedName>
    <definedName name="_____RO60" localSheetId="9">#REF!</definedName>
    <definedName name="_____RO80" localSheetId="9">#REF!</definedName>
    <definedName name="_____TON1" localSheetId="9">#REF!</definedName>
    <definedName name="_____TON2" localSheetId="9">#REF!</definedName>
    <definedName name="_____WW2" localSheetId="9">#REF!</definedName>
    <definedName name="_____WW3" localSheetId="9">#REF!</definedName>
    <definedName name="_____WW6" localSheetId="9">#REF!</definedName>
    <definedName name="_____WW7" localSheetId="9">#REF!</definedName>
    <definedName name="_____WW8" localSheetId="9">#REF!</definedName>
    <definedName name="____DOG1" localSheetId="9">#REF!</definedName>
    <definedName name="____DOG2" localSheetId="9">#REF!</definedName>
    <definedName name="____DOG22" localSheetId="9">#REF!</definedName>
    <definedName name="____DOG3" localSheetId="9">#REF!</definedName>
    <definedName name="____DOG33" localSheetId="9">#REF!</definedName>
    <definedName name="____DOG4" localSheetId="9">#REF!</definedName>
    <definedName name="____IL1" localSheetId="9">#REF!</definedName>
    <definedName name="____IRR2" hidden="1">[2]공정!$AH$25:$AH$37</definedName>
    <definedName name="____PI48" localSheetId="9">#REF!</definedName>
    <definedName name="____PI60" localSheetId="9">#REF!</definedName>
    <definedName name="____PL7" localSheetId="8" hidden="1">{#N/A,#N/A,TRUE,"대 차 대 조 표"}</definedName>
    <definedName name="____PL7" hidden="1">{#N/A,#N/A,TRUE,"대 차 대 조 표"}</definedName>
    <definedName name="____PRN2" localSheetId="9">[1]내역서!#REF!</definedName>
    <definedName name="____PRN3" localSheetId="9">[1]내역서!#REF!</definedName>
    <definedName name="____PRN4" localSheetId="9">[1]내역서!#REF!</definedName>
    <definedName name="____PRN6" localSheetId="9">[1]내역서!#REF!</definedName>
    <definedName name="____PRN7" localSheetId="9">[1]내역서!#REF!</definedName>
    <definedName name="____RO110" localSheetId="9">#REF!</definedName>
    <definedName name="____RO22" localSheetId="9">#REF!</definedName>
    <definedName name="____RO35" localSheetId="9">#REF!</definedName>
    <definedName name="____RO45" localSheetId="9">#REF!</definedName>
    <definedName name="____RO60" localSheetId="9">#REF!</definedName>
    <definedName name="____RO80" localSheetId="9">#REF!</definedName>
    <definedName name="____TON1" localSheetId="9">#REF!</definedName>
    <definedName name="____TON2" localSheetId="9">#REF!</definedName>
    <definedName name="____WW2" localSheetId="9">#REF!</definedName>
    <definedName name="____WW3" localSheetId="9">#REF!</definedName>
    <definedName name="____WW6" localSheetId="9">#REF!</definedName>
    <definedName name="____WW7" localSheetId="9">#REF!</definedName>
    <definedName name="____WW8" localSheetId="9">#REF!</definedName>
    <definedName name="___DOG1" localSheetId="9">#REF!</definedName>
    <definedName name="___DOG2" localSheetId="9">#REF!</definedName>
    <definedName name="___DOG22" localSheetId="9">#REF!</definedName>
    <definedName name="___DOG3" localSheetId="9">#REF!</definedName>
    <definedName name="___DOG33" localSheetId="9">#REF!</definedName>
    <definedName name="___DOG4" localSheetId="9">#REF!</definedName>
    <definedName name="___IL1" localSheetId="9">#REF!</definedName>
    <definedName name="___IRR2" hidden="1">[2]공정!$AH$25:$AH$37</definedName>
    <definedName name="___PI48" localSheetId="9">#REF!</definedName>
    <definedName name="___PI60" localSheetId="9">#REF!</definedName>
    <definedName name="___PL7" localSheetId="8" hidden="1">{#N/A,#N/A,TRUE,"대 차 대 조 표"}</definedName>
    <definedName name="___PL7" hidden="1">{#N/A,#N/A,TRUE,"대 차 대 조 표"}</definedName>
    <definedName name="___PRN2" localSheetId="9">[1]내역서!#REF!</definedName>
    <definedName name="___PRN3" localSheetId="9">[1]내역서!#REF!</definedName>
    <definedName name="___PRN4" localSheetId="9">[1]내역서!#REF!</definedName>
    <definedName name="___PRN6" localSheetId="9">[1]내역서!#REF!</definedName>
    <definedName name="___PRN7" localSheetId="9">[1]내역서!#REF!</definedName>
    <definedName name="___q45" localSheetId="8" hidden="1">{"'용역비'!$A$4:$C$8"}</definedName>
    <definedName name="___q45" hidden="1">{"'용역비'!$A$4:$C$8"}</definedName>
    <definedName name="___RO110" localSheetId="9">#REF!</definedName>
    <definedName name="___RO22" localSheetId="9">#REF!</definedName>
    <definedName name="___RO35" localSheetId="9">#REF!</definedName>
    <definedName name="___RO45" localSheetId="9">#REF!</definedName>
    <definedName name="___RO60" localSheetId="9">#REF!</definedName>
    <definedName name="___RO80" localSheetId="9">#REF!</definedName>
    <definedName name="___TON1" localSheetId="9">#REF!</definedName>
    <definedName name="___TON2" localSheetId="9">#REF!</definedName>
    <definedName name="___WW2" localSheetId="9">#REF!</definedName>
    <definedName name="___WW3" localSheetId="9">#REF!</definedName>
    <definedName name="___WW6" localSheetId="9">#REF!</definedName>
    <definedName name="___WW7" localSheetId="9">#REF!</definedName>
    <definedName name="___WW8" localSheetId="9">#REF!</definedName>
    <definedName name="__123Graph_A" hidden="1">[3]목표세부명세!#REF!</definedName>
    <definedName name="__123Graph_B" hidden="1">[3]목표세부명세!#REF!</definedName>
    <definedName name="__DOG1" localSheetId="9">#REF!</definedName>
    <definedName name="__DOG2" localSheetId="9">#REF!</definedName>
    <definedName name="__DOG22" localSheetId="9">#REF!</definedName>
    <definedName name="__DOG3" localSheetId="9">#REF!</definedName>
    <definedName name="__DOG33" localSheetId="9">#REF!</definedName>
    <definedName name="__DOG4" localSheetId="9">#REF!</definedName>
    <definedName name="__IL1" localSheetId="9">#REF!</definedName>
    <definedName name="__IRR2" hidden="1">[2]공정!$AH$25:$AH$37</definedName>
    <definedName name="__PI48" localSheetId="9">#REF!</definedName>
    <definedName name="__PI60" localSheetId="9">#REF!</definedName>
    <definedName name="__PL7" localSheetId="8" hidden="1">{#N/A,#N/A,TRUE,"대 차 대 조 표"}</definedName>
    <definedName name="__PL7" hidden="1">{#N/A,#N/A,TRUE,"대 차 대 조 표"}</definedName>
    <definedName name="__PRN2" localSheetId="9">[1]내역서!#REF!</definedName>
    <definedName name="__PRN3" localSheetId="9">[1]내역서!#REF!</definedName>
    <definedName name="__PRN4" localSheetId="9">[1]내역서!#REF!</definedName>
    <definedName name="__PRN6" localSheetId="9">[1]내역서!#REF!</definedName>
    <definedName name="__PRN7" localSheetId="9">[1]내역서!#REF!</definedName>
    <definedName name="__q45" localSheetId="8" hidden="1">{"'용역비'!$A$4:$C$8"}</definedName>
    <definedName name="__q45" hidden="1">{"'용역비'!$A$4:$C$8"}</definedName>
    <definedName name="__RO110" localSheetId="9">#REF!</definedName>
    <definedName name="__RO22" localSheetId="9">#REF!</definedName>
    <definedName name="__RO35" localSheetId="9">#REF!</definedName>
    <definedName name="__RO45" localSheetId="9">#REF!</definedName>
    <definedName name="__RO60" localSheetId="9">#REF!</definedName>
    <definedName name="__RO80" localSheetId="9">#REF!</definedName>
    <definedName name="__TON1" localSheetId="9">#REF!</definedName>
    <definedName name="__TON2" localSheetId="9">#REF!</definedName>
    <definedName name="__WW2" localSheetId="9">#REF!</definedName>
    <definedName name="__WW3" localSheetId="9">#REF!</definedName>
    <definedName name="__WW6" localSheetId="9">#REF!</definedName>
    <definedName name="__WW7" localSheetId="9">#REF!</definedName>
    <definedName name="__WW8" localSheetId="9">#REF!</definedName>
    <definedName name="_17q45_" localSheetId="8" hidden="1">{"'용역비'!$A$4:$C$8"}</definedName>
    <definedName name="_17q45_" hidden="1">{"'용역비'!$A$4:$C$8"}</definedName>
    <definedName name="_2q45_" localSheetId="8" hidden="1">{"'용역비'!$A$4:$C$8"}</definedName>
    <definedName name="_2q45_" hidden="1">{"'용역비'!$A$4:$C$8"}</definedName>
    <definedName name="_6q45_" localSheetId="8" hidden="1">{"'용역비'!$A$4:$C$8"}</definedName>
    <definedName name="_6q45_" hidden="1">{"'용역비'!$A$4:$C$8"}</definedName>
    <definedName name="_DOG1" localSheetId="9">#REF!</definedName>
    <definedName name="_DOG2" localSheetId="9">#REF!</definedName>
    <definedName name="_DOG22" localSheetId="9">#REF!</definedName>
    <definedName name="_DOG3" localSheetId="9">#REF!</definedName>
    <definedName name="_DOG33" localSheetId="9">#REF!</definedName>
    <definedName name="_DOG4" localSheetId="9">#REF!</definedName>
    <definedName name="_Fill" localSheetId="1" hidden="1">[4]암거날개벽!#REF!</definedName>
    <definedName name="_Fill" localSheetId="8" hidden="1">[4]암거날개벽!#REF!</definedName>
    <definedName name="_Fill" hidden="1">[4]암거날개벽!#REF!</definedName>
    <definedName name="_IL1" localSheetId="9">#REF!</definedName>
    <definedName name="_IRR2" hidden="1">[2]공정!$AH$25:$AH$37</definedName>
    <definedName name="_Key1" localSheetId="1" hidden="1">[1]내역서!#REF!</definedName>
    <definedName name="_Key1" localSheetId="5" hidden="1">[1]내역서!#REF!</definedName>
    <definedName name="_Key1" localSheetId="8" hidden="1">[1]내역서!#REF!</definedName>
    <definedName name="_Key1" localSheetId="9" hidden="1">[1]내역서!#REF!</definedName>
    <definedName name="_Key1" hidden="1">[1]내역서!#REF!</definedName>
    <definedName name="_Key2" localSheetId="8" hidden="1">#REF!</definedName>
    <definedName name="_Key2" hidden="1">#REF!</definedName>
    <definedName name="_Order1" hidden="1">255</definedName>
    <definedName name="_Order2" hidden="1">255</definedName>
    <definedName name="_PI48" localSheetId="9">#REF!</definedName>
    <definedName name="_PI60" localSheetId="9">#REF!</definedName>
    <definedName name="_PL7" localSheetId="8" hidden="1">{#N/A,#N/A,TRUE,"대 차 대 조 표"}</definedName>
    <definedName name="_PL7" hidden="1">{#N/A,#N/A,TRUE,"대 차 대 조 표"}</definedName>
    <definedName name="_PRN2" localSheetId="9">[1]내역서!#REF!</definedName>
    <definedName name="_PRN3" localSheetId="9">[1]내역서!#REF!</definedName>
    <definedName name="_PRN4" localSheetId="9">[1]내역서!#REF!</definedName>
    <definedName name="_PRN6" localSheetId="9">[1]내역서!#REF!</definedName>
    <definedName name="_PRN7" localSheetId="9">[1]내역서!#REF!</definedName>
    <definedName name="_Regression_Int" hidden="1">1</definedName>
    <definedName name="_RO110" localSheetId="9">#REF!</definedName>
    <definedName name="_RO22" localSheetId="9">#REF!</definedName>
    <definedName name="_RO35" localSheetId="9">#REF!</definedName>
    <definedName name="_RO45" localSheetId="9">#REF!</definedName>
    <definedName name="_RO60" localSheetId="9">#REF!</definedName>
    <definedName name="_RO80" localSheetId="9">#REF!</definedName>
    <definedName name="_Sort" localSheetId="1" hidden="1">[1]내역서!#REF!</definedName>
    <definedName name="_Sort" localSheetId="5" hidden="1">[1]내역서!#REF!</definedName>
    <definedName name="_Sort" localSheetId="8" hidden="1">[1]내역서!#REF!</definedName>
    <definedName name="_Sort" localSheetId="9" hidden="1">[1]내역서!#REF!</definedName>
    <definedName name="_Sort" hidden="1">[1]내역서!#REF!</definedName>
    <definedName name="_TON1" localSheetId="9">#REF!</definedName>
    <definedName name="_TON2" localSheetId="9">#REF!</definedName>
    <definedName name="_WW2" localSheetId="9">#REF!</definedName>
    <definedName name="_WW3" localSheetId="9">#REF!</definedName>
    <definedName name="_WW6" localSheetId="9">#REF!</definedName>
    <definedName name="_WW7" localSheetId="9">#REF!</definedName>
    <definedName name="_WW8" localSheetId="9">#REF!</definedName>
    <definedName name="\a" localSheetId="9">[1]내역서!#REF!</definedName>
    <definedName name="a" localSheetId="9">#REF!</definedName>
    <definedName name="a\" localSheetId="0" hidden="1">{#N/A,#N/A,TRUE,"자재관리";#N/A,#N/A,TRUE,"품질"}</definedName>
    <definedName name="a\" localSheetId="1" hidden="1">{#N/A,#N/A,TRUE,"자재관리";#N/A,#N/A,TRUE,"품질"}</definedName>
    <definedName name="a\" localSheetId="8" hidden="1">{#N/A,#N/A,TRUE,"자재관리";#N/A,#N/A,TRUE,"품질"}</definedName>
    <definedName name="a\" hidden="1">{#N/A,#N/A,TRUE,"자재관리";#N/A,#N/A,TRUE,"품질"}</definedName>
    <definedName name="aaa" localSheetId="8" hidden="1">{#N/A,#N/A,FALSE,"동부"}</definedName>
    <definedName name="aaa" hidden="1">{#N/A,#N/A,FALSE,"동부"}</definedName>
    <definedName name="Access_Button" hidden="1">"종합사번1999년_99년02월_퇴사__List"</definedName>
    <definedName name="AccessDatabase" hidden="1">"D:\공무jaje\98년품의-수불\98146.mdb"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NFRK2" localSheetId="9">#REF!</definedName>
    <definedName name="ANFRK3" localSheetId="9">#REF!</definedName>
    <definedName name="anfrkk" localSheetId="9">#REF!</definedName>
    <definedName name="anscount" hidden="1">2</definedName>
    <definedName name="app.3.2.2" localSheetId="8" hidden="1">{#N/A,#N/A,FALSE,"동부"}</definedName>
    <definedName name="app.3.2.2" hidden="1">{#N/A,#N/A,FALSE,"동부"}</definedName>
    <definedName name="App3.2.2" localSheetId="8" hidden="1">{#N/A,#N/A,TRUE,"대 차 대 조 표"}</definedName>
    <definedName name="App3.2.2" hidden="1">{#N/A,#N/A,TRUE,"대 차 대 조 표"}</definedName>
    <definedName name="b" localSheetId="9">#REF!</definedName>
    <definedName name="BadLink" hidden="1">#REF!</definedName>
    <definedName name="BM" hidden="1">#REF!</definedName>
    <definedName name="BUSH" localSheetId="0" hidden="1">{"'Sheet1'!$E$23","'Sheet1'!$A$3:$H$19","'Sheet1'!$A$1:$H$19"}</definedName>
    <definedName name="BUSH" localSheetId="1" hidden="1">{"'Sheet1'!$E$23","'Sheet1'!$A$3:$H$19","'Sheet1'!$A$1:$H$19"}</definedName>
    <definedName name="BUSH" localSheetId="8" hidden="1">{"'Sheet1'!$E$23","'Sheet1'!$A$3:$H$19","'Sheet1'!$A$1:$H$19"}</definedName>
    <definedName name="BUSH" hidden="1">{"'Sheet1'!$E$23","'Sheet1'!$A$3:$H$19","'Sheet1'!$A$1:$H$19"}</definedName>
    <definedName name="BU별" localSheetId="8" hidden="1">{#N/A,#N/A,FALSE,"동부"}</definedName>
    <definedName name="BU별" hidden="1">{#N/A,#N/A,FALSE,"동부"}</definedName>
    <definedName name="cgmh" localSheetId="8" hidden="1">{"'용역비'!$A$4:$C$8"}</definedName>
    <definedName name="cgmh" hidden="1">{"'용역비'!$A$4:$C$8"}</definedName>
    <definedName name="CODE" localSheetId="9">[1]내역서!#REF!</definedName>
    <definedName name="copy2" localSheetId="0" hidden="1">{#N/A,#N/A,TRUE,"자재관리";#N/A,#N/A,TRUE,"품질"}</definedName>
    <definedName name="copy2" localSheetId="1" hidden="1">{#N/A,#N/A,TRUE,"자재관리";#N/A,#N/A,TRUE,"품질"}</definedName>
    <definedName name="copy2" localSheetId="8" hidden="1">{#N/A,#N/A,TRUE,"자재관리";#N/A,#N/A,TRUE,"품질"}</definedName>
    <definedName name="copy2" hidden="1">{#N/A,#N/A,TRUE,"자재관리";#N/A,#N/A,TRUE,"품질"}</definedName>
    <definedName name="copy3" localSheetId="0" hidden="1">{#N/A,#N/A,TRUE,"자재관리";#N/A,#N/A,TRUE,"품질"}</definedName>
    <definedName name="copy3" localSheetId="1" hidden="1">{#N/A,#N/A,TRUE,"자재관리";#N/A,#N/A,TRUE,"품질"}</definedName>
    <definedName name="copy3" localSheetId="8"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1" hidden="1">{#N/A,#N/A,FALSE,"자재관리";#N/A,#N/A,FALSE,"자재관리";#N/A,#N/A,FALSE,"자재관리"}</definedName>
    <definedName name="copy4" localSheetId="8" hidden="1">{#N/A,#N/A,FALSE,"자재관리";#N/A,#N/A,FALSE,"자재관리";#N/A,#N/A,FALSE,"자재관리"}</definedName>
    <definedName name="copy4" hidden="1">{#N/A,#N/A,FALSE,"자재관리";#N/A,#N/A,FALSE,"자재관리";#N/A,#N/A,FALSE,"자재관리"}</definedName>
    <definedName name="CY2007년" localSheetId="8" hidden="1">{#N/A,#N/A,FALSE,"97년 투자계획 세부내역 "}</definedName>
    <definedName name="CY2007년" hidden="1">{#N/A,#N/A,FALSE,"97년 투자계획 세부내역 "}</definedName>
    <definedName name="D" localSheetId="0" hidden="1">{#N/A,#N/A,FALSE,"자재관리";#N/A,#N/A,FALSE,"자재관리";#N/A,#N/A,FALSE,"자재관리"}</definedName>
    <definedName name="D" localSheetId="1" hidden="1">{#N/A,#N/A,FALSE,"자재관리";#N/A,#N/A,FALSE,"자재관리";#N/A,#N/A,FALSE,"자재관리"}</definedName>
    <definedName name="D" localSheetId="8" hidden="1">{#N/A,#N/A,FALSE,"자재관리";#N/A,#N/A,FALSE,"자재관리";#N/A,#N/A,FALSE,"자재관리"}</definedName>
    <definedName name="D" hidden="1">{#N/A,#N/A,FALSE,"자재관리";#N/A,#N/A,FALSE,"자재관리";#N/A,#N/A,FALSE,"자재관리"}</definedName>
    <definedName name="DD" localSheetId="9">#REF!</definedName>
    <definedName name="DDD" localSheetId="9">#REF!</definedName>
    <definedName name="DDDD" localSheetId="9">'[5]표지 (2)'!#REF!</definedName>
    <definedName name="ddddd" localSheetId="8" hidden="1">#REF!</definedName>
    <definedName name="ddddd" hidden="1">#REF!</definedName>
    <definedName name="dhj" localSheetId="8" hidden="1">{"'용역비'!$A$4:$C$8"}</definedName>
    <definedName name="dhj" hidden="1">{"'용역비'!$A$4:$C$8"}</definedName>
    <definedName name="DIV" localSheetId="8" hidden="1">{#N/A,#N/A,FALSE,"97년 투자계획 세부내역 "}</definedName>
    <definedName name="DIV" hidden="1">{#N/A,#N/A,FALSE,"97년 투자계획 세부내역 "}</definedName>
    <definedName name="DJQAN" localSheetId="8" hidden="1">{#N/A,#N/A,TRUE,"대 차 대 조 표"}</definedName>
    <definedName name="DJQAN" hidden="1">{#N/A,#N/A,TRUE,"대 차 대 조 표"}</definedName>
    <definedName name="dkd" localSheetId="0" hidden="1">{#N/A,#N/A,FALSE,"자재관리";#N/A,#N/A,FALSE,"자재관리";#N/A,#N/A,FALSE,"자재관리"}</definedName>
    <definedName name="dkd" localSheetId="1" hidden="1">{#N/A,#N/A,FALSE,"자재관리";#N/A,#N/A,FALSE,"자재관리";#N/A,#N/A,FALSE,"자재관리"}</definedName>
    <definedName name="dkd" localSheetId="8"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1" hidden="1">{#N/A,#N/A,FALSE,"전력간선"}</definedName>
    <definedName name="DKFDK" localSheetId="8" hidden="1">{#N/A,#N/A,FALSE,"전력간선"}</definedName>
    <definedName name="DKFDK" hidden="1">{#N/A,#N/A,FALSE,"전력간선"}</definedName>
    <definedName name="DNFL" localSheetId="8" hidden="1">{#N/A,#N/A,FALSE,"동부"}</definedName>
    <definedName name="DNFL" hidden="1">{#N/A,#N/A,FALSE,"동부"}</definedName>
    <definedName name="DW" localSheetId="8" hidden="1">{"'용역비'!$A$4:$C$8"}</definedName>
    <definedName name="DW" hidden="1">{"'용역비'!$A$4:$C$8"}</definedName>
    <definedName name="EFG" localSheetId="8" hidden="1">{"'용역비'!$A$4:$C$8"}</definedName>
    <definedName name="EFG" hidden="1">{"'용역비'!$A$4:$C$8"}</definedName>
    <definedName name="EGE" localSheetId="8" hidden="1">{"'용역비'!$A$4:$C$8"}</definedName>
    <definedName name="EGE" hidden="1">{"'용역비'!$A$4:$C$8"}</definedName>
    <definedName name="ej" localSheetId="8" hidden="1">{"'용역비'!$A$4:$C$8"}</definedName>
    <definedName name="ej" hidden="1">{"'용역비'!$A$4:$C$8"}</definedName>
    <definedName name="ertyertye" localSheetId="8" hidden="1">{"'용역비'!$A$4:$C$8"}</definedName>
    <definedName name="ertyertye" hidden="1">{"'용역비'!$A$4:$C$8"}</definedName>
    <definedName name="ETYETY" localSheetId="8" hidden="1">{"'용역비'!$A$4:$C$8"}</definedName>
    <definedName name="ETYETY" hidden="1">{"'용역비'!$A$4:$C$8"}</definedName>
    <definedName name="etyj" localSheetId="8" hidden="1">{"'용역비'!$A$4:$C$8"}</definedName>
    <definedName name="etyj" hidden="1">{"'용역비'!$A$4:$C$8"}</definedName>
    <definedName name="etyjj" localSheetId="8" hidden="1">{"'용역비'!$A$4:$C$8"}</definedName>
    <definedName name="etyjj" hidden="1">{"'용역비'!$A$4:$C$8"}</definedName>
    <definedName name="ETYJTYJ" localSheetId="8" hidden="1">{"'용역비'!$A$4:$C$8"}</definedName>
    <definedName name="ETYJTYJ" hidden="1">{"'용역비'!$A$4:$C$8"}</definedName>
    <definedName name="_xlnm.Extract" localSheetId="9">#REF!</definedName>
    <definedName name="ff" localSheetId="8" hidden="1">{#N/A,#N/A,FALSE,"동부"}</definedName>
    <definedName name="ff" hidden="1">{#N/A,#N/A,FALSE,"동부"}</definedName>
    <definedName name="FFF" localSheetId="0" hidden="1">{#N/A,#N/A,FALSE,"CCTV"}</definedName>
    <definedName name="FFF" localSheetId="1" hidden="1">{#N/A,#N/A,FALSE,"CCTV"}</definedName>
    <definedName name="FFF" localSheetId="8" hidden="1">{#N/A,#N/A,FALSE,"CCTV"}</definedName>
    <definedName name="FFF" hidden="1">{#N/A,#N/A,FALSE,"CCTV"}</definedName>
    <definedName name="FFFF" localSheetId="0" hidden="1">{#N/A,#N/A,FALSE,"자재관리";#N/A,#N/A,FALSE,"자재관리";#N/A,#N/A,FALSE,"자재관리"}</definedName>
    <definedName name="FFFF" localSheetId="1" hidden="1">{#N/A,#N/A,FALSE,"자재관리";#N/A,#N/A,FALSE,"자재관리";#N/A,#N/A,FALSE,"자재관리"}</definedName>
    <definedName name="FFFF" localSheetId="8"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1" hidden="1">{#N/A,#N/A,FALSE,"자재관리";#N/A,#N/A,FALSE,"자재관리";#N/A,#N/A,FALSE,"자재관리"}</definedName>
    <definedName name="FFFFFF" localSheetId="8"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1" hidden="1">{#N/A,#N/A,FALSE,"자재관리";#N/A,#N/A,FALSE,"자재관리";#N/A,#N/A,FALSE,"자재관리"}</definedName>
    <definedName name="fffffff" localSheetId="8"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9">#REF!</definedName>
    <definedName name="FGGG" localSheetId="9">#REF!</definedName>
    <definedName name="FK" localSheetId="8" hidden="1">{"'용역비'!$A$4:$C$8"}</definedName>
    <definedName name="FK" hidden="1">{"'용역비'!$A$4:$C$8"}</definedName>
    <definedName name="FM계약일할" localSheetId="8" hidden="1">{#N/A,#N/A,TRUE,"대 차 대 조 표"}</definedName>
    <definedName name="FM계약일할" hidden="1">{#N/A,#N/A,TRUE,"대 차 대 조 표"}</definedName>
    <definedName name="GH" localSheetId="9">#REF!</definedName>
    <definedName name="GUSTLS" hidden="1">#REF!</definedName>
    <definedName name="hgc" localSheetId="8" hidden="1">{#N/A,#N/A,TRUE,"대 차 대 조 표"}</definedName>
    <definedName name="hgc" hidden="1">{#N/A,#N/A,TRUE,"대 차 대 조 표"}</definedName>
    <definedName name="HHHHH" localSheetId="0" hidden="1">{#N/A,#N/A,FALSE,"자재관리";#N/A,#N/A,FALSE,"자재관리";#N/A,#N/A,FALSE,"자재관리"}</definedName>
    <definedName name="HHHHH" localSheetId="1" hidden="1">{#N/A,#N/A,FALSE,"자재관리";#N/A,#N/A,FALSE,"자재관리";#N/A,#N/A,FALSE,"자재관리"}</definedName>
    <definedName name="HHHHH" localSheetId="8"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1" hidden="1">{#N/A,#N/A,FALSE,"자재관리";#N/A,#N/A,FALSE,"자재관리";#N/A,#N/A,FALSE,"자재관리"}</definedName>
    <definedName name="HHHHHH" localSheetId="8" hidden="1">{#N/A,#N/A,FALSE,"자재관리";#N/A,#N/A,FALSE,"자재관리";#N/A,#N/A,FALSE,"자재관리"}</definedName>
    <definedName name="HHHHHH" hidden="1">{#N/A,#N/A,FALSE,"자재관리";#N/A,#N/A,FALSE,"자재관리";#N/A,#N/A,FALSE,"자재관리"}</definedName>
    <definedName name="HI_전선관" localSheetId="9">#REF!</definedName>
    <definedName name="HSR" localSheetId="8" hidden="1">{"'용역비'!$A$4:$C$8"}</definedName>
    <definedName name="HSR" hidden="1">{"'용역비'!$A$4:$C$8"}</definedName>
    <definedName name="HTML_CodePage" hidden="1">949</definedName>
    <definedName name="HTML_Control" localSheetId="0" hidden="1">{"'Sheet1'!$E$23","'Sheet1'!$A$3:$H$19","'Sheet1'!$A$1:$H$19"}</definedName>
    <definedName name="HTML_Control" localSheetId="1" hidden="1">{"'Sheet1'!$E$23","'Sheet1'!$A$3:$H$19","'Sheet1'!$A$1:$H$19"}</definedName>
    <definedName name="HTML_Control" localSheetId="8"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I" localSheetId="8" hidden="1">{"'용역비'!$A$4:$C$8"}</definedName>
    <definedName name="IIII" hidden="1">{"'용역비'!$A$4:$C$8"}</definedName>
    <definedName name="IIIII" localSheetId="8" hidden="1">{"'용역비'!$A$4:$C$8"}</definedName>
    <definedName name="IIIII" hidden="1">{"'용역비'!$A$4:$C$8"}</definedName>
    <definedName name="IL" localSheetId="9">#REF!</definedName>
    <definedName name="IOI" localSheetId="8" hidden="1">{"'용역비'!$A$4:$C$8"}</definedName>
    <definedName name="IOI" hidden="1">{"'용역비'!$A$4:$C$8"}</definedName>
    <definedName name="JJJJ" localSheetId="0" hidden="1">{#N/A,#N/A,FALSE,"자재관리";#N/A,#N/A,FALSE,"자재관리";#N/A,#N/A,FALSE,"자재관리"}</definedName>
    <definedName name="JJJJ" localSheetId="1" hidden="1">{#N/A,#N/A,FALSE,"자재관리";#N/A,#N/A,FALSE,"자재관리";#N/A,#N/A,FALSE,"자재관리"}</definedName>
    <definedName name="JJJJ" localSheetId="8" hidden="1">{#N/A,#N/A,FALSE,"자재관리";#N/A,#N/A,FALSE,"자재관리";#N/A,#N/A,FALSE,"자재관리"}</definedName>
    <definedName name="JJJJ" hidden="1">{#N/A,#N/A,FALSE,"자재관리";#N/A,#N/A,FALSE,"자재관리";#N/A,#N/A,FALSE,"자재관리"}</definedName>
    <definedName name="jkljk" localSheetId="8" hidden="1">{#N/A,#N/A,FALSE,"이력서&amp;자기소개서"}</definedName>
    <definedName name="jkljk" hidden="1">{#N/A,#N/A,FALSE,"이력서&amp;자기소개서"}</definedName>
    <definedName name="K" localSheetId="0" hidden="1">{#N/A,#N/A,FALSE,"자재관리";#N/A,#N/A,FALSE,"자재관리";#N/A,#N/A,FALSE,"자재관리"}</definedName>
    <definedName name="K" localSheetId="1" hidden="1">{#N/A,#N/A,FALSE,"자재관리";#N/A,#N/A,FALSE,"자재관리";#N/A,#N/A,FALSE,"자재관리"}</definedName>
    <definedName name="K" localSheetId="8" hidden="1">{#N/A,#N/A,FALSE,"자재관리";#N/A,#N/A,FALSE,"자재관리";#N/A,#N/A,FALSE,"자재관리"}</definedName>
    <definedName name="K" hidden="1">{#N/A,#N/A,FALSE,"자재관리";#N/A,#N/A,FALSE,"자재관리";#N/A,#N/A,FALSE,"자재관리"}</definedName>
    <definedName name="KFJG" localSheetId="9">#REF!</definedName>
    <definedName name="kkkkk" localSheetId="0" hidden="1">{#N/A,#N/A,FALSE,"자재관리";#N/A,#N/A,FALSE,"자재관리";#N/A,#N/A,FALSE,"자재관리"}</definedName>
    <definedName name="kkkkk" localSheetId="1" hidden="1">{#N/A,#N/A,FALSE,"자재관리";#N/A,#N/A,FALSE,"자재관리";#N/A,#N/A,FALSE,"자재관리"}</definedName>
    <definedName name="kkkkk" localSheetId="8"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1" hidden="1">{#N/A,#N/A,FALSE,"자재관리";#N/A,#N/A,FALSE,"자재관리";#N/A,#N/A,FALSE,"자재관리"}</definedName>
    <definedName name="knauf" localSheetId="8" hidden="1">{#N/A,#N/A,FALSE,"자재관리";#N/A,#N/A,FALSE,"자재관리";#N/A,#N/A,FALSE,"자재관리"}</definedName>
    <definedName name="knauf" hidden="1">{#N/A,#N/A,FALSE,"자재관리";#N/A,#N/A,FALSE,"자재관리";#N/A,#N/A,FALSE,"자재관리"}</definedName>
    <definedName name="KSJ_25" localSheetId="8" hidden="1">{#N/A,#N/A,FALSE,"동부"}</definedName>
    <definedName name="KSJ_25" hidden="1">{#N/A,#N/A,FALSE,"동부"}</definedName>
    <definedName name="L" localSheetId="0" hidden="1">{#N/A,#N/A,TRUE,"자재관리";#N/A,#N/A,TRUE,"품질"}</definedName>
    <definedName name="L" localSheetId="1" hidden="1">{#N/A,#N/A,TRUE,"자재관리";#N/A,#N/A,TRUE,"품질"}</definedName>
    <definedName name="L" localSheetId="8" hidden="1">{#N/A,#N/A,TRUE,"자재관리";#N/A,#N/A,TRUE,"품질"}</definedName>
    <definedName name="L" hidden="1">{#N/A,#N/A,TRUE,"자재관리";#N/A,#N/A,TRUE,"품질"}</definedName>
    <definedName name="li" localSheetId="8" hidden="1">{"'용역비'!$A$4:$C$8"}</definedName>
    <definedName name="li" hidden="1">{"'용역비'!$A$4:$C$8"}</definedName>
    <definedName name="MC" localSheetId="0" hidden="1">{#N/A,#N/A,FALSE,"자재관리";#N/A,#N/A,FALSE,"자재관리";#N/A,#N/A,FALSE,"자재관리"}</definedName>
    <definedName name="MC" localSheetId="1" hidden="1">{#N/A,#N/A,FALSE,"자재관리";#N/A,#N/A,FALSE,"자재관리";#N/A,#N/A,FALSE,"자재관리"}</definedName>
    <definedName name="MC" localSheetId="8" hidden="1">{#N/A,#N/A,FALSE,"자재관리";#N/A,#N/A,FALSE,"자재관리";#N/A,#N/A,FALSE,"자재관리"}</definedName>
    <definedName name="MC" hidden="1">{#N/A,#N/A,FALSE,"자재관리";#N/A,#N/A,FALSE,"자재관리";#N/A,#N/A,FALSE,"자재관리"}</definedName>
    <definedName name="MOTOR__농형_전폐" localSheetId="9">#REF!</definedName>
    <definedName name="Neotech" localSheetId="0" hidden="1">{#N/A,#N/A,FALSE,"자재관리";#N/A,#N/A,FALSE,"자재관리";#N/A,#N/A,FALSE,"자재관리"}</definedName>
    <definedName name="Neotech" localSheetId="1" hidden="1">{#N/A,#N/A,FALSE,"자재관리";#N/A,#N/A,FALSE,"자재관리";#N/A,#N/A,FALSE,"자재관리"}</definedName>
    <definedName name="Neotech" localSheetId="8"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1" hidden="1">{#N/A,#N/A,FALSE,"CCTV"}</definedName>
    <definedName name="NEWNAME" localSheetId="8" hidden="1">{#N/A,#N/A,FALSE,"CCTV"}</definedName>
    <definedName name="NEWNAME" hidden="1">{#N/A,#N/A,FALSE,"CCTV"}</definedName>
    <definedName name="nnnnnnnnnnnnnnnn" localSheetId="9">#REF!</definedName>
    <definedName name="OIL" localSheetId="8" hidden="1">{"'용역비'!$A$4:$C$8"}</definedName>
    <definedName name="OIL" hidden="1">{"'용역비'!$A$4:$C$8"}</definedName>
    <definedName name="OOOOOO" localSheetId="0" hidden="1">{#N/A,#N/A,FALSE,"자재관리";#N/A,#N/A,FALSE,"자재관리";#N/A,#N/A,FALSE,"자재관리"}</definedName>
    <definedName name="OOOOOO" localSheetId="1" hidden="1">{#N/A,#N/A,FALSE,"자재관리";#N/A,#N/A,FALSE,"자재관리";#N/A,#N/A,FALSE,"자재관리"}</definedName>
    <definedName name="OOOOOO" localSheetId="8" hidden="1">{#N/A,#N/A,FALSE,"자재관리";#N/A,#N/A,FALSE,"자재관리";#N/A,#N/A,FALSE,"자재관리"}</definedName>
    <definedName name="OOOOOO" hidden="1">{#N/A,#N/A,FALSE,"자재관리";#N/A,#N/A,FALSE,"자재관리";#N/A,#N/A,FALSE,"자재관리"}</definedName>
    <definedName name="ppp" hidden="1">#REF!</definedName>
    <definedName name="PRESS" localSheetId="0" hidden="1">{"'Sheet1'!$E$23","'Sheet1'!$A$3:$H$19","'Sheet1'!$A$1:$H$19"}</definedName>
    <definedName name="PRESS" localSheetId="1" hidden="1">{"'Sheet1'!$E$23","'Sheet1'!$A$3:$H$19","'Sheet1'!$A$1:$H$19"}</definedName>
    <definedName name="PRESS" localSheetId="8" hidden="1">{"'Sheet1'!$E$23","'Sheet1'!$A$3:$H$19","'Sheet1'!$A$1:$H$19"}</definedName>
    <definedName name="PRESS" hidden="1">{"'Sheet1'!$E$23","'Sheet1'!$A$3:$H$19","'Sheet1'!$A$1:$H$19"}</definedName>
    <definedName name="press1" localSheetId="0" hidden="1">{"'Sheet1'!$E$23","'Sheet1'!$A$3:$H$19","'Sheet1'!$A$1:$H$19"}</definedName>
    <definedName name="press1" localSheetId="1" hidden="1">{"'Sheet1'!$E$23","'Sheet1'!$A$3:$H$19","'Sheet1'!$A$1:$H$19"}</definedName>
    <definedName name="press1" localSheetId="8" hidden="1">{"'Sheet1'!$E$23","'Sheet1'!$A$3:$H$19","'Sheet1'!$A$1:$H$19"}</definedName>
    <definedName name="press1" hidden="1">{"'Sheet1'!$E$23","'Sheet1'!$A$3:$H$19","'Sheet1'!$A$1:$H$19"}</definedName>
    <definedName name="_xlnm.Print_Area" localSheetId="0">'1.구축견적'!$A$1:$N$24</definedName>
    <definedName name="_xlnm.Print_Area" localSheetId="1">'2.관제점리스트'!$A$1:$I$4</definedName>
    <definedName name="_xlnm.Print_Area" localSheetId="2">'3.공사예산내역서(갑)'!$A$1:$I$28</definedName>
    <definedName name="_xlnm.Print_Area" localSheetId="9">첨부2_출장경비!$B$2:$K$29</definedName>
    <definedName name="Print_Area_MI" localSheetId="9">#REF!</definedName>
    <definedName name="PRINT_AREA_MI1" localSheetId="9">#REF!</definedName>
    <definedName name="_xlnm.Print_Titles" localSheetId="9">#REF!</definedName>
    <definedName name="PRN" localSheetId="9">#REF!</definedName>
    <definedName name="Q" localSheetId="0" hidden="1">{#N/A,#N/A,FALSE,"자재관리";#N/A,#N/A,FALSE,"자재관리";#N/A,#N/A,FALSE,"자재관리"}</definedName>
    <definedName name="Q" localSheetId="1" hidden="1">{#N/A,#N/A,FALSE,"자재관리";#N/A,#N/A,FALSE,"자재관리";#N/A,#N/A,FALSE,"자재관리"}</definedName>
    <definedName name="Q" localSheetId="8" hidden="1">{#N/A,#N/A,FALSE,"자재관리";#N/A,#N/A,FALSE,"자재관리";#N/A,#N/A,FALSE,"자재관리"}</definedName>
    <definedName name="Q" hidden="1">{#N/A,#N/A,FALSE,"자재관리";#N/A,#N/A,FALSE,"자재관리";#N/A,#N/A,FALSE,"자재관리"}</definedName>
    <definedName name="q234562456" localSheetId="8" hidden="1">{"'용역비'!$A$4:$C$8"}</definedName>
    <definedName name="q234562456" hidden="1">{"'용역비'!$A$4:$C$8"}</definedName>
    <definedName name="QA" localSheetId="8" hidden="1">{"'용역비'!$A$4:$C$8"}</definedName>
    <definedName name="QA" hidden="1">{"'용역비'!$A$4:$C$8"}</definedName>
    <definedName name="qqq" localSheetId="0" hidden="1">{#N/A,#N/A,FALSE,"전력간선"}</definedName>
    <definedName name="qqq" localSheetId="1" hidden="1">{#N/A,#N/A,FALSE,"전력간선"}</definedName>
    <definedName name="qqq" localSheetId="8" hidden="1">{#N/A,#N/A,FALSE,"전력간선"}</definedName>
    <definedName name="qqq" hidden="1">{#N/A,#N/A,FALSE,"전력간선"}</definedName>
    <definedName name="QQQW" localSheetId="0" hidden="1">{#N/A,#N/A,FALSE,"전력간선"}</definedName>
    <definedName name="QQQW" localSheetId="1" hidden="1">{#N/A,#N/A,FALSE,"전력간선"}</definedName>
    <definedName name="QQQW" localSheetId="8" hidden="1">{#N/A,#N/A,FALSE,"전력간선"}</definedName>
    <definedName name="QQQW" hidden="1">{#N/A,#N/A,FALSE,"전력간선"}</definedName>
    <definedName name="qyk" localSheetId="8" hidden="1">{"'용역비'!$A$4:$C$8"}</definedName>
    <definedName name="qyk" hidden="1">{"'용역비'!$A$4:$C$8"}</definedName>
    <definedName name="rent" localSheetId="8" hidden="1">{#N/A,#N/A,FALSE,"동부"}</definedName>
    <definedName name="rent" hidden="1">{#N/A,#N/A,FALSE,"동부"}</definedName>
    <definedName name="rer" localSheetId="9">[1]내역서!#REF!</definedName>
    <definedName name="ret" localSheetId="0" hidden="1">{#N/A,#N/A,FALSE,"전력간선"}</definedName>
    <definedName name="ret" localSheetId="1" hidden="1">{#N/A,#N/A,FALSE,"전력간선"}</definedName>
    <definedName name="ret" localSheetId="8" hidden="1">{#N/A,#N/A,FALSE,"전력간선"}</definedName>
    <definedName name="ret" hidden="1">{#N/A,#N/A,FALSE,"전력간선"}</definedName>
    <definedName name="rewr" localSheetId="8" hidden="1">{#N/A,#N/A,FALSE,"이력서&amp;자기소개서"}</definedName>
    <definedName name="rewr" hidden="1">{#N/A,#N/A,FALSE,"이력서&amp;자기소개서"}</definedName>
    <definedName name="RH" localSheetId="8" hidden="1">{"'용역비'!$A$4:$C$8"}</definedName>
    <definedName name="RH" hidden="1">{"'용역비'!$A$4:$C$8"}</definedName>
    <definedName name="RIRI" localSheetId="0" hidden="1">{#N/A,#N/A,FALSE,"전력간선"}</definedName>
    <definedName name="RIRI" localSheetId="1" hidden="1">{#N/A,#N/A,FALSE,"전력간선"}</definedName>
    <definedName name="RIRI" localSheetId="8" hidden="1">{#N/A,#N/A,FALSE,"전력간선"}</definedName>
    <definedName name="RIRI" hidden="1">{#N/A,#N/A,FALSE,"전력간선"}</definedName>
    <definedName name="RTGH" localSheetId="8" hidden="1">{"'용역비'!$A$4:$C$8"}</definedName>
    <definedName name="RTGH" hidden="1">{"'용역비'!$A$4:$C$8"}</definedName>
    <definedName name="rth" localSheetId="8" hidden="1">{"'용역비'!$A$4:$C$8"}</definedName>
    <definedName name="rth" hidden="1">{"'용역비'!$A$4:$C$8"}</definedName>
    <definedName name="rthyetyuety" localSheetId="0" hidden="1">{#N/A,#N/A,TRUE,"자재관리";#N/A,#N/A,TRUE,"품질"}</definedName>
    <definedName name="rthyetyuety" localSheetId="1" hidden="1">{#N/A,#N/A,TRUE,"자재관리";#N/A,#N/A,TRUE,"품질"}</definedName>
    <definedName name="rthyetyuety" localSheetId="8" hidden="1">{#N/A,#N/A,TRUE,"자재관리";#N/A,#N/A,TRUE,"품질"}</definedName>
    <definedName name="rthyetyuety" hidden="1">{#N/A,#N/A,TRUE,"자재관리";#N/A,#N/A,TRUE,"품질"}</definedName>
    <definedName name="RYUIRYU" localSheetId="8" hidden="1">{"'용역비'!$A$4:$C$8"}</definedName>
    <definedName name="RYUIRYU" hidden="1">{"'용역비'!$A$4:$C$8"}</definedName>
    <definedName name="ryuk" localSheetId="8" hidden="1">{"'용역비'!$A$4:$C$8"}</definedName>
    <definedName name="ryuk" hidden="1">{"'용역비'!$A$4:$C$8"}</definedName>
    <definedName name="SAPBEXrevision" hidden="1">5</definedName>
    <definedName name="SAPBEXsysID" hidden="1">"PBW"</definedName>
    <definedName name="SAPBEXwbID" hidden="1">"461MV176AFZ8EMO9X5CXOB1LL"</definedName>
    <definedName name="SD" localSheetId="0" hidden="1">{#N/A,#N/A,FALSE,"자재관리";#N/A,#N/A,FALSE,"자재관리";#N/A,#N/A,FALSE,"자재관리"}</definedName>
    <definedName name="SD" localSheetId="1" hidden="1">{#N/A,#N/A,FALSE,"자재관리";#N/A,#N/A,FALSE,"자재관리";#N/A,#N/A,FALSE,"자재관리"}</definedName>
    <definedName name="SD" localSheetId="8" hidden="1">{#N/A,#N/A,FALSE,"자재관리";#N/A,#N/A,FALSE,"자재관리";#N/A,#N/A,FALSE,"자재관리"}</definedName>
    <definedName name="SD" hidden="1">{#N/A,#N/A,FALSE,"자재관리";#N/A,#N/A,FALSE,"자재관리";#N/A,#N/A,FALSE,"자재관리"}</definedName>
    <definedName name="sdryhj" localSheetId="8" hidden="1">{"'용역비'!$A$4:$C$8"}</definedName>
    <definedName name="sdryhj" hidden="1">{"'용역비'!$A$4:$C$8"}</definedName>
    <definedName name="SE" localSheetId="8" hidden="1">{"'용역비'!$A$4:$C$8"}</definedName>
    <definedName name="SE" hidden="1">{"'용역비'!$A$4:$C$8"}</definedName>
    <definedName name="sencount" hidden="1">1</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rth" localSheetId="8" hidden="1">{"'용역비'!$A$4:$C$8"}</definedName>
    <definedName name="srth" hidden="1">{"'용역비'!$A$4:$C$8"}</definedName>
    <definedName name="sss" localSheetId="0" hidden="1">{#N/A,#N/A,FALSE,"전력간선"}</definedName>
    <definedName name="sss" localSheetId="1" hidden="1">{#N/A,#N/A,FALSE,"전력간선"}</definedName>
    <definedName name="sss" localSheetId="8" hidden="1">{#N/A,#N/A,FALSE,"전력간선"}</definedName>
    <definedName name="sss" hidden="1">{#N/A,#N/A,FALSE,"전력간선"}</definedName>
    <definedName name="STS" localSheetId="8" hidden="1">{"'용역비'!$A$4:$C$8"}</definedName>
    <definedName name="STS" hidden="1">{"'용역비'!$A$4:$C$8"}</definedName>
    <definedName name="t" localSheetId="0" hidden="1">{#N/A,#N/A,TRUE,"자재관리";#N/A,#N/A,TRUE,"품질"}</definedName>
    <definedName name="t" localSheetId="1" hidden="1">{#N/A,#N/A,TRUE,"자재관리";#N/A,#N/A,TRUE,"품질"}</definedName>
    <definedName name="t" localSheetId="8" hidden="1">{#N/A,#N/A,TRUE,"자재관리";#N/A,#N/A,TRUE,"품질"}</definedName>
    <definedName name="t" hidden="1">{#N/A,#N/A,TRUE,"자재관리";#N/A,#N/A,TRUE,"품질"}</definedName>
    <definedName name="TEYJ" localSheetId="8" hidden="1">{"'용역비'!$A$4:$C$8"}</definedName>
    <definedName name="TEYJ" hidden="1">{"'용역비'!$A$4:$C$8"}</definedName>
    <definedName name="TFUI" localSheetId="8" hidden="1">{"'용역비'!$A$4:$C$8"}</definedName>
    <definedName name="TFUI" hidden="1">{"'용역비'!$A$4:$C$8"}</definedName>
    <definedName name="tlf" hidden="1">#REF!</definedName>
    <definedName name="tu" localSheetId="8" hidden="1">{"'용역비'!$A$4:$C$8"}</definedName>
    <definedName name="tu" hidden="1">{"'용역비'!$A$4:$C$8"}</definedName>
    <definedName name="tuilol" localSheetId="8" hidden="1">{"'용역비'!$A$4:$C$8"}</definedName>
    <definedName name="tuilol" hidden="1">{"'용역비'!$A$4:$C$8"}</definedName>
    <definedName name="TUIO" localSheetId="8" hidden="1">{"'용역비'!$A$4:$C$8"}</definedName>
    <definedName name="TUIO" hidden="1">{"'용역비'!$A$4:$C$8"}</definedName>
    <definedName name="TUIO.L" localSheetId="8" hidden="1">{"'용역비'!$A$4:$C$8"}</definedName>
    <definedName name="TUIO.L" hidden="1">{"'용역비'!$A$4:$C$8"}</definedName>
    <definedName name="TUIOTUI" localSheetId="8" hidden="1">{"'용역비'!$A$4:$C$8"}</definedName>
    <definedName name="TUIOTUI" hidden="1">{"'용역비'!$A$4:$C$8"}</definedName>
    <definedName name="tyje" localSheetId="8" hidden="1">{"'용역비'!$A$4:$C$8"}</definedName>
    <definedName name="tyje" hidden="1">{"'용역비'!$A$4:$C$8"}</definedName>
    <definedName name="tyjet" localSheetId="8" hidden="1">{"'용역비'!$A$4:$C$8"}</definedName>
    <definedName name="tyjet" hidden="1">{"'용역비'!$A$4:$C$8"}</definedName>
    <definedName name="U" localSheetId="8" hidden="1">{"'용역비'!$A$4:$C$8"}</definedName>
    <definedName name="U" hidden="1">{"'용역비'!$A$4:$C$8"}</definedName>
    <definedName name="ulo" localSheetId="8" hidden="1">{"'용역비'!$A$4:$C$8"}</definedName>
    <definedName name="ulo" hidden="1">{"'용역비'!$A$4:$C$8"}</definedName>
    <definedName name="UTI" localSheetId="8" hidden="1">{"'용역비'!$A$4:$C$8"}</definedName>
    <definedName name="UTI" hidden="1">{"'용역비'!$A$4:$C$8"}</definedName>
    <definedName name="UTIOL" localSheetId="8" hidden="1">{"'용역비'!$A$4:$C$8"}</definedName>
    <definedName name="UTIOL" hidden="1">{"'용역비'!$A$4:$C$8"}</definedName>
    <definedName name="uwehdiueih" localSheetId="0" hidden="1">{#N/A,#N/A,FALSE,"자재관리";#N/A,#N/A,FALSE,"자재관리";#N/A,#N/A,FALSE,"자재관리"}</definedName>
    <definedName name="uwehdiueih" localSheetId="1" hidden="1">{#N/A,#N/A,FALSE,"자재관리";#N/A,#N/A,FALSE,"자재관리";#N/A,#N/A,FALSE,"자재관리"}</definedName>
    <definedName name="uwehdiueih" localSheetId="8"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1" hidden="1">{#N/A,#N/A,FALSE,"CCTV"}</definedName>
    <definedName name="WRITE" localSheetId="8"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8"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1" hidden="1">{#N/A,#N/A,FALSE,"자재관리";#N/A,#N/A,FALSE,"자재관리";#N/A,#N/A,FALSE,"자재관리"}</definedName>
    <definedName name="wrn.6월._.자재관리._.현황." localSheetId="8" hidden="1">{#N/A,#N/A,FALSE,"자재관리";#N/A,#N/A,FALSE,"자재관리";#N/A,#N/A,FALSE,"자재관리"}</definedName>
    <definedName name="wrn.6월._.자재관리._.현황." hidden="1">{#N/A,#N/A,FALSE,"자재관리";#N/A,#N/A,FALSE,"자재관리";#N/A,#N/A,FALSE,"자재관리"}</definedName>
    <definedName name="wrn.97년._.9월._.임차현황." localSheetId="8" hidden="1">{#N/A,#N/A,FALSE,"동부"}</definedName>
    <definedName name="wrn.97년._.9월._.임차현황." hidden="1">{#N/A,#N/A,FALSE,"동부"}</definedName>
    <definedName name="wrn.97년._.투자계획." localSheetId="8" hidden="1">{#N/A,#N/A,FALSE,"97년 투자계획 세부내역 "}</definedName>
    <definedName name="wrn.97년._.투자계획." hidden="1">{#N/A,#N/A,FALSE,"97년 투자계획 세부내역 "}</definedName>
    <definedName name="wrn.aa." localSheetId="8" hidden="1">{#N/A,#N/A,FALSE,"UNIT";#N/A,#N/A,FALSE,"UNIT";#N/A,#N/A,FALSE,"계정"}</definedName>
    <definedName name="wrn.aa." hidden="1">{#N/A,#N/A,FALSE,"UNIT";#N/A,#N/A,FALSE,"UNIT";#N/A,#N/A,FALSE,"계정"}</definedName>
    <definedName name="wrn.ac30prn." localSheetId="0"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8"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1" hidden="1">{#N/A,#N/A,FALSE,"CCTV"}</definedName>
    <definedName name="wrn.BM." localSheetId="8" hidden="1">{#N/A,#N/A,FALSE,"CCTV"}</definedName>
    <definedName name="wrn.BM." hidden="1">{#N/A,#N/A,FALSE,"CCTV"}</definedName>
    <definedName name="wrn.CAPA." localSheetId="8"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8" hidden="1">{#N/A,#N/A,FALSE,"보고";#N/A,#N/A,FALSE,"유첨"}</definedName>
    <definedName name="wrn.CAPA2." hidden="1">{#N/A,#N/A,FALSE,"보고";#N/A,#N/A,FALSE,"유첨"}</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견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교육청." localSheetId="0" hidden="1">{#N/A,#N/A,FALSE,"전력간선"}</definedName>
    <definedName name="wrn.교육청." localSheetId="1" hidden="1">{#N/A,#N/A,FALSE,"전력간선"}</definedName>
    <definedName name="wrn.교육청." localSheetId="8" hidden="1">{#N/A,#N/A,FALSE,"전력간선"}</definedName>
    <definedName name="wrn.교육청." hidden="1">{#N/A,#N/A,FALSE,"전력간선"}</definedName>
    <definedName name="wrn.기성." localSheetId="0" hidden="1">{#N/A,#N/A,FALSE,"신청통보";#N/A,#N/A,FALSE,"기성확인서";#N/A,#N/A,FALSE,"기성내역서"}</definedName>
    <definedName name="wrn.기성." localSheetId="1" hidden="1">{#N/A,#N/A,FALSE,"신청통보";#N/A,#N/A,FALSE,"기성확인서";#N/A,#N/A,FALSE,"기성내역서"}</definedName>
    <definedName name="wrn.기성." localSheetId="8"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8" hidden="1">{#N/A,#N/A,FALSE,"터빈집계";#N/A,#N/A,FALSE,"터빈내역";#N/A,#N/A,FALSE,"보일러집계";#N/A,#N/A,FALSE,"보일러내역"}</definedName>
    <definedName name="wrn.기초." hidden="1">{#N/A,#N/A,FALSE,"터빈집계";#N/A,#N/A,FALSE,"터빈내역";#N/A,#N/A,FALSE,"보일러집계";#N/A,#N/A,FALSE,"보일러내역"}</definedName>
    <definedName name="wrn.대차._.대조표." localSheetId="8" hidden="1">{#N/A,#N/A,TRUE,"대 차 대 조 표"}</definedName>
    <definedName name="wrn.대차._.대조표." hidden="1">{#N/A,#N/A,TRUE,"대 차 대 조 표"}</definedName>
    <definedName name="wrn.보고서." localSheetId="0" hidden="1">{#N/A,#N/A,TRUE,"자재관리";#N/A,#N/A,TRUE,"품질"}</definedName>
    <definedName name="wrn.보고서." localSheetId="1" hidden="1">{#N/A,#N/A,TRUE,"자재관리";#N/A,#N/A,TRUE,"품질"}</definedName>
    <definedName name="wrn.보고서." localSheetId="8"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8"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0"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8"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8" hidden="1">{#N/A,#N/A,TRUE,"토적및재료집계";#N/A,#N/A,TRUE,"토적및재료집계";#N/A,#N/A,TRUE,"단위량"}</definedName>
    <definedName name="wrn.신용찬." hidden="1">{#N/A,#N/A,TRUE,"토적및재료집계";#N/A,#N/A,TRUE,"토적및재료집계";#N/A,#N/A,TRUE,"단위량"}</definedName>
    <definedName name="wrn.외주기성." localSheetId="0" hidden="1">{#N/A,#N/A,FALSE,"신청통보";#N/A,#N/A,FALSE,"기성확인서";#N/A,#N/A,FALSE,"기성내역서"}</definedName>
    <definedName name="wrn.외주기성." localSheetId="1" hidden="1">{#N/A,#N/A,FALSE,"신청통보";#N/A,#N/A,FALSE,"기성확인서";#N/A,#N/A,FALSE,"기성내역서"}</definedName>
    <definedName name="wrn.외주기성." localSheetId="8" hidden="1">{#N/A,#N/A,FALSE,"신청통보";#N/A,#N/A,FALSE,"기성확인서";#N/A,#N/A,FALSE,"기성내역서"}</definedName>
    <definedName name="wrn.외주기성." hidden="1">{#N/A,#N/A,FALSE,"신청통보";#N/A,#N/A,FALSE,"기성확인서";#N/A,#N/A,FALSE,"기성내역서"}</definedName>
    <definedName name="wrn.월보." localSheetId="8"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이력서._.자기소개서." localSheetId="8" hidden="1">{#N/A,#N/A,FALSE,"이력서&amp;자기소개서"}</definedName>
    <definedName name="wrn.이력서._.자기소개서." hidden="1">{#N/A,#N/A,FALSE,"이력서&amp;자기소개서"}</definedName>
    <definedName name="wrty" localSheetId="8" hidden="1">{"'용역비'!$A$4:$C$8"}</definedName>
    <definedName name="wrty" hidden="1">{"'용역비'!$A$4:$C$8"}</definedName>
    <definedName name="wrtyrtyrt" localSheetId="8" hidden="1">{"'용역비'!$A$4:$C$8"}</definedName>
    <definedName name="wrtyrtyrt" hidden="1">{"'용역비'!$A$4:$C$8"}</definedName>
    <definedName name="wrtywrtywr" localSheetId="8" hidden="1">{"'용역비'!$A$4:$C$8"}</definedName>
    <definedName name="wrtywrtywr" hidden="1">{"'용역비'!$A$4:$C$8"}</definedName>
    <definedName name="wuy" localSheetId="8" hidden="1">{"'용역비'!$A$4:$C$8"}</definedName>
    <definedName name="wuy" hidden="1">{"'용역비'!$A$4:$C$8"}</definedName>
    <definedName name="X" localSheetId="0" hidden="1">{#N/A,#N/A,TRUE,"자재관리";#N/A,#N/A,TRUE,"품질"}</definedName>
    <definedName name="X" localSheetId="1" hidden="1">{#N/A,#N/A,TRUE,"자재관리";#N/A,#N/A,TRUE,"품질"}</definedName>
    <definedName name="X" localSheetId="8" hidden="1">{#N/A,#N/A,TRUE,"자재관리";#N/A,#N/A,TRUE,"품질"}</definedName>
    <definedName name="X" hidden="1">{#N/A,#N/A,TRUE,"자재관리";#N/A,#N/A,TRUE,"품질"}</definedName>
    <definedName name="y" localSheetId="8" hidden="1">{"'용역비'!$A$4:$C$8"}</definedName>
    <definedName name="y" hidden="1">{"'용역비'!$A$4:$C$8"}</definedName>
    <definedName name="YFU" localSheetId="8" hidden="1">{"'용역비'!$A$4:$C$8"}</definedName>
    <definedName name="YFU" hidden="1">{"'용역비'!$A$4:$C$8"}</definedName>
    <definedName name="YL" localSheetId="8" hidden="1">{"'용역비'!$A$4:$C$8"}</definedName>
    <definedName name="YL" hidden="1">{"'용역비'!$A$4:$C$8"}</definedName>
    <definedName name="yu" localSheetId="8" hidden="1">{"'용역비'!$A$4:$C$8"}</definedName>
    <definedName name="yu" hidden="1">{"'용역비'!$A$4:$C$8"}</definedName>
    <definedName name="YUK" localSheetId="8" hidden="1">{"'용역비'!$A$4:$C$8"}</definedName>
    <definedName name="YUK" hidden="1">{"'용역비'!$A$4:$C$8"}</definedName>
    <definedName name="YUKOI" localSheetId="8" hidden="1">{"'용역비'!$A$4:$C$8"}</definedName>
    <definedName name="YUKOI" hidden="1">{"'용역비'!$A$4:$C$8"}</definedName>
    <definedName name="Z_18B7B7A5_CB81_11D4_B8D9_00D0B79CFA38_.wvu.FilterData" hidden="1">#REF!</definedName>
    <definedName name="Z_1E68EE86_CB81_11D4_8D98_0008C73BAB8A_.wvu.FilterData" hidden="1">#REF!</definedName>
    <definedName name="Z_6C188702_CB61_11D4_8F58_00508BF61DE6_.wvu.FilterData" hidden="1">#REF!</definedName>
    <definedName name="Z_A56863A1_CC32_11D4_8E20_00D0B79C982E_.wvu.FilterData" hidden="1">#REF!</definedName>
    <definedName name="zzz" localSheetId="8" hidden="1">{#N/A,#N/A,FALSE,"이력서&amp;자기소개서"}</definedName>
    <definedName name="zzz" hidden="1">{#N/A,#N/A,FALSE,"이력서&amp;자기소개서"}</definedName>
    <definedName name="ㄱㄱ" localSheetId="8" hidden="1">{"'용역비'!$A$4:$C$8"}</definedName>
    <definedName name="ㄱㄱ" hidden="1">{"'용역비'!$A$4:$C$8"}</definedName>
    <definedName name="ㄱㄱㄱ" localSheetId="8" hidden="1">{"'용역비'!$A$4:$C$8"}</definedName>
    <definedName name="ㄱㄱㄱ" hidden="1">{"'용역비'!$A$4:$C$8"}</definedName>
    <definedName name="ㄱㄱㄱㄱㄱ" localSheetId="8" hidden="1">{"'용역비'!$A$4:$C$8"}</definedName>
    <definedName name="ㄱㄱㄱㄱㄱ" hidden="1">{"'용역비'!$A$4:$C$8"}</definedName>
    <definedName name="ㄱㄱㄱㄱㄱㄱ" localSheetId="8" hidden="1">{"'용역비'!$A$4:$C$8"}</definedName>
    <definedName name="ㄱㄱㄱㄱㄱㄱ" hidden="1">{"'용역비'!$A$4:$C$8"}</definedName>
    <definedName name="ㄱㅎ" localSheetId="8" hidden="1">{"'용역비'!$A$4:$C$8"}</definedName>
    <definedName name="ㄱㅎ" hidden="1">{"'용역비'!$A$4:$C$8"}</definedName>
    <definedName name="가" localSheetId="9">'[6]표지 (2)'!#REF!</definedName>
    <definedName name="간지3" localSheetId="8" hidden="1">{"'용역비'!$A$4:$C$8"}</definedName>
    <definedName name="간지3" hidden="1">{"'용역비'!$A$4:$C$8"}</definedName>
    <definedName name="감가" localSheetId="8" hidden="1">{"'2분기예산별'!$B$2:$O$38"}</definedName>
    <definedName name="감가" hidden="1">{"'2분기예산별'!$B$2:$O$38"}</definedName>
    <definedName name="감가3" localSheetId="8" hidden="1">{"'2분기예산별'!$B$2:$O$38"}</definedName>
    <definedName name="감가3" hidden="1">{"'2분기예산별'!$B$2:$O$38"}</definedName>
    <definedName name="감가상각미화" localSheetId="8" hidden="1">{#N/A,#N/A,FALSE,"이력서&amp;자기소개서"}</definedName>
    <definedName name="감가상각미화" hidden="1">{#N/A,#N/A,FALSE,"이력서&amp;자기소개서"}</definedName>
    <definedName name="갑03" localSheetId="9">#REF!</definedName>
    <definedName name="갑지" localSheetId="8" hidden="1">[7]내역서!#REF!</definedName>
    <definedName name="갑지" hidden="1">[7]내역서!#REF!</definedName>
    <definedName name="강남" localSheetId="8" hidden="1">{#N/A,#N/A,FALSE,"97년 투자계획 세부내역 "}</definedName>
    <definedName name="강남" hidden="1">{#N/A,#N/A,FALSE,"97년 투자계획 세부내역 "}</definedName>
    <definedName name="강북" localSheetId="8" hidden="1">{#N/A,#N/A,FALSE,"97년 투자계획 세부내역 "}</definedName>
    <definedName name="강북" hidden="1">{#N/A,#N/A,FALSE,"97년 투자계획 세부내역 "}</definedName>
    <definedName name="강서" localSheetId="8" hidden="1">{#N/A,#N/A,FALSE,"97년 투자계획 세부내역 "}</definedName>
    <definedName name="강서" hidden="1">{#N/A,#N/A,FALSE,"97년 투자계획 세부내역 "}</definedName>
    <definedName name="개요_본사" localSheetId="8" hidden="1">{#N/A,#N/A,FALSE,"97년 투자계획 세부내역 "}</definedName>
    <definedName name="개요_본사" hidden="1">{#N/A,#N/A,FALSE,"97년 투자계획 세부내역 "}</definedName>
    <definedName name="거" localSheetId="8" hidden="1">{#N/A,#N/A,FALSE,"97년 투자계획 세부내역 "}</definedName>
    <definedName name="거" hidden="1">{#N/A,#N/A,FALSE,"97년 투자계획 세부내역 "}</definedName>
    <definedName name="건비" localSheetId="8" hidden="1">{"'2분기예산별'!$B$2:$O$38"}</definedName>
    <definedName name="건비" hidden="1">{"'2분기예산별'!$B$2:$O$38"}</definedName>
    <definedName name="겨격" localSheetId="8" hidden="1">#REF!</definedName>
    <definedName name="겨격" hidden="1">#REF!</definedName>
    <definedName name="견적조건" localSheetId="8" hidden="1">{#N/A,#N/A,FALSE,"CCTV"}</definedName>
    <definedName name="견적조건" hidden="1">{#N/A,#N/A,FALSE,"CCTV"}</definedName>
    <definedName name="견적조건8" localSheetId="8" hidden="1">{#N/A,#N/A,FALSE,"CCTV"}</definedName>
    <definedName name="견적조건8" hidden="1">{#N/A,#N/A,FALSE,"CCTV"}</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집계" localSheetId="8" hidden="1">{"'용역비'!$A$4:$C$8"}</definedName>
    <definedName name="경비집계" hidden="1">{"'용역비'!$A$4:$C$8"}</definedName>
    <definedName name="경산"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산"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수" localSheetId="0"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8"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1" hidden="1">{#N/A,#N/A,FALSE,"자재관리";#N/A,#N/A,FALSE,"자재관리";#N/A,#N/A,FALSE,"자재관리"}</definedName>
    <definedName name="경영목표2" localSheetId="8" hidden="1">{#N/A,#N/A,FALSE,"자재관리";#N/A,#N/A,FALSE,"자재관리";#N/A,#N/A,FALSE,"자재관리"}</definedName>
    <definedName name="경영목표2" hidden="1">{#N/A,#N/A,FALSE,"자재관리";#N/A,#N/A,FALSE,"자재관리";#N/A,#N/A,FALSE,"자재관리"}</definedName>
    <definedName name="경쟁사동향" localSheetId="8" hidden="1">{#N/A,#N/A,FALSE,"97년 투자계획 세부내역 "}</definedName>
    <definedName name="경쟁사동향" hidden="1">{#N/A,#N/A,FALSE,"97년 투자계획 세부내역 "}</definedName>
    <definedName name="고" localSheetId="8" hidden="1">{"'통신지'!$A$1:$J$41"}</definedName>
    <definedName name="고" hidden="1">{"'통신지'!$A$1:$J$41"}</definedName>
    <definedName name="고고" localSheetId="8" hidden="1">{"'통신지'!$A$1:$J$41"}</definedName>
    <definedName name="고고" hidden="1">{"'통신지'!$A$1:$J$41"}</definedName>
    <definedName name="고재석" localSheetId="8" hidden="1">{#N/A,#N/A,FALSE,"97년 투자계획 세부내역 "}</definedName>
    <definedName name="고재석" hidden="1">{#N/A,#N/A,FALSE,"97년 투자계획 세부내역 "}</definedName>
    <definedName name="공간" hidden="1">5</definedName>
    <definedName name="공문" localSheetId="0" hidden="1">{#N/A,#N/A,FALSE,"자재관리";#N/A,#N/A,FALSE,"자재관리";#N/A,#N/A,FALSE,"자재관리"}</definedName>
    <definedName name="공문" localSheetId="1" hidden="1">{#N/A,#N/A,FALSE,"자재관리";#N/A,#N/A,FALSE,"자재관리";#N/A,#N/A,FALSE,"자재관리"}</definedName>
    <definedName name="공문" localSheetId="8"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1" hidden="1">{#N/A,#N/A,FALSE,"자재관리";#N/A,#N/A,FALSE,"자재관리";#N/A,#N/A,FALSE,"자재관리"}</definedName>
    <definedName name="공문1" localSheetId="8" hidden="1">{#N/A,#N/A,FALSE,"자재관리";#N/A,#N/A,FALSE,"자재관리";#N/A,#N/A,FALSE,"자재관리"}</definedName>
    <definedName name="공문1" hidden="1">{#N/A,#N/A,FALSE,"자재관리";#N/A,#N/A,FALSE,"자재관리";#N/A,#N/A,FALSE,"자재관리"}</definedName>
    <definedName name="공주2" localSheetId="8" hidden="1">{#N/A,#N/A,FALSE,"동부"}</definedName>
    <definedName name="공주2" hidden="1">{#N/A,#N/A,FALSE,"동부"}</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매" localSheetId="9">#REF!</definedName>
    <definedName name="구자관" localSheetId="0" hidden="1">{#N/A,#N/A,FALSE,"신청통보";#N/A,#N/A,FALSE,"기성확인서";#N/A,#N/A,FALSE,"기성내역서"}</definedName>
    <definedName name="구자관" localSheetId="1" hidden="1">{#N/A,#N/A,FALSE,"신청통보";#N/A,#N/A,FALSE,"기성확인서";#N/A,#N/A,FALSE,"기성내역서"}</definedName>
    <definedName name="구자관" localSheetId="8" hidden="1">{#N/A,#N/A,FALSE,"신청통보";#N/A,#N/A,FALSE,"기성확인서";#N/A,#N/A,FALSE,"기성내역서"}</definedName>
    <definedName name="구자관" hidden="1">{#N/A,#N/A,FALSE,"신청통보";#N/A,#N/A,FALSE,"기성확인서";#N/A,#N/A,FALSE,"기성내역서"}</definedName>
    <definedName name="권대협" localSheetId="8" hidden="1">{#N/A,#N/A,FALSE,"CCTV"}</definedName>
    <definedName name="권대협" hidden="1">{#N/A,#N/A,FALSE,"CCTV"}</definedName>
    <definedName name="글쎄" localSheetId="8" hidden="1">{#N/A,#N/A,FALSE,"97년 투자계획 세부내역 "}</definedName>
    <definedName name="글쎄" hidden="1">{#N/A,#N/A,FALSE,"97년 투자계획 세부내역 "}</definedName>
    <definedName name="기" localSheetId="0" hidden="1">{#N/A,#N/A,TRUE,"자재관리";#N/A,#N/A,TRUE,"품질"}</definedName>
    <definedName name="기" localSheetId="1" hidden="1">{#N/A,#N/A,TRUE,"자재관리";#N/A,#N/A,TRUE,"품질"}</definedName>
    <definedName name="기" localSheetId="8" hidden="1">{#N/A,#N/A,TRUE,"자재관리";#N/A,#N/A,TRUE,"품질"}</definedName>
    <definedName name="기" hidden="1">{#N/A,#N/A,TRUE,"자재관리";#N/A,#N/A,TRUE,"품질"}</definedName>
    <definedName name="기계단가1" localSheetId="0" hidden="1">{#N/A,#N/A,FALSE,"전력간선"}</definedName>
    <definedName name="기계단가1" localSheetId="1" hidden="1">{#N/A,#N/A,FALSE,"전력간선"}</definedName>
    <definedName name="기계단가1" localSheetId="8" hidden="1">{#N/A,#N/A,FALSE,"전력간선"}</definedName>
    <definedName name="기계단가1" hidden="1">{#N/A,#N/A,FALSE,"전력간선"}</definedName>
    <definedName name="기성3" localSheetId="8" hidden="1">{#N/A,#N/A,FALSE,"CCTV"}</definedName>
    <definedName name="기성3" hidden="1">{#N/A,#N/A,FALSE,"CCTV"}</definedName>
    <definedName name="기성갑" hidden="1">#REF!</definedName>
    <definedName name="기술료산출표" localSheetId="8" hidden="1">{"'용역비'!$A$4:$C$8"}</definedName>
    <definedName name="기술료산출표" hidden="1">{"'용역비'!$A$4:$C$8"}</definedName>
    <definedName name="기자재수량" localSheetId="9">#REF!</definedName>
    <definedName name="기타경비" localSheetId="8" hidden="1">{#N/A,#N/A,TRUE,"토적및재료집계";#N/A,#N/A,TRUE,"토적및재료집계";#N/A,#N/A,TRUE,"단위량"}</definedName>
    <definedName name="기타경비"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8"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8"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8" hidden="1">{#N/A,#N/A,FALSE,"97년 투자계획 세부내역 "}</definedName>
    <definedName name="김" hidden="1">{#N/A,#N/A,FALSE,"97년 투자계획 세부내역 "}</definedName>
    <definedName name="ㄳㄱ" localSheetId="8" hidden="1">{"'용역비'!$A$4:$C$8"}</definedName>
    <definedName name="ㄳㄱ" hidden="1">{"'용역비'!$A$4:$C$8"}</definedName>
    <definedName name="ㄳㄳㄳㄳ" localSheetId="8" hidden="1">{"'용역비'!$A$4:$C$8"}</definedName>
    <definedName name="ㄳㄳㄳㄳ" hidden="1">{"'용역비'!$A$4:$C$8"}</definedName>
    <definedName name="ㄴ" localSheetId="0" hidden="1">{#N/A,#N/A,TRUE,"자재관리";#N/A,#N/A,TRUE,"품질"}</definedName>
    <definedName name="ㄴ" localSheetId="1" hidden="1">{#N/A,#N/A,TRUE,"자재관리";#N/A,#N/A,TRUE,"품질"}</definedName>
    <definedName name="ㄴ" localSheetId="8" hidden="1">{#N/A,#N/A,TRUE,"자재관리";#N/A,#N/A,TRUE,"품질"}</definedName>
    <definedName name="ㄴ" hidden="1">{#N/A,#N/A,TRUE,"자재관리";#N/A,#N/A,TRUE,"품질"}</definedName>
    <definedName name="ㄴㄴ" hidden="1">[8]내역서!#REF!</definedName>
    <definedName name="ㄴㄴㄴ" localSheetId="0" hidden="1">{#N/A,#N/A,FALSE,"자재관리";#N/A,#N/A,FALSE,"자재관리";#N/A,#N/A,FALSE,"자재관리"}</definedName>
    <definedName name="ㄴㄴㄴ" localSheetId="1" hidden="1">{#N/A,#N/A,FALSE,"자재관리";#N/A,#N/A,FALSE,"자재관리";#N/A,#N/A,FALSE,"자재관리"}</definedName>
    <definedName name="ㄴㄴㄴ" localSheetId="8"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1" hidden="1">{#N/A,#N/A,TRUE,"자재관리";#N/A,#N/A,TRUE,"품질"}</definedName>
    <definedName name="ㄴㄴㄴㄴㄴ" localSheetId="8"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1" hidden="1">{#N/A,#N/A,FALSE,"자재관리";#N/A,#N/A,FALSE,"자재관리";#N/A,#N/A,FALSE,"자재관리"}</definedName>
    <definedName name="ㄴㅁㅁㅁ" localSheetId="8" hidden="1">{#N/A,#N/A,FALSE,"자재관리";#N/A,#N/A,FALSE,"자재관리";#N/A,#N/A,FALSE,"자재관리"}</definedName>
    <definedName name="ㄴㅁㅁㅁ" hidden="1">{#N/A,#N/A,FALSE,"자재관리";#N/A,#N/A,FALSE,"자재관리";#N/A,#N/A,FALSE,"자재관리"}</definedName>
    <definedName name="ㄴㅇㄴ"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ㄴ"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ㄹ" localSheetId="8" hidden="1">{"'용역비'!$A$4:$C$8"}</definedName>
    <definedName name="ㄴㅇㄹ" hidden="1">{"'용역비'!$A$4:$C$8"}</definedName>
    <definedName name="ㄴㅇㄹㅇㄴㄹㅇㄴㄹ" localSheetId="8" hidden="1">{"'용역비'!$A$4:$C$8"}</definedName>
    <definedName name="ㄴㅇㄹㅇㄴㄹㅇㄴㄹ" hidden="1">{"'용역비'!$A$4:$C$8"}</definedName>
    <definedName name="ㄴㅇㄻㄴㅇㄹ" localSheetId="8" hidden="1">{"'용역비'!$A$4:$C$8"}</definedName>
    <definedName name="ㄴㅇㄻㄴㅇㄹ" hidden="1">{"'용역비'!$A$4:$C$8"}</definedName>
    <definedName name="ㄴㅌㄴㅌ" localSheetId="0" hidden="1">{#N/A,#N/A,FALSE,"CCTV"}</definedName>
    <definedName name="ㄴㅌㄴㅌ" localSheetId="1" hidden="1">{#N/A,#N/A,FALSE,"CCTV"}</definedName>
    <definedName name="ㄴㅌㄴㅌ" localSheetId="8" hidden="1">{#N/A,#N/A,FALSE,"CCTV"}</definedName>
    <definedName name="ㄴㅌㄴㅌ" hidden="1">{#N/A,#N/A,FALSE,"CCTV"}</definedName>
    <definedName name="내역" localSheetId="0" hidden="1">{#N/A,#N/A,FALSE,"CCTV"}</definedName>
    <definedName name="내역" localSheetId="1" hidden="1">{#N/A,#N/A,FALSE,"CCTV"}</definedName>
    <definedName name="내역" localSheetId="8" hidden="1">{#N/A,#N/A,FALSE,"CCTV"}</definedName>
    <definedName name="내역" hidden="1">{#N/A,#N/A,FALSE,"CCTV"}</definedName>
    <definedName name="내역서" localSheetId="8" hidden="1">{#N/A,#N/A,TRUE,"대 차 대 조 표"}</definedName>
    <definedName name="내역서" hidden="1">{#N/A,#N/A,TRUE,"대 차 대 조 표"}</definedName>
    <definedName name="년간용역비비교" localSheetId="8" hidden="1">{"'용역비'!$A$4:$C$8"}</definedName>
    <definedName name="년간용역비비교" hidden="1">{"'용역비'!$A$4:$C$8"}</definedName>
    <definedName name="노임단가" localSheetId="9">#REF!</definedName>
    <definedName name="ㄷ" localSheetId="8" hidden="1">{#N/A,#N/A,TRUE,"토적및재료집계";#N/A,#N/A,TRUE,"토적및재료집계";#N/A,#N/A,TRUE,"단위량"}</definedName>
    <definedName name="ㄷ" hidden="1">{#N/A,#N/A,TRUE,"토적및재료집계";#N/A,#N/A,TRUE,"토적및재료집계";#N/A,#N/A,TRUE,"단위량"}</definedName>
    <definedName name="ㄷ6ㅓ" localSheetId="8" hidden="1">{"'용역비'!$A$4:$C$8"}</definedName>
    <definedName name="ㄷ6ㅓ" hidden="1">{"'용역비'!$A$4:$C$8"}</definedName>
    <definedName name="ㄷㄱㄷㄱㄷㄱ" localSheetId="8" hidden="1">{"'용역비'!$A$4:$C$8"}</definedName>
    <definedName name="ㄷㄱㄷㄱㄷㄱ" hidden="1">{"'용역비'!$A$4:$C$8"}</definedName>
    <definedName name="ㄷㄷ" localSheetId="8" hidden="1">{"'용역비'!$A$4:$C$8"}</definedName>
    <definedName name="ㄷㄷ" hidden="1">{"'용역비'!$A$4:$C$8"}</definedName>
    <definedName name="ㄷㄷㄱㄱ" localSheetId="8" hidden="1">{"'용역비'!$A$4:$C$8"}</definedName>
    <definedName name="ㄷㄷㄱㄱ" hidden="1">{"'용역비'!$A$4:$C$8"}</definedName>
    <definedName name="ㄷㄷㄷㄷㄷ" localSheetId="8" hidden="1">{#N/A,#N/A,FALSE,"동부"}</definedName>
    <definedName name="ㄷㄷㄷㄷㄷ" hidden="1">{#N/A,#N/A,FALSE,"동부"}</definedName>
    <definedName name="ㄷㄷㄷㄷㅈㅈㅈㅈ" localSheetId="8" hidden="1">{"'통신지'!$A$1:$J$41"}</definedName>
    <definedName name="ㄷㄷㄷㄷㅈㅈㅈㅈ" hidden="1">{"'통신지'!$A$1:$J$41"}</definedName>
    <definedName name="ㄷㅍㅂ" localSheetId="8" hidden="1">{"'용역비'!$A$4:$C$8"}</definedName>
    <definedName name="ㄷㅍㅂ" hidden="1">{"'용역비'!$A$4:$C$8"}</definedName>
    <definedName name="단_가" localSheetId="9">#REF!</definedName>
    <definedName name="단_가2" localSheetId="9">#REF!</definedName>
    <definedName name="단_가3" localSheetId="9">#REF!</definedName>
    <definedName name="단_가4" localSheetId="9">#REF!</definedName>
    <definedName name="단_가5" localSheetId="9">#REF!</definedName>
    <definedName name="단_가6" localSheetId="9">#REF!</definedName>
    <definedName name="단가산출" localSheetId="9">#REF!</definedName>
    <definedName name="단가산출서" localSheetId="0" hidden="1">{#N/A,#N/A,FALSE,"전력간선"}</definedName>
    <definedName name="단가산출서" localSheetId="1" hidden="1">{#N/A,#N/A,FALSE,"전력간선"}</definedName>
    <definedName name="단가산출서" localSheetId="8" hidden="1">{#N/A,#N/A,FALSE,"전력간선"}</definedName>
    <definedName name="단가산출서" hidden="1">{#N/A,#N/A,FALSE,"전력간선"}</definedName>
    <definedName name="단위공량1" localSheetId="9">#REF!</definedName>
    <definedName name="단위공량10" localSheetId="9">#REF!</definedName>
    <definedName name="단위공량11" localSheetId="9">#REF!</definedName>
    <definedName name="단위공량12" localSheetId="9">#REF!</definedName>
    <definedName name="단위공량13" localSheetId="9">#REF!</definedName>
    <definedName name="단위공량14" localSheetId="9">#REF!</definedName>
    <definedName name="단위공량15" localSheetId="9">#REF!</definedName>
    <definedName name="단위공량16" localSheetId="9">#REF!</definedName>
    <definedName name="단위공량17" localSheetId="9">#REF!</definedName>
    <definedName name="단위공량2" localSheetId="9">#REF!</definedName>
    <definedName name="단위공량3" localSheetId="9">#REF!</definedName>
    <definedName name="단위공량4" localSheetId="9">#REF!</definedName>
    <definedName name="단위공량5" localSheetId="9">#REF!</definedName>
    <definedName name="단위공량6" localSheetId="9">#REF!</definedName>
    <definedName name="단위공량7" localSheetId="9">#REF!</definedName>
    <definedName name="단위공량8" localSheetId="9">#REF!</definedName>
    <definedName name="단위공량9" localSheetId="9">#REF!</definedName>
    <definedName name="대구" localSheetId="8" hidden="1">{#N/A,#N/A,TRUE,"대 차 대 조 표"}</definedName>
    <definedName name="대구" hidden="1">{#N/A,#N/A,TRUE,"대 차 대 조 표"}</definedName>
    <definedName name="대구200203빌딩별임차현황" localSheetId="8" hidden="1">{#N/A,#N/A,FALSE,"동부"}</definedName>
    <definedName name="대구200203빌딩별임차현황" hidden="1">{#N/A,#N/A,FALSE,"동부"}</definedName>
    <definedName name="대구200207" localSheetId="8" hidden="1">{#N/A,#N/A,FALSE,"동부"}</definedName>
    <definedName name="대구200207" hidden="1">{#N/A,#N/A,FALSE,"동부"}</definedName>
    <definedName name="대구대구" localSheetId="8" hidden="1">{#N/A,#N/A,FALSE,"동부"}</definedName>
    <definedName name="대구대구" hidden="1">{#N/A,#N/A,FALSE,"동부"}</definedName>
    <definedName name="대덕" localSheetId="8" hidden="1">{#N/A,#N/A,FALSE,"CCTV"}</definedName>
    <definedName name="대덕" hidden="1">{#N/A,#N/A,FALSE,"CCTV"}</definedName>
    <definedName name="대비" localSheetId="8" hidden="1">{#N/A,#N/A,FALSE,"CCTV"}</definedName>
    <definedName name="대비" hidden="1">{#N/A,#N/A,FALSE,"CCTV"}</definedName>
    <definedName name="대흥" localSheetId="8" hidden="1">{#N/A,#N/A,TRUE,"대 차 대 조 표"}</definedName>
    <definedName name="대흥" hidden="1">{#N/A,#N/A,TRUE,"대 차 대 조 표"}</definedName>
    <definedName name="도입" localSheetId="9">#REF!</definedName>
    <definedName name="돼지" localSheetId="8" hidden="1">{#N/A,#N/A,TRUE,"대 차 대 조 표"}</definedName>
    <definedName name="돼지" hidden="1">{#N/A,#N/A,TRUE,"대 차 대 조 표"}</definedName>
    <definedName name="등급급여인상" hidden="1">#REF!</definedName>
    <definedName name="ㄹ" localSheetId="8" hidden="1">{#N/A,#N/A,TRUE,"토적및재료집계";#N/A,#N/A,TRUE,"토적및재료집계";#N/A,#N/A,TRUE,"단위량"}</definedName>
    <definedName name="ㄹ" hidden="1">{#N/A,#N/A,TRUE,"토적및재료집계";#N/A,#N/A,TRUE,"토적및재료집계";#N/A,#N/A,TRUE,"단위량"}</definedName>
    <definedName name="ㄹ32" localSheetId="8" hidden="1">#REF!</definedName>
    <definedName name="ㄹ32" hidden="1">#REF!</definedName>
    <definedName name="ㄹㄹ" localSheetId="8" hidden="1">{"'용역비'!$A$4:$C$8"}</definedName>
    <definedName name="ㄹㄹ" hidden="1">{"'용역비'!$A$4:$C$8"}</definedName>
    <definedName name="ㄹㄹㄷㄹ" localSheetId="8" hidden="1">{#N/A,#N/A,TRUE,"대 차 대 조 표"}</definedName>
    <definedName name="ㄹㄹㄷㄹ" hidden="1">{#N/A,#N/A,TRUE,"대 차 대 조 표"}</definedName>
    <definedName name="ㄹ혻" localSheetId="8" hidden="1">{"'용역비'!$A$4:$C$8"}</definedName>
    <definedName name="ㄹ혻" hidden="1">{"'용역비'!$A$4:$C$8"}</definedName>
    <definedName name="러헐" localSheetId="0"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8" hidden="1">{#N/A,#N/A,FALSE,"도급대비시행율";#N/A,#N/A,FALSE,"결의서";#N/A,#N/A,FALSE,"내역서";#N/A,#N/A,FALSE,"도급예상"}</definedName>
    <definedName name="러헐" hidden="1">{#N/A,#N/A,FALSE,"도급대비시행율";#N/A,#N/A,FALSE,"결의서";#N/A,#N/A,FALSE,"내역서";#N/A,#N/A,FALSE,"도급예상"}</definedName>
    <definedName name="료" localSheetId="8" hidden="1">{"'용역비'!$A$4:$C$8"}</definedName>
    <definedName name="료" hidden="1">{"'용역비'!$A$4:$C$8"}</definedName>
    <definedName name="ㅀ" hidden="1">[9]내역서!#REF!</definedName>
    <definedName name="ㅀ허" localSheetId="8" hidden="1">{#N/A,#N/A,FALSE,"CCTV"}</definedName>
    <definedName name="ㅀ허" hidden="1">{#N/A,#N/A,FALSE,"CCTV"}</definedName>
    <definedName name="ㅁ" localSheetId="0" hidden="1">{#N/A,#N/A,FALSE,"자재관리";#N/A,#N/A,FALSE,"자재관리";#N/A,#N/A,FALSE,"자재관리"}</definedName>
    <definedName name="ㅁ" localSheetId="1" hidden="1">{#N/A,#N/A,FALSE,"자재관리";#N/A,#N/A,FALSE,"자재관리";#N/A,#N/A,FALSE,"자재관리"}</definedName>
    <definedName name="ㅁ" localSheetId="8" hidden="1">{#N/A,#N/A,FALSE,"자재관리";#N/A,#N/A,FALSE,"자재관리";#N/A,#N/A,FALSE,"자재관리"}</definedName>
    <definedName name="ㅁ" hidden="1">{#N/A,#N/A,FALSE,"자재관리";#N/A,#N/A,FALSE,"자재관리";#N/A,#N/A,FALSE,"자재관리"}</definedName>
    <definedName name="ㅁ1" localSheetId="9">#REF!</definedName>
    <definedName name="ㅁㄱㄷ" localSheetId="0" hidden="1">{#N/A,#N/A,FALSE,"자재관리";#N/A,#N/A,FALSE,"자재관리";#N/A,#N/A,FALSE,"자재관리"}</definedName>
    <definedName name="ㅁㄱㄷ" localSheetId="1" hidden="1">{#N/A,#N/A,FALSE,"자재관리";#N/A,#N/A,FALSE,"자재관리";#N/A,#N/A,FALSE,"자재관리"}</definedName>
    <definedName name="ㅁㄱㄷ" localSheetId="8" hidden="1">{#N/A,#N/A,FALSE,"자재관리";#N/A,#N/A,FALSE,"자재관리";#N/A,#N/A,FALSE,"자재관리"}</definedName>
    <definedName name="ㅁㄱㄷ" hidden="1">{#N/A,#N/A,FALSE,"자재관리";#N/A,#N/A,FALSE,"자재관리";#N/A,#N/A,FALSE,"자재관리"}</definedName>
    <definedName name="ㅁㄴㅇㄻㄴㅇㄹㄴㅁㅎㄴㅇㅎ" localSheetId="8" hidden="1">{"'용역비'!$A$4:$C$8"}</definedName>
    <definedName name="ㅁㄴㅇㄻㄴㅇㄹㄴㅁㅎㄴㅇㅎ" hidden="1">{"'용역비'!$A$4:$C$8"}</definedName>
    <definedName name="ㅁㄴㅇㅁ" localSheetId="8" hidden="1">{"'용역비'!$A$4:$C$8"}</definedName>
    <definedName name="ㅁㄴㅇㅁ" hidden="1">{"'용역비'!$A$4:$C$8"}</definedName>
    <definedName name="ㅁㅁ" localSheetId="0" hidden="1">{#N/A,#N/A,FALSE,"전력간선"}</definedName>
    <definedName name="ㅁㅁ" localSheetId="1" hidden="1">{#N/A,#N/A,FALSE,"전력간선"}</definedName>
    <definedName name="ㅁㅁ" localSheetId="8" hidden="1">{#N/A,#N/A,FALSE,"전력간선"}</definedName>
    <definedName name="ㅁㅁ" hidden="1">{#N/A,#N/A,FALSE,"전력간선"}</definedName>
    <definedName name="ㅁㅁㅁㅁ"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8" hidden="1">{"'용역비'!$A$4:$C$8"}</definedName>
    <definedName name="ㅁㅁㅁㅁㅁ" hidden="1">{"'용역비'!$A$4:$C$8"}</definedName>
    <definedName name="ㅁㅁㅁㅁㅁㅁㅁㅁㅁㅁㅁㅁㅁㅁ" localSheetId="8" hidden="1">{"'용역비'!$A$4:$C$8"}</definedName>
    <definedName name="ㅁㅁㅁㅁㅁㅁㅁㅁㅁㅁㅁㅁㅁㅁ" hidden="1">{"'용역비'!$A$4:$C$8"}</definedName>
    <definedName name="ㅁㅁㅁㅂ" localSheetId="8" hidden="1">{"'용역비'!$A$4:$C$8"}</definedName>
    <definedName name="ㅁㅁㅁㅂ" hidden="1">{"'용역비'!$A$4:$C$8"}</definedName>
    <definedName name="ㅁㅇ" localSheetId="0" hidden="1">{#N/A,#N/A,FALSE,"자재관리";#N/A,#N/A,FALSE,"자재관리";#N/A,#N/A,FALSE,"자재관리"}</definedName>
    <definedName name="ㅁㅇ" localSheetId="1" hidden="1">{#N/A,#N/A,FALSE,"자재관리";#N/A,#N/A,FALSE,"자재관리";#N/A,#N/A,FALSE,"자재관리"}</definedName>
    <definedName name="ㅁㅇ" localSheetId="8" hidden="1">{#N/A,#N/A,FALSE,"자재관리";#N/A,#N/A,FALSE,"자재관리";#N/A,#N/A,FALSE,"자재관리"}</definedName>
    <definedName name="ㅁㅇ" hidden="1">{#N/A,#N/A,FALSE,"자재관리";#N/A,#N/A,FALSE,"자재관리";#N/A,#N/A,FALSE,"자재관리"}</definedName>
    <definedName name="ㅁㅇㅁㄴㅇ" localSheetId="8" hidden="1">{"'용역비'!$A$4:$C$8"}</definedName>
    <definedName name="ㅁㅇㅁㄴㅇ" hidden="1">{"'용역비'!$A$4:$C$8"}</definedName>
    <definedName name="메롱" localSheetId="8" hidden="1">{#N/A,#N/A,FALSE,"동부"}</definedName>
    <definedName name="메롱" hidden="1">{#N/A,#N/A,FALSE,"동부"}</definedName>
    <definedName name="목표" localSheetId="0" hidden="1">{#N/A,#N/A,FALSE,"자재관리";#N/A,#N/A,FALSE,"자재관리";#N/A,#N/A,FALSE,"자재관리"}</definedName>
    <definedName name="목표" localSheetId="1" hidden="1">{#N/A,#N/A,FALSE,"자재관리";#N/A,#N/A,FALSE,"자재관리";#N/A,#N/A,FALSE,"자재관리"}</definedName>
    <definedName name="목표" localSheetId="8" hidden="1">{#N/A,#N/A,FALSE,"자재관리";#N/A,#N/A,FALSE,"자재관리";#N/A,#N/A,FALSE,"자재관리"}</definedName>
    <definedName name="목표" hidden="1">{#N/A,#N/A,FALSE,"자재관리";#N/A,#N/A,FALSE,"자재관리";#N/A,#N/A,FALSE,"자재관리"}</definedName>
    <definedName name="물가" localSheetId="9">#REF!</definedName>
    <definedName name="물가2" localSheetId="9">#REF!</definedName>
    <definedName name="미화" localSheetId="8" hidden="1">{#N/A,#N/A,FALSE,"이력서&amp;자기소개서"}</definedName>
    <definedName name="미화" hidden="1">{#N/A,#N/A,FALSE,"이력서&amp;자기소개서"}</definedName>
    <definedName name="미화2" localSheetId="8" hidden="1">{#N/A,#N/A,FALSE,"이력서&amp;자기소개서"}</definedName>
    <definedName name="미화2" hidden="1">{#N/A,#N/A,FALSE,"이력서&amp;자기소개서"}</definedName>
    <definedName name="미화원" localSheetId="8" hidden="1">{#N/A,#N/A,FALSE,"이력서&amp;자기소개서"}</definedName>
    <definedName name="미화원" hidden="1">{#N/A,#N/A,FALSE,"이력서&amp;자기소개서"}</definedName>
    <definedName name="ㅂ" localSheetId="0" hidden="1">{#N/A,#N/A,FALSE,"전력간선"}</definedName>
    <definedName name="ㅂㅁㅋ" localSheetId="8" hidden="1">{"'용역비'!$A$4:$C$8"}</definedName>
    <definedName name="ㅂㅁㅋ" hidden="1">{"'용역비'!$A$4:$C$8"}</definedName>
    <definedName name="ㅂㅂㅂ"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localSheetId="8" hidden="1">{"'용역비'!$A$4:$C$8"}</definedName>
    <definedName name="ㅂㅂㅂㅂㅂㅂ" hidden="1">{"'용역비'!$A$4:$C$8"}</definedName>
    <definedName name="ㅂㅋ" localSheetId="8" hidden="1">{"'용역비'!$A$4:$C$8"}</definedName>
    <definedName name="ㅂㅋ" hidden="1">{"'용역비'!$A$4:$C$8"}</definedName>
    <definedName name="배분전" localSheetId="8" hidden="1">{#N/A,#N/A,TRUE,"대 차 대 조 표"}</definedName>
    <definedName name="배분전" hidden="1">{#N/A,#N/A,TRUE,"대 차 대 조 표"}</definedName>
    <definedName name="본상"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비" localSheetId="8" hidden="1">{#N/A,#N/A,FALSE,"동부"}</definedName>
    <definedName name="비" hidden="1">{#N/A,#N/A,FALSE,"동부"}</definedName>
    <definedName name="비교" localSheetId="8" hidden="1">{#N/A,#N/A,FALSE,"이력서&amp;자기소개서"}</definedName>
    <definedName name="비교" hidden="1">{#N/A,#N/A,FALSE,"이력서&amp;자기소개서"}</definedName>
    <definedName name="비교표" localSheetId="8" hidden="1">{"'용역비'!$A$4:$C$8"}</definedName>
    <definedName name="비교표" hidden="1">{"'용역비'!$A$4:$C$8"}</definedName>
    <definedName name="비용" localSheetId="8" hidden="1">{"'용역비'!$A$4:$C$8"}</definedName>
    <definedName name="비용" hidden="1">{"'용역비'!$A$4:$C$8"}</definedName>
    <definedName name="빌" localSheetId="8" hidden="1">{#N/A,#N/A,FALSE,"동부"}</definedName>
    <definedName name="빌" hidden="1">{#N/A,#N/A,FALSE,"동부"}</definedName>
    <definedName name="빌딩" localSheetId="8" hidden="1">{#N/A,#N/A,FALSE,"동부"}</definedName>
    <definedName name="빌딩" hidden="1">{#N/A,#N/A,FALSE,"동부"}</definedName>
    <definedName name="빌딩2" localSheetId="8" hidden="1">{#N/A,#N/A,FALSE,"동부"}</definedName>
    <definedName name="빌딩2" hidden="1">{#N/A,#N/A,FALSE,"동부"}</definedName>
    <definedName name="빌딩별2" localSheetId="8" hidden="1">{#N/A,#N/A,FALSE,"동부"}</definedName>
    <definedName name="빌딩별2" hidden="1">{#N/A,#N/A,FALSE,"동부"}</definedName>
    <definedName name="빌딩별강남" localSheetId="8" hidden="1">{#N/A,#N/A,FALSE,"동부"}</definedName>
    <definedName name="빌딩별강남" hidden="1">{#N/A,#N/A,FALSE,"동부"}</definedName>
    <definedName name="ㅅ" localSheetId="0" hidden="1">{#N/A,#N/A,FALSE,"자재관리";#N/A,#N/A,FALSE,"자재관리";#N/A,#N/A,FALSE,"자재관리"}</definedName>
    <definedName name="ㅅ" localSheetId="1" hidden="1">{#N/A,#N/A,FALSE,"자재관리";#N/A,#N/A,FALSE,"자재관리";#N/A,#N/A,FALSE,"자재관리"}</definedName>
    <definedName name="ㅅ" localSheetId="8" hidden="1">{#N/A,#N/A,FALSE,"자재관리";#N/A,#N/A,FALSE,"자재관리";#N/A,#N/A,FALSE,"자재관리"}</definedName>
    <definedName name="ㅅ" hidden="1">{#N/A,#N/A,FALSE,"자재관리";#N/A,#N/A,FALSE,"자재관리";#N/A,#N/A,FALSE,"자재관리"}</definedName>
    <definedName name="사옥보수" localSheetId="8" hidden="1">{#N/A,#N/A,FALSE,"97년 투자계획 세부내역 "}</definedName>
    <definedName name="사옥보수" hidden="1">{#N/A,#N/A,FALSE,"97년 투자계획 세부내역 "}</definedName>
    <definedName name="서울" localSheetId="8" hidden="1">{#N/A,#N/A,FALSE,"97년 투자계획 세부내역 "}</definedName>
    <definedName name="서울" hidden="1">{#N/A,#N/A,FALSE,"97년 투자계획 세부내역 "}</definedName>
    <definedName name="서원열" localSheetId="0" hidden="1">{#N/A,#N/A,FALSE,"자재관리";#N/A,#N/A,FALSE,"자재관리";#N/A,#N/A,FALSE,"자재관리"}</definedName>
    <definedName name="서원열" localSheetId="1" hidden="1">{#N/A,#N/A,FALSE,"자재관리";#N/A,#N/A,FALSE,"자재관리";#N/A,#N/A,FALSE,"자재관리"}</definedName>
    <definedName name="서원열" localSheetId="8"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1" hidden="1">{#N/A,#N/A,FALSE,"자재관리";#N/A,#N/A,FALSE,"자재관리";#N/A,#N/A,FALSE,"자재관리"}</definedName>
    <definedName name="서원영" localSheetId="8" hidden="1">{#N/A,#N/A,FALSE,"자재관리";#N/A,#N/A,FALSE,"자재관리";#N/A,#N/A,FALSE,"자재관리"}</definedName>
    <definedName name="서원영" hidden="1">{#N/A,#N/A,FALSE,"자재관리";#N/A,#N/A,FALSE,"자재관리";#N/A,#N/A,FALSE,"자재관리"}</definedName>
    <definedName name="서초" localSheetId="8" hidden="1">{#N/A,#N/A,TRUE,"대 차 대 조 표"}</definedName>
    <definedName name="서초" hidden="1">{#N/A,#N/A,TRUE,"대 차 대 조 표"}</definedName>
    <definedName name="서초2" localSheetId="8" hidden="1">{#N/A,#N/A,TRUE,"대 차 대 조 표"}</definedName>
    <definedName name="서초2" hidden="1">{#N/A,#N/A,TRUE,"대 차 대 조 표"}</definedName>
    <definedName name="서초해동" localSheetId="8" hidden="1">{#N/A,#N/A,TRUE,"대 차 대 조 표"}</definedName>
    <definedName name="서초해동" hidden="1">{#N/A,#N/A,TRUE,"대 차 대 조 표"}</definedName>
    <definedName name="세부내역서1" localSheetId="8" hidden="1">{#N/A,#N/A,TRUE,"대 차 대 조 표"}</definedName>
    <definedName name="세부내역서1" hidden="1">{#N/A,#N/A,TRUE,"대 차 대 조 표"}</definedName>
    <definedName name="세현" localSheetId="0" hidden="1">{#N/A,#N/A,FALSE,"자재관리";#N/A,#N/A,FALSE,"자재관리";#N/A,#N/A,FALSE,"자재관리"}</definedName>
    <definedName name="세현" localSheetId="1" hidden="1">{#N/A,#N/A,FALSE,"자재관리";#N/A,#N/A,FALSE,"자재관리";#N/A,#N/A,FALSE,"자재관리"}</definedName>
    <definedName name="세현" localSheetId="8" hidden="1">{#N/A,#N/A,FALSE,"자재관리";#N/A,#N/A,FALSE,"자재관리";#N/A,#N/A,FALSE,"자재관리"}</definedName>
    <definedName name="세현" hidden="1">{#N/A,#N/A,FALSE,"자재관리";#N/A,#N/A,FALSE,"자재관리";#N/A,#N/A,FALSE,"자재관리"}</definedName>
    <definedName name="소유사옥" localSheetId="8" hidden="1">{#N/A,#N/A,FALSE,"97년 투자계획 세부내역 "}</definedName>
    <definedName name="소유사옥" hidden="1">{#N/A,#N/A,FALSE,"97년 투자계획 세부내역 "}</definedName>
    <definedName name="소유사옥보수1" localSheetId="8" hidden="1">{#N/A,#N/A,FALSE,"97년 투자계획 세부내역 "}</definedName>
    <definedName name="소유사옥보수1" hidden="1">{#N/A,#N/A,FALSE,"97년 투자계획 세부내역 "}</definedName>
    <definedName name="소화갑지" localSheetId="0" hidden="1">{#N/A,#N/A,FALSE,"CCTV"}</definedName>
    <definedName name="소화갑지" localSheetId="1" hidden="1">{#N/A,#N/A,FALSE,"CCTV"}</definedName>
    <definedName name="소화갑지" localSheetId="8" hidden="1">{#N/A,#N/A,FALSE,"CCTV"}</definedName>
    <definedName name="소화갑지" hidden="1">{#N/A,#N/A,FALSE,"CCTV"}</definedName>
    <definedName name="솔" localSheetId="8" hidden="1">{#N/A,#N/A,TRUE,"대 차 대 조 표"}</definedName>
    <definedName name="솔" hidden="1">{#N/A,#N/A,TRUE,"대 차 대 조 표"}</definedName>
    <definedName name="수량집계밀" localSheetId="9">#REF!</definedName>
    <definedName name="수량집계양" localSheetId="9">#REF!</definedName>
    <definedName name="수입" localSheetId="8" hidden="1">{#N/A,#N/A,TRUE,"대 차 대 조 표"}</definedName>
    <definedName name="수입" hidden="1">{#N/A,#N/A,TRUE,"대 차 대 조 표"}</definedName>
    <definedName name="시방" localSheetId="9">#REF!</definedName>
    <definedName name="시방1" localSheetId="9">#REF!</definedName>
    <definedName name="신고분장" localSheetId="8" hidden="1">{"'통신지'!$A$1:$J$41"}</definedName>
    <definedName name="신고분장" hidden="1">{"'통신지'!$A$1:$J$41"}</definedName>
    <definedName name="실제급여" localSheetId="8" hidden="1">{#N/A,#N/A,TRUE,"대 차 대 조 표"}</definedName>
    <definedName name="실제급여" hidden="1">{#N/A,#N/A,TRUE,"대 차 대 조 표"}</definedName>
    <definedName name="씨엔에이치" localSheetId="8" hidden="1">{#N/A,#N/A,TRUE,"대 차 대 조 표"}</definedName>
    <definedName name="씨엔에이치" hidden="1">{#N/A,#N/A,TRUE,"대 차 대 조 표"}</definedName>
    <definedName name="ㅇ" localSheetId="0" hidden="1">{#N/A,#N/A,TRUE,"자재관리";#N/A,#N/A,TRUE,"품질"}</definedName>
    <definedName name="ㅇ" localSheetId="1" hidden="1">{#N/A,#N/A,TRUE,"자재관리";#N/A,#N/A,TRUE,"품질"}</definedName>
    <definedName name="ㅇ" localSheetId="8" hidden="1">{#N/A,#N/A,TRUE,"자재관리";#N/A,#N/A,TRUE,"품질"}</definedName>
    <definedName name="ㅇ" hidden="1">{#N/A,#N/A,TRUE,"자재관리";#N/A,#N/A,TRUE,"품질"}</definedName>
    <definedName name="ㅇㄴ" localSheetId="8" hidden="1">{"'용역비'!$A$4:$C$8"}</definedName>
    <definedName name="ㅇㄴ" hidden="1">{"'용역비'!$A$4:$C$8"}</definedName>
    <definedName name="ㅇㄴㅇㄴ" localSheetId="0" hidden="1">{#N/A,#N/A,FALSE,"CCTV"}</definedName>
    <definedName name="ㅇㄴㅇㄴ" localSheetId="1" hidden="1">{#N/A,#N/A,FALSE,"CCTV"}</definedName>
    <definedName name="ㅇㄴㅇㄴ" localSheetId="8" hidden="1">{#N/A,#N/A,FALSE,"CCTV"}</definedName>
    <definedName name="ㅇㄴㅇㄴ" hidden="1">{#N/A,#N/A,FALSE,"CCTV"}</definedName>
    <definedName name="ㅇㄹ"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ㄴ" localSheetId="9">[1]내역서!#REF!</definedName>
    <definedName name="ㅇㅁ" localSheetId="8" hidden="1">{"'용역비'!$A$4:$C$8"}</definedName>
    <definedName name="ㅇㅁ" hidden="1">{"'용역비'!$A$4:$C$8"}</definedName>
    <definedName name="ㅇㅇ" localSheetId="0" hidden="1">{#N/A,#N/A,FALSE,"자재관리";#N/A,#N/A,FALSE,"자재관리";#N/A,#N/A,FALSE,"자재관리"}</definedName>
    <definedName name="ㅇㅇ" localSheetId="1" hidden="1">{#N/A,#N/A,FALSE,"자재관리";#N/A,#N/A,FALSE,"자재관리";#N/A,#N/A,FALSE,"자재관리"}</definedName>
    <definedName name="ㅇㅇ" localSheetId="8"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1" hidden="1">{#N/A,#N/A,FALSE,"자재관리";#N/A,#N/A,FALSE,"자재관리";#N/A,#N/A,FALSE,"자재관리"}</definedName>
    <definedName name="ㅇㅇㄹㄴㅁㄹ" localSheetId="8"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1" hidden="1">{#N/A,#N/A,TRUE,"자재관리";#N/A,#N/A,TRUE,"품질"}</definedName>
    <definedName name="ㅇㅇㅇㅇㅇ" localSheetId="8" hidden="1">{#N/A,#N/A,TRUE,"자재관리";#N/A,#N/A,TRUE,"품질"}</definedName>
    <definedName name="ㅇㅇㅇㅇㅇ" hidden="1">{#N/A,#N/A,TRUE,"자재관리";#N/A,#N/A,TRUE,"품질"}</definedName>
    <definedName name="ㅇㅎㅁ" localSheetId="8" hidden="1">{#N/A,#N/A,FALSE,"97년 투자계획 세부내역 "}</definedName>
    <definedName name="ㅇㅎㅁ" hidden="1">{#N/A,#N/A,FALSE,"97년 투자계획 세부내역 "}</definedName>
    <definedName name="ㅇㅎㅇㅎ" localSheetId="8" hidden="1">{"'용역비'!$A$4:$C$8"}</definedName>
    <definedName name="ㅇㅎㅇㅎ" hidden="1">{"'용역비'!$A$4:$C$8"}</definedName>
    <definedName name="ㅇ호" localSheetId="8" hidden="1">{"'용역비'!$A$4:$C$8"}</definedName>
    <definedName name="ㅇ호" hidden="1">{"'용역비'!$A$4:$C$8"}</definedName>
    <definedName name="ㅇ호ㅓ" localSheetId="8" hidden="1">{"'용역비'!$A$4:$C$8"}</definedName>
    <definedName name="ㅇ호ㅓ" hidden="1">{"'용역비'!$A$4:$C$8"}</definedName>
    <definedName name="ㅇ호ㅓㅇㅎ" localSheetId="8" hidden="1">{"'용역비'!$A$4:$C$8"}</definedName>
    <definedName name="ㅇ호ㅓㅇㅎ" hidden="1">{"'용역비'!$A$4:$C$8"}</definedName>
    <definedName name="ㅇ호ㅓㅇ호ㅓ" localSheetId="8" hidden="1">{"'용역비'!$A$4:$C$8"}</definedName>
    <definedName name="ㅇ호ㅓㅇ호ㅓ" hidden="1">{"'용역비'!$A$4:$C$8"}</definedName>
    <definedName name="ㅇ호ㅓㅎ" localSheetId="8" hidden="1">{"'용역비'!$A$4:$C$8"}</definedName>
    <definedName name="ㅇ호ㅓㅎ" hidden="1">{"'용역비'!$A$4:$C$8"}</definedName>
    <definedName name="ㅇ호ㅓ호ㅓ" localSheetId="8" hidden="1">{"'용역비'!$A$4:$C$8"}</definedName>
    <definedName name="ㅇ호ㅓ호ㅓ" hidden="1">{"'용역비'!$A$4:$C$8"}</definedName>
    <definedName name="아" localSheetId="0" hidden="1">{#N/A,#N/A,FALSE,"자재관리";#N/A,#N/A,FALSE,"자재관리";#N/A,#N/A,FALSE,"자재관리"}</definedName>
    <definedName name="아" localSheetId="1" hidden="1">{#N/A,#N/A,FALSE,"자재관리";#N/A,#N/A,FALSE,"자재관리";#N/A,#N/A,FALSE,"자재관리"}</definedName>
    <definedName name="아" localSheetId="8" hidden="1">{#N/A,#N/A,FALSE,"자재관리";#N/A,#N/A,FALSE,"자재관리";#N/A,#N/A,FALSE,"자재관리"}</definedName>
    <definedName name="아" hidden="1">{#N/A,#N/A,FALSE,"자재관리";#N/A,#N/A,FALSE,"자재관리";#N/A,#N/A,FALSE,"자재관리"}</definedName>
    <definedName name="아마도" localSheetId="8" hidden="1">{#N/A,#N/A,FALSE,"97년 투자계획 세부내역 "}</definedName>
    <definedName name="아마도" hidden="1">{#N/A,#N/A,FALSE,"97년 투자계획 세부내역 "}</definedName>
    <definedName name="아이템별투자" localSheetId="0" hidden="1">{#N/A,#N/A,FALSE,"자재관리";#N/A,#N/A,FALSE,"자재관리";#N/A,#N/A,FALSE,"자재관리"}</definedName>
    <definedName name="아이템별투자" localSheetId="1" hidden="1">{#N/A,#N/A,FALSE,"자재관리";#N/A,#N/A,FALSE,"자재관리";#N/A,#N/A,FALSE,"자재관리"}</definedName>
    <definedName name="아이템별투자" localSheetId="8" hidden="1">{#N/A,#N/A,FALSE,"자재관리";#N/A,#N/A,FALSE,"자재관리";#N/A,#N/A,FALSE,"자재관리"}</definedName>
    <definedName name="아이템별투자" hidden="1">{#N/A,#N/A,FALSE,"자재관리";#N/A,#N/A,FALSE,"자재관리";#N/A,#N/A,FALSE,"자재관리"}</definedName>
    <definedName name="안전관리"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안전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암거" localSheetId="0" hidden="1">#REF!</definedName>
    <definedName name="암거" localSheetId="1" hidden="1">#REF!</definedName>
    <definedName name="암거" localSheetId="8" hidden="1">#REF!</definedName>
    <definedName name="암거" hidden="1">#REF!</definedName>
    <definedName name="암사" localSheetId="8" hidden="1">{#N/A,#N/A,TRUE,"대 차 대 조 표"}</definedName>
    <definedName name="암사" hidden="1">{#N/A,#N/A,TRUE,"대 차 대 조 표"}</definedName>
    <definedName name="앙" localSheetId="0" hidden="1">{#N/A,#N/A,FALSE,"자재관리";#N/A,#N/A,FALSE,"자재관리";#N/A,#N/A,FALSE,"자재관리"}</definedName>
    <definedName name="앙" localSheetId="1" hidden="1">{#N/A,#N/A,FALSE,"자재관리";#N/A,#N/A,FALSE,"자재관리";#N/A,#N/A,FALSE,"자재관리"}</definedName>
    <definedName name="앙" localSheetId="8"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1" hidden="1">{#N/A,#N/A,FALSE,"자재관리";#N/A,#N/A,FALSE,"자재관리";#N/A,#N/A,FALSE,"자재관리"}</definedName>
    <definedName name="양" localSheetId="8" hidden="1">{#N/A,#N/A,FALSE,"자재관리";#N/A,#N/A,FALSE,"자재관리";#N/A,#N/A,FALSE,"자재관리"}</definedName>
    <definedName name="양" hidden="1">{#N/A,#N/A,FALSE,"자재관리";#N/A,#N/A,FALSE,"자재관리";#N/A,#N/A,FALSE,"자재관리"}</definedName>
    <definedName name="어" localSheetId="8" hidden="1">{"'용역비'!$A$4:$C$8"}</definedName>
    <definedName name="어" hidden="1">{"'용역비'!$A$4:$C$8"}</definedName>
    <definedName name="업" localSheetId="0"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8"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무" localSheetId="8" hidden="1">{#N/A,#N/A,TRUE,"대 차 대 조 표"}</definedName>
    <definedName name="업무" hidden="1">{#N/A,#N/A,TRUE,"대 차 대 조 표"}</definedName>
    <definedName name="업무계획표" localSheetId="8" hidden="1">{#N/A,#N/A,TRUE,"대 차 대 조 표"}</definedName>
    <definedName name="업무계획표" hidden="1">{#N/A,#N/A,TRUE,"대 차 대 조 표"}</definedName>
    <definedName name="업무계획표01" localSheetId="8" hidden="1">{#N/A,#N/A,TRUE,"대 차 대 조 표"}</definedName>
    <definedName name="업무계획표01" hidden="1">{#N/A,#N/A,TRUE,"대 차 대 조 표"}</definedName>
    <definedName name="업소용" localSheetId="0" hidden="1">{#N/A,#N/A,TRUE,"자재관리";#N/A,#N/A,TRUE,"품질"}</definedName>
    <definedName name="업소용" localSheetId="1" hidden="1">{#N/A,#N/A,TRUE,"자재관리";#N/A,#N/A,TRUE,"품질"}</definedName>
    <definedName name="업소용" localSheetId="8"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1" hidden="1">{#N/A,#N/A,FALSE,"자재관리";#N/A,#N/A,FALSE,"자재관리";#N/A,#N/A,FALSE,"자재관리"}</definedName>
    <definedName name="업소용생산1팀" localSheetId="8" hidden="1">{#N/A,#N/A,FALSE,"자재관리";#N/A,#N/A,FALSE,"자재관리";#N/A,#N/A,FALSE,"자재관리"}</definedName>
    <definedName name="업소용생산1팀" hidden="1">{#N/A,#N/A,FALSE,"자재관리";#N/A,#N/A,FALSE,"자재관리";#N/A,#N/A,FALSE,"자재관리"}</definedName>
    <definedName name="역삼4월" localSheetId="8" hidden="1">{#N/A,#N/A,TRUE,"대 차 대 조 표"}</definedName>
    <definedName name="역삼4월" hidden="1">{#N/A,#N/A,TRUE,"대 차 대 조 표"}</definedName>
    <definedName name="역삼5월" localSheetId="8" hidden="1">{#N/A,#N/A,TRUE,"대 차 대 조 표"}</definedName>
    <definedName name="역삼5월" hidden="1">{#N/A,#N/A,TRUE,"대 차 대 조 표"}</definedName>
    <definedName name="역삼5월청구" localSheetId="8" hidden="1">{#N/A,#N/A,TRUE,"대 차 대 조 표"}</definedName>
    <definedName name="역삼5월청구" hidden="1">{#N/A,#N/A,TRUE,"대 차 대 조 표"}</definedName>
    <definedName name="역삼계" localSheetId="8" hidden="1">{#N/A,#N/A,TRUE,"대 차 대 조 표"}</definedName>
    <definedName name="역삼계" hidden="1">{#N/A,#N/A,TRUE,"대 차 대 조 표"}</definedName>
    <definedName name="영업인건배부" localSheetId="8" hidden="1">{#N/A,#N/A,FALSE,"97년 투자계획 세부내역 "}</definedName>
    <definedName name="영업인건배부" hidden="1">{#N/A,#N/A,FALSE,"97년 투자계획 세부내역 "}</definedName>
    <definedName name="영업인건비배부" localSheetId="8" hidden="1">{#N/A,#N/A,FALSE,"97년 투자계획 세부내역 "}</definedName>
    <definedName name="영업인건비배부" hidden="1">{#N/A,#N/A,FALSE,"97년 투자계획 세부내역 "}</definedName>
    <definedName name="예상" localSheetId="8" hidden="1">{#N/A,#N/A,FALSE,"97년 투자계획 세부내역 "}</definedName>
    <definedName name="예상" hidden="1">{#N/A,#N/A,FALSE,"97년 투자계획 세부내역 "}</definedName>
    <definedName name="예상도급내역" localSheetId="0" hidden="1">{#N/A,#N/A,FALSE,"CCTV"}</definedName>
    <definedName name="예상도급내역" localSheetId="1" hidden="1">{#N/A,#N/A,FALSE,"CCTV"}</definedName>
    <definedName name="예상도급내역" localSheetId="8" hidden="1">{#N/A,#N/A,FALSE,"CCTV"}</definedName>
    <definedName name="예상도급내역" hidden="1">{#N/A,#N/A,FALSE,"CCTV"}</definedName>
    <definedName name="오서방" localSheetId="8" hidden="1">{#N/A,#N/A,FALSE,"97년 투자계획 세부내역 "}</definedName>
    <definedName name="오서방" hidden="1">{#N/A,#N/A,FALSE,"97년 투자계획 세부내역 "}</definedName>
    <definedName name="오세범" localSheetId="8" hidden="1">{#N/A,#N/A,FALSE,"97년 투자계획 세부내역 "}</definedName>
    <definedName name="오세범" hidden="1">{#N/A,#N/A,FALSE,"97년 투자계획 세부내역 "}</definedName>
    <definedName name="오세범1" localSheetId="8" hidden="1">{#N/A,#N/A,FALSE,"97년 투자계획 세부내역 "}</definedName>
    <definedName name="오세범1" hidden="1">{#N/A,#N/A,FALSE,"97년 투자계획 세부내역 "}</definedName>
    <definedName name="오세범2" localSheetId="8" hidden="1">{#N/A,#N/A,FALSE,"97년 투자계획 세부내역 "}</definedName>
    <definedName name="오세범2" hidden="1">{#N/A,#N/A,FALSE,"97년 투자계획 세부내역 "}</definedName>
    <definedName name="오세범3" localSheetId="8" hidden="1">{#N/A,#N/A,FALSE,"97년 투자계획 세부내역 "}</definedName>
    <definedName name="오세범3" hidden="1">{#N/A,#N/A,FALSE,"97년 투자계획 세부내역 "}</definedName>
    <definedName name="우인보고표지" localSheetId="0" hidden="1">{#N/A,#N/A,FALSE,"자재관리";#N/A,#N/A,FALSE,"자재관리";#N/A,#N/A,FALSE,"자재관리"}</definedName>
    <definedName name="우인보고표지" localSheetId="1" hidden="1">{#N/A,#N/A,FALSE,"자재관리";#N/A,#N/A,FALSE,"자재관리";#N/A,#N/A,FALSE,"자재관리"}</definedName>
    <definedName name="우인보고표지" localSheetId="8"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1" hidden="1">{#N/A,#N/A,TRUE,"자재관리";#N/A,#N/A,TRUE,"품질"}</definedName>
    <definedName name="우인표지" localSheetId="8" hidden="1">{#N/A,#N/A,TRUE,"자재관리";#N/A,#N/A,TRUE,"품질"}</definedName>
    <definedName name="우인표지" hidden="1">{#N/A,#N/A,TRUE,"자재관리";#N/A,#N/A,TRUE,"품질"}</definedName>
    <definedName name="원가TABLE" localSheetId="0" hidden="1">{#N/A,#N/A,TRUE,"자재관리";#N/A,#N/A,TRUE,"품질"}</definedName>
    <definedName name="원가TABLE" localSheetId="1" hidden="1">{#N/A,#N/A,TRUE,"자재관리";#N/A,#N/A,TRUE,"품질"}</definedName>
    <definedName name="원가TABLE" localSheetId="8" hidden="1">{#N/A,#N/A,TRUE,"자재관리";#N/A,#N/A,TRUE,"품질"}</definedName>
    <definedName name="원가TABLE" hidden="1">{#N/A,#N/A,TRUE,"자재관리";#N/A,#N/A,TRUE,"품질"}</definedName>
    <definedName name="원가소계" localSheetId="9">#REF!</definedName>
    <definedName name="원본2" hidden="1">#REF!</definedName>
    <definedName name="월별매출3" localSheetId="8" hidden="1">{#N/A,#N/A,FALSE,"97년 투자계획 세부내역 "}</definedName>
    <definedName name="월별매출3" hidden="1">{#N/A,#N/A,FALSE,"97년 투자계획 세부내역 "}</definedName>
    <definedName name="위생관리"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위생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유" localSheetId="8" hidden="1">{#N/A,#N/A,FALSE,"97년 투자계획 세부내역 "}</definedName>
    <definedName name="유" hidden="1">{#N/A,#N/A,FALSE,"97년 투자계획 세부내역 "}</definedName>
    <definedName name="유지니" localSheetId="8" hidden="1">{#N/A,#N/A,FALSE,"97년 투자계획 세부내역 "}</definedName>
    <definedName name="유지니" hidden="1">{#N/A,#N/A,FALSE,"97년 투자계획 세부내역 "}</definedName>
    <definedName name="유지니네" localSheetId="8" hidden="1">{#N/A,#N/A,FALSE,"97년 투자계획 세부내역 "}</definedName>
    <definedName name="유지니네" hidden="1">{#N/A,#N/A,FALSE,"97년 투자계획 세부내역 "}</definedName>
    <definedName name="유지니다" localSheetId="8" hidden="1">{#N/A,#N/A,FALSE,"97년 투자계획 세부내역 "}</definedName>
    <definedName name="유지니다" hidden="1">{#N/A,#N/A,FALSE,"97년 투자계획 세부내역 "}</definedName>
    <definedName name="유진" localSheetId="8" hidden="1">{#N/A,#N/A,FALSE,"이력서&amp;자기소개서"}</definedName>
    <definedName name="유진" hidden="1">{#N/A,#N/A,FALSE,"이력서&amp;자기소개서"}</definedName>
    <definedName name="육삼시티" localSheetId="8" hidden="1">{#N/A,#N/A,FALSE,"97년 투자계획 세부내역 "}</definedName>
    <definedName name="육삼시티" hidden="1">{#N/A,#N/A,FALSE,"97년 투자계획 세부내역 "}</definedName>
    <definedName name="을" localSheetId="0" hidden="1">{#N/A,#N/A,FALSE,"도급대비시행율";#N/A,#N/A,FALSE,"결의서";#N/A,#N/A,FALSE,"내역서";#N/A,#N/A,FALSE,"도급예상"}</definedName>
    <definedName name="을" localSheetId="1" hidden="1">{#N/A,#N/A,FALSE,"도급대비시행율";#N/A,#N/A,FALSE,"결의서";#N/A,#N/A,FALSE,"내역서";#N/A,#N/A,FALSE,"도급예상"}</definedName>
    <definedName name="을" localSheetId="8"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1" hidden="1">{#N/A,#N/A,FALSE,"자재관리";#N/A,#N/A,FALSE,"자재관리";#N/A,#N/A,FALSE,"자재관리"}</definedName>
    <definedName name="이" localSheetId="8"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1" hidden="1">{#N/A,#N/A,FALSE,"전력간선"}</definedName>
    <definedName name="이름" localSheetId="8" hidden="1">{#N/A,#N/A,FALSE,"전력간선"}</definedName>
    <definedName name="이름" hidden="1">{#N/A,#N/A,FALSE,"전력간선"}</definedName>
    <definedName name="이름충돌" localSheetId="9">#REF!</definedName>
    <definedName name="이봉해" localSheetId="0" hidden="1">{#N/A,#N/A,FALSE,"자재관리";#N/A,#N/A,FALSE,"자재관리";#N/A,#N/A,FALSE,"자재관리"}</definedName>
    <definedName name="이봉해" localSheetId="1" hidden="1">{#N/A,#N/A,FALSE,"자재관리";#N/A,#N/A,FALSE,"자재관리";#N/A,#N/A,FALSE,"자재관리"}</definedName>
    <definedName name="이봉해" localSheetId="8" hidden="1">{#N/A,#N/A,FALSE,"자재관리";#N/A,#N/A,FALSE,"자재관리";#N/A,#N/A,FALSE,"자재관리"}</definedName>
    <definedName name="이봉해" hidden="1">{#N/A,#N/A,FALSE,"자재관리";#N/A,#N/A,FALSE,"자재관리";#N/A,#N/A,FALSE,"자재관리"}</definedName>
    <definedName name="이읏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호버" localSheetId="8" hidden="1">{#N/A,#N/A,FALSE,"97년 투자계획 세부내역 "}</definedName>
    <definedName name="이호버" hidden="1">{#N/A,#N/A,FALSE,"97년 투자계획 세부내역 "}</definedName>
    <definedName name="인건비" localSheetId="8" hidden="1">{"'2분기예산별'!$B$2:$O$38"}</definedName>
    <definedName name="인건비" hidden="1">{"'2분기예산별'!$B$2:$O$38"}</definedName>
    <definedName name="인건비1" localSheetId="8" hidden="1">{"'2분기예산별'!$B$2:$O$38"}</definedName>
    <definedName name="인건비1" hidden="1">{"'2분기예산별'!$B$2:$O$38"}</definedName>
    <definedName name="인건비내역" hidden="1">[10]내역서!#REF!</definedName>
    <definedName name="인쇄영역" localSheetId="9">#REF!</definedName>
    <definedName name="인쇄영역2" localSheetId="9">#REF!</definedName>
    <definedName name="일" localSheetId="0" hidden="1">{#N/A,#N/A,FALSE,"도급대비시행율";#N/A,#N/A,FALSE,"결의서";#N/A,#N/A,FALSE,"내역서";#N/A,#N/A,FALSE,"도급예상"}</definedName>
    <definedName name="일" localSheetId="1" hidden="1">{#N/A,#N/A,FALSE,"도급대비시행율";#N/A,#N/A,FALSE,"결의서";#N/A,#N/A,FALSE,"내역서";#N/A,#N/A,FALSE,"도급예상"}</definedName>
    <definedName name="일" localSheetId="8" hidden="1">{#N/A,#N/A,FALSE,"도급대비시행율";#N/A,#N/A,FALSE,"결의서";#N/A,#N/A,FALSE,"내역서";#N/A,#N/A,FALSE,"도급예상"}</definedName>
    <definedName name="일" hidden="1">{#N/A,#N/A,FALSE,"도급대비시행율";#N/A,#N/A,FALSE,"결의서";#N/A,#N/A,FALSE,"내역서";#N/A,#N/A,FALSE,"도급예상"}</definedName>
    <definedName name="일위호표" localSheetId="9">#REF!</definedName>
    <definedName name="임차풀" localSheetId="8" hidden="1">{#N/A,#N/A,FALSE,"동부"}</definedName>
    <definedName name="임차풀" hidden="1">{#N/A,#N/A,FALSE,"동부"}</definedName>
    <definedName name="ㅈ" localSheetId="0" hidden="1">{#N/A,#N/A,FALSE,"자재관리";#N/A,#N/A,FALSE,"자재관리";#N/A,#N/A,FALSE,"자재관리"}</definedName>
    <definedName name="ㅈ" localSheetId="1" hidden="1">{#N/A,#N/A,FALSE,"자재관리";#N/A,#N/A,FALSE,"자재관리";#N/A,#N/A,FALSE,"자재관리"}</definedName>
    <definedName name="ㅈ" localSheetId="8" hidden="1">{#N/A,#N/A,FALSE,"자재관리";#N/A,#N/A,FALSE,"자재관리";#N/A,#N/A,FALSE,"자재관리"}</definedName>
    <definedName name="ㅈ" hidden="1">{#N/A,#N/A,FALSE,"자재관리";#N/A,#N/A,FALSE,"자재관리";#N/A,#N/A,FALSE,"자재관리"}</definedName>
    <definedName name="ㅈ56ㅕ" localSheetId="8" hidden="1">{"'용역비'!$A$4:$C$8"}</definedName>
    <definedName name="ㅈ56ㅕ" hidden="1">{"'용역비'!$A$4:$C$8"}</definedName>
    <definedName name="ㅈㄷㄱㄷㄱㄷ" localSheetId="8" hidden="1">{"'용역비'!$A$4:$C$8"}</definedName>
    <definedName name="ㅈㄷㄱㄷㄱㄷ" hidden="1">{"'용역비'!$A$4:$C$8"}</definedName>
    <definedName name="ㅈㄷㅈㄷ" localSheetId="8" hidden="1">{"'통신지'!$A$1:$J$41"}</definedName>
    <definedName name="ㅈㄷㅈㄷ" hidden="1">{"'통신지'!$A$1:$J$41"}</definedName>
    <definedName name="ㅈㅇ" localSheetId="8" hidden="1">{"'용역비'!$A$4:$C$8"}</definedName>
    <definedName name="ㅈㅇ" hidden="1">{"'용역비'!$A$4:$C$8"}</definedName>
    <definedName name="ㅈㅈㅈ" localSheetId="8" hidden="1">{"'용역비'!$A$4:$C$8"}</definedName>
    <definedName name="ㅈㅈㅈ" hidden="1">{"'용역비'!$A$4:$C$8"}</definedName>
    <definedName name="ㅈㅈㅈㅈㅈㅈ" localSheetId="8" hidden="1">{"'용역비'!$A$4:$C$8"}</definedName>
    <definedName name="ㅈㅈㅈㅈㅈㅈ" hidden="1">{"'용역비'!$A$4:$C$8"}</definedName>
    <definedName name="자본건축총괄" localSheetId="8" hidden="1">{#N/A,#N/A,FALSE,"97년 투자계획 세부내역 "}</definedName>
    <definedName name="자본건축총괄" hidden="1">{#N/A,#N/A,FALSE,"97년 투자계획 세부내역 "}</definedName>
    <definedName name="자재비" localSheetId="8" hidden="1">{"'용역비'!$A$4:$C$8"}</definedName>
    <definedName name="자재비" hidden="1">{"'용역비'!$A$4:$C$8"}</definedName>
    <definedName name="재료" localSheetId="0" hidden="1">{#N/A,#N/A,FALSE,"자재관리";#N/A,#N/A,FALSE,"자재관리";#N/A,#N/A,FALSE,"자재관리"}</definedName>
    <definedName name="재료" localSheetId="1" hidden="1">{#N/A,#N/A,FALSE,"자재관리";#N/A,#N/A,FALSE,"자재관리";#N/A,#N/A,FALSE,"자재관리"}</definedName>
    <definedName name="재료" localSheetId="8"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1" hidden="1">{#N/A,#N/A,FALSE,"자재관리";#N/A,#N/A,FALSE,"자재관리";#N/A,#N/A,FALSE,"자재관리"}</definedName>
    <definedName name="재료비1" localSheetId="8" hidden="1">{#N/A,#N/A,FALSE,"자재관리";#N/A,#N/A,FALSE,"자재관리";#N/A,#N/A,FALSE,"자재관리"}</definedName>
    <definedName name="재료비1" hidden="1">{#N/A,#N/A,FALSE,"자재관리";#N/A,#N/A,FALSE,"자재관리";#N/A,#N/A,FALSE,"자재관리"}</definedName>
    <definedName name="전" localSheetId="8" hidden="1">{#N/A,#N/A,FALSE,"97년 투자계획 세부내역 "}</definedName>
    <definedName name="전" hidden="1">{#N/A,#N/A,FALSE,"97년 투자계획 세부내역 "}</definedName>
    <definedName name="전기" localSheetId="8" hidden="1">{#N/A,#N/A,FALSE,"97년 투자계획 세부내역 "}</definedName>
    <definedName name="전기" hidden="1">{#N/A,#N/A,FALSE,"97년 투자계획 세부내역 "}</definedName>
    <definedName name="전기내역" localSheetId="8" hidden="1">{#N/A,#N/A,FALSE,"CCTV"}</definedName>
    <definedName name="전기내역" hidden="1">{#N/A,#N/A,FALSE,"CCTV"}</definedName>
    <definedName name="전년" localSheetId="0" hidden="1">{#N/A,#N/A,FALSE,"자재관리";#N/A,#N/A,FALSE,"자재관리";#N/A,#N/A,FALSE,"자재관리"}</definedName>
    <definedName name="전년" localSheetId="1" hidden="1">{#N/A,#N/A,FALSE,"자재관리";#N/A,#N/A,FALSE,"자재관리";#N/A,#N/A,FALSE,"자재관리"}</definedName>
    <definedName name="전년" localSheetId="8"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1" hidden="1">{#N/A,#N/A,FALSE,"자재관리";#N/A,#N/A,FALSE,"자재관리";#N/A,#N/A,FALSE,"자재관리"}</definedName>
    <definedName name="전년월" localSheetId="8" hidden="1">{#N/A,#N/A,FALSE,"자재관리";#N/A,#N/A,FALSE,"자재관리";#N/A,#N/A,FALSE,"자재관리"}</definedName>
    <definedName name="전년월" hidden="1">{#N/A,#N/A,FALSE,"자재관리";#N/A,#N/A,FALSE,"자재관리";#N/A,#N/A,FALSE,"자재관리"}</definedName>
    <definedName name="전용원" localSheetId="8" hidden="1">{#N/A,#N/A,FALSE,"97년 투자계획 세부내역 "}</definedName>
    <definedName name="전용원" hidden="1">{#N/A,#N/A,FALSE,"97년 투자계획 세부내역 "}</definedName>
    <definedName name="정리" localSheetId="8" hidden="1">{#N/A,#N/A,TRUE,"대 차 대 조 표"}</definedName>
    <definedName name="정리" hidden="1">{#N/A,#N/A,TRUE,"대 차 대 조 표"}</definedName>
    <definedName name="제경비산출표" localSheetId="8" hidden="1">{"'용역비'!$A$4:$C$8"}</definedName>
    <definedName name="제경비산출표" hidden="1">{"'용역비'!$A$4:$C$8"}</definedName>
    <definedName name="제조" localSheetId="9">#REF!</definedName>
    <definedName name="조경" localSheetId="8" hidden="1">{#N/A,#N/A,FALSE,"이력서&amp;자기소개서"}</definedName>
    <definedName name="조경" hidden="1">{#N/A,#N/A,FALSE,"이력서&amp;자기소개서"}</definedName>
    <definedName name="증감분석96계획95실적" localSheetId="8" hidden="1">{#N/A,#N/A,FALSE,"97년 투자계획 세부내역 "}</definedName>
    <definedName name="증감분석96계획95실적" hidden="1">{#N/A,#N/A,FALSE,"97년 투자계획 세부내역 "}</definedName>
    <definedName name="지원동" localSheetId="8" hidden="1">{#N/A,#N/A,TRUE,"대 차 대 조 표"}</definedName>
    <definedName name="지원동" hidden="1">{#N/A,#N/A,TRUE,"대 차 대 조 표"}</definedName>
    <definedName name="직매54P" localSheetId="8" hidden="1">{#N/A,#N/A,TRUE,"토적및재료집계";#N/A,#N/A,TRUE,"토적및재료집계";#N/A,#N/A,TRUE,"단위량"}</definedName>
    <definedName name="직매54P" hidden="1">{#N/A,#N/A,TRUE,"토적및재료집계";#N/A,#N/A,TRUE,"토적및재료집계";#N/A,#N/A,TRUE,"단위량"}</definedName>
    <definedName name="직재" localSheetId="8" hidden="1">{"'용역비'!$A$4:$C$8"}</definedName>
    <definedName name="직재" hidden="1">{"'용역비'!$A$4:$C$8"}</definedName>
    <definedName name="직접경비1" localSheetId="8" hidden="1">{"'용역비'!$A$4:$C$8"}</definedName>
    <definedName name="직접경비1" hidden="1">{"'용역비'!$A$4:$C$8"}</definedName>
    <definedName name="직접인건비A" localSheetId="8" hidden="1">{"'2분기예산별'!$B$2:$O$38"}</definedName>
    <definedName name="직접인건비A" hidden="1">{"'2분기예산별'!$B$2:$O$38"}</definedName>
    <definedName name="직접인건비세부내역A" localSheetId="8" hidden="1">{"'2분기예산별'!$B$2:$O$38"}</definedName>
    <definedName name="직접인건비세부내역A" hidden="1">{"'2분기예산별'!$B$2:$O$38"}</definedName>
    <definedName name="진우1" localSheetId="0" hidden="1">{#N/A,#N/A,FALSE,"자재관리";#N/A,#N/A,FALSE,"자재관리";#N/A,#N/A,FALSE,"자재관리"}</definedName>
    <definedName name="진우1" localSheetId="1" hidden="1">{#N/A,#N/A,FALSE,"자재관리";#N/A,#N/A,FALSE,"자재관리";#N/A,#N/A,FALSE,"자재관리"}</definedName>
    <definedName name="진우1" localSheetId="8" hidden="1">{#N/A,#N/A,FALSE,"자재관리";#N/A,#N/A,FALSE,"자재관리";#N/A,#N/A,FALSE,"자재관리"}</definedName>
    <definedName name="진우1" hidden="1">{#N/A,#N/A,FALSE,"자재관리";#N/A,#N/A,FALSE,"자재관리";#N/A,#N/A,FALSE,"자재관리"}</definedName>
    <definedName name="진행사항보고.xls" localSheetId="8" hidden="1">{#N/A,#N/A,FALSE,"97년 투자계획 세부내역 "}</definedName>
    <definedName name="진행사항보고.xls" hidden="1">{#N/A,#N/A,FALSE,"97년 투자계획 세부내역 "}</definedName>
    <definedName name="차량SVC" localSheetId="8" hidden="1">{#N/A,#N/A,FALSE,"UNIT";#N/A,#N/A,FALSE,"UNIT";#N/A,#N/A,FALSE,"계정"}</definedName>
    <definedName name="차량SVC" hidden="1">{#N/A,#N/A,FALSE,"UNIT";#N/A,#N/A,FALSE,"UNIT";#N/A,#N/A,FALSE,"계정"}</definedName>
    <definedName name="체육관" localSheetId="8" hidden="1">{#N/A,#N/A,TRUE,"대 차 대 조 표"}</definedName>
    <definedName name="체육관" hidden="1">{#N/A,#N/A,TRUE,"대 차 대 조 표"}</definedName>
    <definedName name="총" localSheetId="8" hidden="1">{#N/A,#N/A,FALSE,"이력서&amp;자기소개서"}</definedName>
    <definedName name="총" hidden="1">{#N/A,#N/A,FALSE,"이력서&amp;자기소개서"}</definedName>
    <definedName name="총_원_가" localSheetId="9">[11]손익분석!#REF!</definedName>
    <definedName name="총괄표" localSheetId="8" hidden="1">{"'2분기예산별'!$B$2:$O$38"}</definedName>
    <definedName name="총괄표" hidden="1">{"'2분기예산별'!$B$2:$O$38"}</definedName>
    <definedName name="최종분" localSheetId="8" hidden="1">{#N/A,#N/A,TRUE,"대 차 대 조 표"}</definedName>
    <definedName name="최종분" hidden="1">{#N/A,#N/A,TRUE,"대 차 대 조 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치" localSheetId="8" hidden="1">{#N/A,#N/A,FALSE,"97년 투자계획 세부내역 "}</definedName>
    <definedName name="치" hidden="1">{#N/A,#N/A,FALSE,"97년 투자계획 세부내역 "}</definedName>
    <definedName name="ㅋㅋㅋ"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8" hidden="1">{#N/A,#N/A,TRUE,"대 차 대 조 표"}</definedName>
    <definedName name="ㅋㅋㅋㅋ" hidden="1">{#N/A,#N/A,TRUE,"대 차 대 조 표"}</definedName>
    <definedName name="ㅋㅌ" localSheetId="8" hidden="1">{"'용역비'!$A$4:$C$8"}</definedName>
    <definedName name="ㅋㅌ" hidden="1">{"'용역비'!$A$4:$C$8"}</definedName>
    <definedName name="케이블간지" localSheetId="8" hidden="1">{#N/A,#N/A,TRUE,"토적및재료집계";#N/A,#N/A,TRUE,"토적및재료집계";#N/A,#N/A,TRUE,"단위량"}</definedName>
    <definedName name="케이블간지" hidden="1">{#N/A,#N/A,TRUE,"토적및재료집계";#N/A,#N/A,TRUE,"토적및재료집계";#N/A,#N/A,TRUE,"단위량"}</definedName>
    <definedName name="코크랩총괄예산" localSheetId="8" hidden="1">{#N/A,#N/A,FALSE,"이력서&amp;자기소개서"}</definedName>
    <definedName name="코크랩총괄예산" hidden="1">{#N/A,#N/A,FALSE,"이력서&amp;자기소개서"}</definedName>
    <definedName name="ㅌ" localSheetId="9">#REF!</definedName>
    <definedName name="ㅌㅍㅊㅇㅌㅎ" localSheetId="0"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8" hidden="1">{#N/A,#N/A,FALSE,"도급대비시행율";#N/A,#N/A,FALSE,"결의서";#N/A,#N/A,FALSE,"내역서";#N/A,#N/A,FALSE,"도급예상"}</definedName>
    <definedName name="ㅌㅍㅊㅇㅌㅎ" hidden="1">{#N/A,#N/A,FALSE,"도급대비시행율";#N/A,#N/A,FALSE,"결의서";#N/A,#N/A,FALSE,"내역서";#N/A,#N/A,FALSE,"도급예상"}</definedName>
    <definedName name="통합본관" hidden="1">#REF!</definedName>
    <definedName name="투자" localSheetId="8" hidden="1">{#N/A,#N/A,FALSE,"97년 투자계획 세부내역 "}</definedName>
    <definedName name="투자" hidden="1">{#N/A,#N/A,FALSE,"97년 투자계획 세부내역 "}</definedName>
    <definedName name="투자및자재" localSheetId="0" hidden="1">{#N/A,#N/A,FALSE,"자재관리";#N/A,#N/A,FALSE,"자재관리";#N/A,#N/A,FALSE,"자재관리"}</definedName>
    <definedName name="투자및자재" localSheetId="1" hidden="1">{#N/A,#N/A,FALSE,"자재관리";#N/A,#N/A,FALSE,"자재관리";#N/A,#N/A,FALSE,"자재관리"}</definedName>
    <definedName name="투자및자재" localSheetId="8"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1" hidden="1">{#N/A,#N/A,TRUE,"자재관리";#N/A,#N/A,TRUE,"품질"}</definedName>
    <definedName name="투자비내역" localSheetId="8"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1" hidden="1">{#N/A,#N/A,FALSE,"자재관리";#N/A,#N/A,FALSE,"자재관리";#N/A,#N/A,FALSE,"자재관리"}</definedName>
    <definedName name="팀별" localSheetId="8" hidden="1">{#N/A,#N/A,FALSE,"자재관리";#N/A,#N/A,FALSE,"자재관리";#N/A,#N/A,FALSE,"자재관리"}</definedName>
    <definedName name="팀별" hidden="1">{#N/A,#N/A,FALSE,"자재관리";#N/A,#N/A,FALSE,"자재관리";#N/A,#N/A,FALSE,"자재관리"}</definedName>
    <definedName name="평균이자율" hidden="1">[12]이자율!#REF!</definedName>
    <definedName name="포스코" localSheetId="8" hidden="1">{#N/A,#N/A,TRUE,"대 차 대 조 표"}</definedName>
    <definedName name="포스코" hidden="1">{#N/A,#N/A,TRUE,"대 차 대 조 표"}</definedName>
    <definedName name="표지" localSheetId="8" hidden="1">{#N/A,#N/A,FALSE,"동부"}</definedName>
    <definedName name="표지" hidden="1">{#N/A,#N/A,FALSE,"동부"}</definedName>
    <definedName name="표지1" localSheetId="0" hidden="1">{#N/A,#N/A,FALSE,"자재관리";#N/A,#N/A,FALSE,"자재관리";#N/A,#N/A,FALSE,"자재관리"}</definedName>
    <definedName name="표지1" localSheetId="1" hidden="1">{#N/A,#N/A,FALSE,"자재관리";#N/A,#N/A,FALSE,"자재관리";#N/A,#N/A,FALSE,"자재관리"}</definedName>
    <definedName name="표지1" localSheetId="8" hidden="1">{#N/A,#N/A,FALSE,"자재관리";#N/A,#N/A,FALSE,"자재관리";#N/A,#N/A,FALSE,"자재관리"}</definedName>
    <definedName name="표지1" hidden="1">{#N/A,#N/A,FALSE,"자재관리";#N/A,#N/A,FALSE,"자재관리";#N/A,#N/A,FALSE,"자재관리"}</definedName>
    <definedName name="풀" localSheetId="8" hidden="1">{#N/A,#N/A,FALSE,"동부"}</definedName>
    <definedName name="풀" hidden="1">{#N/A,#N/A,FALSE,"동부"}</definedName>
    <definedName name="ㅎ" localSheetId="0" hidden="1">{#N/A,#N/A,TRUE,"자재관리";#N/A,#N/A,TRUE,"품질"}</definedName>
    <definedName name="ㅎ" localSheetId="1" hidden="1">{#N/A,#N/A,TRUE,"자재관리";#N/A,#N/A,TRUE,"품질"}</definedName>
    <definedName name="ㅎ" localSheetId="8" hidden="1">{#N/A,#N/A,TRUE,"자재관리";#N/A,#N/A,TRUE,"품질"}</definedName>
    <definedName name="ㅎ" hidden="1">{#N/A,#N/A,TRUE,"자재관리";#N/A,#N/A,TRUE,"품질"}</definedName>
    <definedName name="ㅎㄱ" localSheetId="8" hidden="1">{"'용역비'!$A$4:$C$8"}</definedName>
    <definedName name="ㅎㄱ" hidden="1">{"'용역비'!$A$4:$C$8"}</definedName>
    <definedName name="ㅎㄱㅎ" localSheetId="8" hidden="1">{"'용역비'!$A$4:$C$8"}</definedName>
    <definedName name="ㅎㄱㅎ" hidden="1">{"'용역비'!$A$4:$C$8"}</definedName>
    <definedName name="ㅎㄱㅎㄱㅎㄱㅎ" localSheetId="8" hidden="1">{"'용역비'!$A$4:$C$8"}</definedName>
    <definedName name="ㅎㄱㅎㄱㅎㄱㅎ" hidden="1">{"'용역비'!$A$4:$C$8"}</definedName>
    <definedName name="ㅎㄹㄴ" localSheetId="8" hidden="1">{#N/A,#N/A,FALSE,"97년 투자계획 세부내역 "}</definedName>
    <definedName name="ㅎㄹㄴ" hidden="1">{#N/A,#N/A,FALSE,"97년 투자계획 세부내역 "}</definedName>
    <definedName name="ㅎㅀㅀㅀㅀㄹ" localSheetId="0" hidden="1">{#N/A,#N/A,FALSE,"CCTV"}</definedName>
    <definedName name="ㅎㅀㅀㅀㅀㄹ" localSheetId="1" hidden="1">{#N/A,#N/A,FALSE,"CCTV"}</definedName>
    <definedName name="ㅎㅀㅀㅀㅀㄹ" localSheetId="8" hidden="1">{#N/A,#N/A,FALSE,"CCTV"}</definedName>
    <definedName name="ㅎㅀㅀㅀㅀㄹ" hidden="1">{#N/A,#N/A,FALSE,"CCTV"}</definedName>
    <definedName name="ㅎㅇ" localSheetId="8" hidden="1">{"'용역비'!$A$4:$C$8"}</definedName>
    <definedName name="ㅎㅇ" hidden="1">{"'용역비'!$A$4:$C$8"}</definedName>
    <definedName name="ㅎ오" localSheetId="8" hidden="1">{"'용역비'!$A$4:$C$8"}</definedName>
    <definedName name="ㅎ오" hidden="1">{"'용역비'!$A$4:$C$8"}</definedName>
    <definedName name="하이" hidden="1">[13]내역서!#REF!</definedName>
    <definedName name="하하" localSheetId="9">#REF!</definedName>
    <definedName name="학교" localSheetId="9">#REF!</definedName>
    <definedName name="학교2" localSheetId="9">#REF!</definedName>
    <definedName name="함안"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함안"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현조" hidden="1">#REF!</definedName>
    <definedName name="호" localSheetId="9">#REF!</definedName>
    <definedName name="호ㅓ" localSheetId="8" hidden="1">{"'용역비'!$A$4:$C$8"}</definedName>
    <definedName name="호ㅓ" hidden="1">{"'용역비'!$A$4:$C$8"}</definedName>
    <definedName name="홈에버用" localSheetId="8" hidden="1">{#N/A,#N/A,FALSE,"손익표지";#N/A,#N/A,FALSE,"손익계산";#N/A,#N/A,FALSE,"일반관리비";#N/A,#N/A,FALSE,"영업외수익";#N/A,#N/A,FALSE,"영업외비용";#N/A,#N/A,FALSE,"매출액";#N/A,#N/A,FALSE,"요약손익";#N/A,#N/A,FALSE,"요약대차";#N/A,#N/A,FALSE,"매출채권현황";#N/A,#N/A,FALSE,"매출채권명세"}</definedName>
    <definedName name="홈에버用" hidden="1">{#N/A,#N/A,FALSE,"손익표지";#N/A,#N/A,FALSE,"손익계산";#N/A,#N/A,FALSE,"일반관리비";#N/A,#N/A,FALSE,"영업외수익";#N/A,#N/A,FALSE,"영업외비용";#N/A,#N/A,FALSE,"매출액";#N/A,#N/A,FALSE,"요약손익";#N/A,#N/A,FALSE,"요약대차";#N/A,#N/A,FALSE,"매출채권현황";#N/A,#N/A,FALSE,"매출채권명세"}</definedName>
    <definedName name="홍ㅇ호" localSheetId="8" hidden="1">{"'용역비'!$A$4:$C$8"}</definedName>
    <definedName name="홍ㅇ호" hidden="1">{"'용역비'!$A$4:$C$8"}</definedName>
    <definedName name="환경관리" localSheetId="8"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환경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ㅏㅏ" localSheetId="8" hidden="1">{#N/A,#N/A,FALSE,"이력서&amp;자기소개서"}</definedName>
    <definedName name="ㅏㅏ" hidden="1">{#N/A,#N/A,FALSE,"이력서&amp;자기소개서"}</definedName>
    <definedName name="ㅏㅏㅏ" localSheetId="0" hidden="1">{"'Sheet1'!$E$23","'Sheet1'!$A$3:$H$19","'Sheet1'!$A$1:$H$19"}</definedName>
    <definedName name="ㅏㅏㅏ" localSheetId="1" hidden="1">{"'Sheet1'!$E$23","'Sheet1'!$A$3:$H$19","'Sheet1'!$A$1:$H$19"}</definedName>
    <definedName name="ㅏㅏㅏ" localSheetId="8"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8"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1" hidden="1">{#N/A,#N/A,FALSE,"전력간선"}</definedName>
    <definedName name="ㅏㅓㅗ" localSheetId="8" hidden="1">{#N/A,#N/A,FALSE,"전력간선"}</definedName>
    <definedName name="ㅏㅓㅗ" hidden="1">{#N/A,#N/A,FALSE,"전력간선"}</definedName>
    <definedName name="ㅑㅑ" localSheetId="8" hidden="1">{"'용역비'!$A$4:$C$8"}</definedName>
    <definedName name="ㅑㅑ" hidden="1">{"'용역비'!$A$4:$C$8"}</definedName>
    <definedName name="ㅑㅑㅑ" localSheetId="8" hidden="1">{"'용역비'!$A$4:$C$8"}</definedName>
    <definedName name="ㅑㅑㅑ" hidden="1">{"'용역비'!$A$4:$C$8"}</definedName>
    <definedName name="ㅑㅑㅑㅑㅑ" localSheetId="8" hidden="1">{"'용역비'!$A$4:$C$8"}</definedName>
    <definedName name="ㅑㅑㅑㅑㅑ" hidden="1">{"'용역비'!$A$4:$C$8"}</definedName>
    <definedName name="ㅑㅑㅑㅑㅑㅑ" localSheetId="8" hidden="1">{"'용역비'!$A$4:$C$8"}</definedName>
    <definedName name="ㅑㅑㅑㅑㅑㅑ" hidden="1">{"'용역비'!$A$4:$C$8"}</definedName>
    <definedName name="ㅑㅕㅕ" localSheetId="8" hidden="1">{"'용역비'!$A$4:$C$8"}</definedName>
    <definedName name="ㅑㅕㅕ" hidden="1">{"'용역비'!$A$4:$C$8"}</definedName>
    <definedName name="ㅓ" localSheetId="0" hidden="1">{#N/A,#N/A,TRUE,"자재관리";#N/A,#N/A,TRUE,"품질"}</definedName>
    <definedName name="ㅓ" localSheetId="9">[1]내역서!#REF!</definedName>
    <definedName name="ㅓㅓㅓ" localSheetId="8" hidden="1">{#N/A,#N/A,FALSE,"97년 투자계획 세부내역 "}</definedName>
    <definedName name="ㅓㅓㅓ" hidden="1">{#N/A,#N/A,FALSE,"97년 투자계획 세부내역 "}</definedName>
    <definedName name="ㅔㅣ" localSheetId="8" hidden="1">{"'용역비'!$A$4:$C$8"}</definedName>
    <definedName name="ㅔㅣ" hidden="1">{"'용역비'!$A$4:$C$8"}</definedName>
    <definedName name="ㅗ315" localSheetId="9">[14]신우!#REF!</definedName>
    <definedName name="ㅗ461" localSheetId="9">#REF!</definedName>
    <definedName name="ㅛ" localSheetId="0" hidden="1">{#N/A,#N/A,FALSE,"자재관리";#N/A,#N/A,FALSE,"자재관리";#N/A,#N/A,FALSE,"자재관리"}</definedName>
    <definedName name="ㅛ" localSheetId="1" hidden="1">{#N/A,#N/A,FALSE,"자재관리";#N/A,#N/A,FALSE,"자재관리";#N/A,#N/A,FALSE,"자재관리"}</definedName>
    <definedName name="ㅛ" localSheetId="8" hidden="1">{#N/A,#N/A,FALSE,"자재관리";#N/A,#N/A,FALSE,"자재관리";#N/A,#N/A,FALSE,"자재관리"}</definedName>
    <definedName name="ㅛ" hidden="1">{#N/A,#N/A,FALSE,"자재관리";#N/A,#N/A,FALSE,"자재관리";#N/A,#N/A,FALSE,"자재관리"}</definedName>
    <definedName name="ㅛㅛ" localSheetId="8" hidden="1">{"'용역비'!$A$4:$C$8"}</definedName>
    <definedName name="ㅛㅛ" hidden="1">{"'용역비'!$A$4:$C$8"}</definedName>
    <definedName name="ㅛㅛㅛ"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ㅜ" localSheetId="9">[1]내역서!#REF!</definedName>
    <definedName name="ㅜㅊ4263"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8" hidden="1">{#N/A,#N/A,FALSE,"CCTV"}</definedName>
    <definedName name="ㅜㅜㅜㅜㅜㅜㅜㅜㅜㅜㅜㅜㅜㅜㅜㅜㅜㅜㅜㅜㅜㅜㅜㅜㅜㅜㅜㅜㅜㅜㅜㅜㅜㅜㅜㅜㅜㅜㅜㅜㅜㅜ" hidden="1">{#N/A,#N/A,FALSE,"CCTV"}</definedName>
    <definedName name="ㅠㄱ" localSheetId="8" hidden="1">{"'용역비'!$A$4:$C$8"}</definedName>
    <definedName name="ㅠㄱ" hidden="1">{"'용역비'!$A$4:$C$8"}</definedName>
    <definedName name="ㅠㅠㅠ" localSheetId="8" hidden="1">{#N/A,#N/A,FALSE,"동부"}</definedName>
    <definedName name="ㅠㅠㅠ" hidden="1">{#N/A,#N/A,FALSE,"동부"}</definedName>
    <definedName name="ㅡㅗ" localSheetId="0" hidden="1">{#N/A,#N/A,FALSE,"전력간선"}</definedName>
    <definedName name="ㅡㅗ" localSheetId="1" hidden="1">{#N/A,#N/A,FALSE,"전력간선"}</definedName>
    <definedName name="ㅡㅗ" localSheetId="8" hidden="1">{#N/A,#N/A,FALSE,"전력간선"}</definedName>
    <definedName name="ㅡㅗ" hidden="1">{#N/A,#N/A,FALSE,"전력간선"}</definedName>
    <definedName name="ㅡㅡ" localSheetId="8" hidden="1">{"'용역비'!$A$4:$C$8"}</definedName>
    <definedName name="ㅡㅡ" hidden="1">{"'용역비'!$A$4:$C$8"}</definedName>
    <definedName name="ㅣㅏㅏ" localSheetId="8" hidden="1">{#N/A,#N/A,FALSE,"97년 투자계획 세부내역 "}</definedName>
    <definedName name="ㅣㅏㅏ" hidden="1">{#N/A,#N/A,FALSE,"97년 투자계획 세부내역 "}</definedName>
    <definedName name="ㅣㅣㅣ" hidden="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 i="59" l="1"/>
  <c r="Q9" i="56" l="1"/>
  <c r="Q8" i="56"/>
  <c r="C17" i="8"/>
  <c r="D17" i="8"/>
  <c r="E17" i="8"/>
  <c r="F17" i="8"/>
  <c r="C18" i="8"/>
  <c r="D18" i="8"/>
  <c r="E18" i="8"/>
  <c r="F18" i="8"/>
  <c r="C19" i="8"/>
  <c r="D19" i="8"/>
  <c r="E19" i="8"/>
  <c r="F19" i="8"/>
  <c r="C21" i="8"/>
  <c r="D21" i="8"/>
  <c r="E21" i="8"/>
  <c r="F21" i="8"/>
  <c r="C22" i="8"/>
  <c r="D22" i="8"/>
  <c r="E22" i="8"/>
  <c r="F22" i="8"/>
  <c r="C23" i="8"/>
  <c r="D23" i="8"/>
  <c r="E23" i="8"/>
  <c r="F23" i="8"/>
  <c r="C24" i="8"/>
  <c r="D24" i="8"/>
  <c r="E24" i="8"/>
  <c r="F24" i="8"/>
  <c r="C25" i="8"/>
  <c r="D25" i="8"/>
  <c r="E25" i="8"/>
  <c r="F25" i="8"/>
  <c r="C26" i="8"/>
  <c r="D26" i="8"/>
  <c r="E26" i="8"/>
  <c r="F26" i="8"/>
  <c r="C27" i="8"/>
  <c r="D27" i="8"/>
  <c r="E27" i="8"/>
  <c r="F27" i="8"/>
  <c r="C28" i="8"/>
  <c r="D28" i="8"/>
  <c r="E28" i="8"/>
  <c r="F28" i="8"/>
  <c r="C29" i="8"/>
  <c r="D29" i="8"/>
  <c r="E29" i="8"/>
  <c r="F29" i="8"/>
  <c r="C30" i="8"/>
  <c r="D30" i="8"/>
  <c r="E30" i="8"/>
  <c r="F30" i="8"/>
  <c r="C31" i="8"/>
  <c r="D31" i="8"/>
  <c r="E31" i="8"/>
  <c r="F31" i="8"/>
  <c r="C32" i="8"/>
  <c r="D32" i="8"/>
  <c r="E32" i="8"/>
  <c r="F32" i="8"/>
  <c r="J48" i="7"/>
  <c r="I48" i="7"/>
  <c r="C99" i="40"/>
  <c r="H40" i="7"/>
  <c r="L40" i="7" s="1"/>
  <c r="C13" i="8" l="1"/>
  <c r="D13" i="8"/>
  <c r="E13" i="8"/>
  <c r="F13" i="8"/>
  <c r="C14" i="8"/>
  <c r="D14" i="8"/>
  <c r="E14" i="8"/>
  <c r="F14" i="8"/>
  <c r="H15" i="7"/>
  <c r="L15" i="7" s="1"/>
  <c r="H14" i="7"/>
  <c r="J27" i="7"/>
  <c r="J24" i="7"/>
  <c r="J23" i="7"/>
  <c r="L14" i="7" l="1"/>
  <c r="H4" i="46" l="1"/>
  <c r="B4" i="46"/>
  <c r="B2" i="55"/>
  <c r="I8" i="56" s="1"/>
  <c r="B2" i="56"/>
  <c r="C9" i="8"/>
  <c r="D9" i="8"/>
  <c r="E9" i="8"/>
  <c r="F9" i="8"/>
  <c r="C10" i="8"/>
  <c r="D10" i="8"/>
  <c r="E10" i="8"/>
  <c r="F10" i="8"/>
  <c r="C11" i="8"/>
  <c r="D11" i="8"/>
  <c r="E11" i="8"/>
  <c r="F11" i="8"/>
  <c r="C12" i="8"/>
  <c r="D12" i="8"/>
  <c r="E12" i="8"/>
  <c r="F12" i="8"/>
  <c r="C15" i="8"/>
  <c r="D15" i="8"/>
  <c r="E15" i="8"/>
  <c r="F15" i="8"/>
  <c r="C16" i="8"/>
  <c r="D16" i="8"/>
  <c r="E16" i="8"/>
  <c r="F16" i="8"/>
  <c r="H17" i="7"/>
  <c r="L17" i="7" s="1"/>
  <c r="H16" i="7"/>
  <c r="L16" i="7" s="1"/>
  <c r="H12" i="7" l="1"/>
  <c r="L12" i="7" s="1"/>
  <c r="H13" i="7"/>
  <c r="L13" i="7" s="1"/>
  <c r="H20" i="7" l="1"/>
  <c r="L20" i="7" s="1"/>
  <c r="H19" i="7"/>
  <c r="L19" i="7" s="1"/>
  <c r="H18" i="7"/>
  <c r="L18" i="7" s="1"/>
  <c r="H11" i="7"/>
  <c r="L11" i="7" s="1"/>
  <c r="J21" i="7"/>
  <c r="L3" i="59"/>
  <c r="G6" i="59"/>
  <c r="H6" i="59"/>
  <c r="F6" i="59"/>
  <c r="J6" i="59" l="1"/>
  <c r="K6" i="59" s="1"/>
  <c r="K14" i="47" s="1"/>
  <c r="L14" i="47" s="1"/>
  <c r="H38" i="7" l="1"/>
  <c r="L38" i="7" s="1"/>
  <c r="I10" i="56"/>
  <c r="I9" i="56"/>
  <c r="E8" i="56" l="1"/>
  <c r="C55" i="40"/>
  <c r="C17" i="40"/>
  <c r="C78" i="40"/>
  <c r="C71" i="40"/>
  <c r="C63" i="40"/>
  <c r="C47" i="40"/>
  <c r="C37" i="40"/>
  <c r="C27" i="40"/>
  <c r="C9" i="40"/>
  <c r="H39" i="7"/>
  <c r="L39" i="7" s="1"/>
  <c r="J49" i="7" l="1"/>
  <c r="I49" i="7"/>
  <c r="K49" i="7" s="1"/>
  <c r="E86" i="40"/>
  <c r="E87" i="40" s="1"/>
  <c r="E78" i="40"/>
  <c r="E79" i="40" s="1"/>
  <c r="E71" i="40"/>
  <c r="E72" i="40" s="1"/>
  <c r="E63" i="40"/>
  <c r="E64" i="40" s="1"/>
  <c r="H42" i="7"/>
  <c r="L42" i="7" s="1"/>
  <c r="H41" i="7"/>
  <c r="L41" i="7" s="1"/>
  <c r="E92" i="40" l="1"/>
  <c r="E93" i="40" s="1"/>
  <c r="E99" i="40"/>
  <c r="E100" i="40" s="1"/>
  <c r="L49" i="7"/>
  <c r="H37" i="7"/>
  <c r="H36" i="7"/>
  <c r="L37" i="7" l="1"/>
  <c r="L36" i="7"/>
  <c r="J26" i="7"/>
  <c r="J22" i="7"/>
  <c r="H10" i="7"/>
  <c r="L10" i="7" s="1"/>
  <c r="D20" i="8"/>
  <c r="E20" i="8"/>
  <c r="F20" i="8"/>
  <c r="C20" i="8"/>
  <c r="J47" i="7" l="1"/>
  <c r="I47" i="7"/>
  <c r="H35" i="7"/>
  <c r="L35" i="7" s="1"/>
  <c r="K47" i="7" l="1"/>
  <c r="L47" i="7" s="1"/>
  <c r="M8" i="56" l="1"/>
  <c r="M9" i="56"/>
  <c r="I4" i="8" l="1"/>
  <c r="Q4" i="29"/>
  <c r="M4" i="7"/>
  <c r="B4" i="8"/>
  <c r="B4" i="29"/>
  <c r="B4" i="7"/>
  <c r="N4" i="47"/>
  <c r="B4" i="47"/>
  <c r="D8" i="8" l="1"/>
  <c r="E8" i="8"/>
  <c r="F8" i="8"/>
  <c r="J55" i="7"/>
  <c r="J46" i="7"/>
  <c r="J45" i="7"/>
  <c r="J44" i="7"/>
  <c r="J43" i="7"/>
  <c r="J25" i="7"/>
  <c r="J31" i="29"/>
  <c r="H31" i="29"/>
  <c r="J27" i="29"/>
  <c r="H27" i="29"/>
  <c r="N27" i="29" s="1"/>
  <c r="O27" i="29" s="1"/>
  <c r="I27" i="7" s="1"/>
  <c r="K27" i="7" s="1"/>
  <c r="L27" i="7" s="1"/>
  <c r="J25" i="29"/>
  <c r="H25" i="29"/>
  <c r="J23" i="29"/>
  <c r="H23" i="29"/>
  <c r="J21" i="29"/>
  <c r="H21" i="29"/>
  <c r="J17" i="29"/>
  <c r="H17" i="29"/>
  <c r="N17" i="29" s="1"/>
  <c r="O17" i="29" s="1"/>
  <c r="I24" i="7" s="1"/>
  <c r="K24" i="7" s="1"/>
  <c r="L24" i="7" s="1"/>
  <c r="J15" i="29"/>
  <c r="H15" i="29"/>
  <c r="N15" i="29" s="1"/>
  <c r="O15" i="29" s="1"/>
  <c r="I23" i="7" s="1"/>
  <c r="K23" i="7" s="1"/>
  <c r="L23" i="7" s="1"/>
  <c r="J13" i="29"/>
  <c r="H13" i="29"/>
  <c r="N13" i="29" s="1"/>
  <c r="O13" i="29" s="1"/>
  <c r="J11" i="29"/>
  <c r="H11" i="29"/>
  <c r="J9" i="29"/>
  <c r="H9" i="29"/>
  <c r="N9" i="29" s="1"/>
  <c r="O9" i="29" s="1"/>
  <c r="I21" i="7" s="1"/>
  <c r="K21" i="7" s="1"/>
  <c r="L21" i="7" l="1"/>
  <c r="N25" i="29"/>
  <c r="O25" i="29" s="1"/>
  <c r="N11" i="29"/>
  <c r="O11" i="29" s="1"/>
  <c r="I22" i="7" s="1"/>
  <c r="K22" i="7" s="1"/>
  <c r="L22" i="7" s="1"/>
  <c r="N31" i="29"/>
  <c r="O31" i="29" s="1"/>
  <c r="N21" i="29"/>
  <c r="O21" i="29" s="1"/>
  <c r="I25" i="7" s="1"/>
  <c r="K25" i="7" s="1"/>
  <c r="O32" i="29"/>
  <c r="I55" i="7"/>
  <c r="K55" i="7" s="1" a="1"/>
  <c r="K55" i="7" s="1"/>
  <c r="K56" i="7" s="1"/>
  <c r="N23" i="29"/>
  <c r="O23" i="29" s="1"/>
  <c r="I26" i="7" s="1"/>
  <c r="K26" i="7" s="1"/>
  <c r="L26" i="7" s="1"/>
  <c r="O19" i="29"/>
  <c r="K28" i="7" l="1"/>
  <c r="O29" i="29"/>
  <c r="E9" i="56"/>
  <c r="D34" i="8" l="1"/>
  <c r="D35" i="8"/>
  <c r="D33" i="8"/>
  <c r="F34" i="8"/>
  <c r="F35" i="8"/>
  <c r="F33" i="8"/>
  <c r="M7" i="56" l="1"/>
  <c r="C34" i="8" l="1"/>
  <c r="C35" i="8"/>
  <c r="C33" i="8"/>
  <c r="C8" i="8"/>
  <c r="F10" i="46" l="1"/>
  <c r="M14" i="47" l="1"/>
  <c r="G10" i="46"/>
  <c r="I43" i="7" l="1"/>
  <c r="I7" i="49"/>
  <c r="I8" i="49"/>
  <c r="I12" i="49"/>
  <c r="I13" i="49"/>
  <c r="I11" i="49"/>
  <c r="I10" i="49"/>
  <c r="I9" i="49"/>
  <c r="I6" i="49"/>
  <c r="E47" i="40" l="1"/>
  <c r="E48" i="40" s="1"/>
  <c r="E55" i="40"/>
  <c r="E56" i="40" s="1"/>
  <c r="O43" i="7"/>
  <c r="I46" i="7" l="1"/>
  <c r="I45" i="7"/>
  <c r="I44" i="7"/>
  <c r="K43" i="7"/>
  <c r="K44" i="7" l="1"/>
  <c r="K45" i="7"/>
  <c r="K46" i="7"/>
  <c r="O44" i="7"/>
  <c r="O45" i="7"/>
  <c r="O46" i="7"/>
  <c r="L43" i="7"/>
  <c r="K50" i="7" l="1"/>
  <c r="L46" i="7"/>
  <c r="O55" i="7"/>
  <c r="L45" i="7"/>
  <c r="L25" i="7"/>
  <c r="L44" i="7"/>
  <c r="O25" i="7"/>
  <c r="I10" i="47" l="1"/>
  <c r="J10" i="47" s="1"/>
  <c r="I9" i="47"/>
  <c r="J9" i="47" s="1"/>
  <c r="L55" i="7"/>
  <c r="H32" i="7"/>
  <c r="L32" i="7" s="1"/>
  <c r="H33" i="7"/>
  <c r="L33" i="7" s="1"/>
  <c r="H34" i="7"/>
  <c r="H52" i="7"/>
  <c r="H53" i="7"/>
  <c r="H54" i="7"/>
  <c r="L53" i="7" l="1"/>
  <c r="H56" i="7"/>
  <c r="G10" i="47" s="1"/>
  <c r="H10" i="47" s="1"/>
  <c r="M10" i="47" s="1"/>
  <c r="L34" i="7"/>
  <c r="K57" i="7"/>
  <c r="L52" i="7"/>
  <c r="L54" i="7"/>
  <c r="L56" i="7" l="1"/>
  <c r="O27" i="40"/>
  <c r="O28" i="40" s="1"/>
  <c r="K17" i="40"/>
  <c r="K18" i="40" s="1"/>
  <c r="G9" i="40"/>
  <c r="G10" i="40" s="1"/>
  <c r="I27" i="40" l="1"/>
  <c r="I28" i="40" s="1"/>
  <c r="K27" i="40"/>
  <c r="K28" i="40" s="1"/>
  <c r="E27" i="40"/>
  <c r="E28" i="40" s="1"/>
  <c r="G27" i="40"/>
  <c r="G28" i="40" s="1"/>
  <c r="M27" i="40"/>
  <c r="M28" i="40" s="1"/>
  <c r="G17" i="40"/>
  <c r="G18" i="40" s="1"/>
  <c r="I17" i="40"/>
  <c r="I18" i="40" s="1"/>
  <c r="E17" i="40"/>
  <c r="E18" i="40" s="1"/>
  <c r="E9" i="40"/>
  <c r="E10" i="40" s="1"/>
  <c r="O21" i="7" l="1"/>
  <c r="H9" i="7"/>
  <c r="H28" i="7" s="1"/>
  <c r="L9" i="7" l="1"/>
  <c r="L28" i="7" s="1"/>
  <c r="G8" i="47"/>
  <c r="H8" i="47" s="1"/>
  <c r="E37" i="40" l="1"/>
  <c r="E38" i="40" s="1"/>
  <c r="H31" i="7" l="1"/>
  <c r="L31" i="7" s="1"/>
  <c r="H30" i="7"/>
  <c r="H50" i="7" l="1"/>
  <c r="H57" i="7" s="1"/>
  <c r="L30" i="7"/>
  <c r="L50" i="7" s="1"/>
  <c r="L57" i="7" l="1"/>
  <c r="G9" i="47"/>
  <c r="H9" i="47" s="1"/>
  <c r="M9" i="47" s="1"/>
  <c r="D8" i="46" l="1"/>
  <c r="H11" i="47"/>
  <c r="H12" i="47" s="1"/>
  <c r="M12" i="47" l="1"/>
  <c r="H15" i="47"/>
  <c r="D9" i="46" s="1"/>
  <c r="D12" i="46" s="1"/>
  <c r="H16" i="47" l="1"/>
  <c r="D27" i="46" l="1"/>
  <c r="I8" i="47" l="1"/>
  <c r="J8" i="47" s="1"/>
  <c r="M8" i="47" s="1"/>
  <c r="M11" i="47" s="1"/>
  <c r="E8" i="46" l="1"/>
  <c r="J11" i="47"/>
  <c r="L13" i="47" s="1"/>
  <c r="L15" i="47" s="1"/>
  <c r="L16" i="47" s="1"/>
  <c r="G8" i="46" l="1"/>
  <c r="E12" i="46"/>
  <c r="M13" i="47"/>
  <c r="M15" i="47" s="1"/>
  <c r="M16" i="47" s="1"/>
  <c r="F9" i="46"/>
  <c r="F12" i="46" s="1"/>
  <c r="J15" i="47"/>
  <c r="G17" i="46" l="1"/>
  <c r="G19" i="46" s="1"/>
  <c r="G16" i="46"/>
  <c r="G15" i="46"/>
  <c r="F27" i="46"/>
  <c r="J16" i="47"/>
  <c r="G9" i="46"/>
  <c r="G12" i="46" l="1"/>
  <c r="G18" i="46" l="1"/>
  <c r="G14" i="46"/>
  <c r="E27" i="46"/>
  <c r="G21" i="46" l="1"/>
  <c r="G23" i="46" s="1"/>
  <c r="G24" i="46" l="1"/>
  <c r="G26" i="46" l="1"/>
  <c r="G27" i="46" l="1"/>
  <c r="D7" i="56" s="1"/>
  <c r="E7" i="56" s="1"/>
  <c r="E10" i="56" l="1"/>
  <c r="D21" i="56" s="1"/>
  <c r="M10" i="56"/>
  <c r="M11" i="56" s="1"/>
  <c r="D22" i="56" s="1"/>
  <c r="F22" i="56" s="1"/>
  <c r="F21" i="56" l="1"/>
  <c r="D23" i="56" l="1"/>
  <c r="F23" i="5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<sst xmlns="http://schemas.openxmlformats.org/spreadsheetml/2006/main" count="691" uniqueCount="431">
  <si>
    <t>구  분</t>
    <phoneticPr fontId="12" type="noConversion"/>
  </si>
  <si>
    <t>공 사 항 목</t>
    <phoneticPr fontId="12" type="noConversion"/>
  </si>
  <si>
    <t>자 재 비</t>
    <phoneticPr fontId="12" type="noConversion"/>
  </si>
  <si>
    <t>인 건 비</t>
    <phoneticPr fontId="12" type="noConversion"/>
  </si>
  <si>
    <t>합   계</t>
    <phoneticPr fontId="12" type="noConversion"/>
  </si>
  <si>
    <t>비      고</t>
    <phoneticPr fontId="12" type="noConversion"/>
  </si>
  <si>
    <t>직접공사비</t>
    <phoneticPr fontId="13" type="noConversion"/>
  </si>
  <si>
    <t>소     계</t>
    <phoneticPr fontId="13" type="noConversion"/>
  </si>
  <si>
    <t>일반 관리비</t>
    <phoneticPr fontId="12" type="noConversion"/>
  </si>
  <si>
    <t>공 사 금 액</t>
    <phoneticPr fontId="12" type="noConversion"/>
  </si>
  <si>
    <t>규  격</t>
    <phoneticPr fontId="13" type="noConversion"/>
  </si>
  <si>
    <t>단위</t>
    <phoneticPr fontId="13" type="noConversion"/>
  </si>
  <si>
    <t>수량</t>
    <phoneticPr fontId="13" type="noConversion"/>
  </si>
  <si>
    <t>자 재 비</t>
  </si>
  <si>
    <t>인  건  비</t>
  </si>
  <si>
    <t>합  계</t>
    <phoneticPr fontId="13" type="noConversion"/>
  </si>
  <si>
    <t>비  고</t>
  </si>
  <si>
    <t>단가</t>
  </si>
  <si>
    <t>금액</t>
  </si>
  <si>
    <t>M/P</t>
  </si>
  <si>
    <t>항   목</t>
  </si>
  <si>
    <t>규  격</t>
  </si>
  <si>
    <t>단위</t>
  </si>
  <si>
    <t>수량</t>
  </si>
  <si>
    <t>합   계</t>
  </si>
  <si>
    <t>인원</t>
  </si>
  <si>
    <t>항 목</t>
  </si>
  <si>
    <t>규 격</t>
  </si>
  <si>
    <t>단 위</t>
  </si>
  <si>
    <t>수 량</t>
  </si>
  <si>
    <t>산출근거</t>
  </si>
  <si>
    <t>비 고</t>
  </si>
  <si>
    <t>NO</t>
    <phoneticPr fontId="13" type="noConversion"/>
  </si>
  <si>
    <t>항   목</t>
    <phoneticPr fontId="13" type="noConversion"/>
  </si>
  <si>
    <t>공구손료</t>
    <phoneticPr fontId="13" type="noConversion"/>
  </si>
  <si>
    <t>인건비 계의 3% 이내</t>
    <phoneticPr fontId="13" type="noConversion"/>
  </si>
  <si>
    <t>(단위:원, VAT별도)</t>
  </si>
  <si>
    <t>(단위 : 원,VAT별도)</t>
    <phoneticPr fontId="13" type="noConversion"/>
  </si>
  <si>
    <t>(단위 : 원,VAT별도)</t>
    <phoneticPr fontId="13" type="noConversion"/>
  </si>
  <si>
    <t>물량산출서</t>
    <phoneticPr fontId="10" type="noConversion"/>
  </si>
  <si>
    <t>공사예산내역서(을)</t>
    <phoneticPr fontId="15" type="noConversion"/>
  </si>
  <si>
    <t>인</t>
    <phoneticPr fontId="10" type="noConversion"/>
  </si>
  <si>
    <t>단 가</t>
    <phoneticPr fontId="11" type="noConversion"/>
  </si>
  <si>
    <t>소    계</t>
    <phoneticPr fontId="13" type="noConversion"/>
  </si>
  <si>
    <t>인 건 비</t>
    <phoneticPr fontId="10" type="noConversion"/>
  </si>
  <si>
    <t>자재비 계의 3% 이내</t>
    <phoneticPr fontId="13" type="noConversion"/>
  </si>
  <si>
    <t xml:space="preserve">                           </t>
    <phoneticPr fontId="12" type="noConversion"/>
  </si>
  <si>
    <t>이          윤</t>
    <phoneticPr fontId="12" type="noConversion"/>
  </si>
  <si>
    <t>합     계</t>
    <phoneticPr fontId="12" type="noConversion"/>
  </si>
  <si>
    <t>일위대가</t>
    <phoneticPr fontId="13" type="noConversion"/>
  </si>
  <si>
    <t>공사예산내역서(갑)</t>
    <phoneticPr fontId="12" type="noConversion"/>
  </si>
  <si>
    <t>합 계</t>
    <phoneticPr fontId="10" type="noConversion"/>
  </si>
  <si>
    <t>소 계</t>
    <phoneticPr fontId="10" type="noConversion"/>
  </si>
  <si>
    <t>%</t>
    <phoneticPr fontId="13" type="noConversion"/>
  </si>
  <si>
    <t>합      계</t>
    <phoneticPr fontId="10" type="noConversion"/>
  </si>
  <si>
    <t>▶일위대가 참조</t>
    <phoneticPr fontId="10" type="noConversion"/>
  </si>
  <si>
    <t>잡자재비</t>
    <phoneticPr fontId="13" type="noConversion"/>
  </si>
  <si>
    <t>(</t>
  </si>
  <si>
    <t>인 Ⅹ</t>
    <phoneticPr fontId="41" type="noConversion"/>
  </si>
  <si>
    <t>분/</t>
    <phoneticPr fontId="41" type="noConversion"/>
  </si>
  <si>
    <t>해설</t>
    <phoneticPr fontId="41" type="noConversion"/>
  </si>
  <si>
    <t>NO</t>
    <phoneticPr fontId="10" type="noConversion"/>
  </si>
  <si>
    <t>식</t>
    <phoneticPr fontId="10" type="noConversion"/>
  </si>
  <si>
    <t>합 계</t>
  </si>
  <si>
    <t>비고</t>
  </si>
  <si>
    <t>(M당)</t>
  </si>
  <si>
    <t>내선전공</t>
    <phoneticPr fontId="41" type="noConversion"/>
  </si>
  <si>
    <t>M</t>
  </si>
  <si>
    <t>일위대가 산출근거</t>
    <phoneticPr fontId="11" type="noConversion"/>
  </si>
  <si>
    <t>6㎟ 이하</t>
    <phoneticPr fontId="11" type="noConversion"/>
  </si>
  <si>
    <t>내선전공</t>
    <phoneticPr fontId="10" type="noConversion"/>
  </si>
  <si>
    <t>1) 옥내케이블 관내배선은 "전력케이블 구내설치" 준용</t>
    <phoneticPr fontId="10" type="noConversion"/>
  </si>
  <si>
    <t>4C 2.5㎟ 이하</t>
    <phoneticPr fontId="11" type="noConversion"/>
  </si>
  <si>
    <t>저압케이블전공</t>
    <phoneticPr fontId="10" type="noConversion"/>
  </si>
  <si>
    <t>1) 다음 작업 포함기준</t>
    <phoneticPr fontId="10" type="noConversion"/>
  </si>
  <si>
    <t>① 케이블 부설 정돈, 청소.</t>
    <phoneticPr fontId="10" type="noConversion"/>
  </si>
  <si>
    <t>② 단자처리, 도입선 넣기, 결선, Mark 취부 포함.</t>
    <phoneticPr fontId="10" type="noConversion"/>
  </si>
  <si>
    <t>식</t>
  </si>
  <si>
    <t>MP산출근거 1항 참조</t>
    <phoneticPr fontId="10" type="noConversion"/>
  </si>
  <si>
    <t>일위대가 산출근거 1항 참조</t>
    <phoneticPr fontId="10" type="noConversion"/>
  </si>
  <si>
    <t>일위대가 산출근거 2항 참조</t>
    <phoneticPr fontId="10" type="noConversion"/>
  </si>
  <si>
    <t>16㎟ 이하</t>
    <phoneticPr fontId="11" type="noConversion"/>
  </si>
  <si>
    <t>(M당)</t>
    <phoneticPr fontId="10" type="noConversion"/>
  </si>
  <si>
    <t>내선전공</t>
    <phoneticPr fontId="10" type="noConversion"/>
  </si>
  <si>
    <t>(개)</t>
    <phoneticPr fontId="41" type="noConversion"/>
  </si>
  <si>
    <t>2) 접속, 시험 품 포함</t>
    <phoneticPr fontId="41" type="noConversion"/>
  </si>
  <si>
    <t>3) 철거 50%, 재사용 철거 80%</t>
    <phoneticPr fontId="41" type="noConversion"/>
  </si>
  <si>
    <t>인건비의 3% 이내</t>
  </si>
  <si>
    <t>각1</t>
  </si>
  <si>
    <t>대</t>
    <phoneticPr fontId="10" type="noConversion"/>
  </si>
  <si>
    <t>인</t>
    <phoneticPr fontId="10" type="noConversion"/>
  </si>
  <si>
    <t>MP산출근거 7항 참조</t>
    <phoneticPr fontId="10" type="noConversion"/>
  </si>
  <si>
    <t>일위대가 산출근거 3항 참조</t>
    <phoneticPr fontId="10" type="noConversion"/>
  </si>
  <si>
    <t>잡자재비 / 공구손료</t>
    <phoneticPr fontId="10" type="noConversion"/>
  </si>
  <si>
    <t>내역서 (을) 1~3항</t>
    <phoneticPr fontId="10" type="noConversion"/>
  </si>
  <si>
    <t>6C 2.5㎟ 이하</t>
    <phoneticPr fontId="11" type="noConversion"/>
  </si>
  <si>
    <t>20C 2.5㎟ 이하</t>
    <phoneticPr fontId="11" type="noConversion"/>
  </si>
  <si>
    <t>10C 2.5㎟ 이하</t>
    <phoneticPr fontId="11" type="noConversion"/>
  </si>
  <si>
    <t>합성수지 16mm</t>
    <phoneticPr fontId="11" type="noConversion"/>
  </si>
  <si>
    <t>합성수지 22mm</t>
    <phoneticPr fontId="11" type="noConversion"/>
  </si>
  <si>
    <t>후강 16mm</t>
    <phoneticPr fontId="11" type="noConversion"/>
  </si>
  <si>
    <t>후강 22㎜</t>
    <phoneticPr fontId="11" type="noConversion"/>
  </si>
  <si>
    <t>금속가요 16mm</t>
    <phoneticPr fontId="11" type="noConversion"/>
  </si>
  <si>
    <t>금속가요 22㎜</t>
    <phoneticPr fontId="11" type="noConversion"/>
  </si>
  <si>
    <t>배선용차단기 30AF</t>
    <phoneticPr fontId="11" type="noConversion"/>
  </si>
  <si>
    <t>Smart Gateway</t>
    <phoneticPr fontId="10" type="noConversion"/>
  </si>
  <si>
    <t>Smart Gateway 설치</t>
    <phoneticPr fontId="10" type="noConversion"/>
  </si>
  <si>
    <t>S/W 시험사</t>
    <phoneticPr fontId="10" type="noConversion"/>
  </si>
  <si>
    <t>합성수지 전선관(CD)</t>
    <phoneticPr fontId="10" type="noConversion"/>
  </si>
  <si>
    <t>16mm</t>
    <phoneticPr fontId="10" type="noConversion"/>
  </si>
  <si>
    <t>합성수지 전선관 커넥터</t>
    <phoneticPr fontId="10" type="noConversion"/>
  </si>
  <si>
    <t>절연난연 PVC 시스케이블</t>
    <phoneticPr fontId="10" type="noConversion"/>
  </si>
  <si>
    <t>0.6/1kv F-CV 3Cx1.5mm</t>
    <phoneticPr fontId="10" type="noConversion"/>
  </si>
  <si>
    <t>15SQ x 3mm Y형</t>
    <phoneticPr fontId="10" type="noConversion"/>
  </si>
  <si>
    <t>15SQ x 3mm PIN형</t>
    <phoneticPr fontId="10" type="noConversion"/>
  </si>
  <si>
    <t>EA</t>
    <phoneticPr fontId="10" type="noConversion"/>
  </si>
  <si>
    <t>M</t>
    <phoneticPr fontId="10" type="noConversion"/>
  </si>
  <si>
    <t>넘버링튜브</t>
    <phoneticPr fontId="10" type="noConversion"/>
  </si>
  <si>
    <t>1.5SQ 백색</t>
    <phoneticPr fontId="10" type="noConversion"/>
  </si>
  <si>
    <t>(작성일자:`19년 01월 21일)</t>
    <phoneticPr fontId="41" type="noConversion"/>
  </si>
  <si>
    <t>Smart Gateway SET-UP</t>
    <phoneticPr fontId="10" type="noConversion"/>
  </si>
  <si>
    <t>옥내배선 작업</t>
    <phoneticPr fontId="10" type="noConversion"/>
  </si>
  <si>
    <t>전선관 배관 작업</t>
    <phoneticPr fontId="10" type="noConversion"/>
  </si>
  <si>
    <t>압착단자</t>
    <phoneticPr fontId="10" type="noConversion"/>
  </si>
  <si>
    <t>자동제어회로 연동작업</t>
    <phoneticPr fontId="10" type="noConversion"/>
  </si>
  <si>
    <t>H/W 시험사</t>
    <phoneticPr fontId="10" type="noConversion"/>
  </si>
  <si>
    <t>인</t>
    <phoneticPr fontId="10" type="noConversion"/>
  </si>
  <si>
    <t>제어용 케이블 작업</t>
    <phoneticPr fontId="10" type="noConversion"/>
  </si>
  <si>
    <t>1. 옥내배선</t>
    <phoneticPr fontId="11" type="noConversion"/>
  </si>
  <si>
    <t>2. 제어용 케이블 설치</t>
    <phoneticPr fontId="11" type="noConversion"/>
  </si>
  <si>
    <t>3. 전선관 배관</t>
    <phoneticPr fontId="11" type="noConversion"/>
  </si>
  <si>
    <t>4. 차단기 및 개폐기 설치</t>
    <phoneticPr fontId="11" type="noConversion"/>
  </si>
  <si>
    <t>60mm x 30mm 이하</t>
    <phoneticPr fontId="11" type="noConversion"/>
  </si>
  <si>
    <t>5. 금속덕트 설치</t>
    <phoneticPr fontId="11" type="noConversion"/>
  </si>
  <si>
    <t>2) 소모 재료비는 본품에 포함되어 있다.</t>
    <phoneticPr fontId="10" type="noConversion"/>
  </si>
  <si>
    <t>3) 계수, 보조재의 제작 및 설치품 포함한다.</t>
    <phoneticPr fontId="10" type="noConversion"/>
  </si>
  <si>
    <t>1) 폴리에틸렌 전선관 및 합성수지제 가요전선관(CD관)은 합성수지 전선관 품의 80% 다만, 지름이 100mm 이상의 직관은 100%</t>
    <phoneticPr fontId="10" type="noConversion"/>
  </si>
  <si>
    <t>신호용 케이블</t>
    <phoneticPr fontId="10" type="noConversion"/>
  </si>
  <si>
    <t>4C x 0.5mm</t>
    <phoneticPr fontId="10" type="noConversion"/>
  </si>
  <si>
    <t>6C x 0.5mm</t>
    <phoneticPr fontId="10" type="noConversion"/>
  </si>
  <si>
    <t>내역서 (을) 4~5항</t>
    <phoneticPr fontId="10" type="noConversion"/>
  </si>
  <si>
    <t>출장경비</t>
    <phoneticPr fontId="10" type="noConversion"/>
  </si>
  <si>
    <t>식</t>
    <phoneticPr fontId="10" type="noConversion"/>
  </si>
  <si>
    <t>경기도</t>
    <phoneticPr fontId="10" type="noConversion"/>
  </si>
  <si>
    <t>강원도</t>
    <phoneticPr fontId="10" type="noConversion"/>
  </si>
  <si>
    <t>충청남도</t>
    <phoneticPr fontId="10" type="noConversion"/>
  </si>
  <si>
    <t>충청북도</t>
    <phoneticPr fontId="10" type="noConversion"/>
  </si>
  <si>
    <t>경상북도</t>
    <phoneticPr fontId="10" type="noConversion"/>
  </si>
  <si>
    <t>경상남도</t>
    <phoneticPr fontId="10" type="noConversion"/>
  </si>
  <si>
    <t>전라북도</t>
    <phoneticPr fontId="10" type="noConversion"/>
  </si>
  <si>
    <t>전라남도</t>
    <phoneticPr fontId="10" type="noConversion"/>
  </si>
  <si>
    <t>권역</t>
    <phoneticPr fontId="10" type="noConversion"/>
  </si>
  <si>
    <t>비고</t>
    <phoneticPr fontId="10" type="noConversion"/>
  </si>
  <si>
    <t>완도군청</t>
    <phoneticPr fontId="10" type="noConversion"/>
  </si>
  <si>
    <t>순창군청</t>
    <phoneticPr fontId="10" type="noConversion"/>
  </si>
  <si>
    <t>거제시청</t>
    <phoneticPr fontId="10" type="noConversion"/>
  </si>
  <si>
    <t>경주시청</t>
    <phoneticPr fontId="10" type="noConversion"/>
  </si>
  <si>
    <t>장수군청</t>
    <phoneticPr fontId="10" type="noConversion"/>
  </si>
  <si>
    <t>도착
기준점</t>
    <phoneticPr fontId="10" type="noConversion"/>
  </si>
  <si>
    <t>서천군청</t>
    <phoneticPr fontId="10" type="noConversion"/>
  </si>
  <si>
    <t>삼척시청</t>
    <phoneticPr fontId="10" type="noConversion"/>
  </si>
  <si>
    <t>연천군청</t>
    <phoneticPr fontId="10" type="noConversion"/>
  </si>
  <si>
    <t>합계</t>
    <phoneticPr fontId="41" type="noConversion"/>
  </si>
  <si>
    <t>출발지</t>
    <phoneticPr fontId="41" type="noConversion"/>
  </si>
  <si>
    <t>성남시</t>
    <phoneticPr fontId="41" type="noConversion"/>
  </si>
  <si>
    <t>왕복
거리(Km)</t>
    <phoneticPr fontId="10" type="noConversion"/>
  </si>
  <si>
    <t>왕복
유류비</t>
    <phoneticPr fontId="10" type="noConversion"/>
  </si>
  <si>
    <t>출장경비 기준산출내역</t>
    <phoneticPr fontId="10" type="noConversion"/>
  </si>
  <si>
    <t>3)차종은 중형 경유 기준임.</t>
    <phoneticPr fontId="41" type="noConversion"/>
  </si>
  <si>
    <t>4)유류비는 작성일기준 단가적용</t>
    <phoneticPr fontId="41" type="noConversion"/>
  </si>
  <si>
    <t>2)도착기준점은 권역별 최장 거리지역 기준임.</t>
    <phoneticPr fontId="41" type="noConversion"/>
  </si>
  <si>
    <r>
      <t xml:space="preserve">※ 경기도 제외지역
공사업체 사업장주소 기준 
50Km 미만
소재지 : 경기도 성남시
</t>
    </r>
    <r>
      <rPr>
        <sz val="11"/>
        <rFont val="맑은 고딕"/>
        <family val="3"/>
        <charset val="129"/>
      </rPr>
      <t>※ 출장경비 산출기준
(왕복유류비+교통비) x 1.3</t>
    </r>
    <phoneticPr fontId="10" type="noConversion"/>
  </si>
  <si>
    <t>1)제주도 지역은 별도협의.</t>
    <phoneticPr fontId="41" type="noConversion"/>
  </si>
  <si>
    <t>왕복
교통비</t>
    <phoneticPr fontId="10" type="noConversion"/>
  </si>
  <si>
    <t>재료비의 3% 이내</t>
    <phoneticPr fontId="10" type="noConversion"/>
  </si>
  <si>
    <t>1) 철판두께 1.6~3.2mm 기준이며, AL닥트는 70% 적용</t>
    <phoneticPr fontId="41" type="noConversion"/>
  </si>
  <si>
    <t>No.</t>
  </si>
  <si>
    <t>SETUP_BOX</t>
    <phoneticPr fontId="66" type="noConversion"/>
  </si>
  <si>
    <t>인출장비명</t>
    <phoneticPr fontId="11" type="noConversion"/>
  </si>
  <si>
    <t>관제명</t>
  </si>
  <si>
    <t>기타</t>
    <phoneticPr fontId="11" type="noConversion"/>
  </si>
  <si>
    <t>간접비</t>
    <phoneticPr fontId="12" type="noConversion"/>
  </si>
  <si>
    <t>출장경비</t>
    <phoneticPr fontId="41" type="noConversion"/>
  </si>
  <si>
    <t>기계/기타경비</t>
    <phoneticPr fontId="41" type="noConversion"/>
  </si>
  <si>
    <t>기계/기타경비</t>
    <phoneticPr fontId="10" type="noConversion"/>
  </si>
  <si>
    <t>출장경비</t>
    <phoneticPr fontId="41" type="noConversion"/>
  </si>
  <si>
    <t>내역서 (을) 6항</t>
    <phoneticPr fontId="10" type="noConversion"/>
  </si>
  <si>
    <t>1.원격감시시시스템 구축공사</t>
  </si>
  <si>
    <t>▶ OOO 원격감시시스템 설치공사</t>
  </si>
  <si>
    <t>원격감시시스템 장비설치</t>
  </si>
  <si>
    <t>원격감시시스템 SET-UP</t>
  </si>
  <si>
    <t>6)상기 7항은 원격감시시스템 장비수량 별 기준작업임.</t>
  </si>
  <si>
    <t>1. 원격감시시스템 장비설치</t>
  </si>
  <si>
    <t>2. 원격감시시스템 배관/배선작업</t>
  </si>
  <si>
    <t>원격감시시스템 배관/배선작업</t>
  </si>
  <si>
    <t>원격감시시스템 연동작업</t>
  </si>
  <si>
    <t>원격감시시시스템 구축공사</t>
  </si>
  <si>
    <t>2) 통신장비 전원인입용 단순공사로 품셈의 30% 적용.</t>
    <phoneticPr fontId="41" type="noConversion"/>
  </si>
  <si>
    <t>2) 통신장비 전원인입용 단순공사로 품셈의 50% 적용.</t>
    <phoneticPr fontId="41" type="noConversion"/>
  </si>
  <si>
    <t>2) 통신장비 신호선 인입용 단순공사로 품셈의 50% 적용.</t>
    <phoneticPr fontId="41" type="noConversion"/>
  </si>
  <si>
    <t>6. 수위감지기 설치</t>
    <phoneticPr fontId="11" type="noConversion"/>
  </si>
  <si>
    <t>계장공</t>
    <phoneticPr fontId="10" type="noConversion"/>
  </si>
  <si>
    <t>수위 감지기 설치</t>
    <phoneticPr fontId="11" type="noConversion"/>
  </si>
  <si>
    <t>(EA당)</t>
    <phoneticPr fontId="10" type="noConversion"/>
  </si>
  <si>
    <t>① 1SET : 홀더 1EA, 무게추 1EA, 오뚜기볼 2~5EA</t>
    <phoneticPr fontId="10" type="noConversion"/>
  </si>
  <si>
    <t>원격감시 Monitoring service 시스템 구축 비용</t>
  </si>
  <si>
    <t>원격감시 Monitoring service 운영비용(월)</t>
  </si>
  <si>
    <t>구분</t>
    <phoneticPr fontId="66" type="noConversion"/>
  </si>
  <si>
    <t>수량</t>
    <phoneticPr fontId="66" type="noConversion"/>
  </si>
  <si>
    <t>단가</t>
    <phoneticPr fontId="66" type="noConversion"/>
  </si>
  <si>
    <t>합계</t>
    <phoneticPr fontId="66" type="noConversion"/>
  </si>
  <si>
    <t>통신비용</t>
    <phoneticPr fontId="66" type="noConversion"/>
  </si>
  <si>
    <t>이용/유지비용</t>
    <phoneticPr fontId="66" type="noConversion"/>
  </si>
  <si>
    <t>원격감시
구축공사</t>
  </si>
  <si>
    <t>통신비</t>
    <phoneticPr fontId="66" type="noConversion"/>
  </si>
  <si>
    <t>구축비 계</t>
    <phoneticPr fontId="66" type="noConversion"/>
  </si>
  <si>
    <t>유지보수비</t>
    <phoneticPr fontId="66" type="noConversion"/>
  </si>
  <si>
    <t>총합계</t>
    <phoneticPr fontId="66" type="noConversion"/>
  </si>
  <si>
    <t>단위: 부가세별도,원</t>
    <phoneticPr fontId="11" type="noConversion"/>
  </si>
  <si>
    <t>구분</t>
    <phoneticPr fontId="11" type="noConversion"/>
  </si>
  <si>
    <t>월비용</t>
    <phoneticPr fontId="11" type="noConversion"/>
  </si>
  <si>
    <t>년간비용</t>
    <phoneticPr fontId="11" type="noConversion"/>
  </si>
  <si>
    <t>비고</t>
    <phoneticPr fontId="11" type="noConversion"/>
  </si>
  <si>
    <t>운영유지비</t>
    <phoneticPr fontId="11" type="noConversion"/>
  </si>
  <si>
    <t>비용계</t>
    <phoneticPr fontId="11" type="noConversion"/>
  </si>
  <si>
    <r>
      <t xml:space="preserve">1) 3P 단투 기준, 1P 50%, 2P 70%, 4P는 </t>
    </r>
    <r>
      <rPr>
        <b/>
        <sz val="10"/>
        <rFont val="LG스마트체2.0 Regular"/>
        <family val="3"/>
        <charset val="129"/>
      </rPr>
      <t>130%</t>
    </r>
    <phoneticPr fontId="41" type="noConversion"/>
  </si>
  <si>
    <t>EA</t>
    <phoneticPr fontId="10" type="noConversion"/>
  </si>
  <si>
    <t>품 명/직 종</t>
    <phoneticPr fontId="41" type="noConversion"/>
  </si>
  <si>
    <t>기타잡자재</t>
    <phoneticPr fontId="10" type="noConversion"/>
  </si>
  <si>
    <t>공구손료</t>
    <phoneticPr fontId="10" type="noConversion"/>
  </si>
  <si>
    <t>공사보험료</t>
    <phoneticPr fontId="10" type="noConversion"/>
  </si>
  <si>
    <t>일반관리비/이윤</t>
    <phoneticPr fontId="10" type="noConversion"/>
  </si>
  <si>
    <t>Engineering</t>
    <phoneticPr fontId="66" type="noConversion"/>
  </si>
  <si>
    <t>안전 관리비 (자재비+인건비의 2.93%)</t>
  </si>
  <si>
    <t>국민연금 보험료 (인건비의 4.5%)</t>
  </si>
  <si>
    <t>식</t>
    <phoneticPr fontId="41" type="noConversion"/>
  </si>
  <si>
    <t xml:space="preserve">※ 원격감시 구축공사는 원격감시시스템 자재, 인건비 등 현장 구축 공사 비용임.
※ Engineering 비용은 S&amp;I 전문구축 고급인력 투입비용임 (프로그램 세팅, 시운전 등)
</t>
    <phoneticPr fontId="41" type="noConversion"/>
  </si>
  <si>
    <t>1) 품목 수위센서 홀더 기준 1SET 품샘 적용</t>
    <phoneticPr fontId="41" type="noConversion"/>
  </si>
  <si>
    <t>구축비용</t>
    <phoneticPr fontId="11" type="noConversion"/>
  </si>
  <si>
    <t>정기점검비</t>
    <phoneticPr fontId="41" type="noConversion"/>
  </si>
  <si>
    <t>원격감시 Monitoring service 비용</t>
    <phoneticPr fontId="41" type="noConversion"/>
  </si>
  <si>
    <t>M/P 산출근거</t>
    <phoneticPr fontId="13" type="noConversion"/>
  </si>
  <si>
    <t>공 정</t>
    <phoneticPr fontId="13" type="noConversion"/>
  </si>
  <si>
    <t>품 명(직 종)</t>
    <phoneticPr fontId="13" type="noConversion"/>
  </si>
  <si>
    <t>소요시간(분)</t>
    <phoneticPr fontId="13" type="noConversion"/>
  </si>
  <si>
    <t>산출식</t>
    <phoneticPr fontId="13" type="noConversion"/>
  </si>
  <si>
    <t>비  고</t>
    <phoneticPr fontId="13" type="noConversion"/>
  </si>
  <si>
    <t>Smart Gateway</t>
    <phoneticPr fontId="41" type="noConversion"/>
  </si>
  <si>
    <t>내선전공</t>
    <phoneticPr fontId="41" type="noConversion"/>
  </si>
  <si>
    <t>분/</t>
    <phoneticPr fontId="41" type="noConversion"/>
  </si>
  <si>
    <t>분 ) =</t>
    <phoneticPr fontId="41" type="noConversion"/>
  </si>
  <si>
    <t>(전원포설 작업포함)</t>
    <phoneticPr fontId="41" type="noConversion"/>
  </si>
  <si>
    <t>Smart End Device</t>
    <phoneticPr fontId="41" type="noConversion"/>
  </si>
  <si>
    <t>인 Ⅹ</t>
    <phoneticPr fontId="41" type="noConversion"/>
  </si>
  <si>
    <t>Smart Mesh Router</t>
    <phoneticPr fontId="41" type="noConversion"/>
  </si>
  <si>
    <t>Smart LED Detector Device</t>
    <phoneticPr fontId="41" type="noConversion"/>
  </si>
  <si>
    <t>Smart CDS Sensor Module</t>
    <phoneticPr fontId="41" type="noConversion"/>
  </si>
  <si>
    <t>H/W 시험사</t>
    <phoneticPr fontId="41" type="noConversion"/>
  </si>
  <si>
    <t>S/W 시험사</t>
    <phoneticPr fontId="41" type="noConversion"/>
  </si>
  <si>
    <t>(GUI 셋팅, SERVER 연동 작업포함)</t>
    <phoneticPr fontId="41" type="noConversion"/>
  </si>
  <si>
    <t>(GUI 셋팅, 로컬연동 작업포함)</t>
    <phoneticPr fontId="41" type="noConversion"/>
  </si>
  <si>
    <t>(Arduino 셋팅, 로컬연동 작업포함)</t>
    <phoneticPr fontId="41" type="noConversion"/>
  </si>
  <si>
    <t>빌딩자동제어 연동작업</t>
    <phoneticPr fontId="41" type="noConversion"/>
  </si>
  <si>
    <t>회로결선 및 연동 테스트</t>
    <phoneticPr fontId="41" type="noConversion"/>
  </si>
  <si>
    <t>▣대가 산출기준</t>
    <phoneticPr fontId="13" type="noConversion"/>
  </si>
  <si>
    <t>2)1일 8시간(480분) 기준함.</t>
    <phoneticPr fontId="13" type="noConversion"/>
  </si>
  <si>
    <t>3)자재비는 한국물가정보 및 MRO 단가 기준임.</t>
    <phoneticPr fontId="41" type="noConversion"/>
  </si>
  <si>
    <t>4)잡자재 및 공구손료는 별도 계산함.</t>
    <phoneticPr fontId="13" type="noConversion"/>
  </si>
  <si>
    <t>▣인건비 근거</t>
    <phoneticPr fontId="38" type="noConversion"/>
  </si>
  <si>
    <t>(단위:원,VAT별도)</t>
    <phoneticPr fontId="11" type="noConversion"/>
  </si>
  <si>
    <t>직 종</t>
    <phoneticPr fontId="11" type="noConversion"/>
  </si>
  <si>
    <t>옥내전선관, 배선 및 등기구류 설비의 시공 및 보수에 종사하는 사람</t>
    <phoneticPr fontId="41" type="noConversion"/>
  </si>
  <si>
    <t>저압케이블전공</t>
    <phoneticPr fontId="41" type="noConversion"/>
  </si>
  <si>
    <t>저압케이블 및 제어용 케이블 설비의 시공 및 보수에 종사하는 사람(교류 600V이하, 직류 750V이하)</t>
    <phoneticPr fontId="41" type="noConversion"/>
  </si>
  <si>
    <t>계장공</t>
    <phoneticPr fontId="41" type="noConversion"/>
  </si>
  <si>
    <t>기계, 급배수, 전기, 가스, 위생, 냉난방 및 기타공사에 있어서 계기(공업제어장치, 공업계측 
및 컴퓨터, 자동제어장치 등)를 전문으로 설치, 부착 및 점검하는 사람</t>
    <phoneticPr fontId="41" type="noConversion"/>
  </si>
  <si>
    <t>보통인부</t>
    <phoneticPr fontId="41" type="noConversion"/>
  </si>
  <si>
    <t>기능을 요하지 않는 경작업인 일반잡역에 종사하면서 단순육체노동을 하는 사람</t>
    <phoneticPr fontId="41" type="noConversion"/>
  </si>
  <si>
    <t>전자교환기, 기지국, 컴퓨터시스템의 기계설비(하드웨어 포함)의 설치, 시험, 분석, 운영 시공지도, 유지보수 등의 업무에 종사하는 사람</t>
    <phoneticPr fontId="41" type="noConversion"/>
  </si>
  <si>
    <t>전자교환기, 기지국, 컴퓨터시스템(CPU 등 포함)의 소프트웨어 및 프로그램 설계, 작성, 입력, 시험, 분석, 설치, 유지보수 등의 업무에 종사하는 사람</t>
    <phoneticPr fontId="41" type="noConversion"/>
  </si>
  <si>
    <t>인출위치</t>
    <phoneticPr fontId="41" type="noConversion"/>
  </si>
  <si>
    <t>WI-SUN/LECIM, S&amp;I RMS연동, DI 8CH</t>
    <phoneticPr fontId="10" type="noConversion"/>
  </si>
  <si>
    <t>(▶천단위 절삭)</t>
    <phoneticPr fontId="13" type="noConversion"/>
  </si>
  <si>
    <t>산재 보험료 (인건비의 3.70%)</t>
    <phoneticPr fontId="41" type="noConversion"/>
  </si>
  <si>
    <t>Smart End Device</t>
    <phoneticPr fontId="10" type="noConversion"/>
  </si>
  <si>
    <t>WI-SUN/LECIM, 4CH I/O</t>
    <phoneticPr fontId="10" type="noConversion"/>
  </si>
  <si>
    <t>Smart End Device 설치</t>
    <phoneticPr fontId="10" type="noConversion"/>
  </si>
  <si>
    <t>MP산출근거 2항 참조</t>
    <phoneticPr fontId="10" type="noConversion"/>
  </si>
  <si>
    <t>Smart End Device SET-UP</t>
    <phoneticPr fontId="10" type="noConversion"/>
  </si>
  <si>
    <t>MP산출근거 6항 참조</t>
    <phoneticPr fontId="10" type="noConversion"/>
  </si>
  <si>
    <t>10C x 0.5mm</t>
    <phoneticPr fontId="10" type="noConversion"/>
  </si>
  <si>
    <t>3. 원격감시시스템 연동작업</t>
    <phoneticPr fontId="10" type="noConversion"/>
  </si>
  <si>
    <t>개별자산관리 대상</t>
    <phoneticPr fontId="10" type="noConversion"/>
  </si>
  <si>
    <t>소형계전기</t>
    <phoneticPr fontId="10" type="noConversion"/>
  </si>
  <si>
    <t>수위감지센서</t>
    <phoneticPr fontId="10" type="noConversion"/>
  </si>
  <si>
    <t>YQ-1 A/B접점</t>
    <phoneticPr fontId="10" type="noConversion"/>
  </si>
  <si>
    <t>수위감지센서 무게추</t>
    <phoneticPr fontId="10" type="noConversion"/>
  </si>
  <si>
    <t>DSF-014</t>
    <phoneticPr fontId="10" type="noConversion"/>
  </si>
  <si>
    <t>7. 스위치류 설치</t>
    <phoneticPr fontId="11" type="noConversion"/>
  </si>
  <si>
    <t>표 시 등</t>
    <phoneticPr fontId="11" type="noConversion"/>
  </si>
  <si>
    <t>1) 매입설치 기준 노출설치 시 120%</t>
    <phoneticPr fontId="41" type="noConversion"/>
  </si>
  <si>
    <t>8. 가전기구 설치</t>
    <phoneticPr fontId="11" type="noConversion"/>
  </si>
  <si>
    <t>부  저</t>
    <phoneticPr fontId="11" type="noConversion"/>
  </si>
  <si>
    <t>1) 통신장비 전원인입용 단순공사로 품셈의 50% 적용.</t>
    <phoneticPr fontId="41" type="noConversion"/>
  </si>
  <si>
    <t>9. CCTV System 설치</t>
    <phoneticPr fontId="11" type="noConversion"/>
  </si>
  <si>
    <t>카메라 설치(Dome형)</t>
    <phoneticPr fontId="11" type="noConversion"/>
  </si>
  <si>
    <r>
      <t>1) 돔(Dome)형 카메라(118</t>
    </r>
    <r>
      <rPr>
        <sz val="10"/>
        <rFont val="Calibri"/>
        <family val="3"/>
        <charset val="161"/>
      </rPr>
      <t>φ</t>
    </r>
    <r>
      <rPr>
        <sz val="10"/>
        <rFont val="LG스마트체2.0 Regular"/>
        <family val="3"/>
        <charset val="129"/>
      </rPr>
      <t xml:space="preserve"> 이하)는 건물내 설치기준임</t>
    </r>
    <phoneticPr fontId="41" type="noConversion"/>
  </si>
  <si>
    <t>10. 꼬임케이블 설치</t>
    <phoneticPr fontId="11" type="noConversion"/>
  </si>
  <si>
    <t>UTP 구내 4Pr</t>
    <phoneticPr fontId="11" type="noConversion"/>
  </si>
  <si>
    <t>통신케이블공</t>
    <phoneticPr fontId="10" type="noConversion"/>
  </si>
  <si>
    <t>11. 배전반 계기류 설치</t>
    <phoneticPr fontId="11" type="noConversion"/>
  </si>
  <si>
    <t>계기 및 계전기 소형</t>
    <phoneticPr fontId="11" type="noConversion"/>
  </si>
  <si>
    <t>변전전공</t>
    <phoneticPr fontId="10" type="noConversion"/>
  </si>
  <si>
    <t>수위감지기 작업</t>
    <phoneticPr fontId="10" type="noConversion"/>
  </si>
  <si>
    <t>자재납품(단순설치용)</t>
    <phoneticPr fontId="10" type="noConversion"/>
  </si>
  <si>
    <t>일위대가 산출근거 6항 참조</t>
    <phoneticPr fontId="10" type="noConversion"/>
  </si>
  <si>
    <t>(직접공사비+간접공사비)의 5%</t>
    <phoneticPr fontId="13" type="noConversion"/>
  </si>
  <si>
    <t>(인건비+간접공사비+일반관리비)의 10%</t>
    <phoneticPr fontId="13" type="noConversion"/>
  </si>
  <si>
    <t>HI-BOX (Relay SET-UP)</t>
    <phoneticPr fontId="10" type="noConversion"/>
  </si>
  <si>
    <t>190(W) X 280 (H) X 180(D)</t>
    <phoneticPr fontId="10" type="noConversion"/>
  </si>
  <si>
    <t>안전관리비/산재보험료/고용보험료/국민건강보험료/국민연금보험료/노인장기요양 보험료</t>
    <phoneticPr fontId="10" type="noConversion"/>
  </si>
  <si>
    <t>개소/Point</t>
    <phoneticPr fontId="66" type="noConversion"/>
  </si>
  <si>
    <t>고용 보험료 (인건비의 1.01%)</t>
    <phoneticPr fontId="41" type="noConversion"/>
  </si>
  <si>
    <t>국민건강 보험료 (인건비의 3.495%)</t>
    <phoneticPr fontId="41" type="noConversion"/>
  </si>
  <si>
    <t>노인장기요양 보험료 (건강보험료의 12.27%)</t>
    <phoneticPr fontId="41" type="noConversion"/>
  </si>
  <si>
    <t>원격관제
 SVC 비용</t>
    <phoneticPr fontId="66" type="noConversion"/>
  </si>
  <si>
    <t>관제 PC</t>
    <phoneticPr fontId="41" type="noConversion"/>
  </si>
  <si>
    <t>Relay AC24V 4a4c (SOCKET 포함)</t>
    <phoneticPr fontId="10" type="noConversion"/>
  </si>
  <si>
    <t>Relay AC220V 4a4c (SOCKET 포함)</t>
    <phoneticPr fontId="10" type="noConversion"/>
  </si>
  <si>
    <t>Relay DC24V 4a4c (SOCKET 포함)</t>
    <phoneticPr fontId="10" type="noConversion"/>
  </si>
  <si>
    <t>도착지</t>
    <phoneticPr fontId="10" type="noConversion"/>
  </si>
  <si>
    <t>작업일수</t>
    <phoneticPr fontId="41" type="noConversion"/>
  </si>
  <si>
    <t>작업인원</t>
    <phoneticPr fontId="41" type="noConversion"/>
  </si>
  <si>
    <t>숙박비</t>
    <phoneticPr fontId="41" type="noConversion"/>
  </si>
  <si>
    <t>업체소제지
(성남)</t>
    <phoneticPr fontId="41" type="noConversion"/>
  </si>
  <si>
    <t>3)유류비는 작성일기준 단가적용</t>
    <phoneticPr fontId="41" type="noConversion"/>
  </si>
  <si>
    <t>4)왕복 거리는 네이버 지도 추천 기준임.</t>
    <phoneticPr fontId="41" type="noConversion"/>
  </si>
  <si>
    <t>개소</t>
    <phoneticPr fontId="41" type="noConversion"/>
  </si>
  <si>
    <t>Point</t>
    <phoneticPr fontId="41" type="noConversion"/>
  </si>
  <si>
    <t>1)제주도 지역은 별도협의 산출.</t>
    <phoneticPr fontId="41" type="noConversion"/>
  </si>
  <si>
    <r>
      <t xml:space="preserve">2)차종은 중형 경유 기준임. </t>
    </r>
    <r>
      <rPr>
        <b/>
        <sz val="9"/>
        <rFont val="LG스마트체2.0 Regular"/>
        <family val="3"/>
        <charset val="129"/>
      </rPr>
      <t>(2020 그랜드 스타렉스, 2.5 디젤 어반 9인승 공인연비 자동 9.4 km/ℓ (4등급))</t>
    </r>
    <phoneticPr fontId="41" type="noConversion"/>
  </si>
  <si>
    <t>Smart AI Module</t>
    <phoneticPr fontId="10" type="noConversion"/>
  </si>
  <si>
    <t>단순설치 자재납품 건</t>
    <phoneticPr fontId="10" type="noConversion"/>
  </si>
  <si>
    <t>Modbus RTU DI Board</t>
    <phoneticPr fontId="10" type="noConversion"/>
  </si>
  <si>
    <t>KM6054[I/O 13ch] - Digital INPUT</t>
    <phoneticPr fontId="10" type="noConversion"/>
  </si>
  <si>
    <t>단순교체 자재납품 건</t>
    <phoneticPr fontId="10" type="noConversion"/>
  </si>
  <si>
    <t>Modbus RTU AI Board</t>
    <phoneticPr fontId="10" type="noConversion"/>
  </si>
  <si>
    <t>KM6412[I/O 8ch] - Analog INPUT</t>
    <phoneticPr fontId="10" type="noConversion"/>
  </si>
  <si>
    <t>NTC 저항식 온도센서</t>
    <phoneticPr fontId="10" type="noConversion"/>
  </si>
  <si>
    <t>FS-200N</t>
    <phoneticPr fontId="10" type="noConversion"/>
  </si>
  <si>
    <t>Smart DI Module</t>
    <phoneticPr fontId="10" type="noConversion"/>
  </si>
  <si>
    <t>Smart DO Module</t>
    <phoneticPr fontId="10" type="noConversion"/>
  </si>
  <si>
    <t>Relay OUTPUT [I/O 4ch]</t>
    <phoneticPr fontId="10" type="noConversion"/>
  </si>
  <si>
    <t>DI INPUT [I/O 4ch]</t>
    <phoneticPr fontId="10" type="noConversion"/>
  </si>
  <si>
    <t>VDC/ADC INPUT [I/O 4ch]</t>
    <phoneticPr fontId="10" type="noConversion"/>
  </si>
  <si>
    <t>Mini DC-UPS</t>
    <phoneticPr fontId="10" type="noConversion"/>
  </si>
  <si>
    <t>AC UPS</t>
    <phoneticPr fontId="10" type="noConversion"/>
  </si>
  <si>
    <t>APC BACK-UPS 650 (BX650LI-GR)</t>
    <phoneticPr fontId="10" type="noConversion"/>
  </si>
  <si>
    <t xml:space="preserve"> 원격감시시스템 구축견적</t>
    <phoneticPr fontId="41" type="noConversion"/>
  </si>
  <si>
    <t xml:space="preserve"> 설비관제점 List</t>
    <phoneticPr fontId="41" type="noConversion"/>
  </si>
  <si>
    <t xml:space="preserve"> 원격감시시스템 구축공사</t>
    <phoneticPr fontId="41" type="noConversion"/>
  </si>
  <si>
    <t xml:space="preserve">1. </t>
    <phoneticPr fontId="41" type="noConversion"/>
  </si>
  <si>
    <t xml:space="preserve">2. </t>
    <phoneticPr fontId="41" type="noConversion"/>
  </si>
  <si>
    <t xml:space="preserve">공사명 : </t>
    <phoneticPr fontId="41" type="noConversion"/>
  </si>
  <si>
    <t>일)</t>
    <phoneticPr fontId="41" type="noConversion"/>
  </si>
  <si>
    <t xml:space="preserve">월 </t>
    <phoneticPr fontId="41" type="noConversion"/>
  </si>
  <si>
    <t xml:space="preserve">(작성일자:`22년 </t>
    <phoneticPr fontId="41" type="noConversion"/>
  </si>
  <si>
    <t>MPS-L24 / DC24V 3.0A Adapter 포함</t>
    <phoneticPr fontId="10" type="noConversion"/>
  </si>
  <si>
    <t>Smart LED Detector Device</t>
    <phoneticPr fontId="10" type="noConversion"/>
  </si>
  <si>
    <t>Arduino Nano 10CH Board</t>
    <phoneticPr fontId="10" type="noConversion"/>
  </si>
  <si>
    <t>Smart CDS Sensor Module</t>
    <phoneticPr fontId="10" type="noConversion"/>
  </si>
  <si>
    <t>High sensitivity CDS/3D Printing Cap</t>
    <phoneticPr fontId="10" type="noConversion"/>
  </si>
  <si>
    <t>Smart LED Detector Device 설치</t>
    <phoneticPr fontId="10" type="noConversion"/>
  </si>
  <si>
    <t>MP산출근거 4항 참조</t>
    <phoneticPr fontId="10" type="noConversion"/>
  </si>
  <si>
    <t>Smart CDS Sensor Module 설치</t>
    <phoneticPr fontId="10" type="noConversion"/>
  </si>
  <si>
    <t>MP산출근거 5항 참조</t>
    <phoneticPr fontId="10" type="noConversion"/>
  </si>
  <si>
    <t>Smart LED Detector Device SET-UP</t>
    <phoneticPr fontId="10" type="noConversion"/>
  </si>
  <si>
    <t>MP산출근거 9항 참조</t>
    <phoneticPr fontId="10" type="noConversion"/>
  </si>
  <si>
    <t>300(W) X 400 (H) X 180(D)</t>
    <phoneticPr fontId="10" type="noConversion"/>
  </si>
  <si>
    <t>12. 박스(Box) 설치</t>
    <phoneticPr fontId="11" type="noConversion"/>
  </si>
  <si>
    <t>1) 통신장비 보호 방수용 설치 단순공사로 품셈의 50% 적용.</t>
    <phoneticPr fontId="41" type="noConversion"/>
  </si>
  <si>
    <t>4) 통신장비 전원인입용 노출배관 단순공사로 품셈의 30% 적용.</t>
    <phoneticPr fontId="41" type="noConversion"/>
  </si>
  <si>
    <t>4) 통신장비 전원인입용 단순공사로 품셈의 50% 적용.</t>
    <phoneticPr fontId="41" type="noConversion"/>
  </si>
  <si>
    <t>Hi-BOX 설치 작업</t>
    <phoneticPr fontId="10" type="noConversion"/>
  </si>
  <si>
    <t>일위대가 산출근거 12항 참조</t>
    <phoneticPr fontId="10" type="noConversion"/>
  </si>
  <si>
    <t>HI-BOX (SGW 외부시공 방수용)</t>
    <phoneticPr fontId="10" type="noConversion"/>
  </si>
  <si>
    <t>공사업체 출장경비 기준산출내역</t>
    <phoneticPr fontId="10" type="noConversion"/>
  </si>
  <si>
    <t>편도기준입력</t>
    <phoneticPr fontId="41" type="noConversion"/>
  </si>
  <si>
    <t>월</t>
    <phoneticPr fontId="41" type="noConversion"/>
  </si>
  <si>
    <t>일</t>
    <phoneticPr fontId="41" type="noConversion"/>
  </si>
  <si>
    <t>※ 네이버 지도 추천거리 화면 캡처 후 그림형식&gt;그림압축&gt;전자메일 기준 적용</t>
    <phoneticPr fontId="41" type="noConversion"/>
  </si>
  <si>
    <t>현장명 입력</t>
    <phoneticPr fontId="41" type="noConversion"/>
  </si>
  <si>
    <t>건물 연면적 입력(㎡)</t>
    <phoneticPr fontId="41" type="noConversion"/>
  </si>
  <si>
    <t>발전기 제어반</t>
    <phoneticPr fontId="41" type="noConversion"/>
  </si>
  <si>
    <t>방재실</t>
    <phoneticPr fontId="66" type="noConversion"/>
  </si>
  <si>
    <t>발전기실</t>
    <phoneticPr fontId="41" type="noConversion"/>
  </si>
  <si>
    <t>SGW2</t>
    <phoneticPr fontId="41" type="noConversion"/>
  </si>
  <si>
    <t>8)출장경비는 차량 감가상각비/유지관리비 반영하여 합계금액에 1.3배 적용함.</t>
    <phoneticPr fontId="41" type="noConversion"/>
  </si>
  <si>
    <t>7)출발지 기준 50Km 이상만 출장지역으로 인정</t>
    <phoneticPr fontId="41" type="noConversion"/>
  </si>
  <si>
    <t>6)숙박비는 별도협의에 따라 제외가능</t>
    <phoneticPr fontId="41" type="noConversion"/>
  </si>
  <si>
    <r>
      <t xml:space="preserve">※ 통신비는 Smart Gateway 1개소당 U+ LTE 무선 라우터 설치기준
※ 원격관제 SVC 비용은는 AWS solution 서버사용, 통합운영센터 24시간 이중감시 
    서비스 합계 금액임
※ 정기점검은 반기1회 원격감시시스템 장비 점검 및 연동 test 수행
※ 유지보수비는 원격감시시스템 부품 보수 및 고장 시 교체 비용임
</t>
    </r>
    <r>
      <rPr>
        <sz val="9"/>
        <color rgb="FFFF0000"/>
        <rFont val="LG스마트체2.0 Regular"/>
        <family val="3"/>
        <charset val="129"/>
      </rPr>
      <t>※ 정기점검 및 유지보수비 외부사업장 일 경우 적용
    (FM시설관리 사업장에 대한 장비점검 및 보수비용은 운영센터와 별도협의)</t>
    </r>
    <phoneticPr fontId="11" type="noConversion"/>
  </si>
  <si>
    <t>통신비, 24시간 통합운영센터 이중감시</t>
    <phoneticPr fontId="66" type="noConversion"/>
  </si>
  <si>
    <t>5)작업공수 합계가 1일 초과할 경우 숙박비 적용 (2인 1실 50,000원)</t>
    <phoneticPr fontId="41" type="noConversion"/>
  </si>
  <si>
    <t>10</t>
    <phoneticPr fontId="41" type="noConversion"/>
  </si>
  <si>
    <t>발전기 가동신호</t>
  </si>
  <si>
    <t>기계실</t>
    <phoneticPr fontId="41" type="noConversion"/>
  </si>
  <si>
    <t>SGW3</t>
    <phoneticPr fontId="41" type="noConversion"/>
  </si>
  <si>
    <t>화재수신반</t>
    <phoneticPr fontId="66" type="noConversion"/>
  </si>
  <si>
    <t>화재수신반 통합화재신호</t>
  </si>
  <si>
    <t>화재수신반 연동정지 스위치 조작</t>
  </si>
  <si>
    <t>발전기 UVR 정전신호</t>
  </si>
  <si>
    <t>발전기 이상</t>
    <phoneticPr fontId="41" type="noConversion"/>
  </si>
  <si>
    <t>SGW1</t>
    <phoneticPr fontId="41" type="noConversion"/>
  </si>
  <si>
    <t>1)상기 인건비는 `22년 하반기 노임(공사부문)단가 기준함.</t>
    <phoneticPr fontId="13" type="noConversion"/>
  </si>
  <si>
    <t>펄어비스 안양오피스</t>
    <phoneticPr fontId="41" type="noConversion"/>
  </si>
  <si>
    <t>19</t>
    <phoneticPr fontId="41" type="noConversion"/>
  </si>
  <si>
    <t>T-1 저수조 고수위</t>
    <phoneticPr fontId="41" type="noConversion"/>
  </si>
  <si>
    <t>T-1 저수조 저수위</t>
    <phoneticPr fontId="41" type="noConversion"/>
  </si>
  <si>
    <t>P-2 B2F 물탱크실 배수 집수정 고수위</t>
    <phoneticPr fontId="41" type="noConversion"/>
  </si>
  <si>
    <t>P-3-1 B2F 휀룸 배수 집수정 고수위</t>
    <phoneticPr fontId="41" type="noConversion"/>
  </si>
  <si>
    <t>P-3-2 B2F 창고1 배수 집수정 고수위</t>
    <phoneticPr fontId="41" type="noConversion"/>
  </si>
  <si>
    <t>P-3-3 B2F 창고2 배수 집수정 고수위</t>
    <phoneticPr fontId="41" type="noConversion"/>
  </si>
  <si>
    <t>P-4 B2F 화장실 하부 PIT 오배수 펌프 고수위</t>
    <phoneticPr fontId="41" type="noConversion"/>
  </si>
  <si>
    <t>1F</t>
    <phoneticPr fontId="41" type="noConversion"/>
  </si>
  <si>
    <t>LP-M</t>
    <phoneticPr fontId="41" type="noConversion"/>
  </si>
  <si>
    <t>P-1 급수 부스터펌프 이상경보</t>
    <phoneticPr fontId="41" type="noConversion"/>
  </si>
  <si>
    <t>SED1</t>
    <phoneticPr fontId="41" type="noConversion"/>
  </si>
  <si>
    <t>부스터펌프 제어반</t>
    <phoneticPr fontId="41" type="noConversion"/>
  </si>
  <si>
    <t>원격감시 구축공사 (감가상각 2년 기준)</t>
    <phoneticPr fontId="66" type="noConversion"/>
  </si>
  <si>
    <t>B2F</t>
    <phoneticPr fontId="41" type="noConversion"/>
  </si>
  <si>
    <t>경기 안양시 동안구 시민대로327번길 24</t>
    <phoneticPr fontId="4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</si>
</sst>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9">
    <numFmt numFmtId="42" formatCode="_-&quot;₩&quot;* #,##0_-;\-&quot;₩&quot;* #,##0_-;_-&quot;₩&quot;* &quot;-&quot;_-;_-@_-"/>
    <numFmt numFmtId="41" formatCode="_-* #,##0_-;\-* #,##0_-;_-* &quot;-&quot;_-;_-@_-"/>
    <numFmt numFmtId="43" formatCode="_-* #,##0.00_-;\-* #,##0.00_-;_-* &quot;-&quot;??_-;_-@_-"/>
    <numFmt numFmtId="176" formatCode="#,##0_);[Red]\(#,##0\)"/>
    <numFmt numFmtId="177" formatCode="_ * #,##0_ ;_ * \-#,##0_ ;_ * &quot;-&quot;_ ;_ @_ "/>
    <numFmt numFmtId="178" formatCode="#,##0_ "/>
    <numFmt numFmtId="179" formatCode="#,##0;[Red]#,##0"/>
    <numFmt numFmtId="180" formatCode="#,##0_);\(#,##0\)"/>
    <numFmt numFmtId="181" formatCode="&quot;₩&quot;#,##0;&quot;₩&quot;&quot;₩&quot;&quot;₩&quot;&quot;₩&quot;\-#,##0"/>
    <numFmt numFmtId="182" formatCode="#,##0;[Red]&quot;-&quot;#,##0"/>
    <numFmt numFmtId="183" formatCode="&quot;₩&quot;#,##0;[Red]&quot;₩&quot;&quot;₩&quot;&quot;₩&quot;&quot;₩&quot;\-#,##0"/>
    <numFmt numFmtId="184" formatCode="_-* #,##0.00_-;&quot;₩&quot;&quot;₩&quot;\-* #,##0.00_-;_-* &quot;-&quot;??_-;_-@_-"/>
    <numFmt numFmtId="185" formatCode="_-&quot;₩&quot;* #,##0.00_-;&quot;₩&quot;&quot;₩&quot;\-&quot;₩&quot;* #,##0.00_-;_-&quot;₩&quot;* &quot;-&quot;??_-;_-@_-"/>
    <numFmt numFmtId="186" formatCode="&quot;₩&quot;#,##0.00;&quot;₩&quot;&quot;₩&quot;&quot;₩&quot;&quot;₩&quot;\-#,##0.00"/>
    <numFmt numFmtId="187" formatCode="_ * #,##0.00_ ;_ * \-#,##0.00_ ;_ * &quot;-&quot;??_ ;_ @_ "/>
    <numFmt numFmtId="188" formatCode="_(&quot;$&quot;* #,##0_);_(&quot;$&quot;* \(#,##0\);_(&quot;$&quot;* &quot;-&quot;_);_(@_)"/>
    <numFmt numFmtId="189" formatCode="_(&quot;$&quot;* #,##0.00_);_(&quot;$&quot;* \(#,##0.00\);_(&quot;$&quot;* &quot;-&quot;??_);_(@_)"/>
    <numFmt numFmtId="190" formatCode="_ &quot;₩&quot;* #,##0.00_ ;_ &quot;₩&quot;* &quot;₩&quot;&quot;₩&quot;&quot;₩&quot;&quot;₩&quot;&quot;₩&quot;&quot;₩&quot;&quot;₩&quot;&quot;₩&quot;\-#,##0.00_ ;_ &quot;₩&quot;* &quot;-&quot;??_ ;_ @_ "/>
    <numFmt numFmtId="191" formatCode="0.00_);[Red]\(0.00\)"/>
    <numFmt numFmtId="192" formatCode="#,##0.00;[Red]&quot;-&quot;#,##0.00"/>
    <numFmt numFmtId="193" formatCode="#,##0\ "/>
    <numFmt numFmtId="194" formatCode="&quot; '&quot;yy&quot;年&quot;\ m&quot;月&quot;\ d&quot;日&quot;"/>
    <numFmt numFmtId="195" formatCode="#,##0\ \ "/>
    <numFmt numFmtId="196" formatCode=";;&quot;－ &quot;"/>
    <numFmt numFmtId="197" formatCode=";;"/>
    <numFmt numFmtId="198" formatCode="#,##0.0"/>
    <numFmt numFmtId="199" formatCode="#,##0&quot;%&quot;"/>
    <numFmt numFmtId="200" formatCode="#,##0.0&quot;%&quot;"/>
    <numFmt numFmtId="201" formatCode="&quot;&quot;#&quot;月   &quot;#&quot;週&quot;"/>
    <numFmt numFmtId="202" formatCode="&quot;   &quot;#,##0"/>
    <numFmt numFmtId="203" formatCode="&quot;          &quot;#,##0"/>
    <numFmt numFmtId="204" formatCode="#,##0&quot;(億원)&quot;"/>
    <numFmt numFmtId="205" formatCode="#,##0&quot;(件)&quot;"/>
    <numFmt numFmtId="206" formatCode="yyyy&quot;年&quot;mm&quot;月&quot;dd&quot;日&quot;"/>
    <numFmt numFmtId="207" formatCode="&quot; &quot;#,##0"/>
    <numFmt numFmtId="208" formatCode="#,##0&quot; &quot;"/>
    <numFmt numFmtId="209" formatCode="#,##0.0&quot; &quot;"/>
    <numFmt numFmtId="210" formatCode="&quot; &quot;#,##0.0"/>
    <numFmt numFmtId="211" formatCode="0.0"/>
    <numFmt numFmtId="212" formatCode="\ #,##0&quot;%&quot;"/>
    <numFmt numFmtId="213" formatCode="\ #,##0"/>
    <numFmt numFmtId="214" formatCode="\ \ #,##0"/>
    <numFmt numFmtId="215" formatCode="\ #,##0.0"/>
    <numFmt numFmtId="216" formatCode="\ #,##0&quot; &quot;"/>
    <numFmt numFmtId="217" formatCode="#,##0&quot;  &quot;\ \ "/>
    <numFmt numFmtId="218" formatCode="&quot;RM&quot;#,##0_);[Red]\(&quot;RM&quot;#,##0\)"/>
    <numFmt numFmtId="219" formatCode="&quot;$&quot;#,##0.00;\(&quot;$&quot;#,##0.00\)"/>
    <numFmt numFmtId="220" formatCode="&quot;A$&quot;\ #,##0.0\ ;&quot;$&quot;\-#,##0.0"/>
    <numFmt numFmtId="221" formatCode="_-* #,##0.000_-;\-* #,##0.000_-;_-* &quot;-&quot;_-;_-@_-"/>
    <numFmt numFmtId="222" formatCode="0.000_);[Red]\(0.000\)"/>
    <numFmt numFmtId="223" formatCode="\U&quot;$&quot;#,##0;&quot;$&quot;\-#,##0"/>
    <numFmt numFmtId="224" formatCode="&quot;$&quot;#,##0;\-\(&quot;$&quot;#,##0\)"/>
    <numFmt numFmtId="225" formatCode="_-* #,##0.000_-;\-* #,##0.000_-;_-* &quot;-&quot;??_-;_-@_-"/>
    <numFmt numFmtId="226" formatCode="&quot;₩&quot;\ #,##0;[Red]\-&quot;₩&quot;\ #,##0"/>
    <numFmt numFmtId="227" formatCode="&quot;₩&quot;#,##0;&quot;₩&quot;\-#,##0"/>
    <numFmt numFmtId="228" formatCode="&quot;₩&quot;#,##0;&quot;₩&quot;&quot;₩&quot;&quot;₩&quot;&quot;₩&quot;&quot;₩&quot;&quot;₩&quot;&quot;₩&quot;&quot;₩&quot;&quot;₩&quot;&quot;₩&quot;&quot;₩&quot;&quot;₩&quot;&quot;₩&quot;\-&quot;₩&quot;#,##0"/>
    <numFmt numFmtId="229" formatCode="_-[$€-2]* #,##0.00_-;\-[$€-2]* #,##0.00_-;_-[$€-2]* &quot;-&quot;??_-"/>
    <numFmt numFmtId="230" formatCode="0.0000000000_);[Red]\(0.0000000000\)"/>
    <numFmt numFmtId="231" formatCode="_-* #,##0.000_-;\-* #,##0.000_-;_-* &quot;-&quot;???_-;_-@_-"/>
  </numFmts>
  <fonts count="114">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3"/>
      <charset val="129"/>
    </font>
    <font>
      <sz val="8"/>
      <name val="돋움"/>
      <family val="3"/>
      <charset val="129"/>
    </font>
    <font>
      <sz val="12"/>
      <name val="굴림체"/>
      <family val="3"/>
      <charset val="129"/>
    </font>
    <font>
      <b/>
      <sz val="12"/>
      <name val="굴림체"/>
      <family val="3"/>
      <charset val="129"/>
    </font>
    <font>
      <sz val="12"/>
      <name val="바탕체"/>
      <family val="1"/>
      <charset val="129"/>
    </font>
    <font>
      <sz val="14"/>
      <name val="뼻뮝"/>
      <family val="1"/>
      <charset val="129"/>
    </font>
    <font>
      <sz val="10"/>
      <name val="Arial"/>
      <family val="2"/>
    </font>
    <font>
      <b/>
      <sz val="1"/>
      <color indexed="8"/>
      <name val="Courier"/>
      <family val="3"/>
    </font>
    <font>
      <sz val="1"/>
      <color indexed="8"/>
      <name val="Courier"/>
      <family val="3"/>
    </font>
    <font>
      <sz val="12"/>
      <name val="뼻뮝"/>
      <family val="1"/>
      <charset val="129"/>
    </font>
    <font>
      <b/>
      <sz val="12"/>
      <color indexed="16"/>
      <name val="굴림체"/>
      <family val="3"/>
      <charset val="129"/>
    </font>
    <font>
      <sz val="10"/>
      <name val="굴림체"/>
      <family val="3"/>
      <charset val="129"/>
    </font>
    <font>
      <sz val="10"/>
      <name val="MS Sans Serif"/>
      <family val="2"/>
    </font>
    <font>
      <sz val="8"/>
      <name val="Arial"/>
      <family val="2"/>
    </font>
    <font>
      <b/>
      <sz val="12"/>
      <name val="Arial"/>
      <family val="2"/>
    </font>
    <font>
      <u/>
      <sz val="10"/>
      <color indexed="12"/>
      <name val="MS Sans Serif"/>
      <family val="2"/>
    </font>
    <font>
      <sz val="7"/>
      <name val="Small Fonts"/>
      <family val="2"/>
    </font>
    <font>
      <sz val="11"/>
      <name val="바탕체"/>
      <family val="1"/>
      <charset val="129"/>
    </font>
    <font>
      <u/>
      <sz val="20"/>
      <name val="맑은 고딕"/>
      <family val="3"/>
      <charset val="129"/>
    </font>
    <font>
      <b/>
      <u/>
      <sz val="16"/>
      <name val="맑은 고딕"/>
      <family val="3"/>
      <charset val="129"/>
    </font>
    <font>
      <sz val="11"/>
      <name val="맑은 고딕"/>
      <family val="3"/>
      <charset val="129"/>
    </font>
    <font>
      <sz val="16"/>
      <name val="맑은 고딕"/>
      <family val="3"/>
      <charset val="129"/>
    </font>
    <font>
      <sz val="10"/>
      <name val="맑은 고딕"/>
      <family val="3"/>
      <charset val="129"/>
    </font>
    <font>
      <b/>
      <sz val="10"/>
      <name val="맑은 고딕"/>
      <family val="3"/>
      <charset val="129"/>
    </font>
    <font>
      <sz val="9"/>
      <name val="맑은 고딕"/>
      <family val="3"/>
      <charset val="129"/>
    </font>
    <font>
      <sz val="20"/>
      <name val="맑은 고딕"/>
      <family val="3"/>
      <charset val="129"/>
    </font>
    <font>
      <sz val="12"/>
      <name val="¹ÙÅÁÃ¼"/>
      <family val="1"/>
      <charset val="129"/>
    </font>
    <font>
      <b/>
      <sz val="14"/>
      <name val="굴림체"/>
      <family val="3"/>
      <charset val="129"/>
    </font>
    <font>
      <sz val="8"/>
      <name val="굴림체"/>
      <family val="3"/>
      <charset val="129"/>
    </font>
    <font>
      <sz val="11"/>
      <color theme="1"/>
      <name val="맑은 고딕"/>
      <family val="3"/>
      <charset val="129"/>
      <scheme val="minor"/>
    </font>
    <font>
      <b/>
      <sz val="10"/>
      <color rgb="FF0000FF"/>
      <name val="맑은 고딕"/>
      <family val="3"/>
      <charset val="129"/>
    </font>
    <font>
      <sz val="8"/>
      <name val="맑은 고딕"/>
      <family val="3"/>
      <charset val="129"/>
      <scheme val="minor"/>
    </font>
    <font>
      <sz val="10"/>
      <color theme="1"/>
      <name val="맑은 고딕"/>
      <family val="3"/>
      <charset val="129"/>
      <scheme val="minor"/>
    </font>
    <font>
      <sz val="14"/>
      <name val="굴림체"/>
      <family val="3"/>
      <charset val="129"/>
    </font>
    <font>
      <sz val="12"/>
      <name val="Times New Roman"/>
      <family val="1"/>
    </font>
    <font>
      <sz val="9"/>
      <name val="바탕체"/>
      <family val="1"/>
      <charset val="129"/>
    </font>
    <font>
      <u/>
      <sz val="8.25"/>
      <color indexed="36"/>
      <name val="돋움"/>
      <family val="3"/>
      <charset val="129"/>
    </font>
    <font>
      <sz val="11"/>
      <name val="굴림체"/>
      <family val="3"/>
      <charset val="129"/>
    </font>
    <font>
      <u/>
      <sz val="8.25"/>
      <color indexed="12"/>
      <name val="돋움"/>
      <family val="3"/>
      <charset val="129"/>
    </font>
    <font>
      <sz val="12"/>
      <name val="¹UAAA¼"/>
      <family val="3"/>
      <charset val="129"/>
    </font>
    <font>
      <sz val="12"/>
      <name val="¹ÙÅÁÃ¼"/>
      <family val="3"/>
    </font>
    <font>
      <sz val="12"/>
      <name val="¹UAAA¼"/>
      <family val="3"/>
    </font>
    <font>
      <sz val="11"/>
      <name val="µ¸¿ò"/>
      <family val="3"/>
    </font>
    <font>
      <b/>
      <sz val="10"/>
      <name val="Helv"/>
      <family val="2"/>
    </font>
    <font>
      <b/>
      <sz val="12"/>
      <name val="Helv"/>
      <family val="2"/>
    </font>
    <font>
      <b/>
      <sz val="11"/>
      <name val="Helv"/>
      <family val="2"/>
    </font>
    <font>
      <b/>
      <u/>
      <sz val="13"/>
      <name val="굴림체"/>
      <family val="3"/>
      <charset val="129"/>
    </font>
    <font>
      <sz val="11"/>
      <color theme="1"/>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8"/>
      <name val="맑은 고딕"/>
      <family val="3"/>
      <charset val="129"/>
    </font>
    <font>
      <u/>
      <sz val="11"/>
      <color indexed="12"/>
      <name val="돋움"/>
      <family val="3"/>
      <charset val="129"/>
    </font>
    <font>
      <sz val="9"/>
      <name val="돋움체"/>
      <family val="3"/>
      <charset val="129"/>
    </font>
    <font>
      <sz val="12"/>
      <name val="돋움체"/>
      <family val="3"/>
      <charset val="129"/>
    </font>
    <font>
      <sz val="11"/>
      <color rgb="FFFF0000"/>
      <name val="맑은 고딕"/>
      <family val="3"/>
      <charset val="129"/>
    </font>
    <font>
      <sz val="8"/>
      <name val="맑은 고딕"/>
      <family val="2"/>
      <charset val="129"/>
      <scheme val="minor"/>
    </font>
    <font>
      <b/>
      <sz val="10"/>
      <color indexed="64"/>
      <name val="Arial"/>
      <family val="2"/>
    </font>
    <font>
      <b/>
      <sz val="18"/>
      <color theme="1"/>
      <name val="LG스마트체2.0 Regular"/>
      <family val="3"/>
      <charset val="129"/>
    </font>
    <font>
      <sz val="11"/>
      <color theme="1"/>
      <name val="LG스마트체2.0 Regular"/>
      <family val="3"/>
      <charset val="129"/>
    </font>
    <font>
      <sz val="10"/>
      <color theme="1"/>
      <name val="LG스마트체2.0 Regular"/>
      <family val="3"/>
      <charset val="129"/>
    </font>
    <font>
      <b/>
      <sz val="10"/>
      <color theme="1"/>
      <name val="LG스마트체2.0 Regular"/>
      <family val="3"/>
      <charset val="129"/>
    </font>
    <font>
      <sz val="18"/>
      <color theme="1"/>
      <name val="LG스마트체2.0 Regular"/>
      <family val="3"/>
      <charset val="129"/>
    </font>
    <font>
      <sz val="11"/>
      <color indexed="8"/>
      <name val="맑은 고딕"/>
      <family val="2"/>
      <scheme val="minor"/>
    </font>
    <font>
      <b/>
      <sz val="11"/>
      <color theme="1"/>
      <name val="LG스마트체2.0 Regular"/>
      <family val="3"/>
      <charset val="129"/>
    </font>
    <font>
      <b/>
      <sz val="12"/>
      <color theme="1"/>
      <name val="LG스마트체2.0 Regular"/>
      <family val="3"/>
      <charset val="129"/>
    </font>
    <font>
      <b/>
      <sz val="10"/>
      <color theme="0"/>
      <name val="LG스마트체2.0 Regular"/>
      <family val="3"/>
      <charset val="129"/>
    </font>
    <font>
      <sz val="9"/>
      <color theme="1"/>
      <name val="LG스마트체2.0 Regular"/>
      <family val="3"/>
      <charset val="129"/>
    </font>
    <font>
      <b/>
      <sz val="9"/>
      <color theme="1"/>
      <name val="LG스마트체2.0 Regular"/>
      <family val="3"/>
      <charset val="129"/>
    </font>
    <font>
      <sz val="11"/>
      <color theme="0"/>
      <name val="LG스마트체2.0 Regular"/>
      <family val="3"/>
      <charset val="129"/>
    </font>
    <font>
      <sz val="11"/>
      <color theme="1"/>
      <name val="LG스마트체 Regular"/>
      <family val="3"/>
      <charset val="129"/>
    </font>
    <font>
      <sz val="11"/>
      <name val="LG스마트체2.0 Regular"/>
      <family val="3"/>
      <charset val="129"/>
    </font>
    <font>
      <u/>
      <sz val="20"/>
      <name val="LG스마트체2.0 Regular"/>
      <family val="3"/>
      <charset val="129"/>
    </font>
    <font>
      <u/>
      <sz val="18"/>
      <name val="LG스마트체2.0 Regular"/>
      <family val="3"/>
      <charset val="129"/>
    </font>
    <font>
      <sz val="12"/>
      <name val="LG스마트체2.0 Regular"/>
      <family val="3"/>
      <charset val="129"/>
    </font>
    <font>
      <sz val="10"/>
      <name val="LG스마트체2.0 Regular"/>
      <family val="3"/>
      <charset val="129"/>
    </font>
    <font>
      <b/>
      <sz val="11"/>
      <name val="LG스마트체2.0 Regular"/>
      <family val="3"/>
      <charset val="129"/>
    </font>
    <font>
      <sz val="8"/>
      <name val="LG스마트체2.0 Regular"/>
      <family val="3"/>
      <charset val="129"/>
    </font>
    <font>
      <b/>
      <sz val="10"/>
      <color rgb="FF0000CC"/>
      <name val="LG스마트체2.0 Regular"/>
      <family val="3"/>
      <charset val="129"/>
    </font>
    <font>
      <b/>
      <u/>
      <sz val="18"/>
      <name val="LG스마트체2.0 Regular"/>
      <family val="3"/>
      <charset val="129"/>
    </font>
    <font>
      <b/>
      <sz val="10"/>
      <name val="LG스마트체2.0 Regular"/>
      <family val="3"/>
      <charset val="129"/>
    </font>
    <font>
      <sz val="9"/>
      <name val="LG스마트체2.0 Regular"/>
      <family val="3"/>
      <charset val="129"/>
    </font>
    <font>
      <sz val="9"/>
      <color rgb="FF0000FF"/>
      <name val="LG스마트체2.0 Regular"/>
      <family val="3"/>
      <charset val="129"/>
    </font>
    <font>
      <b/>
      <sz val="9"/>
      <name val="LG스마트체2.0 Regular"/>
      <family val="3"/>
      <charset val="129"/>
    </font>
    <font>
      <b/>
      <sz val="9"/>
      <color rgb="FF0000FF"/>
      <name val="LG스마트체2.0 Regular"/>
      <family val="3"/>
      <charset val="129"/>
    </font>
    <font>
      <sz val="9"/>
      <color indexed="10"/>
      <name val="LG스마트체2.0 Regular"/>
      <family val="3"/>
      <charset val="129"/>
    </font>
    <font>
      <b/>
      <u/>
      <sz val="20"/>
      <name val="LG스마트체2.0 Regular"/>
      <family val="3"/>
      <charset val="129"/>
    </font>
    <font>
      <b/>
      <sz val="8.5"/>
      <color indexed="10"/>
      <name val="LG스마트체2.0 Regular"/>
      <family val="3"/>
      <charset val="129"/>
    </font>
    <font>
      <sz val="8.5"/>
      <color indexed="10"/>
      <name val="LG스마트체2.0 Regular"/>
      <family val="3"/>
      <charset val="129"/>
    </font>
    <font>
      <sz val="20"/>
      <name val="LG스마트체2.0 Regular"/>
      <family val="3"/>
      <charset val="129"/>
    </font>
    <font>
      <b/>
      <sz val="10"/>
      <color indexed="12"/>
      <name val="LG스마트체2.0 Regular"/>
      <family val="3"/>
      <charset val="129"/>
    </font>
    <font>
      <sz val="10"/>
      <color rgb="FFFF0000"/>
      <name val="LG스마트체2.0 Regular"/>
      <family val="3"/>
      <charset val="129"/>
    </font>
    <font>
      <sz val="10"/>
      <color theme="0"/>
      <name val="LG스마트체2.0 Regular"/>
      <family val="3"/>
      <charset val="129"/>
    </font>
    <font>
      <sz val="18"/>
      <name val="LG스마트체2.0 Regular"/>
      <family val="3"/>
      <charset val="129"/>
    </font>
    <font>
      <sz val="10"/>
      <color rgb="FF0070C0"/>
      <name val="LG스마트체2.0 Regular"/>
      <family val="3"/>
      <charset val="129"/>
    </font>
    <font>
      <b/>
      <sz val="8"/>
      <name val="LG스마트체2.0 Regular"/>
      <family val="3"/>
      <charset val="129"/>
    </font>
    <font>
      <sz val="16"/>
      <name val="LG스마트체2.0 Regular"/>
      <family val="3"/>
      <charset val="129"/>
    </font>
    <font>
      <b/>
      <u/>
      <sz val="16"/>
      <name val="LG스마트체2.0 Regular"/>
      <family val="3"/>
      <charset val="129"/>
    </font>
    <font>
      <b/>
      <sz val="10"/>
      <color rgb="FF0000FF"/>
      <name val="LG스마트체2.0 Regular"/>
      <family val="3"/>
      <charset val="129"/>
    </font>
    <font>
      <sz val="9"/>
      <color rgb="FFFF0000"/>
      <name val="LG스마트체2.0 Regular"/>
      <family val="3"/>
      <charset val="129"/>
    </font>
    <font>
      <sz val="10"/>
      <name val="Calibri"/>
      <family val="3"/>
      <charset val="161"/>
    </font>
    <font>
      <b/>
      <sz val="9"/>
      <color rgb="FFFFFF00"/>
      <name val="LG스마트체2.0 Regular"/>
      <family val="3"/>
      <charset val="129"/>
    </font>
    <font>
      <b/>
      <sz val="8"/>
      <color rgb="FFFF0000"/>
      <name val="LG스마트체2.0 Regular"/>
      <family val="3"/>
      <charset val="129"/>
    </font>
    <font>
      <sz val="10"/>
      <color theme="0" tint="-0.34998626667073579"/>
      <name val="LG스마트체2.0 Regular"/>
      <family val="3"/>
      <charset val="129"/>
    </font>
  </fonts>
  <fills count="2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rgb="FFCCFFCC"/>
        <bgColor indexed="64"/>
      </patternFill>
    </fill>
    <fill>
      <patternFill patternType="solid">
        <fgColor rgb="FFFFFFCC"/>
        <bgColor indexed="64"/>
      </patternFill>
    </fill>
    <fill>
      <patternFill patternType="solid">
        <fgColor rgb="FFFFFF99"/>
        <bgColor indexed="64"/>
      </patternFill>
    </fill>
    <fill>
      <patternFill patternType="solid">
        <fgColor indexed="41"/>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0000"/>
        <bgColor indexed="64"/>
      </patternFill>
    </fill>
  </fills>
  <borders count="89">
    <border>
      <left/>
      <right/>
      <top/>
      <bottom/>
      <diagonal/>
    </border>
    <border>
      <left/>
      <right/>
      <top style="double">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hair">
        <color auto="1"/>
      </left>
      <right style="hair">
        <color auto="1"/>
      </right>
      <top style="hair">
        <color auto="1"/>
      </top>
      <bottom style="hair">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medium">
        <color auto="1"/>
      </bottom>
      <diagonal/>
    </border>
    <border>
      <left style="hair">
        <color indexed="64"/>
      </left>
      <right style="hair">
        <color auto="1"/>
      </right>
      <top/>
      <bottom style="medium">
        <color auto="1"/>
      </bottom>
      <diagonal/>
    </border>
    <border>
      <left style="hair">
        <color auto="1"/>
      </left>
      <right style="medium">
        <color auto="1"/>
      </right>
      <top/>
      <bottom style="medium">
        <color auto="1"/>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auto="1"/>
      </top>
      <bottom/>
      <diagonal/>
    </border>
    <border>
      <left style="medium">
        <color indexed="64"/>
      </left>
      <right/>
      <top style="medium">
        <color indexed="64"/>
      </top>
      <bottom style="double">
        <color indexed="64"/>
      </bottom>
      <diagonal/>
    </border>
    <border>
      <left style="thin">
        <color indexed="64"/>
      </left>
      <right/>
      <top style="medium">
        <color indexed="64"/>
      </top>
      <bottom style="double">
        <color indexed="64"/>
      </bottom>
      <diagonal/>
    </border>
    <border>
      <left style="hair">
        <color auto="1"/>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top style="hair">
        <color auto="1"/>
      </top>
      <bottom style="medium">
        <color auto="1"/>
      </bottom>
      <diagonal/>
    </border>
    <border>
      <left/>
      <right style="hair">
        <color auto="1"/>
      </right>
      <top/>
      <bottom style="medium">
        <color auto="1"/>
      </bottom>
      <diagonal/>
    </border>
  </borders>
  <cellStyleXfs count="1008">
    <xf numFmtId="0" fontId="0" fillId="0" borderId="0">
      <alignment vertical="center"/>
    </xf>
    <xf numFmtId="0" fontId="14" fillId="0" borderId="0"/>
    <xf numFmtId="0" fontId="16" fillId="0" borderId="0"/>
    <xf numFmtId="0" fontId="16" fillId="0" borderId="0" applyFont="0" applyFill="0" applyBorder="0" applyAlignment="0" applyProtection="0"/>
    <xf numFmtId="0" fontId="16" fillId="0" borderId="0" applyFont="0" applyFill="0" applyBorder="0" applyAlignment="0" applyProtection="0"/>
    <xf numFmtId="181" fontId="14" fillId="0" borderId="0">
      <protection locked="0"/>
    </xf>
    <xf numFmtId="0" fontId="17" fillId="0" borderId="0">
      <protection locked="0"/>
    </xf>
    <xf numFmtId="0" fontId="17" fillId="0" borderId="0">
      <protection locked="0"/>
    </xf>
    <xf numFmtId="0" fontId="18" fillId="0" borderId="0">
      <protection locked="0"/>
    </xf>
    <xf numFmtId="0" fontId="18" fillId="0" borderId="0">
      <protection locked="0"/>
    </xf>
    <xf numFmtId="0" fontId="19" fillId="0" borderId="0"/>
    <xf numFmtId="182" fontId="20" fillId="0" borderId="0">
      <alignment vertical="center"/>
    </xf>
    <xf numFmtId="41" fontId="39" fillId="0" borderId="0" applyFont="0" applyFill="0" applyBorder="0" applyAlignment="0" applyProtection="0">
      <alignment vertical="center"/>
    </xf>
    <xf numFmtId="177" fontId="14"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0" fontId="16" fillId="0" borderId="0"/>
    <xf numFmtId="4" fontId="18" fillId="0" borderId="0">
      <protection locked="0"/>
    </xf>
    <xf numFmtId="183" fontId="14" fillId="0" borderId="0">
      <protection locked="0"/>
    </xf>
    <xf numFmtId="184" fontId="14" fillId="0" borderId="0">
      <protection locked="0"/>
    </xf>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 fillId="0" borderId="1">
      <protection locked="0"/>
    </xf>
    <xf numFmtId="185" fontId="14" fillId="0" borderId="0">
      <protection locked="0"/>
    </xf>
    <xf numFmtId="186" fontId="14" fillId="0" borderId="0">
      <protection locked="0"/>
    </xf>
    <xf numFmtId="0" fontId="22" fillId="0" borderId="0"/>
    <xf numFmtId="177" fontId="36" fillId="0" borderId="0" applyFont="0" applyFill="0" applyBorder="0" applyAlignment="0" applyProtection="0"/>
    <xf numFmtId="0" fontId="16" fillId="0" borderId="0"/>
    <xf numFmtId="177" fontId="16" fillId="0" borderId="0" applyFont="0" applyFill="0" applyBorder="0" applyAlignment="0" applyProtection="0"/>
    <xf numFmtId="187" fontId="16" fillId="0" borderId="0" applyFont="0" applyFill="0" applyBorder="0" applyAlignment="0" applyProtection="0"/>
    <xf numFmtId="188" fontId="16" fillId="0" borderId="0" applyFont="0" applyFill="0" applyBorder="0" applyAlignment="0" applyProtection="0"/>
    <xf numFmtId="189" fontId="16" fillId="0" borderId="0" applyFont="0" applyFill="0" applyBorder="0" applyAlignment="0" applyProtection="0"/>
    <xf numFmtId="0" fontId="14" fillId="0" borderId="0"/>
    <xf numFmtId="38" fontId="23" fillId="2" borderId="0" applyNumberFormat="0" applyBorder="0" applyAlignment="0" applyProtection="0"/>
    <xf numFmtId="0" fontId="24" fillId="0" borderId="2" applyNumberFormat="0" applyAlignment="0" applyProtection="0">
      <alignment horizontal="left" vertical="center"/>
    </xf>
    <xf numFmtId="0" fontId="24" fillId="0" borderId="3">
      <alignment horizontal="left" vertical="center"/>
    </xf>
    <xf numFmtId="0" fontId="25" fillId="0" borderId="0" applyNumberFormat="0" applyFill="0" applyBorder="0" applyAlignment="0" applyProtection="0"/>
    <xf numFmtId="10" fontId="23" fillId="3" borderId="4" applyNumberFormat="0" applyBorder="0" applyAlignment="0" applyProtection="0"/>
    <xf numFmtId="0" fontId="37" fillId="0" borderId="5">
      <alignment horizontal="left"/>
    </xf>
    <xf numFmtId="37" fontId="26" fillId="0" borderId="0"/>
    <xf numFmtId="190" fontId="27" fillId="0" borderId="0"/>
    <xf numFmtId="0" fontId="16" fillId="0" borderId="0"/>
    <xf numFmtId="0" fontId="16" fillId="0" borderId="0" applyFont="0" applyFill="0" applyBorder="0" applyAlignment="0" applyProtection="0"/>
    <xf numFmtId="0" fontId="16" fillId="0" borderId="0" applyFont="0" applyFill="0" applyBorder="0" applyAlignment="0" applyProtection="0"/>
    <xf numFmtId="10" fontId="16" fillId="0" borderId="0" applyFont="0" applyFill="0" applyBorder="0" applyAlignment="0" applyProtection="0"/>
    <xf numFmtId="9" fontId="39" fillId="0" borderId="0" applyFont="0" applyFill="0" applyBorder="0" applyAlignment="0" applyProtection="0">
      <alignment vertical="center"/>
    </xf>
    <xf numFmtId="176" fontId="14" fillId="0" borderId="0" applyFont="0" applyFill="0" applyBorder="0" applyAlignment="0" applyProtection="0"/>
    <xf numFmtId="0" fontId="9" fillId="0" borderId="0"/>
    <xf numFmtId="0" fontId="9" fillId="0" borderId="0"/>
    <xf numFmtId="0" fontId="9" fillId="0" borderId="0"/>
    <xf numFmtId="41" fontId="9" fillId="0" borderId="0" applyFont="0" applyFill="0" applyBorder="0" applyAlignment="0" applyProtection="0"/>
    <xf numFmtId="0" fontId="30" fillId="0" borderId="0">
      <alignment vertical="center"/>
    </xf>
    <xf numFmtId="0" fontId="9" fillId="0" borderId="0"/>
    <xf numFmtId="0" fontId="14" fillId="0" borderId="0"/>
    <xf numFmtId="3" fontId="43" fillId="0" borderId="0" applyFont="0" applyFill="0" applyBorder="0" applyAlignment="0" applyProtection="0">
      <alignment vertical="center"/>
    </xf>
    <xf numFmtId="192" fontId="9" fillId="0" borderId="0" applyFont="0" applyFill="0" applyBorder="0" applyAlignment="0" applyProtection="0"/>
    <xf numFmtId="193" fontId="14" fillId="0" borderId="0" applyFont="0" applyFill="0" applyBorder="0" applyAlignment="0" applyProtection="0"/>
    <xf numFmtId="194" fontId="9" fillId="0" borderId="4" applyFont="0" applyFill="0" applyBorder="0" applyAlignment="0" applyProtection="0">
      <alignment vertical="center"/>
    </xf>
    <xf numFmtId="195" fontId="14" fillId="0" borderId="0" applyFont="0" applyFill="0" applyBorder="0" applyAlignment="0" applyProtection="0"/>
    <xf numFmtId="196" fontId="9" fillId="0" borderId="0" applyFont="0" applyFill="0" applyBorder="0" applyAlignment="0" applyProtection="0"/>
    <xf numFmtId="197" fontId="9" fillId="0" borderId="0" applyFont="0" applyFill="0" applyBorder="0" applyAlignment="0" applyProtection="0"/>
    <xf numFmtId="196" fontId="9" fillId="0" borderId="0" applyFont="0" applyFill="0" applyBorder="0" applyAlignment="0" applyProtection="0"/>
    <xf numFmtId="198" fontId="9" fillId="0" borderId="0" applyFont="0" applyFill="0" applyBorder="0" applyAlignment="0" applyProtection="0"/>
    <xf numFmtId="199" fontId="9" fillId="0" borderId="0" applyFont="0" applyFill="0" applyBorder="0" applyAlignment="0" applyProtection="0"/>
    <xf numFmtId="200" fontId="9" fillId="0" borderId="0" applyFont="0" applyFill="0" applyBorder="0" applyAlignment="0" applyProtection="0"/>
    <xf numFmtId="201" fontId="9" fillId="0" borderId="0" applyFont="0" applyFill="0" applyBorder="0" applyAlignment="0" applyProtection="0"/>
    <xf numFmtId="202" fontId="9" fillId="0" borderId="0" applyFont="0" applyFill="0" applyBorder="0" applyAlignment="0" applyProtection="0"/>
    <xf numFmtId="203" fontId="9" fillId="0" borderId="0" applyFont="0" applyFill="0" applyBorder="0" applyAlignment="0" applyProtection="0"/>
    <xf numFmtId="204" fontId="9" fillId="0" borderId="0" applyFont="0" applyFill="0" applyBorder="0" applyAlignment="0" applyProtection="0"/>
    <xf numFmtId="205" fontId="9"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208" fontId="9" fillId="0" borderId="4" applyFont="0" applyFill="0" applyBorder="0" applyAlignment="0" applyProtection="0">
      <alignment vertical="center"/>
    </xf>
    <xf numFmtId="209" fontId="9" fillId="0" borderId="0" applyFont="0" applyFill="0" applyBorder="0" applyAlignment="0" applyProtection="0"/>
    <xf numFmtId="210" fontId="9" fillId="0" borderId="0" applyFont="0" applyFill="0" applyBorder="0" applyAlignment="0" applyProtection="0"/>
    <xf numFmtId="211" fontId="9" fillId="0" borderId="0" applyFont="0" applyFill="0" applyBorder="0" applyAlignment="0" applyProtection="0"/>
    <xf numFmtId="212" fontId="9" fillId="0" borderId="0" applyFont="0" applyFill="0" applyBorder="0" applyAlignment="0" applyProtection="0"/>
    <xf numFmtId="213" fontId="9" fillId="0" borderId="0" applyFont="0" applyFill="0" applyBorder="0" applyAlignment="0" applyProtection="0"/>
    <xf numFmtId="214" fontId="9" fillId="0" borderId="0" applyFont="0" applyFill="0" applyBorder="0" applyAlignment="0" applyProtection="0"/>
    <xf numFmtId="215" fontId="9" fillId="0" borderId="0" applyFont="0" applyFill="0" applyBorder="0" applyAlignment="0" applyProtection="0"/>
    <xf numFmtId="216" fontId="9" fillId="0" borderId="0" applyFont="0" applyFill="0" applyBorder="0" applyAlignment="0" applyProtection="0"/>
    <xf numFmtId="195" fontId="9" fillId="0" borderId="0" applyFont="0" applyFill="0" applyBorder="0" applyAlignment="0" applyProtection="0"/>
    <xf numFmtId="217" fontId="9" fillId="0" borderId="0" applyFont="0" applyFill="0" applyBorder="0" applyAlignment="0" applyProtection="0"/>
    <xf numFmtId="0" fontId="21" fillId="0" borderId="0" applyFont="0" applyFill="0" applyBorder="0" applyAlignment="0" applyProtection="0"/>
    <xf numFmtId="0" fontId="16" fillId="0" borderId="0"/>
    <xf numFmtId="0" fontId="44" fillId="0" borderId="0"/>
    <xf numFmtId="0" fontId="45" fillId="0" borderId="59">
      <alignment horizontal="center" vertical="center"/>
    </xf>
    <xf numFmtId="3" fontId="22" fillId="0" borderId="60">
      <alignment horizontal="center"/>
    </xf>
    <xf numFmtId="0" fontId="46" fillId="0" borderId="0" applyNumberFormat="0" applyFill="0" applyBorder="0" applyAlignment="0" applyProtection="0">
      <alignment vertical="top"/>
      <protection locked="0"/>
    </xf>
    <xf numFmtId="9" fontId="47" fillId="5" borderId="0" applyFill="0" applyBorder="0" applyProtection="0">
      <alignment horizontal="right"/>
    </xf>
    <xf numFmtId="10" fontId="47" fillId="0" borderId="0" applyFill="0" applyBorder="0" applyProtection="0">
      <alignment horizontal="right"/>
    </xf>
    <xf numFmtId="9" fontId="14"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applyNumberFormat="0" applyFont="0" applyFill="0" applyBorder="0" applyProtection="0">
      <alignment vertical="center"/>
    </xf>
    <xf numFmtId="0" fontId="14" fillId="0" borderId="0"/>
    <xf numFmtId="0" fontId="14" fillId="0" borderId="0" applyFont="0" applyFill="0" applyBorder="0" applyAlignment="0" applyProtection="0"/>
    <xf numFmtId="218" fontId="14" fillId="5" borderId="0" applyFill="0" applyBorder="0" applyProtection="0">
      <alignment horizontal="right"/>
    </xf>
    <xf numFmtId="0" fontId="14" fillId="0" borderId="0" applyFont="0" applyFill="0" applyBorder="0" applyAlignment="0" applyProtection="0"/>
    <xf numFmtId="42" fontId="9" fillId="0" borderId="0" applyFont="0" applyFill="0" applyBorder="0" applyAlignment="0" applyProtection="0"/>
    <xf numFmtId="0" fontId="9" fillId="0" borderId="0"/>
    <xf numFmtId="0" fontId="9" fillId="0" borderId="0">
      <alignment vertical="center"/>
    </xf>
    <xf numFmtId="0" fontId="8" fillId="0" borderId="0">
      <alignment vertical="center"/>
    </xf>
    <xf numFmtId="0" fontId="12" fillId="0" borderId="0" applyNumberFormat="0" applyFont="0" applyFill="0" applyBorder="0" applyProtection="0">
      <alignment vertical="center"/>
    </xf>
    <xf numFmtId="0" fontId="9" fillId="0" borderId="0"/>
    <xf numFmtId="0" fontId="45" fillId="0" borderId="59">
      <alignment horizontal="center" vertical="center"/>
    </xf>
    <xf numFmtId="0" fontId="48" fillId="0" borderId="0" applyNumberFormat="0" applyFill="0" applyBorder="0" applyAlignment="0" applyProtection="0">
      <alignment vertical="top"/>
      <protection locked="0"/>
    </xf>
    <xf numFmtId="0" fontId="49" fillId="0" borderId="0" applyFont="0" applyFill="0" applyBorder="0" applyAlignment="0" applyProtection="0"/>
    <xf numFmtId="0" fontId="50"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50"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50" fillId="0" borderId="0" applyFont="0" applyFill="0" applyBorder="0" applyAlignment="0" applyProtection="0"/>
    <xf numFmtId="0" fontId="9" fillId="0" borderId="0" applyFont="0" applyFill="0" applyBorder="0" applyAlignment="0" applyProtection="0"/>
    <xf numFmtId="0" fontId="49" fillId="0" borderId="0" applyFont="0" applyFill="0" applyBorder="0" applyAlignment="0" applyProtection="0"/>
    <xf numFmtId="0" fontId="52" fillId="0" borderId="0" applyFont="0" applyFill="0" applyBorder="0" applyAlignment="0" applyProtection="0"/>
    <xf numFmtId="0" fontId="21" fillId="0" borderId="0" applyFont="0" applyFill="0" applyBorder="0" applyAlignment="0" applyProtection="0"/>
    <xf numFmtId="0" fontId="50" fillId="0" borderId="0"/>
    <xf numFmtId="0" fontId="51" fillId="0" borderId="0"/>
    <xf numFmtId="0" fontId="36" fillId="0" borderId="0"/>
    <xf numFmtId="49" fontId="49" fillId="0" borderId="0" applyBorder="0"/>
    <xf numFmtId="0" fontId="50" fillId="0" borderId="0"/>
    <xf numFmtId="0" fontId="51" fillId="0" borderId="0"/>
    <xf numFmtId="0" fontId="50" fillId="0" borderId="0"/>
    <xf numFmtId="0" fontId="53" fillId="0" borderId="0"/>
    <xf numFmtId="219" fontId="45" fillId="0" borderId="0"/>
    <xf numFmtId="0" fontId="21" fillId="0" borderId="0" applyFont="0" applyFill="0" applyBorder="0" applyAlignment="0" applyProtection="0"/>
    <xf numFmtId="0" fontId="14" fillId="0" borderId="4" applyFill="0" applyBorder="0" applyAlignment="0"/>
    <xf numFmtId="220" fontId="45" fillId="0" borderId="0"/>
    <xf numFmtId="0" fontId="54" fillId="0" borderId="0">
      <alignment horizontal="left"/>
    </xf>
    <xf numFmtId="41" fontId="16" fillId="0" borderId="0" applyFont="0" applyFill="0" applyBorder="0" applyAlignment="0" applyProtection="0"/>
    <xf numFmtId="43" fontId="16" fillId="0" borderId="0" applyFont="0" applyFill="0" applyBorder="0" applyAlignment="0" applyProtection="0"/>
    <xf numFmtId="0" fontId="55" fillId="0" borderId="14"/>
    <xf numFmtId="0" fontId="16" fillId="0" borderId="0" applyFont="0" applyFill="0" applyBorder="0" applyAlignment="0" applyProtection="0"/>
    <xf numFmtId="0" fontId="16" fillId="0" borderId="0" applyFont="0" applyFill="0" applyBorder="0" applyAlignment="0" applyProtection="0"/>
    <xf numFmtId="190" fontId="27" fillId="0" borderId="0"/>
    <xf numFmtId="0" fontId="55" fillId="0" borderId="0"/>
    <xf numFmtId="0" fontId="56" fillId="0" borderId="0" applyFill="0" applyBorder="0" applyProtection="0">
      <alignment horizontal="centerContinuous" vertical="center"/>
    </xf>
    <xf numFmtId="0" fontId="12" fillId="5" borderId="0" applyFill="0" applyBorder="0" applyProtection="0">
      <alignment horizontal="center" vertical="center"/>
    </xf>
    <xf numFmtId="41" fontId="9" fillId="0" borderId="0" applyFont="0" applyFill="0" applyBorder="0" applyAlignment="0" applyProtection="0"/>
    <xf numFmtId="0" fontId="57" fillId="0" borderId="0">
      <alignment vertical="center"/>
    </xf>
    <xf numFmtId="9" fontId="39" fillId="0" borderId="0" applyFont="0" applyFill="0" applyBorder="0" applyAlignment="0" applyProtection="0">
      <alignment vertical="center"/>
    </xf>
    <xf numFmtId="0" fontId="30" fillId="0" borderId="0">
      <alignment vertical="center"/>
    </xf>
    <xf numFmtId="0" fontId="30" fillId="0" borderId="0">
      <alignment vertical="center"/>
    </xf>
    <xf numFmtId="9" fontId="14" fillId="0" borderId="0" applyFont="0" applyFill="0" applyBorder="0" applyAlignment="0" applyProtection="0"/>
    <xf numFmtId="0" fontId="12" fillId="0" borderId="0"/>
    <xf numFmtId="41" fontId="12" fillId="0" borderId="0" applyFont="0" applyFill="0" applyBorder="0" applyAlignment="0" applyProtection="0"/>
    <xf numFmtId="223" fontId="45" fillId="0" borderId="0"/>
    <xf numFmtId="224" fontId="45" fillId="0" borderId="0"/>
    <xf numFmtId="225" fontId="9" fillId="0" borderId="0"/>
    <xf numFmtId="181" fontId="14" fillId="0" borderId="0">
      <protection locked="0"/>
    </xf>
    <xf numFmtId="2" fontId="58" fillId="0" borderId="0" applyFont="0" applyFill="0" applyBorder="0" applyAlignment="0" applyProtection="0"/>
    <xf numFmtId="0" fontId="17" fillId="0" borderId="0">
      <protection locked="0"/>
    </xf>
    <xf numFmtId="0" fontId="59" fillId="0" borderId="0" applyNumberFormat="0" applyFill="0" applyBorder="0" applyAlignment="0" applyProtection="0"/>
    <xf numFmtId="0" fontId="17" fillId="0" borderId="0">
      <protection locked="0"/>
    </xf>
    <xf numFmtId="0" fontId="60" fillId="0" borderId="0" applyNumberFormat="0" applyFill="0" applyBorder="0" applyAlignment="0" applyProtection="0"/>
    <xf numFmtId="0" fontId="18" fillId="0" borderId="0">
      <protection locked="0"/>
    </xf>
    <xf numFmtId="0" fontId="58" fillId="0" borderId="0" applyFont="0" applyFill="0" applyBorder="0" applyAlignment="0" applyProtection="0"/>
    <xf numFmtId="0" fontId="18" fillId="0" borderId="0">
      <protection locked="0"/>
    </xf>
    <xf numFmtId="0" fontId="58" fillId="0" borderId="0" applyFont="0" applyFill="0" applyBorder="0" applyAlignment="0" applyProtection="0"/>
    <xf numFmtId="9" fontId="14" fillId="0" borderId="0" applyFont="0" applyFill="0" applyBorder="0" applyAlignment="0" applyProtection="0"/>
    <xf numFmtId="9" fontId="9" fillId="0" borderId="0" applyFont="0" applyFill="0" applyBorder="0" applyAlignment="0" applyProtection="0"/>
    <xf numFmtId="9" fontId="61" fillId="0" borderId="0" applyFont="0" applyFill="0" applyBorder="0" applyAlignment="0" applyProtection="0">
      <alignment vertical="center"/>
    </xf>
    <xf numFmtId="9" fontId="61" fillId="0" borderId="0" applyFont="0" applyFill="0" applyBorder="0" applyAlignment="0" applyProtection="0">
      <alignment vertical="center"/>
    </xf>
    <xf numFmtId="9" fontId="9" fillId="0" borderId="0" applyFont="0" applyFill="0" applyBorder="0" applyAlignment="0" applyProtection="0"/>
    <xf numFmtId="9" fontId="9" fillId="0" borderId="0" applyFont="0" applyFill="0" applyBorder="0" applyAlignment="0" applyProtection="0"/>
    <xf numFmtId="41" fontId="30" fillId="0" borderId="0" applyFont="0" applyFill="0" applyBorder="0" applyAlignment="0" applyProtection="0">
      <alignment vertical="center"/>
    </xf>
    <xf numFmtId="41" fontId="9" fillId="0" borderId="0" applyFont="0" applyFill="0" applyBorder="0" applyAlignment="0" applyProtection="0">
      <alignment vertical="center"/>
    </xf>
    <xf numFmtId="177" fontId="14" fillId="0" borderId="0" applyFont="0" applyFill="0" applyBorder="0" applyAlignment="0" applyProtection="0"/>
    <xf numFmtId="41" fontId="9" fillId="0" borderId="0" applyFont="0" applyFill="0" applyBorder="0" applyAlignment="0" applyProtection="0">
      <alignment vertical="center"/>
    </xf>
    <xf numFmtId="41" fontId="61" fillId="0" borderId="0" applyFont="0" applyFill="0" applyBorder="0" applyAlignment="0" applyProtection="0">
      <alignment vertical="center"/>
    </xf>
    <xf numFmtId="41" fontId="9" fillId="0" borderId="0" applyFont="0" applyFill="0" applyBorder="0" applyAlignment="0" applyProtection="0"/>
    <xf numFmtId="177" fontId="14" fillId="0" borderId="0" applyFont="0" applyFill="0" applyBorder="0" applyAlignment="0" applyProtection="0"/>
    <xf numFmtId="41" fontId="61" fillId="0" borderId="0" applyFont="0" applyFill="0" applyBorder="0" applyAlignment="0" applyProtection="0">
      <alignment vertical="center"/>
    </xf>
    <xf numFmtId="0" fontId="16" fillId="0" borderId="0"/>
    <xf numFmtId="0" fontId="21" fillId="0" borderId="0" applyFont="0" applyFill="0" applyBorder="0" applyAlignment="0" applyProtection="0"/>
    <xf numFmtId="4" fontId="18" fillId="0" borderId="0">
      <protection locked="0"/>
    </xf>
    <xf numFmtId="4" fontId="58" fillId="0" borderId="0" applyFont="0" applyFill="0" applyBorder="0" applyAlignment="0" applyProtection="0"/>
    <xf numFmtId="183" fontId="14" fillId="0" borderId="0">
      <protection locked="0"/>
    </xf>
    <xf numFmtId="3" fontId="58" fillId="0" borderId="0" applyFont="0" applyFill="0" applyBorder="0" applyAlignment="0" applyProtection="0"/>
    <xf numFmtId="184" fontId="14" fillId="0" borderId="0">
      <protection locked="0"/>
    </xf>
    <xf numFmtId="10" fontId="58" fillId="0" borderId="0" applyFont="0" applyFill="0" applyBorder="0" applyAlignment="0" applyProtection="0"/>
    <xf numFmtId="0" fontId="14" fillId="0" borderId="0"/>
    <xf numFmtId="0" fontId="9" fillId="0" borderId="0">
      <alignment vertical="center"/>
    </xf>
    <xf numFmtId="0" fontId="39" fillId="0" borderId="0">
      <alignment vertical="center"/>
    </xf>
    <xf numFmtId="0" fontId="9" fillId="0" borderId="0">
      <alignment vertical="center"/>
    </xf>
    <xf numFmtId="0" fontId="18" fillId="0" borderId="1">
      <protection locked="0"/>
    </xf>
    <xf numFmtId="0" fontId="58" fillId="0" borderId="1" applyNumberFormat="0" applyFont="0" applyFill="0" applyAlignment="0" applyProtection="0"/>
    <xf numFmtId="185" fontId="14" fillId="0" borderId="0">
      <protection locked="0"/>
    </xf>
    <xf numFmtId="226" fontId="14" fillId="0" borderId="0" applyFont="0" applyFill="0" applyBorder="0" applyAlignment="0" applyProtection="0"/>
    <xf numFmtId="186" fontId="14" fillId="0" borderId="0">
      <protection locked="0"/>
    </xf>
    <xf numFmtId="227" fontId="58" fillId="0" borderId="0" applyFont="0" applyFill="0" applyBorder="0" applyAlignment="0" applyProtection="0"/>
    <xf numFmtId="0" fontId="7" fillId="0" borderId="0">
      <alignment vertical="center"/>
    </xf>
    <xf numFmtId="0" fontId="9" fillId="0" borderId="0"/>
    <xf numFmtId="228" fontId="64" fillId="0" borderId="0"/>
    <xf numFmtId="9" fontId="9" fillId="0" borderId="0" applyFont="0" applyFill="0" applyBorder="0" applyAlignment="0" applyProtection="0"/>
    <xf numFmtId="181" fontId="63" fillId="0" borderId="4" applyNumberFormat="0">
      <alignment horizontal="center" vertical="center"/>
      <protection locked="0"/>
    </xf>
    <xf numFmtId="0" fontId="16"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0"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0" fillId="0" borderId="0" applyFont="0" applyFill="0" applyBorder="0" applyAlignment="0" applyProtection="0">
      <alignment vertical="center"/>
    </xf>
    <xf numFmtId="9" fontId="30" fillId="0" borderId="0" applyFont="0" applyFill="0" applyBorder="0" applyAlignment="0" applyProtection="0">
      <alignment vertical="center"/>
    </xf>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1" fontId="9" fillId="0" borderId="0" applyFont="0" applyFill="0" applyBorder="0" applyAlignment="0" applyProtection="0"/>
    <xf numFmtId="41" fontId="39" fillId="0" borderId="0" applyFont="0" applyFill="0" applyBorder="0" applyAlignment="0" applyProtection="0">
      <alignment vertical="center"/>
    </xf>
    <xf numFmtId="0" fontId="21" fillId="0" borderId="0" applyFont="0" applyFill="0" applyBorder="0" applyAlignment="0" applyProtection="0"/>
    <xf numFmtId="41" fontId="9" fillId="0" borderId="0" applyFont="0" applyFill="0" applyBorder="0" applyAlignment="0" applyProtection="0"/>
    <xf numFmtId="0" fontId="39" fillId="0" borderId="0">
      <alignment vertical="center"/>
    </xf>
    <xf numFmtId="41" fontId="9" fillId="0" borderId="0" applyFont="0" applyFill="0" applyAlignment="0" applyProtection="0"/>
    <xf numFmtId="0" fontId="39" fillId="0" borderId="0">
      <alignment vertical="center"/>
    </xf>
    <xf numFmtId="0" fontId="14" fillId="0" borderId="0"/>
    <xf numFmtId="0" fontId="9" fillId="0" borderId="0"/>
    <xf numFmtId="0" fontId="39" fillId="0" borderId="0">
      <alignment vertical="center"/>
    </xf>
    <xf numFmtId="0" fontId="39" fillId="0" borderId="0">
      <alignment vertical="center"/>
    </xf>
    <xf numFmtId="0" fontId="62" fillId="0" borderId="0" applyNumberFormat="0" applyFill="0" applyBorder="0" applyAlignment="0" applyProtection="0">
      <alignment vertical="top"/>
      <protection locked="0"/>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xf numFmtId="41" fontId="9" fillId="0" borderId="0" applyFont="0" applyFill="0" applyBorder="0" applyAlignment="0" applyProtection="0"/>
    <xf numFmtId="41" fontId="39" fillId="0" borderId="0" applyFont="0" applyFill="0" applyBorder="0" applyAlignment="0" applyProtection="0">
      <alignment vertical="center"/>
    </xf>
    <xf numFmtId="41" fontId="61" fillId="0" borderId="0" applyFont="0" applyFill="0" applyBorder="0" applyAlignment="0" applyProtection="0">
      <alignment vertical="center"/>
    </xf>
    <xf numFmtId="41" fontId="9" fillId="0" borderId="0" applyFont="0" applyFill="0" applyBorder="0" applyAlignment="0" applyProtection="0"/>
    <xf numFmtId="41" fontId="61" fillId="0" borderId="0" applyFont="0" applyFill="0" applyBorder="0" applyAlignment="0" applyProtection="0">
      <alignment vertical="center"/>
    </xf>
    <xf numFmtId="41" fontId="9" fillId="0" borderId="0" applyFont="0" applyFill="0" applyBorder="0" applyAlignment="0" applyProtection="0"/>
    <xf numFmtId="41" fontId="9" fillId="0" borderId="0" applyFont="0" applyFill="0" applyBorder="0" applyAlignment="0" applyProtection="0"/>
    <xf numFmtId="41" fontId="12" fillId="0" borderId="0" applyFont="0" applyFill="0" applyBorder="0" applyAlignment="0" applyProtection="0"/>
    <xf numFmtId="42" fontId="9" fillId="0" borderId="0" applyFont="0" applyFill="0" applyBorder="0" applyAlignment="0" applyProtection="0"/>
    <xf numFmtId="0" fontId="6" fillId="0" borderId="0">
      <alignment vertical="center"/>
    </xf>
    <xf numFmtId="41" fontId="6" fillId="0" borderId="0" applyFont="0" applyFill="0" applyBorder="0" applyAlignment="0" applyProtection="0">
      <alignment vertical="center"/>
    </xf>
    <xf numFmtId="0" fontId="9" fillId="0" borderId="0"/>
    <xf numFmtId="177" fontId="67" fillId="0" borderId="0" applyFont="0" applyFill="0" applyBorder="0" applyAlignment="0" applyProtection="0"/>
    <xf numFmtId="41" fontId="9"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229" fontId="6" fillId="0" borderId="0">
      <alignment vertical="center"/>
    </xf>
    <xf numFmtId="0" fontId="73" fillId="0" borderId="0">
      <alignment vertical="center"/>
    </xf>
    <xf numFmtId="229" fontId="5" fillId="0" borderId="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564">
    <xf numFmtId="0" fontId="0" fillId="0" borderId="0" xfId="0">
      <alignment vertical="center"/>
    </xf>
    <xf numFmtId="0" fontId="31" fillId="0" borderId="0" xfId="27" applyFont="1" applyAlignment="1">
      <alignment horizontal="center" vertical="center"/>
    </xf>
    <xf numFmtId="0" fontId="30" fillId="0" borderId="0" xfId="25" applyFont="1" applyAlignment="1">
      <alignment vertical="center"/>
    </xf>
    <xf numFmtId="0" fontId="30" fillId="0" borderId="0" xfId="27" applyFont="1" applyAlignment="1">
      <alignment horizontal="center" vertical="center"/>
    </xf>
    <xf numFmtId="176" fontId="30" fillId="0" borderId="0" xfId="27" applyNumberFormat="1" applyFont="1" applyAlignment="1">
      <alignment horizontal="center" vertical="center"/>
    </xf>
    <xf numFmtId="0" fontId="29" fillId="0" borderId="0" xfId="27" applyFont="1" applyAlignment="1">
      <alignment horizontal="center" vertical="center"/>
    </xf>
    <xf numFmtId="0" fontId="32" fillId="0" borderId="14" xfId="0" applyFont="1" applyBorder="1" applyAlignment="1">
      <alignment horizontal="right"/>
    </xf>
    <xf numFmtId="0" fontId="35" fillId="0" borderId="0" xfId="27" applyFont="1" applyAlignment="1">
      <alignment horizontal="center" vertical="center"/>
    </xf>
    <xf numFmtId="0" fontId="42" fillId="0" borderId="0" xfId="0" applyFont="1" applyAlignment="1">
      <alignment horizontal="right"/>
    </xf>
    <xf numFmtId="0" fontId="28" fillId="0" borderId="0" xfId="27" applyFont="1" applyAlignment="1">
      <alignment horizontal="center" vertical="center"/>
    </xf>
    <xf numFmtId="3" fontId="30" fillId="0" borderId="4" xfId="27" applyNumberFormat="1" applyFont="1" applyBorder="1" applyAlignment="1">
      <alignment horizontal="center" vertical="center"/>
    </xf>
    <xf numFmtId="0" fontId="30" fillId="8" borderId="6" xfId="27" applyFont="1" applyFill="1" applyBorder="1" applyAlignment="1">
      <alignment horizontal="center" vertical="center"/>
    </xf>
    <xf numFmtId="0" fontId="30" fillId="8" borderId="7" xfId="27" applyFont="1" applyFill="1" applyBorder="1" applyAlignment="1">
      <alignment horizontal="center" vertical="center"/>
    </xf>
    <xf numFmtId="0" fontId="30" fillId="8" borderId="8" xfId="27" applyFont="1" applyFill="1" applyBorder="1" applyAlignment="1">
      <alignment horizontal="center" vertical="center"/>
    </xf>
    <xf numFmtId="0" fontId="30" fillId="0" borderId="63" xfId="27" applyFont="1" applyBorder="1" applyAlignment="1">
      <alignment horizontal="left" vertical="center"/>
    </xf>
    <xf numFmtId="0" fontId="30" fillId="0" borderId="32" xfId="27" applyFont="1" applyBorder="1" applyAlignment="1">
      <alignment horizontal="left" vertical="center"/>
    </xf>
    <xf numFmtId="3" fontId="30" fillId="0" borderId="33" xfId="27" applyNumberFormat="1" applyFont="1" applyBorder="1" applyAlignment="1">
      <alignment horizontal="center" vertical="center"/>
    </xf>
    <xf numFmtId="0" fontId="30" fillId="8" borderId="24" xfId="27" applyFont="1" applyFill="1" applyBorder="1" applyAlignment="1">
      <alignment horizontal="center" vertical="center"/>
    </xf>
    <xf numFmtId="3" fontId="30" fillId="0" borderId="39" xfId="27" applyNumberFormat="1" applyFont="1" applyBorder="1" applyAlignment="1">
      <alignment horizontal="center" vertical="center"/>
    </xf>
    <xf numFmtId="3" fontId="30" fillId="0" borderId="64" xfId="27" applyNumberFormat="1" applyFont="1" applyBorder="1" applyAlignment="1">
      <alignment horizontal="center" vertical="center"/>
    </xf>
    <xf numFmtId="0" fontId="30" fillId="8" borderId="24" xfId="27" applyFont="1" applyFill="1" applyBorder="1" applyAlignment="1">
      <alignment horizontal="center" vertical="center" wrapText="1"/>
    </xf>
    <xf numFmtId="0" fontId="30" fillId="10" borderId="0" xfId="27" applyFont="1" applyFill="1" applyAlignment="1">
      <alignment horizontal="center" vertical="center"/>
    </xf>
    <xf numFmtId="0" fontId="32" fillId="10" borderId="0" xfId="27" applyFont="1" applyFill="1" applyAlignment="1">
      <alignment horizontal="center" vertical="center"/>
    </xf>
    <xf numFmtId="0" fontId="32" fillId="10" borderId="0" xfId="23" applyFont="1" applyFill="1" applyAlignment="1">
      <alignment horizontal="left" vertical="center" indent="1"/>
    </xf>
    <xf numFmtId="0" fontId="32" fillId="10" borderId="0" xfId="23" applyFont="1" applyFill="1" applyAlignment="1">
      <alignment horizontal="center" vertical="center"/>
    </xf>
    <xf numFmtId="179" fontId="32" fillId="10" borderId="0" xfId="23" applyNumberFormat="1" applyFont="1" applyFill="1" applyAlignment="1">
      <alignment horizontal="center" vertical="center"/>
    </xf>
    <xf numFmtId="0" fontId="33" fillId="10" borderId="0" xfId="27" applyFont="1" applyFill="1" applyAlignment="1">
      <alignment vertical="center"/>
    </xf>
    <xf numFmtId="0" fontId="40" fillId="10" borderId="0" xfId="27" applyFont="1" applyFill="1" applyAlignment="1">
      <alignment vertical="center"/>
    </xf>
    <xf numFmtId="0" fontId="32" fillId="10" borderId="0" xfId="23" applyFont="1" applyFill="1" applyAlignment="1">
      <alignment horizontal="left" vertical="center"/>
    </xf>
    <xf numFmtId="0" fontId="30" fillId="8" borderId="42" xfId="27" applyFont="1" applyFill="1" applyBorder="1" applyAlignment="1">
      <alignment horizontal="center" vertical="center"/>
    </xf>
    <xf numFmtId="0" fontId="34" fillId="10" borderId="0" xfId="23" applyFont="1" applyFill="1" applyAlignment="1">
      <alignment horizontal="left" vertical="center"/>
    </xf>
    <xf numFmtId="0" fontId="70" fillId="10" borderId="0" xfId="993" applyNumberFormat="1" applyFont="1" applyFill="1" applyAlignment="1">
      <alignment horizontal="center" vertical="center"/>
    </xf>
    <xf numFmtId="229" fontId="70" fillId="10" borderId="0" xfId="993" applyFont="1" applyFill="1" applyAlignment="1">
      <alignment horizontal="center" vertical="center"/>
    </xf>
    <xf numFmtId="229" fontId="70" fillId="10" borderId="0" xfId="993" applyFont="1" applyFill="1">
      <alignment vertical="center"/>
    </xf>
    <xf numFmtId="0" fontId="68" fillId="10" borderId="0" xfId="993" applyNumberFormat="1" applyFont="1" applyFill="1" applyAlignment="1">
      <alignment horizontal="left" vertical="center"/>
    </xf>
    <xf numFmtId="229" fontId="72" fillId="10" borderId="0" xfId="993" applyFont="1" applyFill="1" applyAlignment="1">
      <alignment horizontal="center" vertical="center"/>
    </xf>
    <xf numFmtId="229" fontId="72" fillId="10" borderId="0" xfId="993" applyFont="1" applyFill="1">
      <alignment vertical="center"/>
    </xf>
    <xf numFmtId="0" fontId="69" fillId="10" borderId="0" xfId="993" applyNumberFormat="1" applyFont="1" applyFill="1" applyAlignment="1">
      <alignment horizontal="center" vertical="center"/>
    </xf>
    <xf numFmtId="229" fontId="69" fillId="10" borderId="0" xfId="993" applyFont="1" applyFill="1" applyAlignment="1">
      <alignment horizontal="center" vertical="center"/>
    </xf>
    <xf numFmtId="0" fontId="68" fillId="10" borderId="0" xfId="994" applyFont="1" applyFill="1" applyAlignment="1">
      <alignment horizontal="left" vertical="center"/>
    </xf>
    <xf numFmtId="0" fontId="74" fillId="10" borderId="0" xfId="994" applyFont="1" applyFill="1">
      <alignment vertical="center"/>
    </xf>
    <xf numFmtId="0" fontId="69" fillId="10" borderId="0" xfId="994" applyFont="1" applyFill="1">
      <alignment vertical="center"/>
    </xf>
    <xf numFmtId="0" fontId="75" fillId="10" borderId="0" xfId="994" applyFont="1" applyFill="1">
      <alignment vertical="center"/>
    </xf>
    <xf numFmtId="0" fontId="76" fillId="16" borderId="66" xfId="994" applyFont="1" applyFill="1" applyBorder="1" applyAlignment="1">
      <alignment horizontal="center" vertical="center"/>
    </xf>
    <xf numFmtId="0" fontId="76" fillId="16" borderId="67" xfId="994" applyFont="1" applyFill="1" applyBorder="1" applyAlignment="1">
      <alignment horizontal="center" vertical="center"/>
    </xf>
    <xf numFmtId="0" fontId="76" fillId="16" borderId="68" xfId="994" applyFont="1" applyFill="1" applyBorder="1" applyAlignment="1">
      <alignment horizontal="center" vertical="center"/>
    </xf>
    <xf numFmtId="0" fontId="70" fillId="10" borderId="69" xfId="994" applyFont="1" applyFill="1" applyBorder="1" applyAlignment="1">
      <alignment horizontal="center" vertical="center" wrapText="1"/>
    </xf>
    <xf numFmtId="0" fontId="70" fillId="10" borderId="65" xfId="994" applyFont="1" applyFill="1" applyBorder="1" applyAlignment="1">
      <alignment horizontal="center" vertical="center"/>
    </xf>
    <xf numFmtId="41" fontId="70" fillId="10" borderId="65" xfId="995" applyFont="1" applyFill="1" applyBorder="1">
      <alignment vertical="center"/>
    </xf>
    <xf numFmtId="41" fontId="70" fillId="10" borderId="70" xfId="994" applyNumberFormat="1" applyFont="1" applyFill="1" applyBorder="1">
      <alignment vertical="center"/>
    </xf>
    <xf numFmtId="0" fontId="77" fillId="10" borderId="69" xfId="996" applyFont="1" applyFill="1" applyBorder="1" applyAlignment="1">
      <alignment horizontal="center" vertical="center"/>
    </xf>
    <xf numFmtId="41" fontId="77" fillId="10" borderId="65" xfId="997" applyFont="1" applyFill="1" applyBorder="1">
      <alignment vertical="center"/>
    </xf>
    <xf numFmtId="41" fontId="77" fillId="10" borderId="70" xfId="997" applyFont="1" applyFill="1" applyBorder="1">
      <alignment vertical="center"/>
    </xf>
    <xf numFmtId="0" fontId="77" fillId="10" borderId="69" xfId="996" applyFont="1" applyFill="1" applyBorder="1" applyAlignment="1">
      <alignment horizontal="center" vertical="center" wrapText="1"/>
    </xf>
    <xf numFmtId="0" fontId="70" fillId="8" borderId="71" xfId="994" applyFont="1" applyFill="1" applyBorder="1" applyAlignment="1">
      <alignment horizontal="center" vertical="center"/>
    </xf>
    <xf numFmtId="0" fontId="70" fillId="8" borderId="72" xfId="994" applyFont="1" applyFill="1" applyBorder="1">
      <alignment vertical="center"/>
    </xf>
    <xf numFmtId="41" fontId="71" fillId="8" borderId="73" xfId="994" applyNumberFormat="1" applyFont="1" applyFill="1" applyBorder="1">
      <alignment vertical="center"/>
    </xf>
    <xf numFmtId="41" fontId="77" fillId="0" borderId="65" xfId="997" applyFont="1" applyBorder="1">
      <alignment vertical="center"/>
    </xf>
    <xf numFmtId="0" fontId="77" fillId="10" borderId="0" xfId="996" applyFont="1" applyFill="1">
      <alignment vertical="center"/>
    </xf>
    <xf numFmtId="0" fontId="69" fillId="10" borderId="0" xfId="996" applyFont="1" applyFill="1">
      <alignment vertical="center"/>
    </xf>
    <xf numFmtId="0" fontId="77" fillId="8" borderId="74" xfId="996" applyFont="1" applyFill="1" applyBorder="1" applyAlignment="1">
      <alignment horizontal="center" vertical="center"/>
    </xf>
    <xf numFmtId="41" fontId="77" fillId="8" borderId="75" xfId="997" applyFont="1" applyFill="1" applyBorder="1">
      <alignment vertical="center"/>
    </xf>
    <xf numFmtId="41" fontId="78" fillId="8" borderId="76" xfId="997" applyFont="1" applyFill="1" applyBorder="1">
      <alignment vertical="center"/>
    </xf>
    <xf numFmtId="0" fontId="69" fillId="10" borderId="0" xfId="996" applyFont="1" applyFill="1" applyAlignment="1">
      <alignment horizontal="right" vertical="center"/>
    </xf>
    <xf numFmtId="0" fontId="81" fillId="0" borderId="0" xfId="30" applyFont="1" applyAlignment="1">
      <alignment vertical="center"/>
    </xf>
    <xf numFmtId="0" fontId="83" fillId="0" borderId="0" xfId="30" applyFont="1" applyAlignment="1">
      <alignment vertical="center"/>
    </xf>
    <xf numFmtId="0" fontId="81" fillId="0" borderId="0" xfId="25" applyFont="1" applyAlignment="1">
      <alignment vertical="center"/>
    </xf>
    <xf numFmtId="0" fontId="84" fillId="0" borderId="0" xfId="30" applyFont="1" applyAlignment="1">
      <alignment vertical="center"/>
    </xf>
    <xf numFmtId="0" fontId="70" fillId="0" borderId="0" xfId="0" applyFont="1" applyAlignment="1">
      <alignment horizontal="right"/>
    </xf>
    <xf numFmtId="0" fontId="81" fillId="0" borderId="0" xfId="30" applyFont="1"/>
    <xf numFmtId="0" fontId="85" fillId="0" borderId="14" xfId="0" applyFont="1" applyBorder="1" applyAlignment="1">
      <alignment horizontal="right"/>
    </xf>
    <xf numFmtId="0" fontId="86" fillId="4" borderId="6" xfId="30" applyFont="1" applyFill="1" applyBorder="1" applyAlignment="1">
      <alignment horizontal="center" vertical="center"/>
    </xf>
    <xf numFmtId="0" fontId="86" fillId="4" borderId="7" xfId="30" applyFont="1" applyFill="1" applyBorder="1" applyAlignment="1">
      <alignment horizontal="center" vertical="center"/>
    </xf>
    <xf numFmtId="0" fontId="86" fillId="4" borderId="8" xfId="30" applyFont="1" applyFill="1" applyBorder="1" applyAlignment="1">
      <alignment horizontal="center" vertical="center"/>
    </xf>
    <xf numFmtId="0" fontId="81" fillId="0" borderId="0" xfId="30" applyFont="1" applyAlignment="1">
      <alignment horizontal="center" vertical="center"/>
    </xf>
    <xf numFmtId="0" fontId="81" fillId="0" borderId="36" xfId="30" applyFont="1" applyBorder="1" applyAlignment="1">
      <alignment horizontal="left" vertical="center" indent="1"/>
    </xf>
    <xf numFmtId="177" fontId="81" fillId="0" borderId="36" xfId="13" quotePrefix="1" applyFont="1" applyBorder="1" applyAlignment="1">
      <alignment vertical="center"/>
    </xf>
    <xf numFmtId="177" fontId="81" fillId="0" borderId="36" xfId="13" applyFont="1" applyBorder="1" applyAlignment="1">
      <alignment vertical="center"/>
    </xf>
    <xf numFmtId="0" fontId="86" fillId="0" borderId="9" xfId="30" applyFont="1" applyBorder="1" applyAlignment="1">
      <alignment horizontal="center" vertical="center"/>
    </xf>
    <xf numFmtId="176" fontId="81" fillId="0" borderId="0" xfId="30" applyNumberFormat="1" applyFont="1" applyAlignment="1">
      <alignment horizontal="center" vertical="center"/>
    </xf>
    <xf numFmtId="2" fontId="81" fillId="0" borderId="0" xfId="30" applyNumberFormat="1" applyFont="1" applyAlignment="1">
      <alignment vertical="center"/>
    </xf>
    <xf numFmtId="178" fontId="81" fillId="0" borderId="0" xfId="30" applyNumberFormat="1" applyFont="1" applyAlignment="1">
      <alignment vertical="center"/>
    </xf>
    <xf numFmtId="177" fontId="81" fillId="0" borderId="0" xfId="13" applyFont="1" applyAlignment="1">
      <alignment vertical="center"/>
    </xf>
    <xf numFmtId="0" fontId="81" fillId="0" borderId="19" xfId="30" applyFont="1" applyBorder="1" applyAlignment="1">
      <alignment horizontal="left" vertical="center" indent="1"/>
    </xf>
    <xf numFmtId="177" fontId="81" fillId="0" borderId="19" xfId="13" quotePrefix="1" applyFont="1" applyBorder="1" applyAlignment="1">
      <alignment vertical="center"/>
    </xf>
    <xf numFmtId="177" fontId="81" fillId="0" borderId="19" xfId="13" applyFont="1" applyBorder="1" applyAlignment="1">
      <alignment vertical="center"/>
    </xf>
    <xf numFmtId="176" fontId="81" fillId="0" borderId="9" xfId="30" applyNumberFormat="1" applyFont="1" applyBorder="1" applyAlignment="1">
      <alignment vertical="center"/>
    </xf>
    <xf numFmtId="176" fontId="86" fillId="0" borderId="0" xfId="30" applyNumberFormat="1" applyFont="1" applyAlignment="1">
      <alignment vertical="center"/>
    </xf>
    <xf numFmtId="0" fontId="81" fillId="0" borderId="35" xfId="30" applyFont="1" applyBorder="1" applyAlignment="1">
      <alignment horizontal="center" vertical="center"/>
    </xf>
    <xf numFmtId="0" fontId="81" fillId="6" borderId="20" xfId="30" applyFont="1" applyFill="1" applyBorder="1" applyAlignment="1">
      <alignment horizontal="center" vertical="center"/>
    </xf>
    <xf numFmtId="177" fontId="81" fillId="6" borderId="4" xfId="13" applyFont="1" applyFill="1" applyBorder="1" applyAlignment="1">
      <alignment horizontal="right" vertical="center"/>
    </xf>
    <xf numFmtId="176" fontId="81" fillId="0" borderId="30" xfId="30" applyNumberFormat="1" applyFont="1" applyBorder="1" applyAlignment="1">
      <alignment vertical="center"/>
    </xf>
    <xf numFmtId="176" fontId="81" fillId="0" borderId="0" xfId="30" applyNumberFormat="1" applyFont="1" applyAlignment="1">
      <alignment vertical="center"/>
    </xf>
    <xf numFmtId="0" fontId="81" fillId="0" borderId="11" xfId="30" applyFont="1" applyBorder="1" applyAlignment="1">
      <alignment vertical="center"/>
    </xf>
    <xf numFmtId="177" fontId="81" fillId="0" borderId="11" xfId="13" applyFont="1" applyBorder="1" applyAlignment="1">
      <alignment horizontal="right" vertical="center"/>
    </xf>
    <xf numFmtId="176" fontId="81" fillId="0" borderId="9" xfId="30" quotePrefix="1" applyNumberFormat="1" applyFont="1" applyBorder="1" applyAlignment="1">
      <alignment vertical="center"/>
    </xf>
    <xf numFmtId="177" fontId="81" fillId="0" borderId="0" xfId="30" applyNumberFormat="1" applyFont="1" applyAlignment="1">
      <alignment vertical="center"/>
    </xf>
    <xf numFmtId="0" fontId="85" fillId="0" borderId="11" xfId="30" applyFont="1" applyBorder="1" applyAlignment="1">
      <alignment horizontal="right" vertical="center"/>
    </xf>
    <xf numFmtId="176" fontId="87" fillId="0" borderId="9" xfId="30" applyNumberFormat="1" applyFont="1" applyBorder="1" applyAlignment="1">
      <alignment vertical="center"/>
    </xf>
    <xf numFmtId="0" fontId="81" fillId="0" borderId="10" xfId="30" applyFont="1" applyBorder="1" applyAlignment="1">
      <alignment vertical="center"/>
    </xf>
    <xf numFmtId="0" fontId="81" fillId="0" borderId="11" xfId="30" applyFont="1" applyBorder="1" applyAlignment="1">
      <alignment horizontal="center" vertical="center"/>
    </xf>
    <xf numFmtId="176" fontId="88" fillId="0" borderId="9" xfId="30" applyNumberFormat="1" applyFont="1" applyBorder="1" applyAlignment="1">
      <alignment horizontal="left" vertical="center"/>
    </xf>
    <xf numFmtId="0" fontId="86" fillId="0" borderId="10" xfId="30" applyFont="1" applyBorder="1" applyAlignment="1">
      <alignment horizontal="center" vertical="center"/>
    </xf>
    <xf numFmtId="0" fontId="81" fillId="0" borderId="31" xfId="30" applyFont="1" applyBorder="1" applyAlignment="1">
      <alignment horizontal="center" vertical="center"/>
    </xf>
    <xf numFmtId="177" fontId="81" fillId="6" borderId="36" xfId="13" applyFont="1" applyFill="1" applyBorder="1" applyAlignment="1">
      <alignment horizontal="right" vertical="center"/>
    </xf>
    <xf numFmtId="0" fontId="86" fillId="4" borderId="32" xfId="30" applyFont="1" applyFill="1" applyBorder="1" applyAlignment="1">
      <alignment horizontal="center" vertical="center"/>
    </xf>
    <xf numFmtId="0" fontId="86" fillId="4" borderId="33" xfId="30" applyFont="1" applyFill="1" applyBorder="1" applyAlignment="1">
      <alignment horizontal="center" vertical="center"/>
    </xf>
    <xf numFmtId="177" fontId="86" fillId="4" borderId="33" xfId="13" applyFont="1" applyFill="1" applyBorder="1" applyAlignment="1">
      <alignment horizontal="right" vertical="center"/>
    </xf>
    <xf numFmtId="176" fontId="88" fillId="4" borderId="34" xfId="30" applyNumberFormat="1" applyFont="1" applyFill="1" applyBorder="1" applyAlignment="1">
      <alignment horizontal="left" vertical="center"/>
    </xf>
    <xf numFmtId="43" fontId="81" fillId="0" borderId="0" xfId="30" applyNumberFormat="1" applyFont="1" applyAlignment="1">
      <alignment vertical="center"/>
    </xf>
    <xf numFmtId="0" fontId="81" fillId="0" borderId="0" xfId="23" applyFont="1"/>
    <xf numFmtId="0" fontId="81" fillId="0" borderId="0" xfId="23" applyFont="1" applyAlignment="1">
      <alignment horizontal="center"/>
    </xf>
    <xf numFmtId="0" fontId="81" fillId="0" borderId="0" xfId="23" applyFont="1" applyAlignment="1">
      <alignment vertical="center"/>
    </xf>
    <xf numFmtId="0" fontId="89" fillId="0" borderId="0" xfId="23" applyFont="1" applyAlignment="1">
      <alignment horizontal="center" vertical="center"/>
    </xf>
    <xf numFmtId="0" fontId="81" fillId="0" borderId="0" xfId="23" applyFont="1" applyAlignment="1">
      <alignment horizontal="center" vertical="center"/>
    </xf>
    <xf numFmtId="3" fontId="81" fillId="0" borderId="0" xfId="23" applyNumberFormat="1" applyFont="1" applyAlignment="1">
      <alignment vertical="center"/>
    </xf>
    <xf numFmtId="0" fontId="85" fillId="0" borderId="0" xfId="23" applyFont="1" applyAlignment="1">
      <alignment horizontal="right"/>
    </xf>
    <xf numFmtId="0" fontId="85" fillId="0" borderId="0" xfId="23" applyFont="1" applyAlignment="1">
      <alignment vertical="center"/>
    </xf>
    <xf numFmtId="3" fontId="90" fillId="4" borderId="19" xfId="23" applyNumberFormat="1" applyFont="1" applyFill="1" applyBorder="1" applyAlignment="1">
      <alignment horizontal="center" vertical="center"/>
    </xf>
    <xf numFmtId="0" fontId="90" fillId="4" borderId="4" xfId="23" applyFont="1" applyFill="1" applyBorder="1" applyAlignment="1">
      <alignment horizontal="center" vertical="center"/>
    </xf>
    <xf numFmtId="0" fontId="85" fillId="0" borderId="0" xfId="23" applyFont="1" applyAlignment="1">
      <alignment horizontal="center" vertical="center"/>
    </xf>
    <xf numFmtId="0" fontId="91" fillId="0" borderId="10" xfId="23" applyFont="1" applyBorder="1" applyAlignment="1">
      <alignment horizontal="center" vertical="center"/>
    </xf>
    <xf numFmtId="0" fontId="91" fillId="0" borderId="22" xfId="23" applyFont="1" applyBorder="1" applyAlignment="1">
      <alignment horizontal="left" vertical="center" indent="1"/>
    </xf>
    <xf numFmtId="0" fontId="91" fillId="0" borderId="21" xfId="23" applyFont="1" applyBorder="1" applyAlignment="1">
      <alignment horizontal="center" vertical="center"/>
    </xf>
    <xf numFmtId="179" fontId="91" fillId="0" borderId="11" xfId="23" applyNumberFormat="1" applyFont="1" applyBorder="1" applyAlignment="1">
      <alignment horizontal="center" vertical="center"/>
    </xf>
    <xf numFmtId="177" fontId="91" fillId="0" borderId="11" xfId="13" applyFont="1" applyBorder="1" applyAlignment="1">
      <alignment horizontal="right" vertical="center"/>
    </xf>
    <xf numFmtId="0" fontId="92" fillId="0" borderId="9" xfId="23" applyFont="1" applyBorder="1" applyAlignment="1">
      <alignment horizontal="left" vertical="center"/>
    </xf>
    <xf numFmtId="0" fontId="93" fillId="0" borderId="35" xfId="23" applyFont="1" applyBorder="1" applyAlignment="1">
      <alignment horizontal="center" vertical="center"/>
    </xf>
    <xf numFmtId="0" fontId="93" fillId="6" borderId="20" xfId="23" applyFont="1" applyFill="1" applyBorder="1" applyAlignment="1">
      <alignment horizontal="left" vertical="center" indent="1"/>
    </xf>
    <xf numFmtId="0" fontId="93" fillId="6" borderId="4" xfId="23" applyFont="1" applyFill="1" applyBorder="1" applyAlignment="1">
      <alignment horizontal="center" vertical="center"/>
    </xf>
    <xf numFmtId="179" fontId="93" fillId="6" borderId="4" xfId="23" applyNumberFormat="1" applyFont="1" applyFill="1" applyBorder="1" applyAlignment="1">
      <alignment horizontal="center" vertical="center"/>
    </xf>
    <xf numFmtId="177" fontId="93" fillId="6" borderId="4" xfId="13" applyFont="1" applyFill="1" applyBorder="1" applyAlignment="1">
      <alignment horizontal="right" vertical="center"/>
    </xf>
    <xf numFmtId="0" fontId="94" fillId="6" borderId="30" xfId="23" applyFont="1" applyFill="1" applyBorder="1" applyAlignment="1">
      <alignment horizontal="left" vertical="center"/>
    </xf>
    <xf numFmtId="0" fontId="90" fillId="0" borderId="0" xfId="23" applyFont="1" applyAlignment="1">
      <alignment vertical="center"/>
    </xf>
    <xf numFmtId="0" fontId="91" fillId="0" borderId="11" xfId="23" applyFont="1" applyBorder="1" applyAlignment="1">
      <alignment horizontal="left" vertical="center" indent="1"/>
    </xf>
    <xf numFmtId="0" fontId="91" fillId="0" borderId="11" xfId="22" applyFont="1" applyBorder="1" applyAlignment="1">
      <alignment horizontal="center" vertical="center"/>
    </xf>
    <xf numFmtId="9" fontId="91" fillId="0" borderId="11" xfId="22" applyNumberFormat="1" applyFont="1" applyBorder="1" applyAlignment="1">
      <alignment horizontal="center" vertical="center"/>
    </xf>
    <xf numFmtId="41" fontId="91" fillId="0" borderId="11" xfId="12" applyFont="1" applyBorder="1" applyAlignment="1">
      <alignment horizontal="right" vertical="center"/>
    </xf>
    <xf numFmtId="0" fontId="91" fillId="0" borderId="9" xfId="23" applyFont="1" applyBorder="1" applyAlignment="1">
      <alignment horizontal="left" vertical="center"/>
    </xf>
    <xf numFmtId="0" fontId="95" fillId="0" borderId="9" xfId="23" applyFont="1" applyBorder="1" applyAlignment="1">
      <alignment horizontal="left" vertical="center"/>
    </xf>
    <xf numFmtId="0" fontId="91" fillId="0" borderId="21" xfId="23" applyFont="1" applyBorder="1" applyAlignment="1">
      <alignment horizontal="left" vertical="center" indent="1"/>
    </xf>
    <xf numFmtId="0" fontId="93" fillId="4" borderId="61" xfId="23" applyFont="1" applyFill="1" applyBorder="1" applyAlignment="1">
      <alignment horizontal="center" vertical="center"/>
    </xf>
    <xf numFmtId="0" fontId="93" fillId="4" borderId="62" xfId="23" applyFont="1" applyFill="1" applyBorder="1" applyAlignment="1">
      <alignment horizontal="center" vertical="center"/>
    </xf>
    <xf numFmtId="0" fontId="93" fillId="4" borderId="28" xfId="23" applyFont="1" applyFill="1" applyBorder="1" applyAlignment="1">
      <alignment horizontal="center" vertical="center"/>
    </xf>
    <xf numFmtId="0" fontId="93" fillId="4" borderId="28" xfId="23" applyFont="1" applyFill="1" applyBorder="1" applyAlignment="1">
      <alignment vertical="center"/>
    </xf>
    <xf numFmtId="180" fontId="93" fillId="4" borderId="28" xfId="23" applyNumberFormat="1" applyFont="1" applyFill="1" applyBorder="1" applyAlignment="1">
      <alignment horizontal="right" vertical="center"/>
    </xf>
    <xf numFmtId="0" fontId="93" fillId="4" borderId="29" xfId="23" applyFont="1" applyFill="1" applyBorder="1" applyAlignment="1">
      <alignment vertical="center"/>
    </xf>
    <xf numFmtId="0" fontId="86" fillId="0" borderId="0" xfId="23" applyFont="1" applyAlignment="1">
      <alignment vertical="center"/>
    </xf>
    <xf numFmtId="222" fontId="81" fillId="0" borderId="0" xfId="23" applyNumberFormat="1" applyFont="1" applyAlignment="1">
      <alignment horizontal="right"/>
    </xf>
    <xf numFmtId="230" fontId="81" fillId="0" borderId="0" xfId="23" applyNumberFormat="1" applyFont="1"/>
    <xf numFmtId="230" fontId="81" fillId="0" borderId="0" xfId="23" applyNumberFormat="1" applyFont="1" applyAlignment="1">
      <alignment vertical="center"/>
    </xf>
    <xf numFmtId="222" fontId="89" fillId="0" borderId="0" xfId="23" applyNumberFormat="1" applyFont="1" applyAlignment="1">
      <alignment horizontal="center" vertical="center"/>
    </xf>
    <xf numFmtId="222" fontId="81" fillId="0" borderId="0" xfId="23" applyNumberFormat="1" applyFont="1" applyAlignment="1">
      <alignment horizontal="right" vertical="center"/>
    </xf>
    <xf numFmtId="230" fontId="85" fillId="0" borderId="0" xfId="23" applyNumberFormat="1" applyFont="1" applyAlignment="1">
      <alignment vertical="center"/>
    </xf>
    <xf numFmtId="3" fontId="90" fillId="4" borderId="17" xfId="23" applyNumberFormat="1" applyFont="1" applyFill="1" applyBorder="1" applyAlignment="1">
      <alignment horizontal="center" vertical="center"/>
    </xf>
    <xf numFmtId="0" fontId="90" fillId="4" borderId="18" xfId="23" applyFont="1" applyFill="1" applyBorder="1" applyAlignment="1">
      <alignment horizontal="center" vertical="center"/>
    </xf>
    <xf numFmtId="222" fontId="90" fillId="4" borderId="19" xfId="23" applyNumberFormat="1" applyFont="1" applyFill="1" applyBorder="1" applyAlignment="1">
      <alignment horizontal="center" vertical="center"/>
    </xf>
    <xf numFmtId="0" fontId="90" fillId="4" borderId="17" xfId="23" applyFont="1" applyFill="1" applyBorder="1" applyAlignment="1">
      <alignment horizontal="center" vertical="center"/>
    </xf>
    <xf numFmtId="0" fontId="90" fillId="4" borderId="20" xfId="23" applyFont="1" applyFill="1" applyBorder="1" applyAlignment="1">
      <alignment horizontal="center" vertical="center"/>
    </xf>
    <xf numFmtId="230" fontId="85" fillId="0" borderId="0" xfId="23" applyNumberFormat="1" applyFont="1" applyAlignment="1">
      <alignment horizontal="center" vertical="center"/>
    </xf>
    <xf numFmtId="0" fontId="93" fillId="0" borderId="37" xfId="23" applyFont="1" applyBorder="1" applyAlignment="1">
      <alignment horizontal="left" vertical="center"/>
    </xf>
    <xf numFmtId="0" fontId="91" fillId="0" borderId="0" xfId="23" applyFont="1" applyAlignment="1">
      <alignment horizontal="left" vertical="center"/>
    </xf>
    <xf numFmtId="179" fontId="91" fillId="0" borderId="21" xfId="23" applyNumberFormat="1" applyFont="1" applyBorder="1" applyAlignment="1">
      <alignment horizontal="center" vertical="center"/>
    </xf>
    <xf numFmtId="180" fontId="91" fillId="0" borderId="22" xfId="23" applyNumberFormat="1" applyFont="1" applyBorder="1" applyAlignment="1">
      <alignment horizontal="right" vertical="center"/>
    </xf>
    <xf numFmtId="41" fontId="91" fillId="0" borderId="22" xfId="23" applyNumberFormat="1" applyFont="1" applyBorder="1" applyAlignment="1">
      <alignment horizontal="right" vertical="center"/>
    </xf>
    <xf numFmtId="222" fontId="91" fillId="0" borderId="11" xfId="23" applyNumberFormat="1" applyFont="1" applyBorder="1" applyAlignment="1">
      <alignment horizontal="center" vertical="center"/>
    </xf>
    <xf numFmtId="180" fontId="91" fillId="0" borderId="21" xfId="23" applyNumberFormat="1" applyFont="1" applyBorder="1" applyAlignment="1">
      <alignment horizontal="right" vertical="center"/>
    </xf>
    <xf numFmtId="41" fontId="91" fillId="0" borderId="11" xfId="23" applyNumberFormat="1" applyFont="1" applyBorder="1" applyAlignment="1">
      <alignment horizontal="right" vertical="center"/>
    </xf>
    <xf numFmtId="176" fontId="92" fillId="0" borderId="9" xfId="29" applyNumberFormat="1" applyFont="1" applyBorder="1" applyAlignment="1">
      <alignment horizontal="left" vertical="center"/>
    </xf>
    <xf numFmtId="0" fontId="93" fillId="0" borderId="10" xfId="23" applyFont="1" applyBorder="1" applyAlignment="1">
      <alignment horizontal="left" vertical="center"/>
    </xf>
    <xf numFmtId="0" fontId="91" fillId="0" borderId="11" xfId="23" applyFont="1" applyBorder="1" applyAlignment="1">
      <alignment horizontal="left" vertical="center"/>
    </xf>
    <xf numFmtId="0" fontId="91" fillId="0" borderId="21" xfId="23" applyFont="1" applyBorder="1" applyAlignment="1">
      <alignment horizontal="left" vertical="center"/>
    </xf>
    <xf numFmtId="180" fontId="91" fillId="0" borderId="0" xfId="23" applyNumberFormat="1" applyFont="1" applyAlignment="1">
      <alignment horizontal="right" vertical="center"/>
    </xf>
    <xf numFmtId="230" fontId="85" fillId="12" borderId="0" xfId="23" applyNumberFormat="1" applyFont="1" applyFill="1" applyAlignment="1">
      <alignment vertical="center"/>
    </xf>
    <xf numFmtId="41" fontId="85" fillId="0" borderId="0" xfId="23" applyNumberFormat="1" applyFont="1" applyAlignment="1">
      <alignment vertical="center"/>
    </xf>
    <xf numFmtId="230" fontId="85" fillId="14" borderId="0" xfId="23" applyNumberFormat="1" applyFont="1" applyFill="1" applyAlignment="1">
      <alignment vertical="center"/>
    </xf>
    <xf numFmtId="0" fontId="93" fillId="0" borderId="50" xfId="23" applyFont="1" applyBorder="1" applyAlignment="1">
      <alignment horizontal="center" vertical="center"/>
    </xf>
    <xf numFmtId="0" fontId="93" fillId="0" borderId="38" xfId="23" applyFont="1" applyBorder="1" applyAlignment="1">
      <alignment horizontal="left" vertical="center" indent="1"/>
    </xf>
    <xf numFmtId="0" fontId="93" fillId="6" borderId="20" xfId="23" applyFont="1" applyFill="1" applyBorder="1" applyAlignment="1">
      <alignment horizontal="center" vertical="center"/>
    </xf>
    <xf numFmtId="179" fontId="93" fillId="6" borderId="20" xfId="23" applyNumberFormat="1" applyFont="1" applyFill="1" applyBorder="1" applyAlignment="1">
      <alignment horizontal="center" vertical="center"/>
    </xf>
    <xf numFmtId="180" fontId="93" fillId="6" borderId="3" xfId="23" applyNumberFormat="1" applyFont="1" applyFill="1" applyBorder="1" applyAlignment="1">
      <alignment horizontal="right" vertical="center"/>
    </xf>
    <xf numFmtId="41" fontId="93" fillId="6" borderId="39" xfId="23" applyNumberFormat="1" applyFont="1" applyFill="1" applyBorder="1" applyAlignment="1">
      <alignment horizontal="right" vertical="center"/>
    </xf>
    <xf numFmtId="222" fontId="93" fillId="6" borderId="4" xfId="23" applyNumberFormat="1" applyFont="1" applyFill="1" applyBorder="1" applyAlignment="1">
      <alignment horizontal="center" vertical="center"/>
    </xf>
    <xf numFmtId="180" fontId="93" fillId="6" borderId="20" xfId="23" applyNumberFormat="1" applyFont="1" applyFill="1" applyBorder="1" applyAlignment="1">
      <alignment horizontal="right" vertical="center"/>
    </xf>
    <xf numFmtId="41" fontId="93" fillId="6" borderId="4" xfId="23" applyNumberFormat="1" applyFont="1" applyFill="1" applyBorder="1" applyAlignment="1">
      <alignment horizontal="right" vertical="center"/>
    </xf>
    <xf numFmtId="176" fontId="93" fillId="0" borderId="30" xfId="29" applyNumberFormat="1" applyFont="1" applyBorder="1" applyAlignment="1">
      <alignment horizontal="left" vertical="center"/>
    </xf>
    <xf numFmtId="230" fontId="90" fillId="0" borderId="0" xfId="23" applyNumberFormat="1" applyFont="1" applyAlignment="1">
      <alignment vertical="center"/>
    </xf>
    <xf numFmtId="0" fontId="93" fillId="10" borderId="21" xfId="23" applyFont="1" applyFill="1" applyBorder="1" applyAlignment="1">
      <alignment horizontal="center" vertical="center"/>
    </xf>
    <xf numFmtId="0" fontId="91" fillId="10" borderId="21" xfId="23" applyFont="1" applyFill="1" applyBorder="1" applyAlignment="1">
      <alignment horizontal="center" vertical="center"/>
    </xf>
    <xf numFmtId="179" fontId="91" fillId="10" borderId="21" xfId="23" applyNumberFormat="1" applyFont="1" applyFill="1" applyBorder="1" applyAlignment="1">
      <alignment horizontal="center" vertical="center"/>
    </xf>
    <xf numFmtId="180" fontId="93" fillId="10" borderId="0" xfId="23" applyNumberFormat="1" applyFont="1" applyFill="1" applyAlignment="1">
      <alignment horizontal="right" vertical="center"/>
    </xf>
    <xf numFmtId="41" fontId="93" fillId="10" borderId="22" xfId="23" applyNumberFormat="1" applyFont="1" applyFill="1" applyBorder="1" applyAlignment="1">
      <alignment horizontal="right" vertical="center"/>
    </xf>
    <xf numFmtId="222" fontId="93" fillId="10" borderId="11" xfId="23" applyNumberFormat="1" applyFont="1" applyFill="1" applyBorder="1" applyAlignment="1">
      <alignment horizontal="center" vertical="center"/>
    </xf>
    <xf numFmtId="180" fontId="93" fillId="10" borderId="21" xfId="23" applyNumberFormat="1" applyFont="1" applyFill="1" applyBorder="1" applyAlignment="1">
      <alignment horizontal="right" vertical="center"/>
    </xf>
    <xf numFmtId="41" fontId="93" fillId="10" borderId="11" xfId="23" applyNumberFormat="1" applyFont="1" applyFill="1" applyBorder="1" applyAlignment="1">
      <alignment horizontal="right" vertical="center"/>
    </xf>
    <xf numFmtId="176" fontId="93" fillId="0" borderId="9" xfId="29" applyNumberFormat="1" applyFont="1" applyBorder="1" applyAlignment="1">
      <alignment horizontal="left" vertical="center"/>
    </xf>
    <xf numFmtId="49" fontId="85" fillId="0" borderId="11" xfId="21" applyNumberFormat="1" applyFont="1" applyBorder="1" applyAlignment="1">
      <alignment horizontal="left" vertical="center"/>
    </xf>
    <xf numFmtId="0" fontId="85" fillId="0" borderId="11" xfId="21" applyFont="1" applyBorder="1" applyAlignment="1">
      <alignment horizontal="center" vertical="center"/>
    </xf>
    <xf numFmtId="49" fontId="85" fillId="0" borderId="0" xfId="23" applyNumberFormat="1" applyFont="1" applyAlignment="1">
      <alignment vertical="center"/>
    </xf>
    <xf numFmtId="0" fontId="85" fillId="0" borderId="21" xfId="21" applyFont="1" applyBorder="1" applyAlignment="1">
      <alignment horizontal="center" vertical="center"/>
    </xf>
    <xf numFmtId="230" fontId="85" fillId="13" borderId="0" xfId="23" applyNumberFormat="1" applyFont="1" applyFill="1" applyAlignment="1">
      <alignment vertical="center"/>
    </xf>
    <xf numFmtId="230" fontId="85" fillId="15" borderId="0" xfId="23" applyNumberFormat="1" applyFont="1" applyFill="1" applyAlignment="1">
      <alignment vertical="center"/>
    </xf>
    <xf numFmtId="41" fontId="93" fillId="7" borderId="33" xfId="12" applyFont="1" applyFill="1" applyBorder="1" applyAlignment="1">
      <alignment horizontal="center" vertical="center"/>
    </xf>
    <xf numFmtId="41" fontId="93" fillId="7" borderId="33" xfId="12" quotePrefix="1" applyFont="1" applyFill="1" applyBorder="1" applyAlignment="1">
      <alignment horizontal="right" vertical="center"/>
    </xf>
    <xf numFmtId="41" fontId="93" fillId="7" borderId="33" xfId="12" applyFont="1" applyFill="1" applyBorder="1" applyAlignment="1">
      <alignment horizontal="right" vertical="center"/>
    </xf>
    <xf numFmtId="222" fontId="93" fillId="7" borderId="33" xfId="12" quotePrefix="1" applyNumberFormat="1" applyFont="1" applyFill="1" applyBorder="1" applyAlignment="1">
      <alignment horizontal="center" vertical="center"/>
    </xf>
    <xf numFmtId="41" fontId="93" fillId="7" borderId="33" xfId="12" quotePrefix="1" applyFont="1" applyFill="1" applyBorder="1" applyAlignment="1">
      <alignment horizontal="center" vertical="center"/>
    </xf>
    <xf numFmtId="41" fontId="97" fillId="7" borderId="34" xfId="12" applyFont="1" applyFill="1" applyBorder="1" applyAlignment="1">
      <alignment horizontal="left" vertical="center"/>
    </xf>
    <xf numFmtId="41" fontId="90" fillId="0" borderId="0" xfId="12" applyFont="1">
      <alignment vertical="center"/>
    </xf>
    <xf numFmtId="230" fontId="90" fillId="0" borderId="0" xfId="12" applyNumberFormat="1" applyFont="1">
      <alignment vertical="center"/>
    </xf>
    <xf numFmtId="0" fontId="91" fillId="0" borderId="0" xfId="23" applyFont="1" applyAlignment="1">
      <alignment horizontal="center" vertical="center"/>
    </xf>
    <xf numFmtId="0" fontId="93" fillId="0" borderId="0" xfId="23" applyFont="1" applyAlignment="1">
      <alignment horizontal="center" vertical="center"/>
    </xf>
    <xf numFmtId="3" fontId="91" fillId="0" borderId="0" xfId="23" quotePrefix="1" applyNumberFormat="1" applyFont="1" applyAlignment="1">
      <alignment horizontal="right" vertical="center"/>
    </xf>
    <xf numFmtId="3" fontId="91" fillId="0" borderId="0" xfId="23" applyNumberFormat="1" applyFont="1" applyAlignment="1">
      <alignment horizontal="right" vertical="center"/>
    </xf>
    <xf numFmtId="222" fontId="91" fillId="0" borderId="0" xfId="23" quotePrefix="1" applyNumberFormat="1" applyFont="1" applyAlignment="1">
      <alignment horizontal="center" vertical="center"/>
    </xf>
    <xf numFmtId="0" fontId="91" fillId="0" borderId="0" xfId="23" quotePrefix="1" applyFont="1" applyAlignment="1">
      <alignment horizontal="center" vertical="center"/>
    </xf>
    <xf numFmtId="0" fontId="98" fillId="0" borderId="0" xfId="23" applyFont="1" applyAlignment="1">
      <alignment horizontal="left" vertical="center"/>
    </xf>
    <xf numFmtId="0" fontId="85" fillId="0" borderId="0" xfId="58" applyFont="1" applyAlignment="1">
      <alignment vertical="center"/>
    </xf>
    <xf numFmtId="0" fontId="90" fillId="10" borderId="0" xfId="58" applyFont="1" applyFill="1" applyAlignment="1">
      <alignment horizontal="center" vertical="center" wrapText="1"/>
    </xf>
    <xf numFmtId="41" fontId="90" fillId="10" borderId="0" xfId="885" applyFont="1" applyFill="1" applyAlignment="1">
      <alignment horizontal="right" vertical="center" wrapText="1"/>
    </xf>
    <xf numFmtId="0" fontId="85" fillId="10" borderId="0" xfId="58" applyFont="1" applyFill="1" applyAlignment="1">
      <alignment vertical="center"/>
    </xf>
    <xf numFmtId="0" fontId="100" fillId="0" borderId="0" xfId="58" applyFont="1" applyAlignment="1">
      <alignment vertical="center"/>
    </xf>
    <xf numFmtId="0" fontId="81" fillId="0" borderId="0" xfId="964" applyFont="1" applyAlignment="1">
      <alignment vertical="center"/>
    </xf>
    <xf numFmtId="41" fontId="85" fillId="0" borderId="0" xfId="885" applyFont="1" applyAlignment="1">
      <alignment vertical="center"/>
    </xf>
    <xf numFmtId="0" fontId="90" fillId="0" borderId="0" xfId="58" applyFont="1" applyAlignment="1">
      <alignment horizontal="right"/>
    </xf>
    <xf numFmtId="41" fontId="85" fillId="4" borderId="4" xfId="885" applyFont="1" applyFill="1" applyBorder="1" applyAlignment="1">
      <alignment horizontal="center" vertical="center" wrapText="1"/>
    </xf>
    <xf numFmtId="0" fontId="85" fillId="0" borderId="39" xfId="58" applyFont="1" applyBorder="1" applyAlignment="1">
      <alignment horizontal="center" vertical="center" wrapText="1"/>
    </xf>
    <xf numFmtId="41" fontId="85" fillId="0" borderId="4" xfId="58" applyNumberFormat="1" applyFont="1" applyBorder="1" applyAlignment="1">
      <alignment horizontal="center" vertical="center" wrapText="1"/>
    </xf>
    <xf numFmtId="221" fontId="85" fillId="0" borderId="4" xfId="885" applyNumberFormat="1" applyFont="1" applyBorder="1" applyAlignment="1">
      <alignment horizontal="right" vertical="center" wrapText="1"/>
    </xf>
    <xf numFmtId="41" fontId="85" fillId="0" borderId="4" xfId="885" applyFont="1" applyBorder="1" applyAlignment="1">
      <alignment horizontal="right" vertical="center" wrapText="1"/>
    </xf>
    <xf numFmtId="0" fontId="85" fillId="0" borderId="4" xfId="58" applyFont="1" applyBorder="1" applyAlignment="1">
      <alignment vertical="center"/>
    </xf>
    <xf numFmtId="0" fontId="90" fillId="9" borderId="39" xfId="58" applyFont="1" applyFill="1" applyBorder="1" applyAlignment="1">
      <alignment horizontal="center" vertical="center" wrapText="1"/>
    </xf>
    <xf numFmtId="0" fontId="90" fillId="9" borderId="4" xfId="58" applyFont="1" applyFill="1" applyBorder="1" applyAlignment="1">
      <alignment horizontal="center" vertical="center" wrapText="1"/>
    </xf>
    <xf numFmtId="41" fontId="90" fillId="9" borderId="4" xfId="885" applyFont="1" applyFill="1" applyBorder="1" applyAlignment="1">
      <alignment horizontal="right" vertical="center" wrapText="1"/>
    </xf>
    <xf numFmtId="0" fontId="90" fillId="0" borderId="4" xfId="58" applyFont="1" applyBorder="1" applyAlignment="1">
      <alignment vertical="center"/>
    </xf>
    <xf numFmtId="0" fontId="101" fillId="0" borderId="0" xfId="58" applyFont="1" applyAlignment="1">
      <alignment vertical="center"/>
    </xf>
    <xf numFmtId="0" fontId="85" fillId="0" borderId="0" xfId="58" applyFont="1" applyAlignment="1">
      <alignment horizontal="left" vertical="center" indent="1"/>
    </xf>
    <xf numFmtId="0" fontId="69" fillId="0" borderId="0" xfId="886" applyFont="1">
      <alignment vertical="center"/>
    </xf>
    <xf numFmtId="0" fontId="69" fillId="0" borderId="0" xfId="0" applyFont="1">
      <alignment vertical="center"/>
    </xf>
    <xf numFmtId="0" fontId="102" fillId="0" borderId="0" xfId="24" applyFont="1" applyAlignment="1">
      <alignment vertical="center"/>
    </xf>
    <xf numFmtId="0" fontId="71" fillId="0" borderId="0" xfId="0" applyFont="1">
      <alignment vertical="center"/>
    </xf>
    <xf numFmtId="0" fontId="86" fillId="4" borderId="7" xfId="23" applyFont="1" applyFill="1" applyBorder="1" applyAlignment="1">
      <alignment horizontal="center" vertical="center"/>
    </xf>
    <xf numFmtId="0" fontId="86" fillId="4" borderId="24" xfId="23" applyFont="1" applyFill="1" applyBorder="1" applyAlignment="1">
      <alignment horizontal="center" vertical="center" wrapText="1"/>
    </xf>
    <xf numFmtId="0" fontId="90" fillId="0" borderId="31" xfId="23" applyFont="1" applyBorder="1" applyAlignment="1">
      <alignment horizontal="left" vertical="center"/>
    </xf>
    <xf numFmtId="0" fontId="85" fillId="0" borderId="43" xfId="24" applyFont="1" applyBorder="1" applyAlignment="1">
      <alignment horizontal="left" vertical="center" indent="1"/>
    </xf>
    <xf numFmtId="0" fontId="85" fillId="0" borderId="21" xfId="24" applyFont="1" applyBorder="1" applyAlignment="1">
      <alignment horizontal="center" vertical="center"/>
    </xf>
    <xf numFmtId="0" fontId="85" fillId="0" borderId="22" xfId="24" applyFont="1" applyBorder="1" applyAlignment="1">
      <alignment horizontal="center" vertical="center"/>
    </xf>
    <xf numFmtId="3" fontId="85" fillId="0" borderId="45" xfId="24" applyNumberFormat="1" applyFont="1" applyBorder="1" applyAlignment="1">
      <alignment horizontal="center" vertical="center"/>
    </xf>
    <xf numFmtId="3" fontId="85" fillId="0" borderId="44" xfId="24" applyNumberFormat="1" applyFont="1" applyBorder="1" applyAlignment="1">
      <alignment horizontal="center" vertical="center"/>
    </xf>
    <xf numFmtId="3" fontId="85" fillId="0" borderId="43" xfId="24" applyNumberFormat="1" applyFont="1" applyBorder="1" applyAlignment="1">
      <alignment horizontal="center" vertical="center"/>
    </xf>
    <xf numFmtId="191" fontId="85" fillId="0" borderId="22" xfId="55" applyNumberFormat="1" applyFont="1" applyBorder="1" applyAlignment="1">
      <alignment horizontal="center" vertical="center"/>
    </xf>
    <xf numFmtId="3" fontId="85" fillId="0" borderId="22" xfId="24" applyNumberFormat="1" applyFont="1" applyBorder="1" applyAlignment="1">
      <alignment horizontal="center" vertical="center"/>
    </xf>
    <xf numFmtId="0" fontId="85" fillId="0" borderId="27" xfId="24" applyFont="1" applyBorder="1" applyAlignment="1">
      <alignment vertical="center"/>
    </xf>
    <xf numFmtId="0" fontId="85" fillId="0" borderId="0" xfId="24" applyFont="1" applyAlignment="1">
      <alignment vertical="center"/>
    </xf>
    <xf numFmtId="0" fontId="90" fillId="0" borderId="10" xfId="23" applyFont="1" applyBorder="1" applyAlignment="1">
      <alignment horizontal="center" vertical="center"/>
    </xf>
    <xf numFmtId="0" fontId="90" fillId="0" borderId="21" xfId="24" applyFont="1" applyBorder="1" applyAlignment="1">
      <alignment horizontal="left" vertical="center" indent="1"/>
    </xf>
    <xf numFmtId="3" fontId="85" fillId="0" borderId="0" xfId="24" applyNumberFormat="1" applyFont="1" applyAlignment="1">
      <alignment horizontal="center" vertical="center"/>
    </xf>
    <xf numFmtId="3" fontId="85" fillId="0" borderId="21" xfId="24" applyNumberFormat="1" applyFont="1" applyBorder="1" applyAlignment="1">
      <alignment horizontal="center" vertical="center"/>
    </xf>
    <xf numFmtId="0" fontId="85" fillId="0" borderId="10" xfId="24" applyFont="1" applyBorder="1" applyAlignment="1">
      <alignment horizontal="center" vertical="center"/>
    </xf>
    <xf numFmtId="0" fontId="85" fillId="0" borderId="0" xfId="24" applyFont="1" applyAlignment="1">
      <alignment horizontal="left" vertical="center" indent="1"/>
    </xf>
    <xf numFmtId="0" fontId="85" fillId="0" borderId="11" xfId="24" applyFont="1" applyBorder="1" applyAlignment="1">
      <alignment horizontal="center" vertical="center"/>
    </xf>
    <xf numFmtId="3" fontId="85" fillId="0" borderId="22" xfId="24" applyNumberFormat="1" applyFont="1" applyBorder="1" applyAlignment="1">
      <alignment horizontal="right" vertical="center"/>
    </xf>
    <xf numFmtId="3" fontId="85" fillId="0" borderId="0" xfId="24" applyNumberFormat="1" applyFont="1" applyAlignment="1">
      <alignment horizontal="right" vertical="center"/>
    </xf>
    <xf numFmtId="4" fontId="85" fillId="0" borderId="21" xfId="24" applyNumberFormat="1" applyFont="1" applyBorder="1" applyAlignment="1">
      <alignment horizontal="center" vertical="center"/>
    </xf>
    <xf numFmtId="3" fontId="104" fillId="0" borderId="22" xfId="24" applyNumberFormat="1" applyFont="1" applyBorder="1" applyAlignment="1">
      <alignment horizontal="left" vertical="center"/>
    </xf>
    <xf numFmtId="0" fontId="91" fillId="0" borderId="0" xfId="24" applyFont="1" applyAlignment="1">
      <alignment horizontal="left" vertical="center" indent="1"/>
    </xf>
    <xf numFmtId="0" fontId="85" fillId="8" borderId="18" xfId="24" applyFont="1" applyFill="1" applyBorder="1" applyAlignment="1">
      <alignment horizontal="left" vertical="center" indent="1"/>
    </xf>
    <xf numFmtId="0" fontId="85" fillId="8" borderId="19" xfId="24" applyFont="1" applyFill="1" applyBorder="1" applyAlignment="1">
      <alignment horizontal="center" vertical="center"/>
    </xf>
    <xf numFmtId="0" fontId="85" fillId="8" borderId="17" xfId="24" applyFont="1" applyFill="1" applyBorder="1" applyAlignment="1">
      <alignment horizontal="center" vertical="center"/>
    </xf>
    <xf numFmtId="0" fontId="85" fillId="8" borderId="38" xfId="24" applyFont="1" applyFill="1" applyBorder="1" applyAlignment="1">
      <alignment horizontal="center" vertical="center"/>
    </xf>
    <xf numFmtId="3" fontId="85" fillId="8" borderId="38" xfId="24" applyNumberFormat="1" applyFont="1" applyFill="1" applyBorder="1" applyAlignment="1">
      <alignment horizontal="right" vertical="center"/>
    </xf>
    <xf numFmtId="3" fontId="85" fillId="8" borderId="18" xfId="24" applyNumberFormat="1" applyFont="1" applyFill="1" applyBorder="1" applyAlignment="1">
      <alignment horizontal="right" vertical="center"/>
    </xf>
    <xf numFmtId="3" fontId="85" fillId="8" borderId="18" xfId="24" applyNumberFormat="1" applyFont="1" applyFill="1" applyBorder="1" applyAlignment="1">
      <alignment horizontal="center" vertical="center"/>
    </xf>
    <xf numFmtId="4" fontId="85" fillId="8" borderId="17" xfId="24" applyNumberFormat="1" applyFont="1" applyFill="1" applyBorder="1" applyAlignment="1">
      <alignment horizontal="center" vertical="center"/>
    </xf>
    <xf numFmtId="191" fontId="86" fillId="8" borderId="38" xfId="55" applyNumberFormat="1" applyFont="1" applyFill="1" applyBorder="1" applyAlignment="1">
      <alignment horizontal="center" vertical="center"/>
    </xf>
    <xf numFmtId="0" fontId="85" fillId="0" borderId="50" xfId="24" applyFont="1" applyBorder="1" applyAlignment="1">
      <alignment horizontal="center" vertical="center"/>
    </xf>
    <xf numFmtId="0" fontId="85" fillId="0" borderId="53" xfId="24" applyFont="1" applyBorder="1" applyAlignment="1">
      <alignment vertical="center"/>
    </xf>
    <xf numFmtId="0" fontId="90" fillId="0" borderId="10" xfId="23" applyFont="1" applyBorder="1" applyAlignment="1">
      <alignment horizontal="left" vertical="center"/>
    </xf>
    <xf numFmtId="0" fontId="90" fillId="0" borderId="0" xfId="23" applyFont="1" applyAlignment="1">
      <alignment horizontal="center" vertical="center"/>
    </xf>
    <xf numFmtId="0" fontId="90" fillId="0" borderId="0" xfId="23" applyFont="1" applyAlignment="1">
      <alignment horizontal="left" vertical="center"/>
    </xf>
    <xf numFmtId="3" fontId="90" fillId="0" borderId="0" xfId="23" quotePrefix="1" applyNumberFormat="1" applyFont="1" applyAlignment="1">
      <alignment horizontal="right" vertical="center"/>
    </xf>
    <xf numFmtId="3" fontId="90" fillId="0" borderId="0" xfId="23" applyNumberFormat="1" applyFont="1" applyAlignment="1">
      <alignment horizontal="right" vertical="center"/>
    </xf>
    <xf numFmtId="0" fontId="90" fillId="0" borderId="0" xfId="23" quotePrefix="1" applyFont="1" applyAlignment="1">
      <alignment horizontal="center" vertical="center"/>
    </xf>
    <xf numFmtId="0" fontId="90" fillId="0" borderId="27" xfId="23" applyFont="1" applyBorder="1"/>
    <xf numFmtId="0" fontId="86" fillId="0" borderId="0" xfId="23" applyFont="1"/>
    <xf numFmtId="0" fontId="90" fillId="0" borderId="10" xfId="23" applyFont="1" applyBorder="1" applyAlignment="1">
      <alignment horizontal="left" vertical="center" indent="1"/>
    </xf>
    <xf numFmtId="0" fontId="90" fillId="0" borderId="22" xfId="23" applyFont="1" applyBorder="1" applyAlignment="1">
      <alignment horizontal="left" vertical="center"/>
    </xf>
    <xf numFmtId="0" fontId="90" fillId="0" borderId="31" xfId="23" applyFont="1" applyBorder="1" applyAlignment="1">
      <alignment horizontal="left" vertical="center" indent="1"/>
    </xf>
    <xf numFmtId="0" fontId="86" fillId="0" borderId="31" xfId="23" applyFont="1" applyBorder="1"/>
    <xf numFmtId="176" fontId="90" fillId="0" borderId="0" xfId="56" applyNumberFormat="1" applyFont="1" applyAlignment="1">
      <alignment horizontal="left" vertical="center"/>
    </xf>
    <xf numFmtId="176" fontId="85" fillId="0" borderId="0" xfId="57" applyNumberFormat="1" applyFont="1" applyAlignment="1">
      <alignment horizontal="center" vertical="center"/>
    </xf>
    <xf numFmtId="0" fontId="85" fillId="0" borderId="0" xfId="57" applyFont="1" applyAlignment="1">
      <alignment horizontal="left" vertical="center"/>
    </xf>
    <xf numFmtId="0" fontId="93" fillId="0" borderId="0" xfId="56" applyFont="1" applyAlignment="1">
      <alignment horizontal="right"/>
    </xf>
    <xf numFmtId="176" fontId="85" fillId="0" borderId="27" xfId="57" applyNumberFormat="1" applyFont="1" applyBorder="1" applyAlignment="1">
      <alignment horizontal="center" vertical="center"/>
    </xf>
    <xf numFmtId="0" fontId="105" fillId="0" borderId="0" xfId="56" applyFont="1" applyAlignment="1">
      <alignment horizontal="right"/>
    </xf>
    <xf numFmtId="176" fontId="85" fillId="0" borderId="0" xfId="57" applyNumberFormat="1" applyFont="1" applyAlignment="1">
      <alignment horizontal="left" vertical="center"/>
    </xf>
    <xf numFmtId="176" fontId="81" fillId="0" borderId="31" xfId="57" applyNumberFormat="1" applyFont="1" applyBorder="1" applyAlignment="1">
      <alignment horizontal="left" vertical="center"/>
    </xf>
    <xf numFmtId="0" fontId="90" fillId="4" borderId="4" xfId="56" applyFont="1" applyFill="1" applyBorder="1" applyAlignment="1">
      <alignment horizontal="center" vertical="center"/>
    </xf>
    <xf numFmtId="0" fontId="90" fillId="0" borderId="0" xfId="56" applyFont="1" applyAlignment="1">
      <alignment horizontal="center" vertical="center"/>
    </xf>
    <xf numFmtId="0" fontId="85" fillId="0" borderId="4" xfId="56" applyFont="1" applyBorder="1" applyAlignment="1">
      <alignment horizontal="left" vertical="center" indent="1"/>
    </xf>
    <xf numFmtId="41" fontId="85" fillId="0" borderId="4" xfId="12" applyFont="1" applyBorder="1" applyAlignment="1">
      <alignment horizontal="center" vertical="center"/>
    </xf>
    <xf numFmtId="0" fontId="85" fillId="0" borderId="46" xfId="23" applyFont="1" applyBorder="1" applyAlignment="1">
      <alignment horizontal="center" vertical="center"/>
    </xf>
    <xf numFmtId="0" fontId="85" fillId="0" borderId="14" xfId="23" applyFont="1" applyBorder="1" applyAlignment="1">
      <alignment horizontal="left" vertical="center"/>
    </xf>
    <xf numFmtId="0" fontId="85" fillId="0" borderId="14" xfId="23" applyFont="1" applyBorder="1" applyAlignment="1">
      <alignment horizontal="center" vertical="center"/>
    </xf>
    <xf numFmtId="3" fontId="85" fillId="0" borderId="14" xfId="23" quotePrefix="1" applyNumberFormat="1" applyFont="1" applyBorder="1" applyAlignment="1">
      <alignment horizontal="right" vertical="center"/>
    </xf>
    <xf numFmtId="3" fontId="85" fillId="0" borderId="14" xfId="23" applyNumberFormat="1" applyFont="1" applyBorder="1" applyAlignment="1">
      <alignment horizontal="right" vertical="center"/>
    </xf>
    <xf numFmtId="43" fontId="85" fillId="0" borderId="14" xfId="23" quotePrefix="1" applyNumberFormat="1" applyFont="1" applyBorder="1" applyAlignment="1">
      <alignment horizontal="center" vertical="center"/>
    </xf>
    <xf numFmtId="0" fontId="85" fillId="0" borderId="47" xfId="23" applyFont="1" applyBorder="1"/>
    <xf numFmtId="10" fontId="81" fillId="0" borderId="0" xfId="54" applyNumberFormat="1" applyFont="1" applyAlignment="1"/>
    <xf numFmtId="0" fontId="81" fillId="0" borderId="0" xfId="27" applyFont="1" applyAlignment="1">
      <alignment horizontal="center" vertical="center"/>
    </xf>
    <xf numFmtId="176" fontId="81" fillId="0" borderId="0" xfId="27" applyNumberFormat="1" applyFont="1" applyAlignment="1">
      <alignment horizontal="center" vertical="center"/>
    </xf>
    <xf numFmtId="0" fontId="99" fillId="0" borderId="0" xfId="27" applyFont="1" applyAlignment="1">
      <alignment horizontal="center" vertical="center"/>
    </xf>
    <xf numFmtId="0" fontId="106" fillId="0" borderId="0" xfId="27" applyFont="1" applyAlignment="1">
      <alignment horizontal="center" vertical="center"/>
    </xf>
    <xf numFmtId="0" fontId="107" fillId="0" borderId="0" xfId="27" applyFont="1" applyAlignment="1">
      <alignment horizontal="center" vertical="center"/>
    </xf>
    <xf numFmtId="176" fontId="85" fillId="0" borderId="0" xfId="0" applyNumberFormat="1" applyFont="1" applyAlignment="1">
      <alignment horizontal="right" vertical="center"/>
    </xf>
    <xf numFmtId="0" fontId="81" fillId="4" borderId="6" xfId="27" applyFont="1" applyFill="1" applyBorder="1" applyAlignment="1">
      <alignment horizontal="center" vertical="center"/>
    </xf>
    <xf numFmtId="0" fontId="81" fillId="4" borderId="23" xfId="27" applyFont="1" applyFill="1" applyBorder="1" applyAlignment="1">
      <alignment horizontal="center" vertical="center"/>
    </xf>
    <xf numFmtId="0" fontId="81" fillId="4" borderId="7" xfId="27" applyFont="1" applyFill="1" applyBorder="1" applyAlignment="1">
      <alignment horizontal="center" vertical="center"/>
    </xf>
    <xf numFmtId="176" fontId="81" fillId="4" borderId="7" xfId="27" applyNumberFormat="1" applyFont="1" applyFill="1" applyBorder="1" applyAlignment="1">
      <alignment horizontal="center" vertical="center"/>
    </xf>
    <xf numFmtId="0" fontId="81" fillId="4" borderId="8" xfId="27" applyFont="1" applyFill="1" applyBorder="1" applyAlignment="1">
      <alignment horizontal="center" vertical="center"/>
    </xf>
    <xf numFmtId="0" fontId="85" fillId="0" borderId="10" xfId="27" applyFont="1" applyBorder="1" applyAlignment="1">
      <alignment horizontal="center" vertical="center"/>
    </xf>
    <xf numFmtId="0" fontId="90" fillId="0" borderId="43" xfId="23" applyFont="1" applyBorder="1" applyAlignment="1">
      <alignment horizontal="left" vertical="center" indent="1"/>
    </xf>
    <xf numFmtId="0" fontId="85" fillId="0" borderId="36" xfId="23" applyFont="1" applyBorder="1" applyAlignment="1">
      <alignment horizontal="left" vertical="center" indent="1"/>
    </xf>
    <xf numFmtId="0" fontId="85" fillId="0" borderId="36" xfId="23" applyFont="1" applyBorder="1" applyAlignment="1">
      <alignment horizontal="center" vertical="center"/>
    </xf>
    <xf numFmtId="179" fontId="85" fillId="0" borderId="36" xfId="23" applyNumberFormat="1" applyFont="1" applyBorder="1" applyAlignment="1">
      <alignment horizontal="center" vertical="center"/>
    </xf>
    <xf numFmtId="0" fontId="108" fillId="0" borderId="41" xfId="27" applyFont="1" applyBorder="1" applyAlignment="1">
      <alignment vertical="center"/>
    </xf>
    <xf numFmtId="0" fontId="85" fillId="0" borderId="21" xfId="23" applyFont="1" applyBorder="1" applyAlignment="1">
      <alignment horizontal="left" vertical="center" indent="1"/>
    </xf>
    <xf numFmtId="0" fontId="85" fillId="0" borderId="11" xfId="23" applyFont="1" applyBorder="1" applyAlignment="1">
      <alignment horizontal="left" vertical="center" indent="1"/>
    </xf>
    <xf numFmtId="0" fontId="85" fillId="0" borderId="11" xfId="23" applyFont="1" applyBorder="1" applyAlignment="1">
      <alignment horizontal="center" vertical="center"/>
    </xf>
    <xf numFmtId="179" fontId="85" fillId="0" borderId="11" xfId="23" applyNumberFormat="1" applyFont="1" applyBorder="1" applyAlignment="1">
      <alignment horizontal="center" vertical="center"/>
    </xf>
    <xf numFmtId="0" fontId="108" fillId="0" borderId="9" xfId="27" applyFont="1" applyBorder="1" applyAlignment="1">
      <alignment vertical="center"/>
    </xf>
    <xf numFmtId="0" fontId="87" fillId="0" borderId="11" xfId="23" applyFont="1" applyBorder="1" applyAlignment="1">
      <alignment horizontal="left" vertical="center" wrapText="1" indent="1"/>
    </xf>
    <xf numFmtId="0" fontId="85" fillId="0" borderId="49" xfId="27" applyFont="1" applyBorder="1" applyAlignment="1">
      <alignment horizontal="center" vertical="center"/>
    </xf>
    <xf numFmtId="0" fontId="85" fillId="0" borderId="15" xfId="23" applyFont="1" applyBorder="1" applyAlignment="1">
      <alignment horizontal="left" vertical="center" indent="1"/>
    </xf>
    <xf numFmtId="0" fontId="85" fillId="0" borderId="12" xfId="23" applyFont="1" applyBorder="1" applyAlignment="1">
      <alignment horizontal="left" vertical="center" indent="1"/>
    </xf>
    <xf numFmtId="0" fontId="85" fillId="0" borderId="12" xfId="23" applyFont="1" applyBorder="1" applyAlignment="1">
      <alignment horizontal="center" vertical="center"/>
    </xf>
    <xf numFmtId="179" fontId="85" fillId="0" borderId="12" xfId="23" applyNumberFormat="1" applyFont="1" applyBorder="1" applyAlignment="1">
      <alignment horizontal="center" vertical="center"/>
    </xf>
    <xf numFmtId="0" fontId="108" fillId="0" borderId="16" xfId="27" applyFont="1" applyBorder="1" applyAlignment="1">
      <alignment vertical="center"/>
    </xf>
    <xf numFmtId="3" fontId="101" fillId="0" borderId="22" xfId="24" applyNumberFormat="1" applyFont="1" applyBorder="1" applyAlignment="1">
      <alignment horizontal="left" vertical="center"/>
    </xf>
    <xf numFmtId="3" fontId="101" fillId="0" borderId="38" xfId="24" applyNumberFormat="1" applyFont="1" applyBorder="1" applyAlignment="1">
      <alignment horizontal="left" vertical="center"/>
    </xf>
    <xf numFmtId="49" fontId="85" fillId="0" borderId="11" xfId="23" applyNumberFormat="1" applyFont="1" applyBorder="1" applyAlignment="1">
      <alignment horizontal="left" vertical="center" indent="1"/>
    </xf>
    <xf numFmtId="0" fontId="71" fillId="11" borderId="77" xfId="993" applyNumberFormat="1" applyFont="1" applyFill="1" applyBorder="1" applyAlignment="1">
      <alignment horizontal="center" vertical="center"/>
    </xf>
    <xf numFmtId="229" fontId="71" fillId="11" borderId="79" xfId="993" applyFont="1" applyFill="1" applyBorder="1" applyAlignment="1">
      <alignment horizontal="center" vertical="center"/>
    </xf>
    <xf numFmtId="0" fontId="85" fillId="10" borderId="4" xfId="993" applyNumberFormat="1" applyFont="1" applyFill="1" applyBorder="1" applyAlignment="1">
      <alignment horizontal="left" vertical="center" indent="1"/>
    </xf>
    <xf numFmtId="0" fontId="101" fillId="10" borderId="0" xfId="994" applyFont="1" applyFill="1">
      <alignment vertical="center"/>
    </xf>
    <xf numFmtId="0" fontId="70" fillId="10" borderId="69" xfId="1001" applyFont="1" applyFill="1" applyBorder="1" applyAlignment="1">
      <alignment horizontal="center" vertical="center"/>
    </xf>
    <xf numFmtId="0" fontId="70" fillId="10" borderId="65" xfId="1001" applyFont="1" applyFill="1" applyBorder="1" applyAlignment="1">
      <alignment horizontal="center" vertical="center"/>
    </xf>
    <xf numFmtId="41" fontId="70" fillId="10" borderId="70" xfId="1001" applyNumberFormat="1" applyFont="1" applyFill="1" applyBorder="1">
      <alignment vertical="center"/>
    </xf>
    <xf numFmtId="0" fontId="86" fillId="4" borderId="23" xfId="23" applyFont="1" applyFill="1" applyBorder="1" applyAlignment="1">
      <alignment horizontal="center" vertical="center"/>
    </xf>
    <xf numFmtId="41" fontId="86" fillId="4" borderId="42" xfId="23" applyNumberFormat="1" applyFont="1" applyFill="1" applyBorder="1" applyAlignment="1">
      <alignment horizontal="center" vertical="center"/>
    </xf>
    <xf numFmtId="0" fontId="85" fillId="0" borderId="21" xfId="23" applyFont="1" applyBorder="1" applyAlignment="1">
      <alignment horizontal="center" vertical="center"/>
    </xf>
    <xf numFmtId="0" fontId="85" fillId="10" borderId="0" xfId="24" applyFont="1" applyFill="1" applyAlignment="1">
      <alignment horizontal="left" vertical="center" indent="1"/>
    </xf>
    <xf numFmtId="0" fontId="85" fillId="10" borderId="11" xfId="24" applyFont="1" applyFill="1" applyBorder="1" applyAlignment="1">
      <alignment horizontal="center" vertical="center"/>
    </xf>
    <xf numFmtId="0" fontId="85" fillId="10" borderId="21" xfId="24" applyFont="1" applyFill="1" applyBorder="1" applyAlignment="1">
      <alignment horizontal="center" vertical="center"/>
    </xf>
    <xf numFmtId="0" fontId="85" fillId="10" borderId="22" xfId="24" applyFont="1" applyFill="1" applyBorder="1" applyAlignment="1">
      <alignment horizontal="center" vertical="center"/>
    </xf>
    <xf numFmtId="3" fontId="85" fillId="10" borderId="22" xfId="24" applyNumberFormat="1" applyFont="1" applyFill="1" applyBorder="1" applyAlignment="1">
      <alignment horizontal="right" vertical="center"/>
    </xf>
    <xf numFmtId="3" fontId="85" fillId="10" borderId="0" xfId="24" applyNumberFormat="1" applyFont="1" applyFill="1" applyAlignment="1">
      <alignment horizontal="right" vertical="center"/>
    </xf>
    <xf numFmtId="3" fontId="85" fillId="10" borderId="0" xfId="24" applyNumberFormat="1" applyFont="1" applyFill="1" applyAlignment="1">
      <alignment horizontal="center" vertical="center"/>
    </xf>
    <xf numFmtId="4" fontId="85" fillId="10" borderId="21" xfId="24" applyNumberFormat="1" applyFont="1" applyFill="1" applyBorder="1" applyAlignment="1">
      <alignment horizontal="center" vertical="center"/>
    </xf>
    <xf numFmtId="191" fontId="85" fillId="10" borderId="22" xfId="55" applyNumberFormat="1" applyFont="1" applyFill="1" applyBorder="1" applyAlignment="1">
      <alignment horizontal="center" vertical="center"/>
    </xf>
    <xf numFmtId="0" fontId="91" fillId="10" borderId="0" xfId="24" applyFont="1" applyFill="1" applyAlignment="1">
      <alignment horizontal="left" vertical="center" indent="1"/>
    </xf>
    <xf numFmtId="3" fontId="104" fillId="10" borderId="22" xfId="24" applyNumberFormat="1" applyFont="1" applyFill="1" applyBorder="1" applyAlignment="1">
      <alignment horizontal="left" vertical="center"/>
    </xf>
    <xf numFmtId="0" fontId="85" fillId="10" borderId="27" xfId="24" applyFont="1" applyFill="1" applyBorder="1" applyAlignment="1">
      <alignment vertical="center"/>
    </xf>
    <xf numFmtId="0" fontId="70" fillId="10" borderId="50" xfId="993" applyNumberFormat="1" applyFont="1" applyFill="1" applyBorder="1" applyAlignment="1">
      <alignment horizontal="center" vertical="center"/>
    </xf>
    <xf numFmtId="0" fontId="85" fillId="10" borderId="19" xfId="993" applyNumberFormat="1" applyFont="1" applyFill="1" applyBorder="1" applyAlignment="1">
      <alignment horizontal="left" vertical="center" indent="1"/>
    </xf>
    <xf numFmtId="0" fontId="77" fillId="0" borderId="69" xfId="994" applyFont="1" applyBorder="1" applyAlignment="1">
      <alignment horizontal="center" vertical="center"/>
    </xf>
    <xf numFmtId="0" fontId="77" fillId="10" borderId="0" xfId="994" applyFont="1" applyFill="1">
      <alignment vertical="center"/>
    </xf>
    <xf numFmtId="222" fontId="91" fillId="0" borderId="11" xfId="23" applyNumberFormat="1" applyFont="1" applyBorder="1" applyAlignment="1">
      <alignment horizontal="right" vertical="center"/>
    </xf>
    <xf numFmtId="0" fontId="91" fillId="10" borderId="0" xfId="23" applyFont="1" applyFill="1" applyAlignment="1">
      <alignment horizontal="left" vertical="center"/>
    </xf>
    <xf numFmtId="176" fontId="109" fillId="0" borderId="9" xfId="29" applyNumberFormat="1" applyFont="1" applyBorder="1" applyAlignment="1">
      <alignment horizontal="left" vertical="center"/>
    </xf>
    <xf numFmtId="222" fontId="85" fillId="0" borderId="0" xfId="23" applyNumberFormat="1" applyFont="1" applyAlignment="1">
      <alignment vertical="center"/>
    </xf>
    <xf numFmtId="0" fontId="77" fillId="10" borderId="0" xfId="996" applyFont="1" applyFill="1" applyAlignment="1">
      <alignment horizontal="left" vertical="top" wrapText="1"/>
    </xf>
    <xf numFmtId="0" fontId="82" fillId="0" borderId="0" xfId="27" applyFont="1" applyAlignment="1">
      <alignment horizontal="center" vertical="center"/>
    </xf>
    <xf numFmtId="176" fontId="81" fillId="0" borderId="9" xfId="30" quotePrefix="1" applyNumberFormat="1" applyFont="1" applyBorder="1" applyAlignment="1">
      <alignment horizontal="center" vertical="center"/>
    </xf>
    <xf numFmtId="0" fontId="77" fillId="10" borderId="86" xfId="996" applyFont="1" applyFill="1" applyBorder="1" applyAlignment="1">
      <alignment horizontal="center" vertical="center"/>
    </xf>
    <xf numFmtId="0" fontId="77" fillId="10" borderId="86" xfId="996" applyFont="1" applyFill="1" applyBorder="1" applyAlignment="1">
      <alignment horizontal="center" vertical="center" wrapText="1"/>
    </xf>
    <xf numFmtId="0" fontId="77" fillId="10" borderId="85" xfId="996" applyFont="1" applyFill="1" applyBorder="1" applyAlignment="1">
      <alignment horizontal="center" vertical="center"/>
    </xf>
    <xf numFmtId="0" fontId="77" fillId="10" borderId="85" xfId="996" applyFont="1" applyFill="1" applyBorder="1" applyAlignment="1">
      <alignment horizontal="center" vertical="center" wrapText="1"/>
    </xf>
    <xf numFmtId="0" fontId="77" fillId="0" borderId="85" xfId="1001" applyFont="1" applyBorder="1" applyAlignment="1">
      <alignment horizontal="center" vertical="center"/>
    </xf>
    <xf numFmtId="0" fontId="77" fillId="8" borderId="88" xfId="996" applyFont="1" applyFill="1" applyBorder="1">
      <alignment vertical="center"/>
    </xf>
    <xf numFmtId="0" fontId="77" fillId="8" borderId="87" xfId="996" applyFont="1" applyFill="1" applyBorder="1">
      <alignment vertical="center"/>
    </xf>
    <xf numFmtId="0" fontId="90" fillId="8" borderId="81" xfId="27" applyFont="1" applyFill="1" applyBorder="1" applyAlignment="1">
      <alignment horizontal="center" vertical="center"/>
    </xf>
    <xf numFmtId="0" fontId="90" fillId="8" borderId="82" xfId="27" applyFont="1" applyFill="1" applyBorder="1" applyAlignment="1">
      <alignment horizontal="center" vertical="center" wrapText="1"/>
    </xf>
    <xf numFmtId="0" fontId="90" fillId="8" borderId="82" xfId="27" applyFont="1" applyFill="1" applyBorder="1" applyAlignment="1">
      <alignment horizontal="center" vertical="center"/>
    </xf>
    <xf numFmtId="0" fontId="90" fillId="8" borderId="78" xfId="27" applyFont="1" applyFill="1" applyBorder="1" applyAlignment="1">
      <alignment horizontal="center" vertical="center"/>
    </xf>
    <xf numFmtId="0" fontId="90" fillId="8" borderId="79" xfId="27" applyFont="1" applyFill="1" applyBorder="1" applyAlignment="1">
      <alignment horizontal="center" vertical="center"/>
    </xf>
    <xf numFmtId="0" fontId="91" fillId="0" borderId="49" xfId="27" applyFont="1" applyBorder="1" applyAlignment="1">
      <alignment horizontal="center" vertical="center" wrapText="1"/>
    </xf>
    <xf numFmtId="3" fontId="91" fillId="0" borderId="13" xfId="27" applyNumberFormat="1" applyFont="1" applyBorder="1" applyAlignment="1">
      <alignment horizontal="center" vertical="center"/>
    </xf>
    <xf numFmtId="3" fontId="91" fillId="19" borderId="13" xfId="27" applyNumberFormat="1" applyFont="1" applyFill="1" applyBorder="1" applyAlignment="1">
      <alignment horizontal="center" vertical="center"/>
    </xf>
    <xf numFmtId="3" fontId="111" fillId="20" borderId="12" xfId="27" applyNumberFormat="1" applyFont="1" applyFill="1" applyBorder="1" applyAlignment="1">
      <alignment horizontal="center" vertical="center"/>
    </xf>
    <xf numFmtId="0" fontId="91" fillId="0" borderId="16" xfId="27" applyFont="1" applyBorder="1" applyAlignment="1">
      <alignment horizontal="left" vertical="top" wrapText="1"/>
    </xf>
    <xf numFmtId="0" fontId="85" fillId="10" borderId="0" xfId="23" applyFont="1" applyFill="1" applyAlignment="1">
      <alignment horizontal="center" vertical="center"/>
    </xf>
    <xf numFmtId="0" fontId="90" fillId="10" borderId="0" xfId="27" applyFont="1" applyFill="1" applyAlignment="1">
      <alignment vertical="center"/>
    </xf>
    <xf numFmtId="0" fontId="108" fillId="10" borderId="0" xfId="27" applyFont="1" applyFill="1" applyAlignment="1">
      <alignment vertical="center"/>
    </xf>
    <xf numFmtId="179" fontId="85" fillId="10" borderId="0" xfId="23" applyNumberFormat="1" applyFont="1" applyFill="1" applyAlignment="1">
      <alignment horizontal="center" vertical="center"/>
    </xf>
    <xf numFmtId="0" fontId="111" fillId="20" borderId="0" xfId="23" applyFont="1" applyFill="1" applyAlignment="1">
      <alignment horizontal="left" vertical="center"/>
    </xf>
    <xf numFmtId="0" fontId="85" fillId="20" borderId="0" xfId="23" applyFont="1" applyFill="1" applyAlignment="1">
      <alignment horizontal="center" vertical="center"/>
    </xf>
    <xf numFmtId="41" fontId="77" fillId="10" borderId="65" xfId="997" applyFont="1" applyFill="1" applyBorder="1" applyAlignment="1">
      <alignment horizontal="center" vertical="center"/>
    </xf>
    <xf numFmtId="49" fontId="77" fillId="10" borderId="0" xfId="994" applyNumberFormat="1" applyFont="1" applyFill="1">
      <alignment vertical="center"/>
    </xf>
    <xf numFmtId="0" fontId="81" fillId="10" borderId="0" xfId="994" applyFont="1" applyFill="1">
      <alignment vertical="center"/>
    </xf>
    <xf numFmtId="49" fontId="91" fillId="10" borderId="0" xfId="994" applyNumberFormat="1" applyFont="1" applyFill="1" applyAlignment="1">
      <alignment horizontal="left" vertical="center"/>
    </xf>
    <xf numFmtId="49" fontId="91" fillId="10" borderId="0" xfId="994" applyNumberFormat="1" applyFont="1" applyFill="1">
      <alignment vertical="center"/>
    </xf>
    <xf numFmtId="49" fontId="91" fillId="10" borderId="0" xfId="993" applyNumberFormat="1" applyFont="1" applyFill="1" applyAlignment="1">
      <alignment horizontal="left" vertical="center"/>
    </xf>
    <xf numFmtId="49" fontId="91" fillId="10" borderId="0" xfId="25" applyNumberFormat="1" applyFont="1" applyFill="1" applyAlignment="1">
      <alignment vertical="center"/>
    </xf>
    <xf numFmtId="49" fontId="77" fillId="18" borderId="0" xfId="994" applyNumberFormat="1" applyFont="1" applyFill="1">
      <alignment vertical="center"/>
    </xf>
    <xf numFmtId="0" fontId="70" fillId="10" borderId="32" xfId="993" applyNumberFormat="1" applyFont="1" applyFill="1" applyBorder="1" applyAlignment="1">
      <alignment horizontal="center" vertical="center"/>
    </xf>
    <xf numFmtId="229" fontId="70" fillId="10" borderId="33" xfId="993" applyFont="1" applyFill="1" applyBorder="1" applyAlignment="1">
      <alignment horizontal="left" vertical="center" indent="1"/>
    </xf>
    <xf numFmtId="229" fontId="70" fillId="10" borderId="34" xfId="993" applyFont="1" applyFill="1" applyBorder="1">
      <alignment vertical="center"/>
    </xf>
    <xf numFmtId="0" fontId="105" fillId="17" borderId="0" xfId="23" applyFont="1" applyFill="1" applyAlignment="1">
      <alignment horizontal="center" vertical="center"/>
    </xf>
    <xf numFmtId="179" fontId="112" fillId="17" borderId="0" xfId="23" applyNumberFormat="1" applyFont="1" applyFill="1" applyAlignment="1">
      <alignment horizontal="center" vertical="center"/>
    </xf>
    <xf numFmtId="0" fontId="112" fillId="17" borderId="0" xfId="27" applyFont="1" applyFill="1" applyAlignment="1">
      <alignment horizontal="center" vertical="center"/>
    </xf>
    <xf numFmtId="0" fontId="69" fillId="10" borderId="0" xfId="994" applyFont="1" applyFill="1" applyAlignment="1">
      <alignment horizontal="center" vertical="center"/>
    </xf>
    <xf numFmtId="0" fontId="85" fillId="10" borderId="0" xfId="0" applyFont="1" applyFill="1">
      <alignment vertical="center"/>
    </xf>
    <xf numFmtId="0" fontId="85" fillId="10" borderId="4" xfId="0" applyFont="1" applyFill="1" applyBorder="1" applyAlignment="1">
      <alignment horizontal="center" vertical="center"/>
    </xf>
    <xf numFmtId="49" fontId="85" fillId="10" borderId="4" xfId="994" applyNumberFormat="1" applyFont="1" applyFill="1" applyBorder="1" applyAlignment="1">
      <alignment horizontal="center" vertical="center"/>
    </xf>
    <xf numFmtId="0" fontId="85" fillId="10" borderId="4" xfId="994" applyFont="1" applyFill="1" applyBorder="1" applyAlignment="1">
      <alignment horizontal="center" vertical="center"/>
    </xf>
    <xf numFmtId="0" fontId="70" fillId="10" borderId="4" xfId="994" applyFont="1" applyFill="1" applyBorder="1" applyAlignment="1">
      <alignment horizontal="center" vertical="center"/>
    </xf>
    <xf numFmtId="49" fontId="85" fillId="17" borderId="4" xfId="994" applyNumberFormat="1" applyFont="1" applyFill="1" applyBorder="1" applyAlignment="1">
      <alignment horizontal="center" vertical="center"/>
    </xf>
    <xf numFmtId="49" fontId="85" fillId="10" borderId="4" xfId="994" applyNumberFormat="1" applyFont="1" applyFill="1" applyBorder="1">
      <alignment vertical="center"/>
    </xf>
    <xf numFmtId="49" fontId="70" fillId="10" borderId="4" xfId="994" applyNumberFormat="1" applyFont="1" applyFill="1" applyBorder="1" applyAlignment="1">
      <alignment horizontal="center" vertical="center"/>
    </xf>
    <xf numFmtId="49" fontId="70" fillId="17" borderId="4" xfId="994" applyNumberFormat="1" applyFont="1" applyFill="1" applyBorder="1" applyAlignment="1">
      <alignment horizontal="center" vertical="center"/>
    </xf>
    <xf numFmtId="49" fontId="113" fillId="0" borderId="0" xfId="993" applyNumberFormat="1" applyFont="1" applyAlignment="1">
      <alignment horizontal="left" vertical="center"/>
    </xf>
    <xf numFmtId="49" fontId="85" fillId="10" borderId="0" xfId="994" applyNumberFormat="1" applyFont="1" applyFill="1">
      <alignment vertical="center"/>
    </xf>
    <xf numFmtId="0" fontId="70" fillId="10" borderId="0" xfId="994" applyFont="1" applyFill="1">
      <alignment vertical="center"/>
    </xf>
    <xf numFmtId="49" fontId="113" fillId="0" borderId="0" xfId="25" applyNumberFormat="1" applyFont="1" applyAlignment="1">
      <alignment vertical="center"/>
    </xf>
    <xf numFmtId="49" fontId="70" fillId="10" borderId="0" xfId="994" applyNumberFormat="1" applyFont="1" applyFill="1">
      <alignment vertical="center"/>
    </xf>
    <xf numFmtId="0" fontId="85" fillId="10" borderId="0" xfId="994" applyFont="1" applyFill="1">
      <alignment vertical="center"/>
    </xf>
    <xf numFmtId="0" fontId="81" fillId="0" borderId="10" xfId="30" applyFont="1" applyBorder="1" applyAlignment="1">
      <alignment horizontal="center" vertical="center"/>
    </xf>
    <xf numFmtId="0" fontId="91" fillId="0" borderId="11" xfId="23" applyFont="1" applyBorder="1" applyAlignment="1">
      <alignment horizontal="center" vertical="center"/>
    </xf>
    <xf numFmtId="0" fontId="90" fillId="4" borderId="19" xfId="23" applyFont="1" applyFill="1" applyBorder="1" applyAlignment="1">
      <alignment horizontal="center" vertical="center"/>
    </xf>
    <xf numFmtId="0" fontId="91" fillId="5" borderId="11" xfId="28" applyFont="1" applyFill="1" applyBorder="1" applyAlignment="1">
      <alignment horizontal="left" vertical="center" indent="1"/>
    </xf>
    <xf numFmtId="177" fontId="91" fillId="0" borderId="11" xfId="55" quotePrefix="1" applyNumberFormat="1" applyFont="1" applyBorder="1" applyAlignment="1">
      <alignment horizontal="right" vertical="center"/>
    </xf>
    <xf numFmtId="177" fontId="91" fillId="0" borderId="11" xfId="55" applyNumberFormat="1" applyFont="1" applyBorder="1" applyAlignment="1">
      <alignment horizontal="right" vertical="center"/>
    </xf>
    <xf numFmtId="0" fontId="91" fillId="0" borderId="11" xfId="30" applyFont="1" applyBorder="1" applyAlignment="1">
      <alignment horizontal="left" vertical="center" indent="1"/>
    </xf>
    <xf numFmtId="177" fontId="91" fillId="0" borderId="11" xfId="13" quotePrefix="1" applyFont="1" applyBorder="1" applyAlignment="1">
      <alignment vertical="center"/>
    </xf>
    <xf numFmtId="177" fontId="91" fillId="0" borderId="11" xfId="13" applyFont="1" applyBorder="1" applyAlignment="1">
      <alignment vertical="center"/>
    </xf>
    <xf numFmtId="0" fontId="92" fillId="0" borderId="9" xfId="30" applyFont="1" applyBorder="1" applyAlignment="1">
      <alignment horizontal="center" vertical="center"/>
    </xf>
    <xf numFmtId="0" fontId="91" fillId="0" borderId="11" xfId="26" applyFont="1" applyBorder="1" applyAlignment="1">
      <alignment horizontal="left" vertical="center" indent="1"/>
    </xf>
    <xf numFmtId="41" fontId="91" fillId="0" borderId="11" xfId="102" applyFont="1" applyBorder="1" applyAlignment="1">
      <alignment horizontal="center" vertical="center"/>
    </xf>
    <xf numFmtId="177" fontId="91" fillId="0" borderId="21" xfId="55" applyNumberFormat="1" applyFont="1" applyBorder="1" applyAlignment="1">
      <alignment horizontal="right" vertical="center"/>
    </xf>
    <xf numFmtId="177" fontId="91" fillId="0" borderId="22" xfId="55" applyNumberFormat="1" applyFont="1" applyBorder="1" applyAlignment="1">
      <alignment horizontal="right" vertical="center"/>
    </xf>
    <xf numFmtId="0" fontId="91" fillId="10" borderId="11" xfId="23" applyFont="1" applyFill="1" applyBorder="1" applyAlignment="1">
      <alignment horizontal="left" vertical="center"/>
    </xf>
    <xf numFmtId="180" fontId="91" fillId="10" borderId="22" xfId="23" applyNumberFormat="1" applyFont="1" applyFill="1" applyBorder="1" applyAlignment="1">
      <alignment horizontal="right" vertical="center"/>
    </xf>
    <xf numFmtId="41" fontId="91" fillId="10" borderId="22" xfId="23" applyNumberFormat="1" applyFont="1" applyFill="1" applyBorder="1" applyAlignment="1">
      <alignment horizontal="right" vertical="center"/>
    </xf>
    <xf numFmtId="222" fontId="91" fillId="10" borderId="11" xfId="23" applyNumberFormat="1" applyFont="1" applyFill="1" applyBorder="1" applyAlignment="1">
      <alignment horizontal="center" vertical="center"/>
    </xf>
    <xf numFmtId="180" fontId="91" fillId="10" borderId="21" xfId="23" applyNumberFormat="1" applyFont="1" applyFill="1" applyBorder="1" applyAlignment="1">
      <alignment horizontal="right" vertical="center"/>
    </xf>
    <xf numFmtId="41" fontId="91" fillId="10" borderId="11" xfId="23" applyNumberFormat="1" applyFont="1" applyFill="1" applyBorder="1" applyAlignment="1">
      <alignment horizontal="right" vertical="center"/>
    </xf>
    <xf numFmtId="180" fontId="91" fillId="10" borderId="0" xfId="23" applyNumberFormat="1" applyFont="1" applyFill="1" applyAlignment="1">
      <alignment horizontal="right" vertical="center"/>
    </xf>
    <xf numFmtId="229" fontId="71" fillId="11" borderId="78" xfId="993" applyFont="1" applyFill="1" applyBorder="1" applyAlignment="1">
      <alignment horizontal="center" vertical="center"/>
    </xf>
    <xf numFmtId="0" fontId="70" fillId="0" borderId="4" xfId="0" applyFont="1" applyBorder="1" applyAlignment="1">
      <alignment horizontal="center" vertical="center"/>
    </xf>
    <xf numFmtId="0" fontId="70" fillId="10" borderId="63" xfId="993" applyNumberFormat="1" applyFont="1" applyFill="1" applyBorder="1" applyAlignment="1">
      <alignment horizontal="center" vertical="center"/>
    </xf>
    <xf numFmtId="0" fontId="85" fillId="0" borderId="4" xfId="993" applyNumberFormat="1" applyFont="1" applyBorder="1" applyAlignment="1">
      <alignment horizontal="left" vertical="center" indent="1"/>
    </xf>
    <xf numFmtId="231" fontId="85" fillId="0" borderId="0" xfId="23" applyNumberFormat="1" applyFont="1" applyAlignment="1">
      <alignment vertical="center"/>
    </xf>
    <xf numFmtId="229" fontId="70" fillId="10" borderId="4" xfId="993" applyFont="1" applyFill="1" applyBorder="1" applyAlignment="1">
      <alignment horizontal="left" vertical="center" indent="1"/>
    </xf>
    <xf numFmtId="229" fontId="70" fillId="10" borderId="30" xfId="993" applyFont="1" applyFill="1" applyBorder="1">
      <alignment vertical="center"/>
    </xf>
    <xf numFmtId="229" fontId="70" fillId="10" borderId="40" xfId="993" applyFont="1" applyFill="1" applyBorder="1">
      <alignment vertical="center"/>
    </xf>
    <xf numFmtId="0" fontId="79" fillId="16" borderId="39" xfId="996" applyFont="1" applyFill="1" applyBorder="1" applyAlignment="1">
      <alignment horizontal="center" vertical="center"/>
    </xf>
    <xf numFmtId="0" fontId="79" fillId="16" borderId="20" xfId="996" applyFont="1" applyFill="1" applyBorder="1" applyAlignment="1">
      <alignment horizontal="center" vertical="center"/>
    </xf>
    <xf numFmtId="0" fontId="79" fillId="16" borderId="4" xfId="996" applyFont="1" applyFill="1" applyBorder="1" applyAlignment="1">
      <alignment horizontal="center" vertical="center"/>
    </xf>
    <xf numFmtId="0" fontId="79" fillId="16" borderId="3" xfId="996" applyFont="1" applyFill="1" applyBorder="1" applyAlignment="1">
      <alignment horizontal="center" vertical="center"/>
    </xf>
    <xf numFmtId="0" fontId="75" fillId="10" borderId="0" xfId="996" applyFont="1" applyFill="1" applyAlignment="1">
      <alignment horizontal="center" vertical="center"/>
    </xf>
    <xf numFmtId="0" fontId="76" fillId="16" borderId="83" xfId="994" applyFont="1" applyFill="1" applyBorder="1" applyAlignment="1">
      <alignment horizontal="center" vertical="center"/>
    </xf>
    <xf numFmtId="0" fontId="76" fillId="16" borderId="84" xfId="994" applyFont="1" applyFill="1" applyBorder="1" applyAlignment="1">
      <alignment horizontal="center" vertical="center"/>
    </xf>
    <xf numFmtId="0" fontId="77" fillId="10" borderId="0" xfId="996" applyFont="1" applyFill="1" applyAlignment="1">
      <alignment horizontal="left" vertical="top" wrapText="1"/>
    </xf>
    <xf numFmtId="0" fontId="77" fillId="10" borderId="80" xfId="996" applyFont="1" applyFill="1" applyBorder="1" applyAlignment="1">
      <alignment horizontal="left" vertical="top" wrapText="1"/>
    </xf>
    <xf numFmtId="0" fontId="69" fillId="10" borderId="39" xfId="996" applyFont="1" applyFill="1" applyBorder="1" applyAlignment="1">
      <alignment horizontal="left" vertical="center" indent="1"/>
    </xf>
    <xf numFmtId="0" fontId="69" fillId="10" borderId="3" xfId="996" applyFont="1" applyFill="1" applyBorder="1" applyAlignment="1">
      <alignment horizontal="left" vertical="center" indent="1"/>
    </xf>
    <xf numFmtId="0" fontId="69" fillId="10" borderId="20" xfId="996" applyFont="1" applyFill="1" applyBorder="1" applyAlignment="1">
      <alignment horizontal="left" vertical="center" indent="1"/>
    </xf>
    <xf numFmtId="0" fontId="69" fillId="8" borderId="39" xfId="996" applyFont="1" applyFill="1" applyBorder="1" applyAlignment="1">
      <alignment horizontal="center" vertical="center"/>
    </xf>
    <xf numFmtId="0" fontId="69" fillId="8" borderId="20" xfId="996" applyFont="1" applyFill="1" applyBorder="1" applyAlignment="1">
      <alignment horizontal="center" vertical="center"/>
    </xf>
    <xf numFmtId="41" fontId="80" fillId="8" borderId="4" xfId="995" applyFont="1" applyFill="1" applyBorder="1" applyAlignment="1">
      <alignment horizontal="center" vertical="center"/>
    </xf>
    <xf numFmtId="41" fontId="80" fillId="8" borderId="39" xfId="995" applyFont="1" applyFill="1" applyBorder="1" applyAlignment="1">
      <alignment horizontal="center" vertical="center"/>
    </xf>
    <xf numFmtId="41" fontId="80" fillId="8" borderId="3" xfId="995" applyFont="1" applyFill="1" applyBorder="1" applyAlignment="1">
      <alignment horizontal="center" vertical="center"/>
    </xf>
    <xf numFmtId="41" fontId="80" fillId="8" borderId="20" xfId="995" applyFont="1" applyFill="1" applyBorder="1" applyAlignment="1">
      <alignment horizontal="center" vertical="center"/>
    </xf>
    <xf numFmtId="0" fontId="69" fillId="8" borderId="3" xfId="996" applyFont="1" applyFill="1" applyBorder="1" applyAlignment="1">
      <alignment horizontal="center" vertical="center"/>
    </xf>
    <xf numFmtId="41" fontId="69" fillId="10" borderId="39" xfId="995" applyFont="1" applyFill="1" applyBorder="1" applyAlignment="1">
      <alignment horizontal="center" vertical="center"/>
    </xf>
    <xf numFmtId="41" fontId="69" fillId="10" borderId="3" xfId="995" applyFont="1" applyFill="1" applyBorder="1" applyAlignment="1">
      <alignment horizontal="center" vertical="center"/>
    </xf>
    <xf numFmtId="41" fontId="69" fillId="10" borderId="20" xfId="995" applyFont="1" applyFill="1" applyBorder="1" applyAlignment="1">
      <alignment horizontal="center" vertical="center"/>
    </xf>
    <xf numFmtId="0" fontId="69" fillId="10" borderId="45" xfId="996" applyFont="1" applyFill="1" applyBorder="1" applyAlignment="1">
      <alignment horizontal="center" vertical="center"/>
    </xf>
    <xf numFmtId="0" fontId="69" fillId="10" borderId="43" xfId="996" applyFont="1" applyFill="1" applyBorder="1" applyAlignment="1">
      <alignment horizontal="center" vertical="center"/>
    </xf>
    <xf numFmtId="0" fontId="69" fillId="10" borderId="39" xfId="996" applyFont="1" applyFill="1" applyBorder="1" applyAlignment="1">
      <alignment horizontal="center" vertical="center"/>
    </xf>
    <xf numFmtId="0" fontId="69" fillId="10" borderId="20" xfId="996" applyFont="1" applyFill="1" applyBorder="1" applyAlignment="1">
      <alignment horizontal="center" vertical="center"/>
    </xf>
    <xf numFmtId="229" fontId="71" fillId="11" borderId="78" xfId="993" applyFont="1" applyFill="1" applyBorder="1" applyAlignment="1">
      <alignment horizontal="center" vertical="center"/>
    </xf>
    <xf numFmtId="229" fontId="70" fillId="10" borderId="11" xfId="993" applyFont="1" applyFill="1" applyBorder="1" applyAlignment="1">
      <alignment horizontal="center" vertical="center"/>
    </xf>
    <xf numFmtId="229" fontId="70" fillId="10" borderId="36" xfId="993" applyFont="1" applyFill="1" applyBorder="1" applyAlignment="1">
      <alignment horizontal="center" vertical="center"/>
    </xf>
    <xf numFmtId="229" fontId="70" fillId="10" borderId="12" xfId="993" applyFont="1" applyFill="1" applyBorder="1" applyAlignment="1">
      <alignment horizontal="center" vertical="center"/>
    </xf>
    <xf numFmtId="0" fontId="70" fillId="0" borderId="36" xfId="0" applyFont="1" applyBorder="1" applyAlignment="1">
      <alignment horizontal="center" vertical="center"/>
    </xf>
    <xf numFmtId="0" fontId="70" fillId="0" borderId="11" xfId="0" applyFont="1" applyBorder="1" applyAlignment="1">
      <alignment horizontal="center" vertical="center"/>
    </xf>
    <xf numFmtId="0" fontId="70" fillId="0" borderId="12" xfId="0" applyFont="1" applyBorder="1" applyAlignment="1">
      <alignment horizontal="center" vertical="center"/>
    </xf>
    <xf numFmtId="0" fontId="70" fillId="0" borderId="4" xfId="0" applyFont="1" applyBorder="1" applyAlignment="1">
      <alignment horizontal="center" vertical="center"/>
    </xf>
    <xf numFmtId="0" fontId="70" fillId="0" borderId="19" xfId="0" applyFont="1" applyBorder="1" applyAlignment="1">
      <alignment horizontal="center" vertical="center"/>
    </xf>
    <xf numFmtId="0" fontId="82" fillId="0" borderId="0" xfId="30" applyFont="1" applyAlignment="1">
      <alignment horizontal="center" vertical="center"/>
    </xf>
    <xf numFmtId="0" fontId="81" fillId="0" borderId="37" xfId="30" applyFont="1" applyBorder="1" applyAlignment="1">
      <alignment horizontal="center" vertical="center"/>
    </xf>
    <xf numFmtId="0" fontId="81" fillId="0" borderId="10" xfId="30" applyFont="1" applyBorder="1" applyAlignment="1">
      <alignment horizontal="center" vertical="center"/>
    </xf>
    <xf numFmtId="0" fontId="91" fillId="0" borderId="36" xfId="23" applyFont="1" applyBorder="1" applyAlignment="1">
      <alignment horizontal="center" vertical="center" wrapText="1"/>
    </xf>
    <xf numFmtId="0" fontId="91" fillId="0" borderId="11" xfId="23" applyFont="1" applyBorder="1" applyAlignment="1">
      <alignment horizontal="center" vertical="center"/>
    </xf>
    <xf numFmtId="0" fontId="82" fillId="0" borderId="0" xfId="23" applyFont="1" applyAlignment="1">
      <alignment horizontal="center" vertical="center"/>
    </xf>
    <xf numFmtId="0" fontId="90" fillId="4" borderId="48" xfId="23" applyFont="1" applyFill="1" applyBorder="1" applyAlignment="1">
      <alignment horizontal="center" vertical="center"/>
    </xf>
    <xf numFmtId="0" fontId="90" fillId="4" borderId="50" xfId="23" applyFont="1" applyFill="1" applyBorder="1" applyAlignment="1">
      <alignment horizontal="center" vertical="center"/>
    </xf>
    <xf numFmtId="0" fontId="90" fillId="4" borderId="51" xfId="23" applyFont="1" applyFill="1" applyBorder="1" applyAlignment="1">
      <alignment horizontal="center" vertical="center"/>
    </xf>
    <xf numFmtId="0" fontId="90" fillId="4" borderId="19" xfId="23" applyFont="1" applyFill="1" applyBorder="1" applyAlignment="1">
      <alignment horizontal="center" vertical="center"/>
    </xf>
    <xf numFmtId="0" fontId="85" fillId="4" borderId="11" xfId="23" applyFont="1" applyFill="1" applyBorder="1" applyAlignment="1">
      <alignment horizontal="center" vertical="center"/>
    </xf>
    <xf numFmtId="0" fontId="85" fillId="4" borderId="19" xfId="23" applyFont="1" applyFill="1" applyBorder="1" applyAlignment="1">
      <alignment horizontal="center" vertical="center"/>
    </xf>
    <xf numFmtId="3" fontId="90" fillId="4" borderId="7" xfId="23" applyNumberFormat="1" applyFont="1" applyFill="1" applyBorder="1" applyAlignment="1">
      <alignment horizontal="center" vertical="center"/>
    </xf>
    <xf numFmtId="0" fontId="90" fillId="4" borderId="7" xfId="23" applyFont="1" applyFill="1" applyBorder="1" applyAlignment="1">
      <alignment horizontal="center" vertical="center"/>
    </xf>
    <xf numFmtId="0" fontId="90" fillId="4" borderId="52" xfId="23" applyFont="1" applyFill="1" applyBorder="1" applyAlignment="1">
      <alignment horizontal="center" vertical="center"/>
    </xf>
    <xf numFmtId="0" fontId="90" fillId="4" borderId="40" xfId="23" applyFont="1" applyFill="1" applyBorder="1" applyAlignment="1">
      <alignment horizontal="center" vertical="center"/>
    </xf>
    <xf numFmtId="0" fontId="90" fillId="4" borderId="26" xfId="23" applyFont="1" applyFill="1" applyBorder="1" applyAlignment="1">
      <alignment horizontal="center" vertical="center"/>
    </xf>
    <xf numFmtId="0" fontId="90" fillId="4" borderId="53" xfId="23" applyFont="1" applyFill="1" applyBorder="1" applyAlignment="1">
      <alignment horizontal="center" vertical="center"/>
    </xf>
    <xf numFmtId="41" fontId="93" fillId="7" borderId="54" xfId="12" applyFont="1" applyFill="1" applyBorder="1" applyAlignment="1">
      <alignment horizontal="center" vertical="center"/>
    </xf>
    <xf numFmtId="41" fontId="93" fillId="7" borderId="55" xfId="12" applyFont="1" applyFill="1" applyBorder="1" applyAlignment="1">
      <alignment horizontal="center" vertical="center"/>
    </xf>
    <xf numFmtId="41" fontId="93" fillId="7" borderId="56" xfId="12" applyFont="1" applyFill="1" applyBorder="1" applyAlignment="1">
      <alignment horizontal="center" vertical="center"/>
    </xf>
    <xf numFmtId="0" fontId="96" fillId="0" borderId="0" xfId="23" applyFont="1" applyAlignment="1">
      <alignment horizontal="center" vertical="center"/>
    </xf>
    <xf numFmtId="0" fontId="90" fillId="4" borderId="25" xfId="23" applyFont="1" applyFill="1" applyBorder="1" applyAlignment="1">
      <alignment horizontal="center" vertical="center"/>
    </xf>
    <xf numFmtId="0" fontId="90" fillId="4" borderId="38" xfId="23" applyFont="1" applyFill="1" applyBorder="1" applyAlignment="1">
      <alignment horizontal="center" vertical="center"/>
    </xf>
    <xf numFmtId="3" fontId="90" fillId="4" borderId="24" xfId="23" applyNumberFormat="1" applyFont="1" applyFill="1" applyBorder="1" applyAlignment="1">
      <alignment horizontal="center" vertical="center"/>
    </xf>
    <xf numFmtId="3" fontId="90" fillId="4" borderId="42" xfId="23" applyNumberFormat="1" applyFont="1" applyFill="1" applyBorder="1" applyAlignment="1">
      <alignment horizontal="center" vertical="center"/>
    </xf>
    <xf numFmtId="0" fontId="90" fillId="4" borderId="24" xfId="23" applyFont="1" applyFill="1" applyBorder="1" applyAlignment="1">
      <alignment horizontal="center" vertical="center"/>
    </xf>
    <xf numFmtId="0" fontId="90" fillId="4" borderId="42" xfId="23" applyFont="1" applyFill="1" applyBorder="1" applyAlignment="1">
      <alignment horizontal="center" vertical="center"/>
    </xf>
    <xf numFmtId="0" fontId="90" fillId="4" borderId="23" xfId="23" applyFont="1" applyFill="1" applyBorder="1" applyAlignment="1">
      <alignment horizontal="center" vertical="center"/>
    </xf>
    <xf numFmtId="0" fontId="93" fillId="0" borderId="31" xfId="23" applyFont="1" applyBorder="1" applyAlignment="1">
      <alignment horizontal="left" vertical="center" wrapText="1"/>
    </xf>
    <xf numFmtId="0" fontId="93" fillId="0" borderId="21" xfId="23" applyFont="1" applyBorder="1" applyAlignment="1">
      <alignment horizontal="left" vertical="center" wrapText="1"/>
    </xf>
    <xf numFmtId="0" fontId="85" fillId="8" borderId="36" xfId="58" applyFont="1" applyFill="1" applyBorder="1" applyAlignment="1">
      <alignment horizontal="center" vertical="center" wrapText="1"/>
    </xf>
    <xf numFmtId="0" fontId="85" fillId="8" borderId="19" xfId="58" applyFont="1" applyFill="1" applyBorder="1" applyAlignment="1">
      <alignment horizontal="center" vertical="center" wrapText="1"/>
    </xf>
    <xf numFmtId="41" fontId="85" fillId="4" borderId="4" xfId="885" applyFont="1" applyFill="1" applyBorder="1" applyAlignment="1">
      <alignment horizontal="center" vertical="center" wrapText="1"/>
    </xf>
    <xf numFmtId="0" fontId="85" fillId="8" borderId="4" xfId="58" applyFont="1" applyFill="1" applyBorder="1" applyAlignment="1">
      <alignment horizontal="center" vertical="center" wrapText="1"/>
    </xf>
    <xf numFmtId="0" fontId="99" fillId="0" borderId="0" xfId="58" applyFont="1" applyAlignment="1">
      <alignment horizontal="center" vertical="center"/>
    </xf>
    <xf numFmtId="0" fontId="85" fillId="0" borderId="39" xfId="56" applyFont="1" applyBorder="1" applyAlignment="1">
      <alignment horizontal="left" vertical="center" wrapText="1" indent="1"/>
    </xf>
    <xf numFmtId="0" fontId="85" fillId="0" borderId="3" xfId="56" applyFont="1" applyBorder="1" applyAlignment="1">
      <alignment horizontal="left" vertical="center" wrapText="1" indent="1"/>
    </xf>
    <xf numFmtId="0" fontId="85" fillId="0" borderId="20" xfId="56" applyFont="1" applyBorder="1" applyAlignment="1">
      <alignment horizontal="left" vertical="center" wrapText="1" indent="1"/>
    </xf>
    <xf numFmtId="0" fontId="91" fillId="0" borderId="39" xfId="58" applyFont="1" applyBorder="1" applyAlignment="1">
      <alignment horizontal="left" vertical="center" indent="1"/>
    </xf>
    <xf numFmtId="0" fontId="91" fillId="0" borderId="3" xfId="58" applyFont="1" applyBorder="1" applyAlignment="1">
      <alignment horizontal="left" vertical="center" indent="1"/>
    </xf>
    <xf numFmtId="0" fontId="91" fillId="0" borderId="20" xfId="58" applyFont="1" applyBorder="1" applyAlignment="1">
      <alignment horizontal="left" vertical="center" indent="1"/>
    </xf>
    <xf numFmtId="0" fontId="85" fillId="0" borderId="3" xfId="56" applyFont="1" applyBorder="1" applyAlignment="1">
      <alignment horizontal="left" vertical="center" indent="1"/>
    </xf>
    <xf numFmtId="0" fontId="85" fillId="0" borderId="20" xfId="56" applyFont="1" applyBorder="1" applyAlignment="1">
      <alignment horizontal="left" vertical="center" indent="1"/>
    </xf>
    <xf numFmtId="0" fontId="85" fillId="0" borderId="39" xfId="56" applyFont="1" applyBorder="1" applyAlignment="1">
      <alignment horizontal="left" vertical="center" indent="1"/>
    </xf>
    <xf numFmtId="0" fontId="90" fillId="8" borderId="39" xfId="56" applyFont="1" applyFill="1" applyBorder="1" applyAlignment="1">
      <alignment horizontal="center" vertical="center"/>
    </xf>
    <xf numFmtId="0" fontId="90" fillId="8" borderId="3" xfId="56" applyFont="1" applyFill="1" applyBorder="1" applyAlignment="1">
      <alignment horizontal="center" vertical="center"/>
    </xf>
    <xf numFmtId="0" fontId="90" fillId="8" borderId="20" xfId="56" applyFont="1" applyFill="1" applyBorder="1" applyAlignment="1">
      <alignment horizontal="center" vertical="center"/>
    </xf>
    <xf numFmtId="0" fontId="103" fillId="0" borderId="0" xfId="23" applyFont="1" applyAlignment="1">
      <alignment horizontal="center" vertical="center"/>
    </xf>
    <xf numFmtId="0" fontId="86" fillId="4" borderId="57" xfId="23" applyFont="1" applyFill="1" applyBorder="1" applyAlignment="1">
      <alignment horizontal="center" vertical="center"/>
    </xf>
    <xf numFmtId="0" fontId="86" fillId="4" borderId="23" xfId="23" applyFont="1" applyFill="1" applyBorder="1" applyAlignment="1">
      <alignment horizontal="center" vertical="center"/>
    </xf>
    <xf numFmtId="41" fontId="86" fillId="4" borderId="24" xfId="23" applyNumberFormat="1" applyFont="1" applyFill="1" applyBorder="1" applyAlignment="1">
      <alignment horizontal="center" vertical="center"/>
    </xf>
    <xf numFmtId="41" fontId="86" fillId="4" borderId="42" xfId="23" applyNumberFormat="1" applyFont="1" applyFill="1" applyBorder="1" applyAlignment="1">
      <alignment horizontal="center" vertical="center"/>
    </xf>
    <xf numFmtId="41" fontId="86" fillId="4" borderId="23" xfId="23" applyNumberFormat="1" applyFont="1" applyFill="1" applyBorder="1" applyAlignment="1">
      <alignment horizontal="center" vertical="center"/>
    </xf>
    <xf numFmtId="3" fontId="86" fillId="4" borderId="24" xfId="23" applyNumberFormat="1" applyFont="1" applyFill="1" applyBorder="1" applyAlignment="1">
      <alignment horizontal="center" vertical="center"/>
    </xf>
    <xf numFmtId="3" fontId="86" fillId="4" borderId="58" xfId="23" applyNumberFormat="1" applyFont="1" applyFill="1" applyBorder="1" applyAlignment="1">
      <alignment horizontal="center" vertical="center"/>
    </xf>
    <xf numFmtId="3" fontId="87" fillId="10" borderId="22" xfId="24" applyNumberFormat="1" applyFont="1" applyFill="1" applyBorder="1" applyAlignment="1">
      <alignment horizontal="left" vertical="center"/>
    </xf>
    <xf numFmtId="3" fontId="87" fillId="10" borderId="27" xfId="24" applyNumberFormat="1" applyFont="1" applyFill="1" applyBorder="1" applyAlignment="1">
      <alignment horizontal="left" vertical="center"/>
    </xf>
    <xf numFmtId="0" fontId="82" fillId="0" borderId="0" xfId="27" applyFont="1" applyAlignment="1">
      <alignment horizontal="center" vertical="center"/>
    </xf>
    <xf numFmtId="0" fontId="81" fillId="4" borderId="7" xfId="27" applyFont="1" applyFill="1" applyBorder="1" applyAlignment="1">
      <alignment horizontal="center" vertical="center"/>
    </xf>
    <xf numFmtId="0" fontId="90" fillId="0" borderId="45" xfId="27" applyFont="1" applyBorder="1" applyAlignment="1">
      <alignment horizontal="center" vertical="center" wrapText="1"/>
    </xf>
    <xf numFmtId="0" fontId="90" fillId="0" borderId="43" xfId="27" applyFont="1" applyBorder="1" applyAlignment="1">
      <alignment horizontal="center" vertical="center" wrapText="1"/>
    </xf>
    <xf numFmtId="0" fontId="90" fillId="0" borderId="22" xfId="27" applyFont="1" applyBorder="1" applyAlignment="1">
      <alignment horizontal="center" vertical="center" wrapText="1"/>
    </xf>
    <xf numFmtId="0" fontId="90" fillId="0" borderId="21" xfId="27" applyFont="1" applyBorder="1" applyAlignment="1">
      <alignment horizontal="center" vertical="center" wrapText="1"/>
    </xf>
    <xf numFmtId="0" fontId="90" fillId="0" borderId="13" xfId="27" applyFont="1" applyBorder="1" applyAlignment="1">
      <alignment horizontal="center" vertical="center" wrapText="1"/>
    </xf>
    <xf numFmtId="0" fontId="90" fillId="0" borderId="15" xfId="27" applyFont="1" applyBorder="1" applyAlignment="1">
      <alignment horizontal="center" vertical="center" wrapText="1"/>
    </xf>
    <xf numFmtId="0" fontId="65" fillId="0" borderId="30" xfId="27" applyFont="1" applyBorder="1" applyAlignment="1">
      <alignment horizontal="left" vertical="top" wrapText="1"/>
    </xf>
    <xf numFmtId="0" fontId="30" fillId="0" borderId="30" xfId="27" applyFont="1" applyBorder="1" applyAlignment="1">
      <alignment horizontal="left" vertical="top" wrapText="1"/>
    </xf>
    <xf numFmtId="0" fontId="30" fillId="0" borderId="34" xfId="27" applyFont="1" applyBorder="1" applyAlignment="1">
      <alignment horizontal="left" vertical="top" wrapText="1"/>
    </xf>
    <xf numFmtId="0" fontId="30" fillId="0" borderId="36" xfId="27" applyFont="1" applyBorder="1" applyAlignment="1">
      <alignment horizontal="center" vertical="center"/>
    </xf>
    <xf numFmtId="0" fontId="30" fillId="0" borderId="11" xfId="27" applyFont="1" applyBorder="1" applyAlignment="1">
      <alignment horizontal="center" vertical="center"/>
    </xf>
    <xf numFmtId="0" fontId="30" fillId="0" borderId="12" xfId="27" applyFont="1" applyBorder="1" applyAlignment="1">
      <alignment horizontal="center" vertical="center"/>
    </xf>
    <xf numFmtId="0" fontId="28" fillId="0" borderId="0" xfId="27" applyFont="1" applyAlignment="1">
      <alignment horizontal="center" vertical="center"/>
    </xf>
  </cellXfs>
  <cellStyles count="1008">
    <cellStyle name="#,##0" xfId="63" xr:uid="{00000000-0005-0000-0000-000000000000}"/>
    <cellStyle name="#,##0!" xfId="64" xr:uid="{00000000-0005-0000-0000-000001000000}"/>
    <cellStyle name="#,##0$" xfId="65" xr:uid="{00000000-0005-0000-0000-000002000000}"/>
    <cellStyle name="#,##0$!" xfId="66" xr:uid="{00000000-0005-0000-0000-000003000000}"/>
    <cellStyle name="#,##0$$" xfId="67" xr:uid="{00000000-0005-0000-0000-000004000000}"/>
    <cellStyle name="#,##0$$!" xfId="68" xr:uid="{00000000-0005-0000-0000-000005000000}"/>
    <cellStyle name="#,##0$$$" xfId="69" xr:uid="{00000000-0005-0000-0000-000006000000}"/>
    <cellStyle name="#,##0$$$!" xfId="70" xr:uid="{00000000-0005-0000-0000-000007000000}"/>
    <cellStyle name="#,##0$$$$" xfId="71" xr:uid="{00000000-0005-0000-0000-000008000000}"/>
    <cellStyle name="#,##0$$$$!" xfId="72" xr:uid="{00000000-0005-0000-0000-000009000000}"/>
    <cellStyle name="#,##0$$$$$" xfId="73" xr:uid="{00000000-0005-0000-0000-00000A000000}"/>
    <cellStyle name="#,##0$$$$$!" xfId="74" xr:uid="{00000000-0005-0000-0000-00000B000000}"/>
    <cellStyle name="#,##0$$$$$$" xfId="75" xr:uid="{00000000-0005-0000-0000-00000C000000}"/>
    <cellStyle name="#,##0$$$$$$!" xfId="76" xr:uid="{00000000-0005-0000-0000-00000D000000}"/>
    <cellStyle name="#,##0$$$$$$$" xfId="77" xr:uid="{00000000-0005-0000-0000-00000E000000}"/>
    <cellStyle name="#,##0$$$$$$$!" xfId="78" xr:uid="{00000000-0005-0000-0000-00000F000000}"/>
    <cellStyle name="#,##0$$$$$$$$" xfId="79" xr:uid="{00000000-0005-0000-0000-000010000000}"/>
    <cellStyle name="#,##0.0$" xfId="80" xr:uid="{00000000-0005-0000-0000-000011000000}"/>
    <cellStyle name="#,##0.0$!" xfId="81" xr:uid="{00000000-0005-0000-0000-000012000000}"/>
    <cellStyle name="#,##0.0$$" xfId="82" xr:uid="{00000000-0005-0000-0000-000013000000}"/>
    <cellStyle name="#,##0.0$$!" xfId="83" xr:uid="{00000000-0005-0000-0000-000014000000}"/>
    <cellStyle name="#,##0.0$$$" xfId="84" xr:uid="{00000000-0005-0000-0000-000015000000}"/>
    <cellStyle name="#,##0.0$$$!" xfId="85" xr:uid="{00000000-0005-0000-0000-000016000000}"/>
    <cellStyle name="#,##0.0$$$$" xfId="86" xr:uid="{00000000-0005-0000-0000-000017000000}"/>
    <cellStyle name="#,##0.0$$$$!" xfId="87" xr:uid="{00000000-0005-0000-0000-000018000000}"/>
    <cellStyle name="#,##0.0$$$$$" xfId="88" xr:uid="{00000000-0005-0000-0000-000019000000}"/>
    <cellStyle name="#,##0.0$$$$$!" xfId="89" xr:uid="{00000000-0005-0000-0000-00001A000000}"/>
    <cellStyle name="#,##0.0$$$$$$" xfId="90" xr:uid="{00000000-0005-0000-0000-00001B000000}"/>
    <cellStyle name="#,##0.0$$$$$$!" xfId="91" xr:uid="{00000000-0005-0000-0000-00001C000000}"/>
    <cellStyle name="??&amp;O?&amp;H?_x0008_??_x0007__x0001__x0001_" xfId="1" xr:uid="{00000000-0005-0000-0000-00001D000000}"/>
    <cellStyle name="?W?_laroux" xfId="2" xr:uid="{00000000-0005-0000-0000-00001E000000}"/>
    <cellStyle name="_Book1" xfId="93" xr:uid="{00000000-0005-0000-0000-00001F000000}"/>
    <cellStyle name="_펌프흡입배관교체" xfId="92" xr:uid="{00000000-0005-0000-0000-000020000000}"/>
    <cellStyle name="’E‰Y [0.00]_laroux" xfId="3" xr:uid="{00000000-0005-0000-0000-000021000000}"/>
    <cellStyle name="’E‰Y_laroux" xfId="4" xr:uid="{00000000-0005-0000-0000-000022000000}"/>
    <cellStyle name="¤@?e_TEST-1 " xfId="94" xr:uid="{00000000-0005-0000-0000-000023000000}"/>
    <cellStyle name="90" xfId="95" xr:uid="{00000000-0005-0000-0000-000024000000}"/>
    <cellStyle name="AeE­ [0]_¼oAI¼º " xfId="851" xr:uid="{00000000-0005-0000-0000-000025000000}"/>
    <cellStyle name="ÅëÈ­ [0]_INQUIRY ¿µ¾÷ÃßÁø " xfId="852" xr:uid="{00000000-0005-0000-0000-000026000000}"/>
    <cellStyle name="AeE­ [0]_INQUIRY ¿μ¾÷AßAø " xfId="853" xr:uid="{00000000-0005-0000-0000-000027000000}"/>
    <cellStyle name="AeE­_¼oAI¼º " xfId="854" xr:uid="{00000000-0005-0000-0000-000028000000}"/>
    <cellStyle name="ÅëÈ­_INQUIRY ¿µ¾÷ÃßÁø " xfId="855" xr:uid="{00000000-0005-0000-0000-000029000000}"/>
    <cellStyle name="AeE­_INQUIRY ¿μ¾÷AßAø " xfId="856" xr:uid="{00000000-0005-0000-0000-00002A000000}"/>
    <cellStyle name="ALIGNMENT" xfId="34" xr:uid="{00000000-0005-0000-0000-00002B000000}"/>
    <cellStyle name="ÄÞ¸¶ [0]_¿ø°¡" xfId="35" xr:uid="{00000000-0005-0000-0000-00002C000000}"/>
    <cellStyle name="AÞ¸¶ [0]_¼oAI¼º " xfId="857" xr:uid="{00000000-0005-0000-0000-00002D000000}"/>
    <cellStyle name="ÄÞ¸¶ [0]_INQUIRY ¿µ¾÷ÃßÁø " xfId="858" xr:uid="{00000000-0005-0000-0000-00002E000000}"/>
    <cellStyle name="AÞ¸¶ [0]_INQUIRY ¿μ¾÷AßAø " xfId="859" xr:uid="{00000000-0005-0000-0000-00002F000000}"/>
    <cellStyle name="AÞ¸¶_¼oAI¼º " xfId="860" xr:uid="{00000000-0005-0000-0000-000030000000}"/>
    <cellStyle name="ÄÞ¸¶_INQUIRY ¿µ¾÷ÃßÁø " xfId="861" xr:uid="{00000000-0005-0000-0000-000031000000}"/>
    <cellStyle name="AÞ¸¶_INQUIRY ¿μ¾÷AßAø " xfId="862" xr:uid="{00000000-0005-0000-0000-000032000000}"/>
    <cellStyle name="Ç¥ÁØ_¿µ¾÷ÇöÈ² " xfId="863" xr:uid="{00000000-0005-0000-0000-000033000000}"/>
    <cellStyle name="C￥AØ_¿μ¾÷CoE² " xfId="864" xr:uid="{00000000-0005-0000-0000-000034000000}"/>
    <cellStyle name="Ç¥ÁØ_°­´ç (2)" xfId="865" xr:uid="{00000000-0005-0000-0000-000035000000}"/>
    <cellStyle name="C￥AØ_¼oAI¼º " xfId="866" xr:uid="{00000000-0005-0000-0000-000036000000}"/>
    <cellStyle name="Ç¥ÁØ_5-1±¤°í " xfId="867" xr:uid="{00000000-0005-0000-0000-000037000000}"/>
    <cellStyle name="C￥AØ_AN°y(1.25) " xfId="868" xr:uid="{00000000-0005-0000-0000-000038000000}"/>
    <cellStyle name="Ç¥ÁØ_Áý°èÇ¥(2¿ù) " xfId="869" xr:uid="{00000000-0005-0000-0000-000039000000}"/>
    <cellStyle name="C￥AØ_PERSONAL" xfId="36" xr:uid="{00000000-0005-0000-0000-00003A000000}"/>
    <cellStyle name="category" xfId="870" xr:uid="{00000000-0005-0000-0000-00003B000000}"/>
    <cellStyle name="Comma [0]_ SG&amp;A Bridge " xfId="37" xr:uid="{00000000-0005-0000-0000-00003C000000}"/>
    <cellStyle name="comma zerodec" xfId="871" xr:uid="{00000000-0005-0000-0000-00003D000000}"/>
    <cellStyle name="Comma_ SG&amp;A Bridge " xfId="38" xr:uid="{00000000-0005-0000-0000-00003E000000}"/>
    <cellStyle name="Curren?_x0012_퐀_x0017_?" xfId="872" xr:uid="{00000000-0005-0000-0000-00003F000000}"/>
    <cellStyle name="Currency [0]_ SG&amp;A Bridge " xfId="39" xr:uid="{00000000-0005-0000-0000-000040000000}"/>
    <cellStyle name="currency-$_표지 " xfId="873" xr:uid="{00000000-0005-0000-0000-000041000000}"/>
    <cellStyle name="Currency_ SG&amp;A Bridge " xfId="40" xr:uid="{00000000-0005-0000-0000-000042000000}"/>
    <cellStyle name="Currency1" xfId="41" xr:uid="{00000000-0005-0000-0000-000043000000}"/>
    <cellStyle name="Currency1 2" xfId="893" xr:uid="{00000000-0005-0000-0000-000044000000}"/>
    <cellStyle name="Currency1 3" xfId="939" xr:uid="{00000000-0005-0000-0000-000045000000}"/>
    <cellStyle name="Dollar (zero dec)" xfId="874" xr:uid="{00000000-0005-0000-0000-000046000000}"/>
    <cellStyle name="Grey" xfId="42" xr:uid="{00000000-0005-0000-0000-000047000000}"/>
    <cellStyle name="HEADER" xfId="875" xr:uid="{00000000-0005-0000-0000-000048000000}"/>
    <cellStyle name="Header1" xfId="43" xr:uid="{00000000-0005-0000-0000-000049000000}"/>
    <cellStyle name="Header2" xfId="44" xr:uid="{00000000-0005-0000-0000-00004A000000}"/>
    <cellStyle name="Hyperlink_NEGS" xfId="45" xr:uid="{00000000-0005-0000-0000-00004B000000}"/>
    <cellStyle name="Input [yellow]" xfId="46" xr:uid="{00000000-0005-0000-0000-00004C000000}"/>
    <cellStyle name="M" xfId="47" xr:uid="{00000000-0005-0000-0000-00004D000000}"/>
    <cellStyle name="Milliers [0]_Arabian Spec" xfId="876" xr:uid="{00000000-0005-0000-0000-00004E000000}"/>
    <cellStyle name="Milliers_Arabian Spec" xfId="877" xr:uid="{00000000-0005-0000-0000-00004F000000}"/>
    <cellStyle name="Model" xfId="878" xr:uid="{00000000-0005-0000-0000-000050000000}"/>
    <cellStyle name="Mon?aire [0]_Arabian Spec" xfId="879" xr:uid="{00000000-0005-0000-0000-000051000000}"/>
    <cellStyle name="Mon?aire_Arabian Spec" xfId="880" xr:uid="{00000000-0005-0000-0000-000052000000}"/>
    <cellStyle name="no dec" xfId="48" xr:uid="{00000000-0005-0000-0000-000053000000}"/>
    <cellStyle name="Normal - Style1" xfId="49" xr:uid="{00000000-0005-0000-0000-000054000000}"/>
    <cellStyle name="Normal - Style1 2" xfId="881" xr:uid="{00000000-0005-0000-0000-000055000000}"/>
    <cellStyle name="Normal - Style1 3" xfId="894" xr:uid="{00000000-0005-0000-0000-000056000000}"/>
    <cellStyle name="Normal - Style1 4" xfId="895" xr:uid="{00000000-0005-0000-0000-000057000000}"/>
    <cellStyle name="Normal - Style1 5" xfId="940" xr:uid="{00000000-0005-0000-0000-000058000000}"/>
    <cellStyle name="Normal_ SG&amp;A Bridge " xfId="50" xr:uid="{00000000-0005-0000-0000-000059000000}"/>
    <cellStyle name="Œ…?æ맖?e [0.00]_laroux" xfId="51" xr:uid="{00000000-0005-0000-0000-00005A000000}"/>
    <cellStyle name="Œ…?æ맖?e_laroux" xfId="52" xr:uid="{00000000-0005-0000-0000-00005B000000}"/>
    <cellStyle name="Percent [2]" xfId="53" xr:uid="{00000000-0005-0000-0000-00005C000000}"/>
    <cellStyle name="subhead" xfId="882" xr:uid="{00000000-0005-0000-0000-00005D000000}"/>
    <cellStyle name="title [1]" xfId="883" xr:uid="{00000000-0005-0000-0000-00005E000000}"/>
    <cellStyle name="title [2]" xfId="884" xr:uid="{00000000-0005-0000-0000-00005F000000}"/>
    <cellStyle name="고정소숫점" xfId="5" xr:uid="{00000000-0005-0000-0000-000060000000}"/>
    <cellStyle name="고정소숫점 2" xfId="896" xr:uid="{00000000-0005-0000-0000-000061000000}"/>
    <cellStyle name="고정소숫점 3" xfId="897" xr:uid="{00000000-0005-0000-0000-000062000000}"/>
    <cellStyle name="고정소숫점 4" xfId="942" xr:uid="{00000000-0005-0000-0000-000063000000}"/>
    <cellStyle name="고정출력1" xfId="6" xr:uid="{00000000-0005-0000-0000-000064000000}"/>
    <cellStyle name="고정출력1 2" xfId="898" xr:uid="{00000000-0005-0000-0000-000065000000}"/>
    <cellStyle name="고정출력1 3" xfId="899" xr:uid="{00000000-0005-0000-0000-000066000000}"/>
    <cellStyle name="고정출력2" xfId="7" xr:uid="{00000000-0005-0000-0000-000067000000}"/>
    <cellStyle name="고정출력2 2" xfId="900" xr:uid="{00000000-0005-0000-0000-000068000000}"/>
    <cellStyle name="고정출력2 3" xfId="901" xr:uid="{00000000-0005-0000-0000-000069000000}"/>
    <cellStyle name="날짜" xfId="8" xr:uid="{00000000-0005-0000-0000-00006A000000}"/>
    <cellStyle name="날짜 2" xfId="902" xr:uid="{00000000-0005-0000-0000-00006B000000}"/>
    <cellStyle name="날짜 3" xfId="903" xr:uid="{00000000-0005-0000-0000-00006C000000}"/>
    <cellStyle name="내역서" xfId="96" xr:uid="{00000000-0005-0000-0000-00006D000000}"/>
    <cellStyle name="달러" xfId="9" xr:uid="{00000000-0005-0000-0000-00006E000000}"/>
    <cellStyle name="달러 2" xfId="904" xr:uid="{00000000-0005-0000-0000-00006F000000}"/>
    <cellStyle name="달러 3" xfId="905" xr:uid="{00000000-0005-0000-0000-000070000000}"/>
    <cellStyle name="뒤에 오는 하이퍼링크_원주시청사 산출근거" xfId="97" xr:uid="{00000000-0005-0000-0000-000071000000}"/>
    <cellStyle name="똿뗦먛귟 [0.00]_laroux" xfId="943" xr:uid="{00000000-0005-0000-0000-000072000000}"/>
    <cellStyle name="똿뗦먛귟_laroux" xfId="944" xr:uid="{00000000-0005-0000-0000-000073000000}"/>
    <cellStyle name="믅됞 [0.00]_laroux" xfId="945" xr:uid="{00000000-0005-0000-0000-000074000000}"/>
    <cellStyle name="믅됞_laroux" xfId="946" xr:uid="{00000000-0005-0000-0000-000075000000}"/>
    <cellStyle name="백분율" xfId="54" builtinId="5"/>
    <cellStyle name="백분율 [0]" xfId="98" xr:uid="{00000000-0005-0000-0000-000077000000}"/>
    <cellStyle name="백분율 [2]" xfId="99" xr:uid="{00000000-0005-0000-0000-000078000000}"/>
    <cellStyle name="백분율 10" xfId="947" xr:uid="{00000000-0005-0000-0000-000079000000}"/>
    <cellStyle name="백분율 11" xfId="948" xr:uid="{00000000-0005-0000-0000-00007A000000}"/>
    <cellStyle name="백분율 12" xfId="949" xr:uid="{00000000-0005-0000-0000-00007B000000}"/>
    <cellStyle name="백분율 13" xfId="950" xr:uid="{00000000-0005-0000-0000-00007C000000}"/>
    <cellStyle name="백분율 14" xfId="941" xr:uid="{00000000-0005-0000-0000-00007D000000}"/>
    <cellStyle name="백분율 2" xfId="100" xr:uid="{00000000-0005-0000-0000-00007E000000}"/>
    <cellStyle name="백분율 2 2" xfId="890" xr:uid="{00000000-0005-0000-0000-00007F000000}"/>
    <cellStyle name="백분율 2 2 2" xfId="952" xr:uid="{00000000-0005-0000-0000-000080000000}"/>
    <cellStyle name="백분율 2 3" xfId="906" xr:uid="{00000000-0005-0000-0000-000081000000}"/>
    <cellStyle name="백분율 2 4" xfId="907" xr:uid="{00000000-0005-0000-0000-000082000000}"/>
    <cellStyle name="백분율 2 5" xfId="951" xr:uid="{00000000-0005-0000-0000-000083000000}"/>
    <cellStyle name="백분율 3" xfId="887" xr:uid="{00000000-0005-0000-0000-000084000000}"/>
    <cellStyle name="백분율 3 2" xfId="908" xr:uid="{00000000-0005-0000-0000-000085000000}"/>
    <cellStyle name="백분율 4" xfId="909" xr:uid="{00000000-0005-0000-0000-000086000000}"/>
    <cellStyle name="백분율 5" xfId="910" xr:uid="{00000000-0005-0000-0000-000087000000}"/>
    <cellStyle name="백분율 6" xfId="911" xr:uid="{00000000-0005-0000-0000-000088000000}"/>
    <cellStyle name="백분율 7" xfId="953" xr:uid="{00000000-0005-0000-0000-000089000000}"/>
    <cellStyle name="백분율 8" xfId="954" xr:uid="{00000000-0005-0000-0000-00008A000000}"/>
    <cellStyle name="백분율 9" xfId="955" xr:uid="{00000000-0005-0000-0000-00008B000000}"/>
    <cellStyle name="뷭?_BOOKSHIP" xfId="10" xr:uid="{00000000-0005-0000-0000-00008C000000}"/>
    <cellStyle name="숫자(R)" xfId="11" xr:uid="{00000000-0005-0000-0000-00008D000000}"/>
    <cellStyle name="쉼표 [0]" xfId="12" builtinId="6"/>
    <cellStyle name="쉼표 [0] 11 2" xfId="999" xr:uid="{00000000-0005-0000-0000-00008F000000}"/>
    <cellStyle name="쉼표 [0] 11 2 2" xfId="990" xr:uid="{00000000-0005-0000-0000-000090000000}"/>
    <cellStyle name="쉼표 [0] 11 2 2 2" xfId="997" xr:uid="{00000000-0005-0000-0000-000091000000}"/>
    <cellStyle name="쉼표 [0] 12 23" xfId="988" xr:uid="{00000000-0005-0000-0000-000092000000}"/>
    <cellStyle name="쉼표 [0] 12 23 2" xfId="995" xr:uid="{00000000-0005-0000-0000-000093000000}"/>
    <cellStyle name="쉼표 [0] 12 23 2 2" xfId="1003" xr:uid="{00000000-0005-0000-0000-000094000000}"/>
    <cellStyle name="쉼표 [0] 16" xfId="983" xr:uid="{00000000-0005-0000-0000-000095000000}"/>
    <cellStyle name="쉼표 [0] 16 2" xfId="1005" xr:uid="{00000000-0005-0000-0000-000096000000}"/>
    <cellStyle name="쉼표 [0] 17" xfId="985" xr:uid="{00000000-0005-0000-0000-000097000000}"/>
    <cellStyle name="쉼표 [0] 2" xfId="13" xr:uid="{00000000-0005-0000-0000-000098000000}"/>
    <cellStyle name="쉼표 [0] 2 2" xfId="101" xr:uid="{00000000-0005-0000-0000-000099000000}"/>
    <cellStyle name="쉼표 [0] 2 2 2" xfId="912" xr:uid="{00000000-0005-0000-0000-00009A000000}"/>
    <cellStyle name="쉼표 [0] 2 2 2 2" xfId="969" xr:uid="{00000000-0005-0000-0000-00009B000000}"/>
    <cellStyle name="쉼표 [0] 2 2 29" xfId="986" xr:uid="{00000000-0005-0000-0000-00009C000000}"/>
    <cellStyle name="쉼표 [0] 2 2 3" xfId="913" xr:uid="{00000000-0005-0000-0000-00009D000000}"/>
    <cellStyle name="쉼표 [0] 2 2 3 2" xfId="970" xr:uid="{00000000-0005-0000-0000-00009E000000}"/>
    <cellStyle name="쉼표 [0] 2 2 4" xfId="914" xr:uid="{00000000-0005-0000-0000-00009F000000}"/>
    <cellStyle name="쉼표 [0] 2 2 5" xfId="968" xr:uid="{00000000-0005-0000-0000-0000A0000000}"/>
    <cellStyle name="쉼표 [0] 2 3" xfId="915" xr:uid="{00000000-0005-0000-0000-0000A1000000}"/>
    <cellStyle name="쉼표 [0] 2 3 2" xfId="971" xr:uid="{00000000-0005-0000-0000-0000A2000000}"/>
    <cellStyle name="쉼표 [0] 2 4" xfId="956" xr:uid="{00000000-0005-0000-0000-0000A3000000}"/>
    <cellStyle name="쉼표 [0] 2 4 2" xfId="972" xr:uid="{00000000-0005-0000-0000-0000A4000000}"/>
    <cellStyle name="쉼표 [0] 3" xfId="14" xr:uid="{00000000-0005-0000-0000-0000A5000000}"/>
    <cellStyle name="쉼표 [0] 3 2" xfId="59" xr:uid="{00000000-0005-0000-0000-0000A6000000}"/>
    <cellStyle name="쉼표 [0] 3 2 2" xfId="916" xr:uid="{00000000-0005-0000-0000-0000A7000000}"/>
    <cellStyle name="쉼표 [0] 3 2 2 2" xfId="975" xr:uid="{00000000-0005-0000-0000-0000A8000000}"/>
    <cellStyle name="쉼표 [0] 3 2 3" xfId="917" xr:uid="{00000000-0005-0000-0000-0000A9000000}"/>
    <cellStyle name="쉼표 [0] 3 2 3 2" xfId="976" xr:uid="{00000000-0005-0000-0000-0000AA000000}"/>
    <cellStyle name="쉼표 [0] 3 2 4" xfId="957" xr:uid="{00000000-0005-0000-0000-0000AB000000}"/>
    <cellStyle name="쉼표 [0] 3 2 5" xfId="974" xr:uid="{00000000-0005-0000-0000-0000AC000000}"/>
    <cellStyle name="쉼표 [0] 3 3" xfId="918" xr:uid="{00000000-0005-0000-0000-0000AD000000}"/>
    <cellStyle name="쉼표 [0] 3 4" xfId="919" xr:uid="{00000000-0005-0000-0000-0000AE000000}"/>
    <cellStyle name="쉼표 [0] 3 4 2" xfId="977" xr:uid="{00000000-0005-0000-0000-0000AF000000}"/>
    <cellStyle name="쉼표 [0] 3 5" xfId="973" xr:uid="{00000000-0005-0000-0000-0000B0000000}"/>
    <cellStyle name="쉼표 [0] 4" xfId="102" xr:uid="{00000000-0005-0000-0000-0000B1000000}"/>
    <cellStyle name="쉼표 [0] 4 2" xfId="959" xr:uid="{00000000-0005-0000-0000-0000B2000000}"/>
    <cellStyle name="쉼표 [0] 4 3" xfId="978" xr:uid="{00000000-0005-0000-0000-0000B3000000}"/>
    <cellStyle name="쉼표 [0] 5" xfId="15" xr:uid="{00000000-0005-0000-0000-0000B4000000}"/>
    <cellStyle name="쉼표 [0] 5 2" xfId="961" xr:uid="{00000000-0005-0000-0000-0000B5000000}"/>
    <cellStyle name="쉼표 [0] 5 3" xfId="979" xr:uid="{00000000-0005-0000-0000-0000B6000000}"/>
    <cellStyle name="쉼표 [0] 6" xfId="892" xr:uid="{00000000-0005-0000-0000-0000B7000000}"/>
    <cellStyle name="쉼표 [0] 6 2" xfId="980" xr:uid="{00000000-0005-0000-0000-0000B8000000}"/>
    <cellStyle name="쉼표 [0] 7" xfId="1007" xr:uid="{95D5A1F8-07F1-4B14-A89A-1D50BA4A22CF}"/>
    <cellStyle name="쉼표 [0]_FCT FILL 펌프 토출배관 교체공사 낙찰품의(안)" xfId="885" xr:uid="{00000000-0005-0000-0000-0000B9000000}"/>
    <cellStyle name="쉼표 [0]_GS타워 워터프레스 부품 교체공사_㈜GS 제출분" xfId="55" xr:uid="{00000000-0005-0000-0000-0000BA000000}"/>
    <cellStyle name="스타일 1" xfId="16" xr:uid="{00000000-0005-0000-0000-0000BB000000}"/>
    <cellStyle name="스타일 1 2" xfId="920" xr:uid="{00000000-0005-0000-0000-0000BC000000}"/>
    <cellStyle name="스타일 1 2 2" xfId="958" xr:uid="{00000000-0005-0000-0000-0000BD000000}"/>
    <cellStyle name="스타일 1 3" xfId="921" xr:uid="{00000000-0005-0000-0000-0000BE000000}"/>
    <cellStyle name="스타일 10" xfId="103" xr:uid="{00000000-0005-0000-0000-0000BF000000}"/>
    <cellStyle name="스타일 100" xfId="104" xr:uid="{00000000-0005-0000-0000-0000C0000000}"/>
    <cellStyle name="스타일 101" xfId="105" xr:uid="{00000000-0005-0000-0000-0000C1000000}"/>
    <cellStyle name="스타일 102" xfId="106" xr:uid="{00000000-0005-0000-0000-0000C2000000}"/>
    <cellStyle name="스타일 103" xfId="107" xr:uid="{00000000-0005-0000-0000-0000C3000000}"/>
    <cellStyle name="스타일 104" xfId="108" xr:uid="{00000000-0005-0000-0000-0000C4000000}"/>
    <cellStyle name="스타일 105" xfId="109" xr:uid="{00000000-0005-0000-0000-0000C5000000}"/>
    <cellStyle name="스타일 106" xfId="110" xr:uid="{00000000-0005-0000-0000-0000C6000000}"/>
    <cellStyle name="스타일 107" xfId="111" xr:uid="{00000000-0005-0000-0000-0000C7000000}"/>
    <cellStyle name="스타일 108" xfId="112" xr:uid="{00000000-0005-0000-0000-0000C8000000}"/>
    <cellStyle name="스타일 109" xfId="113" xr:uid="{00000000-0005-0000-0000-0000C9000000}"/>
    <cellStyle name="스타일 11" xfId="114" xr:uid="{00000000-0005-0000-0000-0000CA000000}"/>
    <cellStyle name="스타일 110" xfId="115" xr:uid="{00000000-0005-0000-0000-0000CB000000}"/>
    <cellStyle name="스타일 111" xfId="116" xr:uid="{00000000-0005-0000-0000-0000CC000000}"/>
    <cellStyle name="스타일 112" xfId="117" xr:uid="{00000000-0005-0000-0000-0000CD000000}"/>
    <cellStyle name="스타일 113" xfId="118" xr:uid="{00000000-0005-0000-0000-0000CE000000}"/>
    <cellStyle name="스타일 114" xfId="119" xr:uid="{00000000-0005-0000-0000-0000CF000000}"/>
    <cellStyle name="스타일 115" xfId="120" xr:uid="{00000000-0005-0000-0000-0000D0000000}"/>
    <cellStyle name="스타일 116" xfId="121" xr:uid="{00000000-0005-0000-0000-0000D1000000}"/>
    <cellStyle name="스타일 117" xfId="122" xr:uid="{00000000-0005-0000-0000-0000D2000000}"/>
    <cellStyle name="스타일 118" xfId="123" xr:uid="{00000000-0005-0000-0000-0000D3000000}"/>
    <cellStyle name="스타일 119" xfId="124" xr:uid="{00000000-0005-0000-0000-0000D4000000}"/>
    <cellStyle name="스타일 12" xfId="125" xr:uid="{00000000-0005-0000-0000-0000D5000000}"/>
    <cellStyle name="스타일 120" xfId="126" xr:uid="{00000000-0005-0000-0000-0000D6000000}"/>
    <cellStyle name="스타일 121" xfId="127" xr:uid="{00000000-0005-0000-0000-0000D7000000}"/>
    <cellStyle name="스타일 122" xfId="128" xr:uid="{00000000-0005-0000-0000-0000D8000000}"/>
    <cellStyle name="스타일 123" xfId="129" xr:uid="{00000000-0005-0000-0000-0000D9000000}"/>
    <cellStyle name="스타일 124" xfId="130" xr:uid="{00000000-0005-0000-0000-0000DA000000}"/>
    <cellStyle name="스타일 125" xfId="131" xr:uid="{00000000-0005-0000-0000-0000DB000000}"/>
    <cellStyle name="스타일 126" xfId="132" xr:uid="{00000000-0005-0000-0000-0000DC000000}"/>
    <cellStyle name="스타일 127" xfId="133" xr:uid="{00000000-0005-0000-0000-0000DD000000}"/>
    <cellStyle name="스타일 128" xfId="134" xr:uid="{00000000-0005-0000-0000-0000DE000000}"/>
    <cellStyle name="스타일 129" xfId="135" xr:uid="{00000000-0005-0000-0000-0000DF000000}"/>
    <cellStyle name="스타일 13" xfId="136" xr:uid="{00000000-0005-0000-0000-0000E0000000}"/>
    <cellStyle name="스타일 130" xfId="137" xr:uid="{00000000-0005-0000-0000-0000E1000000}"/>
    <cellStyle name="스타일 131" xfId="138" xr:uid="{00000000-0005-0000-0000-0000E2000000}"/>
    <cellStyle name="스타일 132" xfId="139" xr:uid="{00000000-0005-0000-0000-0000E3000000}"/>
    <cellStyle name="스타일 133" xfId="140" xr:uid="{00000000-0005-0000-0000-0000E4000000}"/>
    <cellStyle name="스타일 134" xfId="141" xr:uid="{00000000-0005-0000-0000-0000E5000000}"/>
    <cellStyle name="스타일 135" xfId="142" xr:uid="{00000000-0005-0000-0000-0000E6000000}"/>
    <cellStyle name="스타일 136" xfId="143" xr:uid="{00000000-0005-0000-0000-0000E7000000}"/>
    <cellStyle name="스타일 137" xfId="144" xr:uid="{00000000-0005-0000-0000-0000E8000000}"/>
    <cellStyle name="스타일 138" xfId="145" xr:uid="{00000000-0005-0000-0000-0000E9000000}"/>
    <cellStyle name="스타일 139" xfId="146" xr:uid="{00000000-0005-0000-0000-0000EA000000}"/>
    <cellStyle name="스타일 14" xfId="147" xr:uid="{00000000-0005-0000-0000-0000EB000000}"/>
    <cellStyle name="스타일 140" xfId="148" xr:uid="{00000000-0005-0000-0000-0000EC000000}"/>
    <cellStyle name="스타일 141" xfId="149" xr:uid="{00000000-0005-0000-0000-0000ED000000}"/>
    <cellStyle name="스타일 142" xfId="150" xr:uid="{00000000-0005-0000-0000-0000EE000000}"/>
    <cellStyle name="스타일 143" xfId="151" xr:uid="{00000000-0005-0000-0000-0000EF000000}"/>
    <cellStyle name="스타일 144" xfId="152" xr:uid="{00000000-0005-0000-0000-0000F0000000}"/>
    <cellStyle name="스타일 145" xfId="153" xr:uid="{00000000-0005-0000-0000-0000F1000000}"/>
    <cellStyle name="스타일 146" xfId="154" xr:uid="{00000000-0005-0000-0000-0000F2000000}"/>
    <cellStyle name="스타일 147" xfId="155" xr:uid="{00000000-0005-0000-0000-0000F3000000}"/>
    <cellStyle name="스타일 148" xfId="156" xr:uid="{00000000-0005-0000-0000-0000F4000000}"/>
    <cellStyle name="스타일 149" xfId="157" xr:uid="{00000000-0005-0000-0000-0000F5000000}"/>
    <cellStyle name="스타일 15" xfId="158" xr:uid="{00000000-0005-0000-0000-0000F6000000}"/>
    <cellStyle name="스타일 150" xfId="159" xr:uid="{00000000-0005-0000-0000-0000F7000000}"/>
    <cellStyle name="스타일 151" xfId="160" xr:uid="{00000000-0005-0000-0000-0000F8000000}"/>
    <cellStyle name="스타일 152" xfId="161" xr:uid="{00000000-0005-0000-0000-0000F9000000}"/>
    <cellStyle name="스타일 153" xfId="162" xr:uid="{00000000-0005-0000-0000-0000FA000000}"/>
    <cellStyle name="스타일 154" xfId="163" xr:uid="{00000000-0005-0000-0000-0000FB000000}"/>
    <cellStyle name="스타일 155" xfId="164" xr:uid="{00000000-0005-0000-0000-0000FC000000}"/>
    <cellStyle name="스타일 156" xfId="165" xr:uid="{00000000-0005-0000-0000-0000FD000000}"/>
    <cellStyle name="스타일 157" xfId="166" xr:uid="{00000000-0005-0000-0000-0000FE000000}"/>
    <cellStyle name="스타일 158" xfId="167" xr:uid="{00000000-0005-0000-0000-0000FF000000}"/>
    <cellStyle name="스타일 159" xfId="168" xr:uid="{00000000-0005-0000-0000-000000010000}"/>
    <cellStyle name="스타일 16" xfId="169" xr:uid="{00000000-0005-0000-0000-000001010000}"/>
    <cellStyle name="스타일 160" xfId="170" xr:uid="{00000000-0005-0000-0000-000002010000}"/>
    <cellStyle name="스타일 161" xfId="171" xr:uid="{00000000-0005-0000-0000-000003010000}"/>
    <cellStyle name="스타일 162" xfId="172" xr:uid="{00000000-0005-0000-0000-000004010000}"/>
    <cellStyle name="스타일 163" xfId="173" xr:uid="{00000000-0005-0000-0000-000005010000}"/>
    <cellStyle name="스타일 164" xfId="174" xr:uid="{00000000-0005-0000-0000-000006010000}"/>
    <cellStyle name="스타일 165" xfId="175" xr:uid="{00000000-0005-0000-0000-000007010000}"/>
    <cellStyle name="스타일 166" xfId="176" xr:uid="{00000000-0005-0000-0000-000008010000}"/>
    <cellStyle name="스타일 167" xfId="177" xr:uid="{00000000-0005-0000-0000-000009010000}"/>
    <cellStyle name="스타일 168" xfId="178" xr:uid="{00000000-0005-0000-0000-00000A010000}"/>
    <cellStyle name="스타일 169" xfId="179" xr:uid="{00000000-0005-0000-0000-00000B010000}"/>
    <cellStyle name="스타일 17" xfId="180" xr:uid="{00000000-0005-0000-0000-00000C010000}"/>
    <cellStyle name="스타일 170" xfId="181" xr:uid="{00000000-0005-0000-0000-00000D010000}"/>
    <cellStyle name="스타일 171" xfId="182" xr:uid="{00000000-0005-0000-0000-00000E010000}"/>
    <cellStyle name="스타일 172" xfId="183" xr:uid="{00000000-0005-0000-0000-00000F010000}"/>
    <cellStyle name="스타일 173" xfId="184" xr:uid="{00000000-0005-0000-0000-000010010000}"/>
    <cellStyle name="스타일 174" xfId="185" xr:uid="{00000000-0005-0000-0000-000011010000}"/>
    <cellStyle name="스타일 175" xfId="186" xr:uid="{00000000-0005-0000-0000-000012010000}"/>
    <cellStyle name="스타일 176" xfId="187" xr:uid="{00000000-0005-0000-0000-000013010000}"/>
    <cellStyle name="스타일 177" xfId="188" xr:uid="{00000000-0005-0000-0000-000014010000}"/>
    <cellStyle name="스타일 178" xfId="189" xr:uid="{00000000-0005-0000-0000-000015010000}"/>
    <cellStyle name="스타일 179" xfId="190" xr:uid="{00000000-0005-0000-0000-000016010000}"/>
    <cellStyle name="스타일 18" xfId="191" xr:uid="{00000000-0005-0000-0000-000017010000}"/>
    <cellStyle name="스타일 180" xfId="192" xr:uid="{00000000-0005-0000-0000-000018010000}"/>
    <cellStyle name="스타일 181" xfId="193" xr:uid="{00000000-0005-0000-0000-000019010000}"/>
    <cellStyle name="스타일 182" xfId="194" xr:uid="{00000000-0005-0000-0000-00001A010000}"/>
    <cellStyle name="스타일 183" xfId="195" xr:uid="{00000000-0005-0000-0000-00001B010000}"/>
    <cellStyle name="스타일 184" xfId="196" xr:uid="{00000000-0005-0000-0000-00001C010000}"/>
    <cellStyle name="스타일 185" xfId="197" xr:uid="{00000000-0005-0000-0000-00001D010000}"/>
    <cellStyle name="스타일 186" xfId="198" xr:uid="{00000000-0005-0000-0000-00001E010000}"/>
    <cellStyle name="스타일 187" xfId="199" xr:uid="{00000000-0005-0000-0000-00001F010000}"/>
    <cellStyle name="스타일 188" xfId="200" xr:uid="{00000000-0005-0000-0000-000020010000}"/>
    <cellStyle name="스타일 189" xfId="201" xr:uid="{00000000-0005-0000-0000-000021010000}"/>
    <cellStyle name="스타일 19" xfId="202" xr:uid="{00000000-0005-0000-0000-000022010000}"/>
    <cellStyle name="스타일 190" xfId="203" xr:uid="{00000000-0005-0000-0000-000023010000}"/>
    <cellStyle name="스타일 191" xfId="204" xr:uid="{00000000-0005-0000-0000-000024010000}"/>
    <cellStyle name="스타일 192" xfId="205" xr:uid="{00000000-0005-0000-0000-000025010000}"/>
    <cellStyle name="스타일 193" xfId="206" xr:uid="{00000000-0005-0000-0000-000026010000}"/>
    <cellStyle name="스타일 194" xfId="207" xr:uid="{00000000-0005-0000-0000-000027010000}"/>
    <cellStyle name="스타일 195" xfId="208" xr:uid="{00000000-0005-0000-0000-000028010000}"/>
    <cellStyle name="스타일 196" xfId="209" xr:uid="{00000000-0005-0000-0000-000029010000}"/>
    <cellStyle name="스타일 197" xfId="210" xr:uid="{00000000-0005-0000-0000-00002A010000}"/>
    <cellStyle name="스타일 198" xfId="211" xr:uid="{00000000-0005-0000-0000-00002B010000}"/>
    <cellStyle name="스타일 199" xfId="212" xr:uid="{00000000-0005-0000-0000-00002C010000}"/>
    <cellStyle name="스타일 2" xfId="213" xr:uid="{00000000-0005-0000-0000-00002D010000}"/>
    <cellStyle name="스타일 20" xfId="214" xr:uid="{00000000-0005-0000-0000-00002E010000}"/>
    <cellStyle name="스타일 200" xfId="215" xr:uid="{00000000-0005-0000-0000-00002F010000}"/>
    <cellStyle name="스타일 201" xfId="216" xr:uid="{00000000-0005-0000-0000-000030010000}"/>
    <cellStyle name="스타일 202" xfId="217" xr:uid="{00000000-0005-0000-0000-000031010000}"/>
    <cellStyle name="스타일 203" xfId="218" xr:uid="{00000000-0005-0000-0000-000032010000}"/>
    <cellStyle name="스타일 204" xfId="219" xr:uid="{00000000-0005-0000-0000-000033010000}"/>
    <cellStyle name="스타일 205" xfId="220" xr:uid="{00000000-0005-0000-0000-000034010000}"/>
    <cellStyle name="스타일 206" xfId="221" xr:uid="{00000000-0005-0000-0000-000035010000}"/>
    <cellStyle name="스타일 207" xfId="222" xr:uid="{00000000-0005-0000-0000-000036010000}"/>
    <cellStyle name="스타일 208" xfId="223" xr:uid="{00000000-0005-0000-0000-000037010000}"/>
    <cellStyle name="스타일 209" xfId="224" xr:uid="{00000000-0005-0000-0000-000038010000}"/>
    <cellStyle name="스타일 21" xfId="225" xr:uid="{00000000-0005-0000-0000-000039010000}"/>
    <cellStyle name="스타일 210" xfId="226" xr:uid="{00000000-0005-0000-0000-00003A010000}"/>
    <cellStyle name="스타일 211" xfId="227" xr:uid="{00000000-0005-0000-0000-00003B010000}"/>
    <cellStyle name="스타일 212" xfId="228" xr:uid="{00000000-0005-0000-0000-00003C010000}"/>
    <cellStyle name="스타일 213" xfId="229" xr:uid="{00000000-0005-0000-0000-00003D010000}"/>
    <cellStyle name="스타일 214" xfId="230" xr:uid="{00000000-0005-0000-0000-00003E010000}"/>
    <cellStyle name="스타일 215" xfId="231" xr:uid="{00000000-0005-0000-0000-00003F010000}"/>
    <cellStyle name="스타일 216" xfId="232" xr:uid="{00000000-0005-0000-0000-000040010000}"/>
    <cellStyle name="스타일 217" xfId="233" xr:uid="{00000000-0005-0000-0000-000041010000}"/>
    <cellStyle name="스타일 218" xfId="234" xr:uid="{00000000-0005-0000-0000-000042010000}"/>
    <cellStyle name="스타일 219" xfId="235" xr:uid="{00000000-0005-0000-0000-000043010000}"/>
    <cellStyle name="스타일 22" xfId="236" xr:uid="{00000000-0005-0000-0000-000044010000}"/>
    <cellStyle name="스타일 220" xfId="237" xr:uid="{00000000-0005-0000-0000-000045010000}"/>
    <cellStyle name="스타일 221" xfId="238" xr:uid="{00000000-0005-0000-0000-000046010000}"/>
    <cellStyle name="스타일 222" xfId="239" xr:uid="{00000000-0005-0000-0000-000047010000}"/>
    <cellStyle name="스타일 223" xfId="240" xr:uid="{00000000-0005-0000-0000-000048010000}"/>
    <cellStyle name="스타일 224" xfId="241" xr:uid="{00000000-0005-0000-0000-000049010000}"/>
    <cellStyle name="스타일 225" xfId="242" xr:uid="{00000000-0005-0000-0000-00004A010000}"/>
    <cellStyle name="스타일 226" xfId="243" xr:uid="{00000000-0005-0000-0000-00004B010000}"/>
    <cellStyle name="스타일 227" xfId="244" xr:uid="{00000000-0005-0000-0000-00004C010000}"/>
    <cellStyle name="스타일 228" xfId="245" xr:uid="{00000000-0005-0000-0000-00004D010000}"/>
    <cellStyle name="스타일 229" xfId="246" xr:uid="{00000000-0005-0000-0000-00004E010000}"/>
    <cellStyle name="스타일 23" xfId="247" xr:uid="{00000000-0005-0000-0000-00004F010000}"/>
    <cellStyle name="스타일 230" xfId="248" xr:uid="{00000000-0005-0000-0000-000050010000}"/>
    <cellStyle name="스타일 231" xfId="249" xr:uid="{00000000-0005-0000-0000-000051010000}"/>
    <cellStyle name="스타일 232" xfId="250" xr:uid="{00000000-0005-0000-0000-000052010000}"/>
    <cellStyle name="스타일 233" xfId="251" xr:uid="{00000000-0005-0000-0000-000053010000}"/>
    <cellStyle name="스타일 234" xfId="252" xr:uid="{00000000-0005-0000-0000-000054010000}"/>
    <cellStyle name="스타일 235" xfId="253" xr:uid="{00000000-0005-0000-0000-000055010000}"/>
    <cellStyle name="스타일 236" xfId="254" xr:uid="{00000000-0005-0000-0000-000056010000}"/>
    <cellStyle name="스타일 237" xfId="255" xr:uid="{00000000-0005-0000-0000-000057010000}"/>
    <cellStyle name="스타일 238" xfId="256" xr:uid="{00000000-0005-0000-0000-000058010000}"/>
    <cellStyle name="스타일 239" xfId="257" xr:uid="{00000000-0005-0000-0000-000059010000}"/>
    <cellStyle name="스타일 24" xfId="258" xr:uid="{00000000-0005-0000-0000-00005A010000}"/>
    <cellStyle name="스타일 240" xfId="259" xr:uid="{00000000-0005-0000-0000-00005B010000}"/>
    <cellStyle name="스타일 241" xfId="260" xr:uid="{00000000-0005-0000-0000-00005C010000}"/>
    <cellStyle name="스타일 242" xfId="261" xr:uid="{00000000-0005-0000-0000-00005D010000}"/>
    <cellStyle name="스타일 243" xfId="262" xr:uid="{00000000-0005-0000-0000-00005E010000}"/>
    <cellStyle name="스타일 244" xfId="263" xr:uid="{00000000-0005-0000-0000-00005F010000}"/>
    <cellStyle name="스타일 245" xfId="264" xr:uid="{00000000-0005-0000-0000-000060010000}"/>
    <cellStyle name="스타일 246" xfId="265" xr:uid="{00000000-0005-0000-0000-000061010000}"/>
    <cellStyle name="스타일 247" xfId="266" xr:uid="{00000000-0005-0000-0000-000062010000}"/>
    <cellStyle name="스타일 248" xfId="267" xr:uid="{00000000-0005-0000-0000-000063010000}"/>
    <cellStyle name="스타일 249" xfId="268" xr:uid="{00000000-0005-0000-0000-000064010000}"/>
    <cellStyle name="스타일 25" xfId="269" xr:uid="{00000000-0005-0000-0000-000065010000}"/>
    <cellStyle name="스타일 250" xfId="270" xr:uid="{00000000-0005-0000-0000-000066010000}"/>
    <cellStyle name="스타일 251" xfId="271" xr:uid="{00000000-0005-0000-0000-000067010000}"/>
    <cellStyle name="스타일 252" xfId="272" xr:uid="{00000000-0005-0000-0000-000068010000}"/>
    <cellStyle name="스타일 253" xfId="273" xr:uid="{00000000-0005-0000-0000-000069010000}"/>
    <cellStyle name="스타일 254" xfId="274" xr:uid="{00000000-0005-0000-0000-00006A010000}"/>
    <cellStyle name="스타일 255" xfId="275" xr:uid="{00000000-0005-0000-0000-00006B010000}"/>
    <cellStyle name="스타일 256" xfId="276" xr:uid="{00000000-0005-0000-0000-00006C010000}"/>
    <cellStyle name="스타일 257" xfId="277" xr:uid="{00000000-0005-0000-0000-00006D010000}"/>
    <cellStyle name="스타일 258" xfId="278" xr:uid="{00000000-0005-0000-0000-00006E010000}"/>
    <cellStyle name="스타일 259" xfId="279" xr:uid="{00000000-0005-0000-0000-00006F010000}"/>
    <cellStyle name="스타일 26" xfId="280" xr:uid="{00000000-0005-0000-0000-000070010000}"/>
    <cellStyle name="스타일 260" xfId="281" xr:uid="{00000000-0005-0000-0000-000071010000}"/>
    <cellStyle name="스타일 261" xfId="282" xr:uid="{00000000-0005-0000-0000-000072010000}"/>
    <cellStyle name="스타일 262" xfId="283" xr:uid="{00000000-0005-0000-0000-000073010000}"/>
    <cellStyle name="스타일 263" xfId="284" xr:uid="{00000000-0005-0000-0000-000074010000}"/>
    <cellStyle name="스타일 264" xfId="285" xr:uid="{00000000-0005-0000-0000-000075010000}"/>
    <cellStyle name="스타일 265" xfId="286" xr:uid="{00000000-0005-0000-0000-000076010000}"/>
    <cellStyle name="스타일 266" xfId="287" xr:uid="{00000000-0005-0000-0000-000077010000}"/>
    <cellStyle name="스타일 267" xfId="288" xr:uid="{00000000-0005-0000-0000-000078010000}"/>
    <cellStyle name="스타일 268" xfId="289" xr:uid="{00000000-0005-0000-0000-000079010000}"/>
    <cellStyle name="스타일 269" xfId="290" xr:uid="{00000000-0005-0000-0000-00007A010000}"/>
    <cellStyle name="스타일 27" xfId="291" xr:uid="{00000000-0005-0000-0000-00007B010000}"/>
    <cellStyle name="스타일 270" xfId="292" xr:uid="{00000000-0005-0000-0000-00007C010000}"/>
    <cellStyle name="스타일 271" xfId="293" xr:uid="{00000000-0005-0000-0000-00007D010000}"/>
    <cellStyle name="스타일 272" xfId="294" xr:uid="{00000000-0005-0000-0000-00007E010000}"/>
    <cellStyle name="스타일 273" xfId="295" xr:uid="{00000000-0005-0000-0000-00007F010000}"/>
    <cellStyle name="스타일 274" xfId="296" xr:uid="{00000000-0005-0000-0000-000080010000}"/>
    <cellStyle name="스타일 275" xfId="297" xr:uid="{00000000-0005-0000-0000-000081010000}"/>
    <cellStyle name="스타일 276" xfId="298" xr:uid="{00000000-0005-0000-0000-000082010000}"/>
    <cellStyle name="스타일 277" xfId="299" xr:uid="{00000000-0005-0000-0000-000083010000}"/>
    <cellStyle name="스타일 278" xfId="300" xr:uid="{00000000-0005-0000-0000-000084010000}"/>
    <cellStyle name="스타일 279" xfId="301" xr:uid="{00000000-0005-0000-0000-000085010000}"/>
    <cellStyle name="스타일 28" xfId="302" xr:uid="{00000000-0005-0000-0000-000086010000}"/>
    <cellStyle name="스타일 280" xfId="303" xr:uid="{00000000-0005-0000-0000-000087010000}"/>
    <cellStyle name="스타일 281" xfId="304" xr:uid="{00000000-0005-0000-0000-000088010000}"/>
    <cellStyle name="스타일 282" xfId="305" xr:uid="{00000000-0005-0000-0000-000089010000}"/>
    <cellStyle name="스타일 283" xfId="306" xr:uid="{00000000-0005-0000-0000-00008A010000}"/>
    <cellStyle name="스타일 284" xfId="307" xr:uid="{00000000-0005-0000-0000-00008B010000}"/>
    <cellStyle name="스타일 285" xfId="308" xr:uid="{00000000-0005-0000-0000-00008C010000}"/>
    <cellStyle name="스타일 286" xfId="309" xr:uid="{00000000-0005-0000-0000-00008D010000}"/>
    <cellStyle name="스타일 287" xfId="310" xr:uid="{00000000-0005-0000-0000-00008E010000}"/>
    <cellStyle name="스타일 288" xfId="311" xr:uid="{00000000-0005-0000-0000-00008F010000}"/>
    <cellStyle name="스타일 289" xfId="312" xr:uid="{00000000-0005-0000-0000-000090010000}"/>
    <cellStyle name="스타일 29" xfId="313" xr:uid="{00000000-0005-0000-0000-000091010000}"/>
    <cellStyle name="스타일 290" xfId="314" xr:uid="{00000000-0005-0000-0000-000092010000}"/>
    <cellStyle name="스타일 291" xfId="315" xr:uid="{00000000-0005-0000-0000-000093010000}"/>
    <cellStyle name="스타일 292" xfId="316" xr:uid="{00000000-0005-0000-0000-000094010000}"/>
    <cellStyle name="스타일 293" xfId="317" xr:uid="{00000000-0005-0000-0000-000095010000}"/>
    <cellStyle name="스타일 294" xfId="318" xr:uid="{00000000-0005-0000-0000-000096010000}"/>
    <cellStyle name="스타일 295" xfId="319" xr:uid="{00000000-0005-0000-0000-000097010000}"/>
    <cellStyle name="스타일 296" xfId="320" xr:uid="{00000000-0005-0000-0000-000098010000}"/>
    <cellStyle name="스타일 297" xfId="321" xr:uid="{00000000-0005-0000-0000-000099010000}"/>
    <cellStyle name="스타일 298" xfId="322" xr:uid="{00000000-0005-0000-0000-00009A010000}"/>
    <cellStyle name="스타일 299" xfId="323" xr:uid="{00000000-0005-0000-0000-00009B010000}"/>
    <cellStyle name="스타일 3" xfId="324" xr:uid="{00000000-0005-0000-0000-00009C010000}"/>
    <cellStyle name="스타일 30" xfId="325" xr:uid="{00000000-0005-0000-0000-00009D010000}"/>
    <cellStyle name="스타일 300" xfId="326" xr:uid="{00000000-0005-0000-0000-00009E010000}"/>
    <cellStyle name="스타일 301" xfId="327" xr:uid="{00000000-0005-0000-0000-00009F010000}"/>
    <cellStyle name="스타일 302" xfId="328" xr:uid="{00000000-0005-0000-0000-0000A0010000}"/>
    <cellStyle name="스타일 303" xfId="329" xr:uid="{00000000-0005-0000-0000-0000A1010000}"/>
    <cellStyle name="스타일 304" xfId="330" xr:uid="{00000000-0005-0000-0000-0000A2010000}"/>
    <cellStyle name="스타일 305" xfId="331" xr:uid="{00000000-0005-0000-0000-0000A3010000}"/>
    <cellStyle name="스타일 306" xfId="332" xr:uid="{00000000-0005-0000-0000-0000A4010000}"/>
    <cellStyle name="스타일 307" xfId="333" xr:uid="{00000000-0005-0000-0000-0000A5010000}"/>
    <cellStyle name="스타일 308" xfId="334" xr:uid="{00000000-0005-0000-0000-0000A6010000}"/>
    <cellStyle name="스타일 309" xfId="335" xr:uid="{00000000-0005-0000-0000-0000A7010000}"/>
    <cellStyle name="스타일 31" xfId="336" xr:uid="{00000000-0005-0000-0000-0000A8010000}"/>
    <cellStyle name="스타일 310" xfId="337" xr:uid="{00000000-0005-0000-0000-0000A9010000}"/>
    <cellStyle name="스타일 311" xfId="338" xr:uid="{00000000-0005-0000-0000-0000AA010000}"/>
    <cellStyle name="스타일 312" xfId="339" xr:uid="{00000000-0005-0000-0000-0000AB010000}"/>
    <cellStyle name="스타일 313" xfId="340" xr:uid="{00000000-0005-0000-0000-0000AC010000}"/>
    <cellStyle name="스타일 314" xfId="341" xr:uid="{00000000-0005-0000-0000-0000AD010000}"/>
    <cellStyle name="스타일 315" xfId="342" xr:uid="{00000000-0005-0000-0000-0000AE010000}"/>
    <cellStyle name="스타일 316" xfId="343" xr:uid="{00000000-0005-0000-0000-0000AF010000}"/>
    <cellStyle name="스타일 317" xfId="344" xr:uid="{00000000-0005-0000-0000-0000B0010000}"/>
    <cellStyle name="스타일 318" xfId="345" xr:uid="{00000000-0005-0000-0000-0000B1010000}"/>
    <cellStyle name="스타일 319" xfId="346" xr:uid="{00000000-0005-0000-0000-0000B2010000}"/>
    <cellStyle name="스타일 32" xfId="347" xr:uid="{00000000-0005-0000-0000-0000B3010000}"/>
    <cellStyle name="스타일 320" xfId="348" xr:uid="{00000000-0005-0000-0000-0000B4010000}"/>
    <cellStyle name="스타일 321" xfId="349" xr:uid="{00000000-0005-0000-0000-0000B5010000}"/>
    <cellStyle name="스타일 322" xfId="350" xr:uid="{00000000-0005-0000-0000-0000B6010000}"/>
    <cellStyle name="스타일 323" xfId="351" xr:uid="{00000000-0005-0000-0000-0000B7010000}"/>
    <cellStyle name="스타일 324" xfId="352" xr:uid="{00000000-0005-0000-0000-0000B8010000}"/>
    <cellStyle name="스타일 325" xfId="353" xr:uid="{00000000-0005-0000-0000-0000B9010000}"/>
    <cellStyle name="스타일 326" xfId="354" xr:uid="{00000000-0005-0000-0000-0000BA010000}"/>
    <cellStyle name="스타일 327" xfId="355" xr:uid="{00000000-0005-0000-0000-0000BB010000}"/>
    <cellStyle name="스타일 328" xfId="356" xr:uid="{00000000-0005-0000-0000-0000BC010000}"/>
    <cellStyle name="스타일 329" xfId="357" xr:uid="{00000000-0005-0000-0000-0000BD010000}"/>
    <cellStyle name="스타일 33" xfId="358" xr:uid="{00000000-0005-0000-0000-0000BE010000}"/>
    <cellStyle name="스타일 330" xfId="359" xr:uid="{00000000-0005-0000-0000-0000BF010000}"/>
    <cellStyle name="스타일 331" xfId="360" xr:uid="{00000000-0005-0000-0000-0000C0010000}"/>
    <cellStyle name="스타일 332" xfId="361" xr:uid="{00000000-0005-0000-0000-0000C1010000}"/>
    <cellStyle name="스타일 333" xfId="362" xr:uid="{00000000-0005-0000-0000-0000C2010000}"/>
    <cellStyle name="스타일 334" xfId="363" xr:uid="{00000000-0005-0000-0000-0000C3010000}"/>
    <cellStyle name="스타일 335" xfId="364" xr:uid="{00000000-0005-0000-0000-0000C4010000}"/>
    <cellStyle name="스타일 336" xfId="365" xr:uid="{00000000-0005-0000-0000-0000C5010000}"/>
    <cellStyle name="스타일 337" xfId="366" xr:uid="{00000000-0005-0000-0000-0000C6010000}"/>
    <cellStyle name="스타일 338" xfId="367" xr:uid="{00000000-0005-0000-0000-0000C7010000}"/>
    <cellStyle name="스타일 339" xfId="368" xr:uid="{00000000-0005-0000-0000-0000C8010000}"/>
    <cellStyle name="스타일 34" xfId="369" xr:uid="{00000000-0005-0000-0000-0000C9010000}"/>
    <cellStyle name="스타일 340" xfId="370" xr:uid="{00000000-0005-0000-0000-0000CA010000}"/>
    <cellStyle name="스타일 341" xfId="371" xr:uid="{00000000-0005-0000-0000-0000CB010000}"/>
    <cellStyle name="스타일 342" xfId="372" xr:uid="{00000000-0005-0000-0000-0000CC010000}"/>
    <cellStyle name="스타일 343" xfId="373" xr:uid="{00000000-0005-0000-0000-0000CD010000}"/>
    <cellStyle name="스타일 344" xfId="374" xr:uid="{00000000-0005-0000-0000-0000CE010000}"/>
    <cellStyle name="스타일 345" xfId="375" xr:uid="{00000000-0005-0000-0000-0000CF010000}"/>
    <cellStyle name="스타일 346" xfId="376" xr:uid="{00000000-0005-0000-0000-0000D0010000}"/>
    <cellStyle name="스타일 347" xfId="377" xr:uid="{00000000-0005-0000-0000-0000D1010000}"/>
    <cellStyle name="스타일 348" xfId="378" xr:uid="{00000000-0005-0000-0000-0000D2010000}"/>
    <cellStyle name="스타일 349" xfId="379" xr:uid="{00000000-0005-0000-0000-0000D3010000}"/>
    <cellStyle name="스타일 35" xfId="380" xr:uid="{00000000-0005-0000-0000-0000D4010000}"/>
    <cellStyle name="스타일 350" xfId="381" xr:uid="{00000000-0005-0000-0000-0000D5010000}"/>
    <cellStyle name="스타일 351" xfId="382" xr:uid="{00000000-0005-0000-0000-0000D6010000}"/>
    <cellStyle name="스타일 352" xfId="383" xr:uid="{00000000-0005-0000-0000-0000D7010000}"/>
    <cellStyle name="스타일 353" xfId="384" xr:uid="{00000000-0005-0000-0000-0000D8010000}"/>
    <cellStyle name="스타일 354" xfId="385" xr:uid="{00000000-0005-0000-0000-0000D9010000}"/>
    <cellStyle name="스타일 355" xfId="386" xr:uid="{00000000-0005-0000-0000-0000DA010000}"/>
    <cellStyle name="스타일 356" xfId="387" xr:uid="{00000000-0005-0000-0000-0000DB010000}"/>
    <cellStyle name="스타일 357" xfId="388" xr:uid="{00000000-0005-0000-0000-0000DC010000}"/>
    <cellStyle name="스타일 358" xfId="389" xr:uid="{00000000-0005-0000-0000-0000DD010000}"/>
    <cellStyle name="스타일 359" xfId="390" xr:uid="{00000000-0005-0000-0000-0000DE010000}"/>
    <cellStyle name="스타일 36" xfId="391" xr:uid="{00000000-0005-0000-0000-0000DF010000}"/>
    <cellStyle name="스타일 360" xfId="392" xr:uid="{00000000-0005-0000-0000-0000E0010000}"/>
    <cellStyle name="스타일 361" xfId="393" xr:uid="{00000000-0005-0000-0000-0000E1010000}"/>
    <cellStyle name="스타일 362" xfId="394" xr:uid="{00000000-0005-0000-0000-0000E2010000}"/>
    <cellStyle name="스타일 363" xfId="395" xr:uid="{00000000-0005-0000-0000-0000E3010000}"/>
    <cellStyle name="스타일 364" xfId="396" xr:uid="{00000000-0005-0000-0000-0000E4010000}"/>
    <cellStyle name="스타일 365" xfId="397" xr:uid="{00000000-0005-0000-0000-0000E5010000}"/>
    <cellStyle name="스타일 366" xfId="398" xr:uid="{00000000-0005-0000-0000-0000E6010000}"/>
    <cellStyle name="스타일 367" xfId="399" xr:uid="{00000000-0005-0000-0000-0000E7010000}"/>
    <cellStyle name="스타일 368" xfId="400" xr:uid="{00000000-0005-0000-0000-0000E8010000}"/>
    <cellStyle name="스타일 369" xfId="401" xr:uid="{00000000-0005-0000-0000-0000E9010000}"/>
    <cellStyle name="스타일 37" xfId="402" xr:uid="{00000000-0005-0000-0000-0000EA010000}"/>
    <cellStyle name="스타일 370" xfId="403" xr:uid="{00000000-0005-0000-0000-0000EB010000}"/>
    <cellStyle name="스타일 371" xfId="404" xr:uid="{00000000-0005-0000-0000-0000EC010000}"/>
    <cellStyle name="스타일 372" xfId="405" xr:uid="{00000000-0005-0000-0000-0000ED010000}"/>
    <cellStyle name="스타일 373" xfId="406" xr:uid="{00000000-0005-0000-0000-0000EE010000}"/>
    <cellStyle name="스타일 374" xfId="407" xr:uid="{00000000-0005-0000-0000-0000EF010000}"/>
    <cellStyle name="스타일 375" xfId="408" xr:uid="{00000000-0005-0000-0000-0000F0010000}"/>
    <cellStyle name="스타일 376" xfId="409" xr:uid="{00000000-0005-0000-0000-0000F1010000}"/>
    <cellStyle name="스타일 377" xfId="410" xr:uid="{00000000-0005-0000-0000-0000F2010000}"/>
    <cellStyle name="스타일 378" xfId="411" xr:uid="{00000000-0005-0000-0000-0000F3010000}"/>
    <cellStyle name="스타일 379" xfId="412" xr:uid="{00000000-0005-0000-0000-0000F4010000}"/>
    <cellStyle name="스타일 38" xfId="413" xr:uid="{00000000-0005-0000-0000-0000F5010000}"/>
    <cellStyle name="스타일 380" xfId="414" xr:uid="{00000000-0005-0000-0000-0000F6010000}"/>
    <cellStyle name="스타일 381" xfId="415" xr:uid="{00000000-0005-0000-0000-0000F7010000}"/>
    <cellStyle name="스타일 382" xfId="416" xr:uid="{00000000-0005-0000-0000-0000F8010000}"/>
    <cellStyle name="스타일 383" xfId="417" xr:uid="{00000000-0005-0000-0000-0000F9010000}"/>
    <cellStyle name="스타일 384" xfId="418" xr:uid="{00000000-0005-0000-0000-0000FA010000}"/>
    <cellStyle name="스타일 385" xfId="419" xr:uid="{00000000-0005-0000-0000-0000FB010000}"/>
    <cellStyle name="스타일 386" xfId="420" xr:uid="{00000000-0005-0000-0000-0000FC010000}"/>
    <cellStyle name="스타일 387" xfId="421" xr:uid="{00000000-0005-0000-0000-0000FD010000}"/>
    <cellStyle name="스타일 388" xfId="422" xr:uid="{00000000-0005-0000-0000-0000FE010000}"/>
    <cellStyle name="스타일 389" xfId="423" xr:uid="{00000000-0005-0000-0000-0000FF010000}"/>
    <cellStyle name="스타일 39" xfId="424" xr:uid="{00000000-0005-0000-0000-000000020000}"/>
    <cellStyle name="스타일 390" xfId="425" xr:uid="{00000000-0005-0000-0000-000001020000}"/>
    <cellStyle name="스타일 391" xfId="426" xr:uid="{00000000-0005-0000-0000-000002020000}"/>
    <cellStyle name="스타일 392" xfId="427" xr:uid="{00000000-0005-0000-0000-000003020000}"/>
    <cellStyle name="스타일 393" xfId="428" xr:uid="{00000000-0005-0000-0000-000004020000}"/>
    <cellStyle name="스타일 394" xfId="429" xr:uid="{00000000-0005-0000-0000-000005020000}"/>
    <cellStyle name="스타일 395" xfId="430" xr:uid="{00000000-0005-0000-0000-000006020000}"/>
    <cellStyle name="스타일 396" xfId="431" xr:uid="{00000000-0005-0000-0000-000007020000}"/>
    <cellStyle name="스타일 397" xfId="432" xr:uid="{00000000-0005-0000-0000-000008020000}"/>
    <cellStyle name="스타일 398" xfId="433" xr:uid="{00000000-0005-0000-0000-000009020000}"/>
    <cellStyle name="스타일 399" xfId="434" xr:uid="{00000000-0005-0000-0000-00000A020000}"/>
    <cellStyle name="스타일 4" xfId="435" xr:uid="{00000000-0005-0000-0000-00000B020000}"/>
    <cellStyle name="스타일 40" xfId="436" xr:uid="{00000000-0005-0000-0000-00000C020000}"/>
    <cellStyle name="스타일 400" xfId="437" xr:uid="{00000000-0005-0000-0000-00000D020000}"/>
    <cellStyle name="스타일 401" xfId="438" xr:uid="{00000000-0005-0000-0000-00000E020000}"/>
    <cellStyle name="스타일 402" xfId="439" xr:uid="{00000000-0005-0000-0000-00000F020000}"/>
    <cellStyle name="스타일 403" xfId="440" xr:uid="{00000000-0005-0000-0000-000010020000}"/>
    <cellStyle name="스타일 404" xfId="441" xr:uid="{00000000-0005-0000-0000-000011020000}"/>
    <cellStyle name="스타일 405" xfId="442" xr:uid="{00000000-0005-0000-0000-000012020000}"/>
    <cellStyle name="스타일 406" xfId="443" xr:uid="{00000000-0005-0000-0000-000013020000}"/>
    <cellStyle name="스타일 407" xfId="444" xr:uid="{00000000-0005-0000-0000-000014020000}"/>
    <cellStyle name="스타일 408" xfId="445" xr:uid="{00000000-0005-0000-0000-000015020000}"/>
    <cellStyle name="스타일 409" xfId="446" xr:uid="{00000000-0005-0000-0000-000016020000}"/>
    <cellStyle name="스타일 41" xfId="447" xr:uid="{00000000-0005-0000-0000-000017020000}"/>
    <cellStyle name="스타일 410" xfId="448" xr:uid="{00000000-0005-0000-0000-000018020000}"/>
    <cellStyle name="스타일 411" xfId="449" xr:uid="{00000000-0005-0000-0000-000019020000}"/>
    <cellStyle name="스타일 412" xfId="450" xr:uid="{00000000-0005-0000-0000-00001A020000}"/>
    <cellStyle name="스타일 413" xfId="451" xr:uid="{00000000-0005-0000-0000-00001B020000}"/>
    <cellStyle name="스타일 414" xfId="452" xr:uid="{00000000-0005-0000-0000-00001C020000}"/>
    <cellStyle name="스타일 415" xfId="453" xr:uid="{00000000-0005-0000-0000-00001D020000}"/>
    <cellStyle name="스타일 416" xfId="454" xr:uid="{00000000-0005-0000-0000-00001E020000}"/>
    <cellStyle name="스타일 417" xfId="455" xr:uid="{00000000-0005-0000-0000-00001F020000}"/>
    <cellStyle name="스타일 418" xfId="456" xr:uid="{00000000-0005-0000-0000-000020020000}"/>
    <cellStyle name="스타일 419" xfId="457" xr:uid="{00000000-0005-0000-0000-000021020000}"/>
    <cellStyle name="스타일 42" xfId="458" xr:uid="{00000000-0005-0000-0000-000022020000}"/>
    <cellStyle name="스타일 420" xfId="459" xr:uid="{00000000-0005-0000-0000-000023020000}"/>
    <cellStyle name="스타일 421" xfId="460" xr:uid="{00000000-0005-0000-0000-000024020000}"/>
    <cellStyle name="스타일 422" xfId="461" xr:uid="{00000000-0005-0000-0000-000025020000}"/>
    <cellStyle name="스타일 423" xfId="462" xr:uid="{00000000-0005-0000-0000-000026020000}"/>
    <cellStyle name="스타일 424" xfId="463" xr:uid="{00000000-0005-0000-0000-000027020000}"/>
    <cellStyle name="스타일 425" xfId="464" xr:uid="{00000000-0005-0000-0000-000028020000}"/>
    <cellStyle name="스타일 426" xfId="465" xr:uid="{00000000-0005-0000-0000-000029020000}"/>
    <cellStyle name="스타일 427" xfId="466" xr:uid="{00000000-0005-0000-0000-00002A020000}"/>
    <cellStyle name="스타일 428" xfId="467" xr:uid="{00000000-0005-0000-0000-00002B020000}"/>
    <cellStyle name="스타일 429" xfId="468" xr:uid="{00000000-0005-0000-0000-00002C020000}"/>
    <cellStyle name="스타일 43" xfId="469" xr:uid="{00000000-0005-0000-0000-00002D020000}"/>
    <cellStyle name="스타일 430" xfId="470" xr:uid="{00000000-0005-0000-0000-00002E020000}"/>
    <cellStyle name="스타일 431" xfId="471" xr:uid="{00000000-0005-0000-0000-00002F020000}"/>
    <cellStyle name="스타일 432" xfId="472" xr:uid="{00000000-0005-0000-0000-000030020000}"/>
    <cellStyle name="스타일 433" xfId="473" xr:uid="{00000000-0005-0000-0000-000031020000}"/>
    <cellStyle name="스타일 434" xfId="474" xr:uid="{00000000-0005-0000-0000-000032020000}"/>
    <cellStyle name="스타일 435" xfId="475" xr:uid="{00000000-0005-0000-0000-000033020000}"/>
    <cellStyle name="스타일 436" xfId="476" xr:uid="{00000000-0005-0000-0000-000034020000}"/>
    <cellStyle name="스타일 437" xfId="477" xr:uid="{00000000-0005-0000-0000-000035020000}"/>
    <cellStyle name="스타일 438" xfId="478" xr:uid="{00000000-0005-0000-0000-000036020000}"/>
    <cellStyle name="스타일 439" xfId="479" xr:uid="{00000000-0005-0000-0000-000037020000}"/>
    <cellStyle name="스타일 44" xfId="480" xr:uid="{00000000-0005-0000-0000-000038020000}"/>
    <cellStyle name="스타일 440" xfId="481" xr:uid="{00000000-0005-0000-0000-000039020000}"/>
    <cellStyle name="스타일 441" xfId="482" xr:uid="{00000000-0005-0000-0000-00003A020000}"/>
    <cellStyle name="스타일 442" xfId="483" xr:uid="{00000000-0005-0000-0000-00003B020000}"/>
    <cellStyle name="스타일 443" xfId="484" xr:uid="{00000000-0005-0000-0000-00003C020000}"/>
    <cellStyle name="스타일 444" xfId="485" xr:uid="{00000000-0005-0000-0000-00003D020000}"/>
    <cellStyle name="스타일 445" xfId="486" xr:uid="{00000000-0005-0000-0000-00003E020000}"/>
    <cellStyle name="스타일 446" xfId="487" xr:uid="{00000000-0005-0000-0000-00003F020000}"/>
    <cellStyle name="스타일 447" xfId="488" xr:uid="{00000000-0005-0000-0000-000040020000}"/>
    <cellStyle name="스타일 448" xfId="489" xr:uid="{00000000-0005-0000-0000-000041020000}"/>
    <cellStyle name="스타일 449" xfId="490" xr:uid="{00000000-0005-0000-0000-000042020000}"/>
    <cellStyle name="스타일 45" xfId="491" xr:uid="{00000000-0005-0000-0000-000043020000}"/>
    <cellStyle name="스타일 450" xfId="492" xr:uid="{00000000-0005-0000-0000-000044020000}"/>
    <cellStyle name="스타일 451" xfId="493" xr:uid="{00000000-0005-0000-0000-000045020000}"/>
    <cellStyle name="스타일 452" xfId="494" xr:uid="{00000000-0005-0000-0000-000046020000}"/>
    <cellStyle name="스타일 453" xfId="495" xr:uid="{00000000-0005-0000-0000-000047020000}"/>
    <cellStyle name="스타일 454" xfId="496" xr:uid="{00000000-0005-0000-0000-000048020000}"/>
    <cellStyle name="스타일 455" xfId="497" xr:uid="{00000000-0005-0000-0000-000049020000}"/>
    <cellStyle name="스타일 456" xfId="498" xr:uid="{00000000-0005-0000-0000-00004A020000}"/>
    <cellStyle name="스타일 457" xfId="499" xr:uid="{00000000-0005-0000-0000-00004B020000}"/>
    <cellStyle name="스타일 458" xfId="500" xr:uid="{00000000-0005-0000-0000-00004C020000}"/>
    <cellStyle name="스타일 459" xfId="501" xr:uid="{00000000-0005-0000-0000-00004D020000}"/>
    <cellStyle name="스타일 46" xfId="502" xr:uid="{00000000-0005-0000-0000-00004E020000}"/>
    <cellStyle name="스타일 460" xfId="503" xr:uid="{00000000-0005-0000-0000-00004F020000}"/>
    <cellStyle name="스타일 461" xfId="504" xr:uid="{00000000-0005-0000-0000-000050020000}"/>
    <cellStyle name="스타일 462" xfId="505" xr:uid="{00000000-0005-0000-0000-000051020000}"/>
    <cellStyle name="스타일 463" xfId="506" xr:uid="{00000000-0005-0000-0000-000052020000}"/>
    <cellStyle name="스타일 464" xfId="507" xr:uid="{00000000-0005-0000-0000-000053020000}"/>
    <cellStyle name="스타일 465" xfId="508" xr:uid="{00000000-0005-0000-0000-000054020000}"/>
    <cellStyle name="스타일 466" xfId="509" xr:uid="{00000000-0005-0000-0000-000055020000}"/>
    <cellStyle name="스타일 467" xfId="510" xr:uid="{00000000-0005-0000-0000-000056020000}"/>
    <cellStyle name="스타일 468" xfId="511" xr:uid="{00000000-0005-0000-0000-000057020000}"/>
    <cellStyle name="스타일 469" xfId="512" xr:uid="{00000000-0005-0000-0000-000058020000}"/>
    <cellStyle name="스타일 47" xfId="513" xr:uid="{00000000-0005-0000-0000-000059020000}"/>
    <cellStyle name="스타일 470" xfId="514" xr:uid="{00000000-0005-0000-0000-00005A020000}"/>
    <cellStyle name="스타일 471" xfId="515" xr:uid="{00000000-0005-0000-0000-00005B020000}"/>
    <cellStyle name="스타일 472" xfId="516" xr:uid="{00000000-0005-0000-0000-00005C020000}"/>
    <cellStyle name="스타일 473" xfId="517" xr:uid="{00000000-0005-0000-0000-00005D020000}"/>
    <cellStyle name="스타일 474" xfId="518" xr:uid="{00000000-0005-0000-0000-00005E020000}"/>
    <cellStyle name="스타일 475" xfId="519" xr:uid="{00000000-0005-0000-0000-00005F020000}"/>
    <cellStyle name="스타일 476" xfId="520" xr:uid="{00000000-0005-0000-0000-000060020000}"/>
    <cellStyle name="스타일 477" xfId="521" xr:uid="{00000000-0005-0000-0000-000061020000}"/>
    <cellStyle name="스타일 478" xfId="522" xr:uid="{00000000-0005-0000-0000-000062020000}"/>
    <cellStyle name="스타일 479" xfId="523" xr:uid="{00000000-0005-0000-0000-000063020000}"/>
    <cellStyle name="스타일 48" xfId="524" xr:uid="{00000000-0005-0000-0000-000064020000}"/>
    <cellStyle name="스타일 480" xfId="525" xr:uid="{00000000-0005-0000-0000-000065020000}"/>
    <cellStyle name="스타일 481" xfId="526" xr:uid="{00000000-0005-0000-0000-000066020000}"/>
    <cellStyle name="스타일 482" xfId="527" xr:uid="{00000000-0005-0000-0000-000067020000}"/>
    <cellStyle name="스타일 483" xfId="528" xr:uid="{00000000-0005-0000-0000-000068020000}"/>
    <cellStyle name="스타일 484" xfId="529" xr:uid="{00000000-0005-0000-0000-000069020000}"/>
    <cellStyle name="스타일 485" xfId="530" xr:uid="{00000000-0005-0000-0000-00006A020000}"/>
    <cellStyle name="스타일 486" xfId="531" xr:uid="{00000000-0005-0000-0000-00006B020000}"/>
    <cellStyle name="스타일 487" xfId="532" xr:uid="{00000000-0005-0000-0000-00006C020000}"/>
    <cellStyle name="스타일 488" xfId="533" xr:uid="{00000000-0005-0000-0000-00006D020000}"/>
    <cellStyle name="스타일 489" xfId="534" xr:uid="{00000000-0005-0000-0000-00006E020000}"/>
    <cellStyle name="스타일 49" xfId="535" xr:uid="{00000000-0005-0000-0000-00006F020000}"/>
    <cellStyle name="스타일 490" xfId="536" xr:uid="{00000000-0005-0000-0000-000070020000}"/>
    <cellStyle name="스타일 491" xfId="537" xr:uid="{00000000-0005-0000-0000-000071020000}"/>
    <cellStyle name="스타일 492" xfId="538" xr:uid="{00000000-0005-0000-0000-000072020000}"/>
    <cellStyle name="스타일 493" xfId="539" xr:uid="{00000000-0005-0000-0000-000073020000}"/>
    <cellStyle name="스타일 494" xfId="540" xr:uid="{00000000-0005-0000-0000-000074020000}"/>
    <cellStyle name="스타일 495" xfId="541" xr:uid="{00000000-0005-0000-0000-000075020000}"/>
    <cellStyle name="스타일 496" xfId="542" xr:uid="{00000000-0005-0000-0000-000076020000}"/>
    <cellStyle name="스타일 497" xfId="543" xr:uid="{00000000-0005-0000-0000-000077020000}"/>
    <cellStyle name="스타일 498" xfId="544" xr:uid="{00000000-0005-0000-0000-000078020000}"/>
    <cellStyle name="스타일 499" xfId="545" xr:uid="{00000000-0005-0000-0000-000079020000}"/>
    <cellStyle name="스타일 5" xfId="546" xr:uid="{00000000-0005-0000-0000-00007A020000}"/>
    <cellStyle name="스타일 50" xfId="547" xr:uid="{00000000-0005-0000-0000-00007B020000}"/>
    <cellStyle name="스타일 500" xfId="548" xr:uid="{00000000-0005-0000-0000-00007C020000}"/>
    <cellStyle name="스타일 501" xfId="549" xr:uid="{00000000-0005-0000-0000-00007D020000}"/>
    <cellStyle name="스타일 502" xfId="550" xr:uid="{00000000-0005-0000-0000-00007E020000}"/>
    <cellStyle name="스타일 503" xfId="551" xr:uid="{00000000-0005-0000-0000-00007F020000}"/>
    <cellStyle name="스타일 504" xfId="552" xr:uid="{00000000-0005-0000-0000-000080020000}"/>
    <cellStyle name="스타일 505" xfId="553" xr:uid="{00000000-0005-0000-0000-000081020000}"/>
    <cellStyle name="스타일 506" xfId="554" xr:uid="{00000000-0005-0000-0000-000082020000}"/>
    <cellStyle name="스타일 507" xfId="555" xr:uid="{00000000-0005-0000-0000-000083020000}"/>
    <cellStyle name="스타일 508" xfId="556" xr:uid="{00000000-0005-0000-0000-000084020000}"/>
    <cellStyle name="스타일 509" xfId="557" xr:uid="{00000000-0005-0000-0000-000085020000}"/>
    <cellStyle name="스타일 51" xfId="558" xr:uid="{00000000-0005-0000-0000-000086020000}"/>
    <cellStyle name="스타일 510" xfId="559" xr:uid="{00000000-0005-0000-0000-000087020000}"/>
    <cellStyle name="스타일 511" xfId="560" xr:uid="{00000000-0005-0000-0000-000088020000}"/>
    <cellStyle name="스타일 512" xfId="561" xr:uid="{00000000-0005-0000-0000-000089020000}"/>
    <cellStyle name="스타일 513" xfId="562" xr:uid="{00000000-0005-0000-0000-00008A020000}"/>
    <cellStyle name="스타일 514" xfId="563" xr:uid="{00000000-0005-0000-0000-00008B020000}"/>
    <cellStyle name="스타일 515" xfId="564" xr:uid="{00000000-0005-0000-0000-00008C020000}"/>
    <cellStyle name="스타일 516" xfId="565" xr:uid="{00000000-0005-0000-0000-00008D020000}"/>
    <cellStyle name="스타일 517" xfId="566" xr:uid="{00000000-0005-0000-0000-00008E020000}"/>
    <cellStyle name="스타일 518" xfId="567" xr:uid="{00000000-0005-0000-0000-00008F020000}"/>
    <cellStyle name="스타일 519" xfId="568" xr:uid="{00000000-0005-0000-0000-000090020000}"/>
    <cellStyle name="스타일 52" xfId="569" xr:uid="{00000000-0005-0000-0000-000091020000}"/>
    <cellStyle name="스타일 520" xfId="570" xr:uid="{00000000-0005-0000-0000-000092020000}"/>
    <cellStyle name="스타일 521" xfId="571" xr:uid="{00000000-0005-0000-0000-000093020000}"/>
    <cellStyle name="스타일 522" xfId="572" xr:uid="{00000000-0005-0000-0000-000094020000}"/>
    <cellStyle name="스타일 523" xfId="573" xr:uid="{00000000-0005-0000-0000-000095020000}"/>
    <cellStyle name="스타일 524" xfId="574" xr:uid="{00000000-0005-0000-0000-000096020000}"/>
    <cellStyle name="스타일 525" xfId="575" xr:uid="{00000000-0005-0000-0000-000097020000}"/>
    <cellStyle name="스타일 526" xfId="576" xr:uid="{00000000-0005-0000-0000-000098020000}"/>
    <cellStyle name="스타일 527" xfId="577" xr:uid="{00000000-0005-0000-0000-000099020000}"/>
    <cellStyle name="스타일 528" xfId="578" xr:uid="{00000000-0005-0000-0000-00009A020000}"/>
    <cellStyle name="스타일 529" xfId="579" xr:uid="{00000000-0005-0000-0000-00009B020000}"/>
    <cellStyle name="스타일 53" xfId="580" xr:uid="{00000000-0005-0000-0000-00009C020000}"/>
    <cellStyle name="스타일 530" xfId="581" xr:uid="{00000000-0005-0000-0000-00009D020000}"/>
    <cellStyle name="스타일 531" xfId="582" xr:uid="{00000000-0005-0000-0000-00009E020000}"/>
    <cellStyle name="스타일 532" xfId="583" xr:uid="{00000000-0005-0000-0000-00009F020000}"/>
    <cellStyle name="스타일 533" xfId="584" xr:uid="{00000000-0005-0000-0000-0000A0020000}"/>
    <cellStyle name="스타일 534" xfId="585" xr:uid="{00000000-0005-0000-0000-0000A1020000}"/>
    <cellStyle name="스타일 535" xfId="586" xr:uid="{00000000-0005-0000-0000-0000A2020000}"/>
    <cellStyle name="스타일 536" xfId="587" xr:uid="{00000000-0005-0000-0000-0000A3020000}"/>
    <cellStyle name="스타일 537" xfId="588" xr:uid="{00000000-0005-0000-0000-0000A4020000}"/>
    <cellStyle name="스타일 538" xfId="589" xr:uid="{00000000-0005-0000-0000-0000A5020000}"/>
    <cellStyle name="스타일 539" xfId="590" xr:uid="{00000000-0005-0000-0000-0000A6020000}"/>
    <cellStyle name="스타일 54" xfId="591" xr:uid="{00000000-0005-0000-0000-0000A7020000}"/>
    <cellStyle name="스타일 540" xfId="592" xr:uid="{00000000-0005-0000-0000-0000A8020000}"/>
    <cellStyle name="스타일 541" xfId="593" xr:uid="{00000000-0005-0000-0000-0000A9020000}"/>
    <cellStyle name="스타일 542" xfId="594" xr:uid="{00000000-0005-0000-0000-0000AA020000}"/>
    <cellStyle name="스타일 543" xfId="595" xr:uid="{00000000-0005-0000-0000-0000AB020000}"/>
    <cellStyle name="스타일 544" xfId="596" xr:uid="{00000000-0005-0000-0000-0000AC020000}"/>
    <cellStyle name="스타일 545" xfId="597" xr:uid="{00000000-0005-0000-0000-0000AD020000}"/>
    <cellStyle name="스타일 546" xfId="598" xr:uid="{00000000-0005-0000-0000-0000AE020000}"/>
    <cellStyle name="스타일 547" xfId="599" xr:uid="{00000000-0005-0000-0000-0000AF020000}"/>
    <cellStyle name="스타일 548" xfId="600" xr:uid="{00000000-0005-0000-0000-0000B0020000}"/>
    <cellStyle name="스타일 549" xfId="601" xr:uid="{00000000-0005-0000-0000-0000B1020000}"/>
    <cellStyle name="스타일 55" xfId="602" xr:uid="{00000000-0005-0000-0000-0000B2020000}"/>
    <cellStyle name="스타일 550" xfId="603" xr:uid="{00000000-0005-0000-0000-0000B3020000}"/>
    <cellStyle name="스타일 551" xfId="604" xr:uid="{00000000-0005-0000-0000-0000B4020000}"/>
    <cellStyle name="스타일 552" xfId="605" xr:uid="{00000000-0005-0000-0000-0000B5020000}"/>
    <cellStyle name="스타일 553" xfId="606" xr:uid="{00000000-0005-0000-0000-0000B6020000}"/>
    <cellStyle name="스타일 554" xfId="607" xr:uid="{00000000-0005-0000-0000-0000B7020000}"/>
    <cellStyle name="스타일 555" xfId="608" xr:uid="{00000000-0005-0000-0000-0000B8020000}"/>
    <cellStyle name="스타일 556" xfId="609" xr:uid="{00000000-0005-0000-0000-0000B9020000}"/>
    <cellStyle name="스타일 557" xfId="610" xr:uid="{00000000-0005-0000-0000-0000BA020000}"/>
    <cellStyle name="스타일 558" xfId="611" xr:uid="{00000000-0005-0000-0000-0000BB020000}"/>
    <cellStyle name="스타일 559" xfId="612" xr:uid="{00000000-0005-0000-0000-0000BC020000}"/>
    <cellStyle name="스타일 56" xfId="613" xr:uid="{00000000-0005-0000-0000-0000BD020000}"/>
    <cellStyle name="스타일 560" xfId="614" xr:uid="{00000000-0005-0000-0000-0000BE020000}"/>
    <cellStyle name="스타일 561" xfId="615" xr:uid="{00000000-0005-0000-0000-0000BF020000}"/>
    <cellStyle name="스타일 562" xfId="616" xr:uid="{00000000-0005-0000-0000-0000C0020000}"/>
    <cellStyle name="스타일 563" xfId="617" xr:uid="{00000000-0005-0000-0000-0000C1020000}"/>
    <cellStyle name="스타일 564" xfId="618" xr:uid="{00000000-0005-0000-0000-0000C2020000}"/>
    <cellStyle name="스타일 565" xfId="619" xr:uid="{00000000-0005-0000-0000-0000C3020000}"/>
    <cellStyle name="스타일 566" xfId="620" xr:uid="{00000000-0005-0000-0000-0000C4020000}"/>
    <cellStyle name="스타일 567" xfId="621" xr:uid="{00000000-0005-0000-0000-0000C5020000}"/>
    <cellStyle name="스타일 568" xfId="622" xr:uid="{00000000-0005-0000-0000-0000C6020000}"/>
    <cellStyle name="스타일 569" xfId="623" xr:uid="{00000000-0005-0000-0000-0000C7020000}"/>
    <cellStyle name="스타일 57" xfId="624" xr:uid="{00000000-0005-0000-0000-0000C8020000}"/>
    <cellStyle name="스타일 570" xfId="625" xr:uid="{00000000-0005-0000-0000-0000C9020000}"/>
    <cellStyle name="스타일 571" xfId="626" xr:uid="{00000000-0005-0000-0000-0000CA020000}"/>
    <cellStyle name="스타일 572" xfId="627" xr:uid="{00000000-0005-0000-0000-0000CB020000}"/>
    <cellStyle name="스타일 573" xfId="628" xr:uid="{00000000-0005-0000-0000-0000CC020000}"/>
    <cellStyle name="스타일 574" xfId="629" xr:uid="{00000000-0005-0000-0000-0000CD020000}"/>
    <cellStyle name="스타일 575" xfId="630" xr:uid="{00000000-0005-0000-0000-0000CE020000}"/>
    <cellStyle name="스타일 576" xfId="631" xr:uid="{00000000-0005-0000-0000-0000CF020000}"/>
    <cellStyle name="스타일 577" xfId="632" xr:uid="{00000000-0005-0000-0000-0000D0020000}"/>
    <cellStyle name="스타일 578" xfId="633" xr:uid="{00000000-0005-0000-0000-0000D1020000}"/>
    <cellStyle name="스타일 579" xfId="634" xr:uid="{00000000-0005-0000-0000-0000D2020000}"/>
    <cellStyle name="스타일 58" xfId="635" xr:uid="{00000000-0005-0000-0000-0000D3020000}"/>
    <cellStyle name="스타일 580" xfId="636" xr:uid="{00000000-0005-0000-0000-0000D4020000}"/>
    <cellStyle name="스타일 581" xfId="637" xr:uid="{00000000-0005-0000-0000-0000D5020000}"/>
    <cellStyle name="스타일 582" xfId="638" xr:uid="{00000000-0005-0000-0000-0000D6020000}"/>
    <cellStyle name="스타일 583" xfId="639" xr:uid="{00000000-0005-0000-0000-0000D7020000}"/>
    <cellStyle name="스타일 584" xfId="640" xr:uid="{00000000-0005-0000-0000-0000D8020000}"/>
    <cellStyle name="스타일 585" xfId="641" xr:uid="{00000000-0005-0000-0000-0000D9020000}"/>
    <cellStyle name="스타일 586" xfId="642" xr:uid="{00000000-0005-0000-0000-0000DA020000}"/>
    <cellStyle name="스타일 587" xfId="643" xr:uid="{00000000-0005-0000-0000-0000DB020000}"/>
    <cellStyle name="스타일 588" xfId="644" xr:uid="{00000000-0005-0000-0000-0000DC020000}"/>
    <cellStyle name="스타일 589" xfId="645" xr:uid="{00000000-0005-0000-0000-0000DD020000}"/>
    <cellStyle name="스타일 59" xfId="646" xr:uid="{00000000-0005-0000-0000-0000DE020000}"/>
    <cellStyle name="스타일 590" xfId="647" xr:uid="{00000000-0005-0000-0000-0000DF020000}"/>
    <cellStyle name="스타일 591" xfId="648" xr:uid="{00000000-0005-0000-0000-0000E0020000}"/>
    <cellStyle name="스타일 592" xfId="649" xr:uid="{00000000-0005-0000-0000-0000E1020000}"/>
    <cellStyle name="스타일 593" xfId="650" xr:uid="{00000000-0005-0000-0000-0000E2020000}"/>
    <cellStyle name="스타일 594" xfId="651" xr:uid="{00000000-0005-0000-0000-0000E3020000}"/>
    <cellStyle name="스타일 595" xfId="652" xr:uid="{00000000-0005-0000-0000-0000E4020000}"/>
    <cellStyle name="스타일 596" xfId="653" xr:uid="{00000000-0005-0000-0000-0000E5020000}"/>
    <cellStyle name="스타일 597" xfId="654" xr:uid="{00000000-0005-0000-0000-0000E6020000}"/>
    <cellStyle name="스타일 598" xfId="655" xr:uid="{00000000-0005-0000-0000-0000E7020000}"/>
    <cellStyle name="스타일 599" xfId="656" xr:uid="{00000000-0005-0000-0000-0000E8020000}"/>
    <cellStyle name="스타일 6" xfId="657" xr:uid="{00000000-0005-0000-0000-0000E9020000}"/>
    <cellStyle name="스타일 60" xfId="658" xr:uid="{00000000-0005-0000-0000-0000EA020000}"/>
    <cellStyle name="스타일 600" xfId="659" xr:uid="{00000000-0005-0000-0000-0000EB020000}"/>
    <cellStyle name="스타일 601" xfId="660" xr:uid="{00000000-0005-0000-0000-0000EC020000}"/>
    <cellStyle name="스타일 602" xfId="661" xr:uid="{00000000-0005-0000-0000-0000ED020000}"/>
    <cellStyle name="스타일 603" xfId="662" xr:uid="{00000000-0005-0000-0000-0000EE020000}"/>
    <cellStyle name="스타일 604" xfId="663" xr:uid="{00000000-0005-0000-0000-0000EF020000}"/>
    <cellStyle name="스타일 605" xfId="664" xr:uid="{00000000-0005-0000-0000-0000F0020000}"/>
    <cellStyle name="스타일 606" xfId="665" xr:uid="{00000000-0005-0000-0000-0000F1020000}"/>
    <cellStyle name="스타일 607" xfId="666" xr:uid="{00000000-0005-0000-0000-0000F2020000}"/>
    <cellStyle name="스타일 608" xfId="667" xr:uid="{00000000-0005-0000-0000-0000F3020000}"/>
    <cellStyle name="스타일 609" xfId="668" xr:uid="{00000000-0005-0000-0000-0000F4020000}"/>
    <cellStyle name="스타일 61" xfId="669" xr:uid="{00000000-0005-0000-0000-0000F5020000}"/>
    <cellStyle name="스타일 610" xfId="670" xr:uid="{00000000-0005-0000-0000-0000F6020000}"/>
    <cellStyle name="스타일 611" xfId="671" xr:uid="{00000000-0005-0000-0000-0000F7020000}"/>
    <cellStyle name="스타일 612" xfId="672" xr:uid="{00000000-0005-0000-0000-0000F8020000}"/>
    <cellStyle name="스타일 613" xfId="673" xr:uid="{00000000-0005-0000-0000-0000F9020000}"/>
    <cellStyle name="스타일 614" xfId="674" xr:uid="{00000000-0005-0000-0000-0000FA020000}"/>
    <cellStyle name="스타일 615" xfId="675" xr:uid="{00000000-0005-0000-0000-0000FB020000}"/>
    <cellStyle name="스타일 616" xfId="676" xr:uid="{00000000-0005-0000-0000-0000FC020000}"/>
    <cellStyle name="스타일 617" xfId="677" xr:uid="{00000000-0005-0000-0000-0000FD020000}"/>
    <cellStyle name="스타일 618" xfId="678" xr:uid="{00000000-0005-0000-0000-0000FE020000}"/>
    <cellStyle name="스타일 619" xfId="679" xr:uid="{00000000-0005-0000-0000-0000FF020000}"/>
    <cellStyle name="스타일 62" xfId="680" xr:uid="{00000000-0005-0000-0000-000000030000}"/>
    <cellStyle name="스타일 620" xfId="681" xr:uid="{00000000-0005-0000-0000-000001030000}"/>
    <cellStyle name="스타일 621" xfId="682" xr:uid="{00000000-0005-0000-0000-000002030000}"/>
    <cellStyle name="스타일 622" xfId="683" xr:uid="{00000000-0005-0000-0000-000003030000}"/>
    <cellStyle name="스타일 623" xfId="684" xr:uid="{00000000-0005-0000-0000-000004030000}"/>
    <cellStyle name="스타일 624" xfId="685" xr:uid="{00000000-0005-0000-0000-000005030000}"/>
    <cellStyle name="스타일 625" xfId="686" xr:uid="{00000000-0005-0000-0000-000006030000}"/>
    <cellStyle name="스타일 626" xfId="687" xr:uid="{00000000-0005-0000-0000-000007030000}"/>
    <cellStyle name="스타일 627" xfId="688" xr:uid="{00000000-0005-0000-0000-000008030000}"/>
    <cellStyle name="스타일 628" xfId="689" xr:uid="{00000000-0005-0000-0000-000009030000}"/>
    <cellStyle name="스타일 629" xfId="690" xr:uid="{00000000-0005-0000-0000-00000A030000}"/>
    <cellStyle name="스타일 63" xfId="691" xr:uid="{00000000-0005-0000-0000-00000B030000}"/>
    <cellStyle name="스타일 630" xfId="692" xr:uid="{00000000-0005-0000-0000-00000C030000}"/>
    <cellStyle name="스타일 631" xfId="693" xr:uid="{00000000-0005-0000-0000-00000D030000}"/>
    <cellStyle name="스타일 632" xfId="694" xr:uid="{00000000-0005-0000-0000-00000E030000}"/>
    <cellStyle name="스타일 633" xfId="695" xr:uid="{00000000-0005-0000-0000-00000F030000}"/>
    <cellStyle name="스타일 634" xfId="696" xr:uid="{00000000-0005-0000-0000-000010030000}"/>
    <cellStyle name="스타일 635" xfId="697" xr:uid="{00000000-0005-0000-0000-000011030000}"/>
    <cellStyle name="스타일 636" xfId="698" xr:uid="{00000000-0005-0000-0000-000012030000}"/>
    <cellStyle name="스타일 637" xfId="699" xr:uid="{00000000-0005-0000-0000-000013030000}"/>
    <cellStyle name="스타일 638" xfId="700" xr:uid="{00000000-0005-0000-0000-000014030000}"/>
    <cellStyle name="스타일 639" xfId="701" xr:uid="{00000000-0005-0000-0000-000015030000}"/>
    <cellStyle name="스타일 64" xfId="702" xr:uid="{00000000-0005-0000-0000-000016030000}"/>
    <cellStyle name="스타일 640" xfId="703" xr:uid="{00000000-0005-0000-0000-000017030000}"/>
    <cellStyle name="스타일 641" xfId="704" xr:uid="{00000000-0005-0000-0000-000018030000}"/>
    <cellStyle name="스타일 642" xfId="705" xr:uid="{00000000-0005-0000-0000-000019030000}"/>
    <cellStyle name="스타일 643" xfId="706" xr:uid="{00000000-0005-0000-0000-00001A030000}"/>
    <cellStyle name="스타일 644" xfId="707" xr:uid="{00000000-0005-0000-0000-00001B030000}"/>
    <cellStyle name="스타일 645" xfId="708" xr:uid="{00000000-0005-0000-0000-00001C030000}"/>
    <cellStyle name="스타일 646" xfId="709" xr:uid="{00000000-0005-0000-0000-00001D030000}"/>
    <cellStyle name="스타일 647" xfId="710" xr:uid="{00000000-0005-0000-0000-00001E030000}"/>
    <cellStyle name="스타일 648" xfId="711" xr:uid="{00000000-0005-0000-0000-00001F030000}"/>
    <cellStyle name="스타일 649" xfId="712" xr:uid="{00000000-0005-0000-0000-000020030000}"/>
    <cellStyle name="스타일 65" xfId="713" xr:uid="{00000000-0005-0000-0000-000021030000}"/>
    <cellStyle name="스타일 650" xfId="714" xr:uid="{00000000-0005-0000-0000-000022030000}"/>
    <cellStyle name="스타일 651" xfId="715" xr:uid="{00000000-0005-0000-0000-000023030000}"/>
    <cellStyle name="스타일 652" xfId="716" xr:uid="{00000000-0005-0000-0000-000024030000}"/>
    <cellStyle name="스타일 653" xfId="717" xr:uid="{00000000-0005-0000-0000-000025030000}"/>
    <cellStyle name="스타일 654" xfId="718" xr:uid="{00000000-0005-0000-0000-000026030000}"/>
    <cellStyle name="스타일 655" xfId="719" xr:uid="{00000000-0005-0000-0000-000027030000}"/>
    <cellStyle name="스타일 656" xfId="720" xr:uid="{00000000-0005-0000-0000-000028030000}"/>
    <cellStyle name="스타일 657" xfId="721" xr:uid="{00000000-0005-0000-0000-000029030000}"/>
    <cellStyle name="스타일 658" xfId="722" xr:uid="{00000000-0005-0000-0000-00002A030000}"/>
    <cellStyle name="스타일 659" xfId="723" xr:uid="{00000000-0005-0000-0000-00002B030000}"/>
    <cellStyle name="스타일 66" xfId="724" xr:uid="{00000000-0005-0000-0000-00002C030000}"/>
    <cellStyle name="스타일 660" xfId="725" xr:uid="{00000000-0005-0000-0000-00002D030000}"/>
    <cellStyle name="스타일 661" xfId="726" xr:uid="{00000000-0005-0000-0000-00002E030000}"/>
    <cellStyle name="스타일 662" xfId="727" xr:uid="{00000000-0005-0000-0000-00002F030000}"/>
    <cellStyle name="스타일 663" xfId="728" xr:uid="{00000000-0005-0000-0000-000030030000}"/>
    <cellStyle name="스타일 664" xfId="729" xr:uid="{00000000-0005-0000-0000-000031030000}"/>
    <cellStyle name="스타일 665" xfId="730" xr:uid="{00000000-0005-0000-0000-000032030000}"/>
    <cellStyle name="스타일 666" xfId="731" xr:uid="{00000000-0005-0000-0000-000033030000}"/>
    <cellStyle name="스타일 667" xfId="732" xr:uid="{00000000-0005-0000-0000-000034030000}"/>
    <cellStyle name="스타일 668" xfId="733" xr:uid="{00000000-0005-0000-0000-000035030000}"/>
    <cellStyle name="스타일 669" xfId="734" xr:uid="{00000000-0005-0000-0000-000036030000}"/>
    <cellStyle name="스타일 67" xfId="735" xr:uid="{00000000-0005-0000-0000-000037030000}"/>
    <cellStyle name="스타일 670" xfId="736" xr:uid="{00000000-0005-0000-0000-000038030000}"/>
    <cellStyle name="스타일 671" xfId="737" xr:uid="{00000000-0005-0000-0000-000039030000}"/>
    <cellStyle name="스타일 672" xfId="738" xr:uid="{00000000-0005-0000-0000-00003A030000}"/>
    <cellStyle name="스타일 673" xfId="739" xr:uid="{00000000-0005-0000-0000-00003B030000}"/>
    <cellStyle name="스타일 674" xfId="740" xr:uid="{00000000-0005-0000-0000-00003C030000}"/>
    <cellStyle name="스타일 675" xfId="741" xr:uid="{00000000-0005-0000-0000-00003D030000}"/>
    <cellStyle name="스타일 676" xfId="742" xr:uid="{00000000-0005-0000-0000-00003E030000}"/>
    <cellStyle name="스타일 677" xfId="743" xr:uid="{00000000-0005-0000-0000-00003F030000}"/>
    <cellStyle name="스타일 678" xfId="744" xr:uid="{00000000-0005-0000-0000-000040030000}"/>
    <cellStyle name="스타일 679" xfId="745" xr:uid="{00000000-0005-0000-0000-000041030000}"/>
    <cellStyle name="스타일 68" xfId="746" xr:uid="{00000000-0005-0000-0000-000042030000}"/>
    <cellStyle name="스타일 680" xfId="747" xr:uid="{00000000-0005-0000-0000-000043030000}"/>
    <cellStyle name="스타일 681" xfId="748" xr:uid="{00000000-0005-0000-0000-000044030000}"/>
    <cellStyle name="스타일 682" xfId="749" xr:uid="{00000000-0005-0000-0000-000045030000}"/>
    <cellStyle name="스타일 683" xfId="750" xr:uid="{00000000-0005-0000-0000-000046030000}"/>
    <cellStyle name="스타일 684" xfId="751" xr:uid="{00000000-0005-0000-0000-000047030000}"/>
    <cellStyle name="스타일 685" xfId="752" xr:uid="{00000000-0005-0000-0000-000048030000}"/>
    <cellStyle name="스타일 686" xfId="753" xr:uid="{00000000-0005-0000-0000-000049030000}"/>
    <cellStyle name="스타일 687" xfId="754" xr:uid="{00000000-0005-0000-0000-00004A030000}"/>
    <cellStyle name="스타일 688" xfId="755" xr:uid="{00000000-0005-0000-0000-00004B030000}"/>
    <cellStyle name="스타일 689" xfId="756" xr:uid="{00000000-0005-0000-0000-00004C030000}"/>
    <cellStyle name="스타일 69" xfId="757" xr:uid="{00000000-0005-0000-0000-00004D030000}"/>
    <cellStyle name="스타일 690" xfId="758" xr:uid="{00000000-0005-0000-0000-00004E030000}"/>
    <cellStyle name="스타일 691" xfId="759" xr:uid="{00000000-0005-0000-0000-00004F030000}"/>
    <cellStyle name="스타일 692" xfId="760" xr:uid="{00000000-0005-0000-0000-000050030000}"/>
    <cellStyle name="스타일 693" xfId="761" xr:uid="{00000000-0005-0000-0000-000051030000}"/>
    <cellStyle name="스타일 694" xfId="762" xr:uid="{00000000-0005-0000-0000-000052030000}"/>
    <cellStyle name="스타일 695" xfId="763" xr:uid="{00000000-0005-0000-0000-000053030000}"/>
    <cellStyle name="스타일 696" xfId="764" xr:uid="{00000000-0005-0000-0000-000054030000}"/>
    <cellStyle name="스타일 697" xfId="765" xr:uid="{00000000-0005-0000-0000-000055030000}"/>
    <cellStyle name="스타일 698" xfId="766" xr:uid="{00000000-0005-0000-0000-000056030000}"/>
    <cellStyle name="스타일 699" xfId="767" xr:uid="{00000000-0005-0000-0000-000057030000}"/>
    <cellStyle name="스타일 7" xfId="768" xr:uid="{00000000-0005-0000-0000-000058030000}"/>
    <cellStyle name="스타일 70" xfId="769" xr:uid="{00000000-0005-0000-0000-000059030000}"/>
    <cellStyle name="스타일 700" xfId="770" xr:uid="{00000000-0005-0000-0000-00005A030000}"/>
    <cellStyle name="스타일 701" xfId="771" xr:uid="{00000000-0005-0000-0000-00005B030000}"/>
    <cellStyle name="스타일 702" xfId="772" xr:uid="{00000000-0005-0000-0000-00005C030000}"/>
    <cellStyle name="스타일 703" xfId="773" xr:uid="{00000000-0005-0000-0000-00005D030000}"/>
    <cellStyle name="스타일 704" xfId="774" xr:uid="{00000000-0005-0000-0000-00005E030000}"/>
    <cellStyle name="스타일 705" xfId="775" xr:uid="{00000000-0005-0000-0000-00005F030000}"/>
    <cellStyle name="스타일 706" xfId="776" xr:uid="{00000000-0005-0000-0000-000060030000}"/>
    <cellStyle name="스타일 707" xfId="777" xr:uid="{00000000-0005-0000-0000-000061030000}"/>
    <cellStyle name="스타일 708" xfId="778" xr:uid="{00000000-0005-0000-0000-000062030000}"/>
    <cellStyle name="스타일 709" xfId="779" xr:uid="{00000000-0005-0000-0000-000063030000}"/>
    <cellStyle name="스타일 71" xfId="780" xr:uid="{00000000-0005-0000-0000-000064030000}"/>
    <cellStyle name="스타일 710" xfId="781" xr:uid="{00000000-0005-0000-0000-000065030000}"/>
    <cellStyle name="스타일 711" xfId="782" xr:uid="{00000000-0005-0000-0000-000066030000}"/>
    <cellStyle name="스타일 712" xfId="783" xr:uid="{00000000-0005-0000-0000-000067030000}"/>
    <cellStyle name="스타일 713" xfId="784" xr:uid="{00000000-0005-0000-0000-000068030000}"/>
    <cellStyle name="스타일 714" xfId="785" xr:uid="{00000000-0005-0000-0000-000069030000}"/>
    <cellStyle name="스타일 715" xfId="786" xr:uid="{00000000-0005-0000-0000-00006A030000}"/>
    <cellStyle name="스타일 716" xfId="787" xr:uid="{00000000-0005-0000-0000-00006B030000}"/>
    <cellStyle name="스타일 717" xfId="788" xr:uid="{00000000-0005-0000-0000-00006C030000}"/>
    <cellStyle name="스타일 718" xfId="789" xr:uid="{00000000-0005-0000-0000-00006D030000}"/>
    <cellStyle name="스타일 719" xfId="790" xr:uid="{00000000-0005-0000-0000-00006E030000}"/>
    <cellStyle name="스타일 72" xfId="791" xr:uid="{00000000-0005-0000-0000-00006F030000}"/>
    <cellStyle name="스타일 720" xfId="792" xr:uid="{00000000-0005-0000-0000-000070030000}"/>
    <cellStyle name="스타일 721" xfId="793" xr:uid="{00000000-0005-0000-0000-000071030000}"/>
    <cellStyle name="스타일 722" xfId="794" xr:uid="{00000000-0005-0000-0000-000072030000}"/>
    <cellStyle name="스타일 723" xfId="795" xr:uid="{00000000-0005-0000-0000-000073030000}"/>
    <cellStyle name="스타일 724" xfId="796" xr:uid="{00000000-0005-0000-0000-000074030000}"/>
    <cellStyle name="스타일 725" xfId="797" xr:uid="{00000000-0005-0000-0000-000075030000}"/>
    <cellStyle name="스타일 726" xfId="798" xr:uid="{00000000-0005-0000-0000-000076030000}"/>
    <cellStyle name="스타일 727" xfId="799" xr:uid="{00000000-0005-0000-0000-000077030000}"/>
    <cellStyle name="스타일 728" xfId="800" xr:uid="{00000000-0005-0000-0000-000078030000}"/>
    <cellStyle name="스타일 729" xfId="801" xr:uid="{00000000-0005-0000-0000-000079030000}"/>
    <cellStyle name="스타일 73" xfId="802" xr:uid="{00000000-0005-0000-0000-00007A030000}"/>
    <cellStyle name="스타일 730" xfId="803" xr:uid="{00000000-0005-0000-0000-00007B030000}"/>
    <cellStyle name="스타일 731" xfId="804" xr:uid="{00000000-0005-0000-0000-00007C030000}"/>
    <cellStyle name="스타일 732" xfId="805" xr:uid="{00000000-0005-0000-0000-00007D030000}"/>
    <cellStyle name="스타일 733" xfId="806" xr:uid="{00000000-0005-0000-0000-00007E030000}"/>
    <cellStyle name="스타일 734" xfId="807" xr:uid="{00000000-0005-0000-0000-00007F030000}"/>
    <cellStyle name="스타일 735" xfId="808" xr:uid="{00000000-0005-0000-0000-000080030000}"/>
    <cellStyle name="스타일 736" xfId="809" xr:uid="{00000000-0005-0000-0000-000081030000}"/>
    <cellStyle name="스타일 74" xfId="810" xr:uid="{00000000-0005-0000-0000-000082030000}"/>
    <cellStyle name="스타일 75" xfId="811" xr:uid="{00000000-0005-0000-0000-000083030000}"/>
    <cellStyle name="스타일 76" xfId="812" xr:uid="{00000000-0005-0000-0000-000084030000}"/>
    <cellStyle name="스타일 77" xfId="813" xr:uid="{00000000-0005-0000-0000-000085030000}"/>
    <cellStyle name="스타일 78" xfId="814" xr:uid="{00000000-0005-0000-0000-000086030000}"/>
    <cellStyle name="스타일 79" xfId="815" xr:uid="{00000000-0005-0000-0000-000087030000}"/>
    <cellStyle name="스타일 8" xfId="816" xr:uid="{00000000-0005-0000-0000-000088030000}"/>
    <cellStyle name="스타일 80" xfId="817" xr:uid="{00000000-0005-0000-0000-000089030000}"/>
    <cellStyle name="스타일 81" xfId="818" xr:uid="{00000000-0005-0000-0000-00008A030000}"/>
    <cellStyle name="스타일 82" xfId="819" xr:uid="{00000000-0005-0000-0000-00008B030000}"/>
    <cellStyle name="스타일 83" xfId="820" xr:uid="{00000000-0005-0000-0000-00008C030000}"/>
    <cellStyle name="스타일 84" xfId="821" xr:uid="{00000000-0005-0000-0000-00008D030000}"/>
    <cellStyle name="스타일 85" xfId="822" xr:uid="{00000000-0005-0000-0000-00008E030000}"/>
    <cellStyle name="스타일 86" xfId="823" xr:uid="{00000000-0005-0000-0000-00008F030000}"/>
    <cellStyle name="스타일 87" xfId="824" xr:uid="{00000000-0005-0000-0000-000090030000}"/>
    <cellStyle name="스타일 88" xfId="825" xr:uid="{00000000-0005-0000-0000-000091030000}"/>
    <cellStyle name="스타일 89" xfId="826" xr:uid="{00000000-0005-0000-0000-000092030000}"/>
    <cellStyle name="스타일 9" xfId="827" xr:uid="{00000000-0005-0000-0000-000093030000}"/>
    <cellStyle name="스타일 90" xfId="828" xr:uid="{00000000-0005-0000-0000-000094030000}"/>
    <cellStyle name="스타일 91" xfId="829" xr:uid="{00000000-0005-0000-0000-000095030000}"/>
    <cellStyle name="스타일 92" xfId="830" xr:uid="{00000000-0005-0000-0000-000096030000}"/>
    <cellStyle name="스타일 93" xfId="831" xr:uid="{00000000-0005-0000-0000-000097030000}"/>
    <cellStyle name="스타일 94" xfId="832" xr:uid="{00000000-0005-0000-0000-000098030000}"/>
    <cellStyle name="스타일 95" xfId="833" xr:uid="{00000000-0005-0000-0000-000099030000}"/>
    <cellStyle name="스타일 96" xfId="834" xr:uid="{00000000-0005-0000-0000-00009A030000}"/>
    <cellStyle name="스타일 97" xfId="835" xr:uid="{00000000-0005-0000-0000-00009B030000}"/>
    <cellStyle name="스타일 98" xfId="836" xr:uid="{00000000-0005-0000-0000-00009C030000}"/>
    <cellStyle name="스타일 99" xfId="837" xr:uid="{00000000-0005-0000-0000-00009D030000}"/>
    <cellStyle name="자리수" xfId="17" xr:uid="{00000000-0005-0000-0000-00009E030000}"/>
    <cellStyle name="자리수 2" xfId="922" xr:uid="{00000000-0005-0000-0000-00009F030000}"/>
    <cellStyle name="자리수 3" xfId="923" xr:uid="{00000000-0005-0000-0000-0000A0030000}"/>
    <cellStyle name="자리수0" xfId="18" xr:uid="{00000000-0005-0000-0000-0000A1030000}"/>
    <cellStyle name="자리수0 2" xfId="924" xr:uid="{00000000-0005-0000-0000-0000A2030000}"/>
    <cellStyle name="자리수0 3" xfId="925" xr:uid="{00000000-0005-0000-0000-0000A3030000}"/>
    <cellStyle name="중앙(표준)" xfId="838" xr:uid="{00000000-0005-0000-0000-0000A4030000}"/>
    <cellStyle name="지정되지 않음" xfId="839" xr:uid="{00000000-0005-0000-0000-0000A5030000}"/>
    <cellStyle name="콤마 [0]_ 견적기준 FLOW " xfId="840" xr:uid="{00000000-0005-0000-0000-0000A6030000}"/>
    <cellStyle name="콤마 [2]" xfId="841" xr:uid="{00000000-0005-0000-0000-0000A7030000}"/>
    <cellStyle name="콤마_ 견적기준 FLOW " xfId="842" xr:uid="{00000000-0005-0000-0000-0000A8030000}"/>
    <cellStyle name="통화 [0] 2" xfId="843" xr:uid="{00000000-0005-0000-0000-0000A9030000}"/>
    <cellStyle name="통화 [0] 2 2" xfId="981" xr:uid="{00000000-0005-0000-0000-0000AA030000}"/>
    <cellStyle name="퍼센트" xfId="19" xr:uid="{00000000-0005-0000-0000-0000AB030000}"/>
    <cellStyle name="퍼센트 2" xfId="926" xr:uid="{00000000-0005-0000-0000-0000AC030000}"/>
    <cellStyle name="퍼센트 3" xfId="927" xr:uid="{00000000-0005-0000-0000-0000AD030000}"/>
    <cellStyle name="표준" xfId="0" builtinId="0"/>
    <cellStyle name="표준 10" xfId="1006" xr:uid="{24ADF8EA-25AA-4E1D-94D1-3D5988219C75}"/>
    <cellStyle name="표준 15 2" xfId="1000" xr:uid="{00000000-0005-0000-0000-0000AF030000}"/>
    <cellStyle name="표준 15 25" xfId="991" xr:uid="{00000000-0005-0000-0000-0000B0030000}"/>
    <cellStyle name="표준 15 25 2" xfId="993" xr:uid="{00000000-0005-0000-0000-0000B1030000}"/>
    <cellStyle name="표준 15 26 2" xfId="989" xr:uid="{00000000-0005-0000-0000-0000B2030000}"/>
    <cellStyle name="표준 15 26 2 2" xfId="996" xr:uid="{00000000-0005-0000-0000-0000B3030000}"/>
    <cellStyle name="표준 15 26 2 2 2" xfId="1002" xr:uid="{00000000-0005-0000-0000-0000B4030000}"/>
    <cellStyle name="표준 16 25" xfId="987" xr:uid="{00000000-0005-0000-0000-0000B5030000}"/>
    <cellStyle name="표준 16 25 2" xfId="994" xr:uid="{00000000-0005-0000-0000-0000B6030000}"/>
    <cellStyle name="표준 16 25 2 2" xfId="1001" xr:uid="{00000000-0005-0000-0000-0000B7030000}"/>
    <cellStyle name="표준 2" xfId="20" xr:uid="{00000000-0005-0000-0000-0000B8030000}"/>
    <cellStyle name="표준 2 2" xfId="21" xr:uid="{00000000-0005-0000-0000-0000B9030000}"/>
    <cellStyle name="표준 2 2 2" xfId="60" xr:uid="{00000000-0005-0000-0000-0000BA030000}"/>
    <cellStyle name="표준 2 2 3" xfId="888" xr:uid="{00000000-0005-0000-0000-0000BB030000}"/>
    <cellStyle name="표준 2 3" xfId="889" xr:uid="{00000000-0005-0000-0000-0000BC030000}"/>
    <cellStyle name="표준 2 3 2" xfId="962" xr:uid="{00000000-0005-0000-0000-0000BD030000}"/>
    <cellStyle name="표준 2 4" xfId="928" xr:uid="{00000000-0005-0000-0000-0000BE030000}"/>
    <cellStyle name="표준 2 5" xfId="929" xr:uid="{00000000-0005-0000-0000-0000BF030000}"/>
    <cellStyle name="표준 20" xfId="982" xr:uid="{00000000-0005-0000-0000-0000C0030000}"/>
    <cellStyle name="표준 20 2" xfId="1004" xr:uid="{00000000-0005-0000-0000-0000C1030000}"/>
    <cellStyle name="표준 3" xfId="62" xr:uid="{00000000-0005-0000-0000-0000C2030000}"/>
    <cellStyle name="표준 3 2" xfId="61" xr:uid="{00000000-0005-0000-0000-0000C3030000}"/>
    <cellStyle name="표준 3 2 2" xfId="963" xr:uid="{00000000-0005-0000-0000-0000C4030000}"/>
    <cellStyle name="표준 3 2 3" xfId="960" xr:uid="{00000000-0005-0000-0000-0000C5030000}"/>
    <cellStyle name="표준 3 2 66" xfId="984" xr:uid="{00000000-0005-0000-0000-0000C6030000}"/>
    <cellStyle name="표준 3 3" xfId="930" xr:uid="{00000000-0005-0000-0000-0000C7030000}"/>
    <cellStyle name="표준 4" xfId="844" xr:uid="{00000000-0005-0000-0000-0000C8030000}"/>
    <cellStyle name="표준 4 2" xfId="886" xr:uid="{00000000-0005-0000-0000-0000C9030000}"/>
    <cellStyle name="표준 4 2 2" xfId="964" xr:uid="{00000000-0005-0000-0000-0000CA030000}"/>
    <cellStyle name="표준 5" xfId="845" xr:uid="{00000000-0005-0000-0000-0000CB030000}"/>
    <cellStyle name="표준 5 2" xfId="931" xr:uid="{00000000-0005-0000-0000-0000CC030000}"/>
    <cellStyle name="표준 5 3" xfId="965" xr:uid="{00000000-0005-0000-0000-0000CD030000}"/>
    <cellStyle name="표준 6" xfId="846" xr:uid="{00000000-0005-0000-0000-0000CE030000}"/>
    <cellStyle name="표준 6 2" xfId="966" xr:uid="{00000000-0005-0000-0000-0000CF030000}"/>
    <cellStyle name="표준 6 3" xfId="938" xr:uid="{00000000-0005-0000-0000-0000D0030000}"/>
    <cellStyle name="표준 7" xfId="891" xr:uid="{00000000-0005-0000-0000-0000D1030000}"/>
    <cellStyle name="표준 8" xfId="992" xr:uid="{00000000-0005-0000-0000-0000D2030000}"/>
    <cellStyle name="표준 9" xfId="998" xr:uid="{00000000-0005-0000-0000-0000D3030000}"/>
    <cellStyle name="표준(중앙)" xfId="847" xr:uid="{00000000-0005-0000-0000-0000D4030000}"/>
    <cellStyle name="표준_09년 주방 배기덕트 청소(사전)" xfId="57" xr:uid="{00000000-0005-0000-0000-0000D5030000}"/>
    <cellStyle name="標準_Akia(F）-8" xfId="848" xr:uid="{00000000-0005-0000-0000-0000D6030000}"/>
    <cellStyle name="표준_B3F 펄퍼 주철배수관 교체공사 입찰품의(안)" xfId="28" xr:uid="{00000000-0005-0000-0000-0000D7030000}"/>
    <cellStyle name="표준_B3F펄퍼주철배수관교체공사입찰품의(안)" xfId="29" xr:uid="{00000000-0005-0000-0000-0000D8030000}"/>
    <cellStyle name="표준_Book1" xfId="30" xr:uid="{00000000-0005-0000-0000-0000D9030000}"/>
    <cellStyle name="표준_FCT FILL 펌프 토출배관 교체공사 낙찰품의(안)" xfId="58" xr:uid="{00000000-0005-0000-0000-0000DA030000}"/>
    <cellStyle name="표준_FCT FILL 펌프 토출배관 교체공사(안)" xfId="56" xr:uid="{00000000-0005-0000-0000-0000DB030000}"/>
    <cellStyle name="표준_선큰조명등보수비교표" xfId="22" xr:uid="{00000000-0005-0000-0000-0000DC030000}"/>
    <cellStyle name="표준_선큰조명등보수비교표_예가비교표 및 공사예정가격조서" xfId="23" xr:uid="{00000000-0005-0000-0000-0000DD030000}"/>
    <cellStyle name="표준_선큰조명등보수비교표_예가비교표 및 공사예정가격조서_첨부(EL Rope 교체)" xfId="24" xr:uid="{00000000-0005-0000-0000-0000DE030000}"/>
    <cellStyle name="표준_예가산출서" xfId="25" xr:uid="{00000000-0005-0000-0000-0000DF030000}"/>
    <cellStyle name="표준_제한적최저가_양식" xfId="26" xr:uid="{00000000-0005-0000-0000-0000E0030000}"/>
    <cellStyle name="표준_제한적최저가_양식변경" xfId="27" xr:uid="{00000000-0005-0000-0000-0000E1030000}"/>
    <cellStyle name="표쥰" xfId="849" xr:uid="{00000000-0005-0000-0000-0000E2030000}"/>
    <cellStyle name="하이퍼링크 2" xfId="850" xr:uid="{00000000-0005-0000-0000-0000E3030000}"/>
    <cellStyle name="하이퍼링크 2 2" xfId="967" xr:uid="{00000000-0005-0000-0000-0000E4030000}"/>
    <cellStyle name="합산" xfId="31" xr:uid="{00000000-0005-0000-0000-0000E5030000}"/>
    <cellStyle name="합산 2" xfId="932" xr:uid="{00000000-0005-0000-0000-0000E6030000}"/>
    <cellStyle name="합산 3" xfId="933" xr:uid="{00000000-0005-0000-0000-0000E7030000}"/>
    <cellStyle name="화폐기호" xfId="32" xr:uid="{00000000-0005-0000-0000-0000E8030000}"/>
    <cellStyle name="화폐기호 2" xfId="934" xr:uid="{00000000-0005-0000-0000-0000E9030000}"/>
    <cellStyle name="화폐기호 3" xfId="935" xr:uid="{00000000-0005-0000-0000-0000EA030000}"/>
    <cellStyle name="화폐기호0" xfId="33" xr:uid="{00000000-0005-0000-0000-0000EB030000}"/>
    <cellStyle name="화폐기호0 2" xfId="936" xr:uid="{00000000-0005-0000-0000-0000EC030000}"/>
    <cellStyle name="화폐기호0 3" xfId="937" xr:uid="{00000000-0005-0000-0000-0000ED030000}"/>
  </cellStyles>
  <dxfs count="0"/>
  <tableStyles count="0" defaultTableStyle="TableStyleMedium9" defaultPivotStyle="PivotStyleLight16"/>
  <colors>
    <mruColors>
      <color rgb="FFFFFF99"/>
      <color rgb="FF0000FF"/>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25\&#44552;&#51333;&#51204;&#44592;\&#44552;&#51333;&#51204;&#44592;\My%20Documents\&#44368;&#48372;&#51613;&#44428;\LOTUS\&#44144;&#51228;&#46020;\&#44144;&#51228;&#46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k21744\MY%20DOCUMENTS\&#49444;&#44228;&#51088;&#47308;\&#52649;&#45224;&#54217;&#49373;\&#45236;&#50669;&#49436;-10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y%20Documents\&#44368;&#48372;&#51613;&#44428;\LOTUS\&#44144;&#51228;&#46020;\&#44144;&#51228;&#460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8.lge.com/My%20Documents/&#44368;&#48372;&#51613;&#44428;/LOTUS/&#44144;&#51228;&#46020;/&#44144;&#51228;&#460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K21887\1129&#49892;&#49884;\Temp\&#44032;&#44201;&#48708;&#44368;-&#54805;&#4943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손익"/>
      <sheetName val="현금흐름"/>
      <sheetName val="5층 건축물대장 등기 예정"/>
      <sheetName val="층별면적표-060411-5층 통합"/>
      <sheetName val="서피070607"/>
      <sheetName val="재원조달"/>
      <sheetName val="2F 회의실견적(5_14 일대)"/>
      <sheetName val="노무비"/>
      <sheetName val="Utility Usage YTN TOWER"/>
      <sheetName val="Dash_Board"/>
      <sheetName val="TOWER_12TON"/>
      <sheetName val="TOWER_10TON"/>
      <sheetName val="JIB_CRANE,HOIST"/>
      <sheetName val="5층_건축물대장_등기_예정"/>
      <sheetName val="층별면적표-060411-5층_통합"/>
      <sheetName val="시산표"/>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A"/>
      <sheetName val="Dropdown list"/>
      <sheetName val="1ST"/>
      <sheetName val="Budget"/>
      <sheetName val="간이연락"/>
      <sheetName val="유림골조"/>
      <sheetName val="공통비(전체)"/>
      <sheetName val="유림총괄"/>
      <sheetName val="master"/>
      <sheetName val="Prices"/>
      <sheetName val="仲介業者"/>
      <sheetName val="DataW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단독빌딩 총합계본"/>
    </sheetNames>
    <sheetDataSet>
      <sheetData sheetId="0" refreshError="1"/>
      <sheetData sheetId="1" refreshError="1"/>
      <sheetData sheetId="2" refreshError="1"/>
      <sheetData sheetId="3" refreshError="1"/>
      <sheetData sheetId="4" refreshError="1"/>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시산표(매출조정전)"/>
      <sheetName val="요약"/>
      <sheetName val="감가상각"/>
      <sheetName val="Training"/>
      <sheetName val="Facility Information"/>
      <sheetName val="General"/>
      <sheetName val="Instructions"/>
      <sheetName val="People"/>
      <sheetName val="Quality"/>
      <sheetName val="Risk"/>
      <sheetName val="주차"/>
      <sheetName val="인원계획-미화"/>
      <sheetName val="Sheet13"/>
      <sheetName val="Sheet14"/>
      <sheetName val="회사정보"/>
      <sheetName val="JUCKEYK"/>
      <sheetName val="DATA"/>
      <sheetName val="실적공사"/>
      <sheetName val="업무처리전"/>
      <sheetName val="총괄내역서"/>
      <sheetName val="공통부대관리"/>
      <sheetName val="MIJIBI"/>
      <sheetName val="익월수주전망"/>
      <sheetName val="입찰내역서"/>
      <sheetName val="A"/>
      <sheetName val="Prices"/>
      <sheetName val="장기대여금1"/>
      <sheetName val="SO416"/>
      <sheetName val="개발비자산성검토"/>
      <sheetName val="가공MH"/>
      <sheetName val="08년(Form1)"/>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6PILE  (돌출)"/>
      <sheetName val="기성청구 공문"/>
      <sheetName val="IW-LIST"/>
      <sheetName val="완제품3"/>
      <sheetName val="영동(D)"/>
      <sheetName val="비가동-20"/>
      <sheetName val="손익현황"/>
      <sheetName val="현황CODE"/>
      <sheetName val="SIL98"/>
      <sheetName val="예정(3)"/>
      <sheetName val="동원(3)"/>
      <sheetName val="점수계산1-2"/>
      <sheetName val="시산표"/>
      <sheetName val="역T형"/>
      <sheetName val="woo(mac)"/>
      <sheetName val="MIBK원단위"/>
      <sheetName val="RECIMAKE"/>
      <sheetName val="Proposal"/>
      <sheetName val="일위대가표"/>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표지"/>
      <sheetName val="설비원가"/>
      <sheetName val="물량표"/>
      <sheetName val="表21 净利润调节表"/>
      <sheetName val="A-4"/>
      <sheetName val="SM1-09"/>
      <sheetName val="SM2-09"/>
      <sheetName val="BD-09"/>
      <sheetName val="CAUDIT"/>
      <sheetName val="조명시설"/>
      <sheetName val="원가계산하도"/>
      <sheetName val="총내역서"/>
      <sheetName val="2.총괄표"/>
      <sheetName val="일위대가"/>
      <sheetName val="LinerWt"/>
      <sheetName val="미드수량"/>
      <sheetName val="참조"/>
      <sheetName val="DATE"/>
      <sheetName val="대비표"/>
      <sheetName val="현장지지물물량"/>
      <sheetName val="97년추정손익계산서"/>
      <sheetName val="12년 CF(9월)"/>
      <sheetName val="골조시행"/>
      <sheetName val="업무연락"/>
      <sheetName val="Ethylene"/>
      <sheetName val="월별매출"/>
      <sheetName val="ChlorAlkali"/>
      <sheetName val="VXXXXXXX"/>
      <sheetName val="13월별BS"/>
      <sheetName val="RE9604"/>
      <sheetName val="평가제외"/>
      <sheetName val="집행내역"/>
      <sheetName val="양식3"/>
      <sheetName val="하수급견적대비"/>
      <sheetName val="재고현황"/>
      <sheetName val="발행제기"/>
      <sheetName val="2.대외공문"/>
      <sheetName val="퇴충"/>
      <sheetName val="요약PL"/>
      <sheetName val="교각계산"/>
      <sheetName val="37개월"/>
      <sheetName val="주형"/>
      <sheetName val="sum1 (2)"/>
      <sheetName val="적격"/>
      <sheetName val="3.바닥판설계"/>
      <sheetName val="단가표"/>
      <sheetName val="세부내역서"/>
      <sheetName val="D-623D"/>
      <sheetName val="BQMPALOC"/>
      <sheetName val="조경"/>
      <sheetName val="TRE TABLE"/>
      <sheetName val="C3"/>
      <sheetName val="입찰보고"/>
      <sheetName val="물량표(신)"/>
      <sheetName val="대공종"/>
      <sheetName val="slipsumpR"/>
      <sheetName val="참조시트"/>
      <sheetName val="월별수입"/>
      <sheetName val="차수"/>
      <sheetName val="담보"/>
      <sheetName val="1유리"/>
      <sheetName val="예적금"/>
      <sheetName val="월별손익"/>
      <sheetName val="매출"/>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적용건축"/>
      <sheetName val="주현(해보)"/>
      <sheetName val="주현(영광)"/>
      <sheetName val="_x0018__x0000_"/>
      <sheetName val=""/>
      <sheetName val="입출재고현황 (2)"/>
      <sheetName val="입찰내역 발주처 양식"/>
      <sheetName val="자재단가"/>
      <sheetName val="실행간접비용"/>
      <sheetName val="부속동"/>
      <sheetName val="부하계산서"/>
      <sheetName val="Utility Usage YTN TOWER"/>
      <sheetName val="Data Validation"/>
      <sheetName val="118.세금과공과"/>
      <sheetName val="수선비"/>
      <sheetName val="BEST"/>
      <sheetName val="통장출금액"/>
      <sheetName val="카메라"/>
      <sheetName val="실적"/>
      <sheetName val="CC_Down_load_0716"/>
      <sheetName val="변경실행(2차)_"/>
      <sheetName val="나_출고"/>
      <sheetName val="나_입고"/>
      <sheetName val="09년_인건비(속리산)"/>
      <sheetName val="합산목표(감가+57_5)"/>
      <sheetName val="기성청구_공문"/>
      <sheetName val="504전기실 동부하-L"/>
      <sheetName val="Sheet15"/>
      <sheetName val="Sheet9"/>
      <sheetName val="DUT-BAT1"/>
      <sheetName val="감가상각비"/>
      <sheetName val="양식(직판용)"/>
      <sheetName val="部署名"/>
      <sheetName val="車両別燃費及び油類単価"/>
      <sheetName val="1_종합손익(도급)1"/>
      <sheetName val="推移グラフ"/>
      <sheetName val="BAND(200)"/>
      <sheetName val="OUTER AREA(겹침없음)"/>
      <sheetName val="EG-09"/>
      <sheetName val="M3산출"/>
      <sheetName val="EL 표면적"/>
      <sheetName val="FAB"/>
      <sheetName val="Year"/>
      <sheetName val="조정내역"/>
      <sheetName val="CF6"/>
      <sheetName val="P.M 별"/>
      <sheetName val="FRQ"/>
      <sheetName val="기준"/>
      <sheetName val="공정"/>
      <sheetName val="설산1.나"/>
      <sheetName val="본사S"/>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0001new"/>
      <sheetName val="단가(반정3교-원주)"/>
      <sheetName val="월별예산"/>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설계명세서"/>
      <sheetName val="전신환매도율"/>
      <sheetName val="경비"/>
      <sheetName val="CC16-내역서"/>
      <sheetName val="Y-WORK"/>
      <sheetName val="건축내역"/>
      <sheetName val="공사비예산서(토목분)"/>
      <sheetName val="일위대가(계측기설치)"/>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Back Data 1"/>
      <sheetName val="1. 작성방식"/>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_x005f_x0018_"/>
      <sheetName val="1.차입금"/>
      <sheetName val="choose"/>
      <sheetName val="위탁매매_1103"/>
      <sheetName val="자기매매_1103"/>
      <sheetName val="위탁매매_1109"/>
      <sheetName val="자기매매_1109"/>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입찰내역_발주처_양식"/>
      <sheetName val="Data_Validation"/>
      <sheetName val="품목코드표"/>
      <sheetName val="해외 기술훈련비 (합계)"/>
      <sheetName val="접대비"/>
      <sheetName val="Bond"/>
      <sheetName val="최소가치(간편)-회계"/>
      <sheetName val="회사제시"/>
      <sheetName val="_x0018_?"/>
      <sheetName val="__"/>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본문"/>
      <sheetName val="ETC"/>
      <sheetName val="95하U$가격"/>
      <sheetName val="3.6.2남양주택배"/>
      <sheetName val="Manual"/>
      <sheetName val="슬래԰"/>
      <sheetName val="슬래"/>
      <sheetName val="슬래렀"/>
      <sheetName val="슬래㰀"/>
      <sheetName val="슬래밀"/>
      <sheetName val="선급비용"/>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설치원가"/>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코드"/>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2013.2월 연결대상"/>
      <sheetName val="BS_Package_내부거래"/>
      <sheetName val="PL_Package_내부거래"/>
      <sheetName val="최적단면"/>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Index"/>
      <sheetName val="중기일위대가"/>
      <sheetName val="sum_x0008__x0000__x000d__x0000__x0006__x0000_"/>
      <sheetName val="Ѐ܀ऀ܀؀਀؀Ԁ̀Ѐ̀Ѐࠀ܀ఀ؀܀"/>
      <sheetName val="진행 DATA (2)"/>
      <sheetName val="NG Item"/>
      <sheetName val="4.1 월별 에너지 사용량"/>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코드관리"/>
      <sheetName val="오류항목"/>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カテゴリ表"/>
      <sheetName val="数据有效性"/>
      <sheetName val="Worker List"/>
      <sheetName val="GB-IC Villingen GG"/>
      <sheetName val="MC&amp;다변화"/>
      <sheetName val="Library"/>
      <sheetName val="BM_NEW2"/>
      <sheetName val="97손익계획"/>
      <sheetName val="가정"/>
      <sheetName val="공시용PL"/>
      <sheetName val="예산대실적_작성"/>
      <sheetName val="표시트"/>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TOWER 12TON"/>
      <sheetName val="TOWER 10TON"/>
      <sheetName val="JIB CRANE,HOIST"/>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기본일위"/>
      <sheetName val="M&amp;Q Lead"/>
      <sheetName val="견적을지"/>
      <sheetName val="목록!"/>
      <sheetName val="마스터0919"/>
      <sheetName val="T6-6(7)"/>
      <sheetName val="月度設定"/>
      <sheetName val="카드채권(대출포함)"/>
      <sheetName val="공통"/>
      <sheetName val="STANDARD"/>
      <sheetName val="유효성검사"/>
      <sheetName val="support"/>
      <sheetName val="그룹자료"/>
      <sheetName val="임율자료"/>
      <sheetName val="7상품수"/>
      <sheetName val="생산성(2차)"/>
      <sheetName val="요약(1차)"/>
      <sheetName val="1월~9월"/>
      <sheetName val="한계원가"/>
      <sheetName val="공시용CF"/>
      <sheetName val="000000"/>
      <sheetName val="안산기계장치"/>
      <sheetName val="일위대가목차"/>
      <sheetName val="숨김"/>
      <sheetName val="A(Rev.3)"/>
      <sheetName val="분석가정"/>
      <sheetName val="설비등록׃⼫"/>
      <sheetName val="설비등록_x0010__x0000_"/>
      <sheetName val="_x0018__"/>
      <sheetName val="기성현황집계표"/>
      <sheetName val="특수선일위대가"/>
      <sheetName val="일위대가(목록)"/>
      <sheetName val="재료비"/>
      <sheetName val="견적내역서"/>
      <sheetName val="6호기"/>
      <sheetName val="pg15"/>
      <sheetName val="2.6 三无 (2)"/>
      <sheetName val="노임단가(공사)"/>
      <sheetName val="RES"/>
      <sheetName val="2.FM Fee_2차년도"/>
      <sheetName val="3.감가장비"/>
      <sheetName val="드롭다운"/>
      <sheetName val="Desal-E&amp;I"/>
      <sheetName val="Month-Report"/>
      <sheetName val="10매출"/>
      <sheetName val="_x005f_x005f_x005f_x0000__x005f_x005f_x005f_x0000_"/>
      <sheetName val="Cntmrs"/>
      <sheetName val="_x005f_x005f_x005f_x0000__x005f"/>
      <sheetName val="소주(苏州)"/>
      <sheetName val="공통부대비"/>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시험장S자로가로등공사"/>
      <sheetName val="_x005f_x005f_x005f_x0018__x005f_x005f_x005f_x0000_"/>
      <sheetName val="_x005f_x0018_?"/>
      <sheetName val="지장물C"/>
      <sheetName val="01_02월_성B_x0000_"/>
      <sheetName val="Sheet17"/>
      <sheetName val="1-1"/>
      <sheetName val="첨부#2.Cash Flow(현장작성)"/>
      <sheetName val="STRAT PLAN WKSHT"/>
      <sheetName val="Sales Plan &amp; other"/>
      <sheetName val="ConsolidateUSD"/>
      <sheetName val="STRAT_PLAN_WKSHT"/>
      <sheetName val="Sales_Plan_&amp;_other"/>
      <sheetName val="ref"/>
      <sheetName val="drop downs"/>
      <sheetName val="Project Count"/>
      <sheetName val="Index1"/>
      <sheetName val="STRAT_PLAN_WKSHT1"/>
      <sheetName val="Sales_Plan_&amp;_other1"/>
      <sheetName val="drop_downs"/>
      <sheetName val="XREF"/>
      <sheetName val="손익계산서"/>
      <sheetName val="단기차입금(200006)"/>
      <sheetName val="有型区分分类"/>
      <sheetName val="업무 분류(Category)"/>
      <sheetName val="작성양식"/>
      <sheetName val="수정양식"/>
      <sheetName val="#1 Basic"/>
      <sheetName val="만기"/>
      <sheetName val="월별비교(물리)"/>
      <sheetName val="산자사 운전용품"/>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hiddenSheet"/>
      <sheetName val="필요면적"/>
      <sheetName val="PUR-12K"/>
      <sheetName val="TSCLFEB"/>
      <sheetName val="7300-1000.11"/>
      <sheetName val="7300-1000_11"/>
      <sheetName val="기준Data"/>
      <sheetName val="PJT 현황"/>
      <sheetName val="euc"/>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전기요금 산출내역"/>
      <sheetName val="입찰내역 Ĉ"/>
      <sheetName val="sum_x0008_"/>
      <sheetName val="시스템 개요 유효값"/>
      <sheetName val="관리자"/>
      <sheetName val="월간공정표(04월))"/>
      <sheetName val="문의내용 카테고리 분류(수정X)"/>
      <sheetName val="미계약2"/>
      <sheetName val="받을어음"/>
      <sheetName val="구분 Table"/>
      <sheetName val="역T형옹벽(3.0)"/>
      <sheetName val="외상매출금현황-수정분 A2"/>
      <sheetName val="상불"/>
      <sheetName val="Assign"/>
      <sheetName val="합잔_역사"/>
      <sheetName val="01현금및현금성자산(ok)"/>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1TL종점(1)"/>
      <sheetName val="기준재고"/>
      <sheetName val="수액원료4"/>
      <sheetName val="노원열병합  건축공사기성내역서"/>
      <sheetName val="Mot So Thuat Ngu EN-VI"/>
      <sheetName val="640ꠌ᜹렀㣃씃"/>
      <sheetName val="640ꠏ᜹쀀씃"/>
      <sheetName val="VNHA"/>
      <sheetName val="대차대조표-공시형"/>
      <sheetName val="참고) 기준정보"/>
      <sheetName val="회사전체"/>
      <sheetName val="이자"/>
      <sheetName val="Diesel Price "/>
      <sheetName val="$bhp"/>
      <sheetName val="업무분장 "/>
      <sheetName val="포지셔닝(유형별)"/>
      <sheetName val="채권(하반기)"/>
      <sheetName val="금액"/>
      <sheetName val="제품"/>
      <sheetName val="분류표"/>
      <sheetName val="Long Term Prices"/>
      <sheetName val="생산량"/>
      <sheetName val="BK_PPA"/>
      <sheetName val="간접비차이_PJT"/>
      <sheetName val="(참조)"/>
      <sheetName val="Investment Category"/>
      <sheetName val="견적 맵"/>
      <sheetName val="Asset9809CAK"/>
      <sheetName val="Sheet475"/>
      <sheetName val="갑지1"/>
      <sheetName val="JT3.0견적-구1"/>
      <sheetName val="Dropbox 목록"/>
      <sheetName val="네고14"/>
      <sheetName val="관리1"/>
      <sheetName val="연체리스료"/>
      <sheetName val="control sheet"/>
      <sheetName val="wall"/>
      <sheetName val="BATCH"/>
      <sheetName val="1.수인터널"/>
      <sheetName val="대환취급"/>
      <sheetName val="1711월"/>
      <sheetName val="OH _x000f__x0000__x000c__x0000__x0006__x0000__x0005__x0000__x000c__x0000_"/>
      <sheetName val="_x0000__x0004__x0000__x0002__x0000__x0002__x0000__x0005__x0000__x0008__x0000_"/>
      <sheetName val="ࠀ฀က฀Ԁ"/>
      <sheetName val="산출"/>
      <sheetName val="master(ZH)"/>
      <sheetName val="1공구산출내역서"/>
      <sheetName val="7_공사비집_x0000__x0000_Ā_x0000__x0005__x0000_翸_x0000_"/>
      <sheetName val="工완성공사율"/>
      <sheetName val="협가표"/>
      <sheetName val="집계"/>
      <sheetName val="아산추가1220"/>
      <sheetName val="가설공사내역"/>
      <sheetName val="401"/>
      <sheetName val="교량하부공"/>
      <sheetName val="1~9 하중계산"/>
      <sheetName val="정공공사"/>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증감대비"/>
      <sheetName val="공종단가"/>
      <sheetName val="PAD_TR보호대기초1"/>
      <sheetName val="1__시공측량1"/>
      <sheetName val="납부내역총괄표_(수정)1"/>
      <sheetName val="수종별수량_(2)1"/>
      <sheetName val="Weekly_Progress(계장)1"/>
      <sheetName val="근거_및_가정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2_주요계수총괄2"/>
      <sheetName val="Project_Brief2"/>
      <sheetName val="P_M_별3"/>
      <sheetName val="단면_(2)2"/>
      <sheetName val="1_본사계정별2"/>
      <sheetName val="Facility_Information2"/>
      <sheetName val="PAD_TR보호대기초2"/>
      <sheetName val="1__시공측량2"/>
      <sheetName val="납부내역총괄표_(수정)2"/>
      <sheetName val="수종별수량_(2)2"/>
      <sheetName val="Weekly_Progress(계장)2"/>
      <sheetName val="근거_및_가정2"/>
      <sheetName val="1_차입금2"/>
      <sheetName val="부대시행1_(2)2"/>
      <sheetName val="118_세금과공과2"/>
      <sheetName val="3_6_2남양주택배2"/>
      <sheetName val="설산1_나2"/>
      <sheetName val="2_실행ﶻĉ_x0000_"/>
      <sheetName val="2_실행䔭疖꜀"/>
      <sheetName val="2_실행ﶻ_x001e__x0000_"/>
      <sheetName val="3.공통공사대비"/>
      <sheetName val="2002년12월"/>
      <sheetName val="현장관리비 산출내역"/>
      <sheetName val="일일투입집계표"/>
      <sheetName val="평가데이터"/>
      <sheetName val="Macro3"/>
      <sheetName val="무형자산 LS11"/>
      <sheetName val="Global"/>
      <sheetName val="_x005f_x0018__"/>
      <sheetName val="_x005f_x0000_"/>
      <sheetName val="기타수지&amp;특별손익_ﹴÕ"/>
      <sheetName val="총괄집계표"/>
      <sheetName val="합계표"/>
      <sheetName val="공통비_x0000__x0000_ʯ"/>
      <sheetName val="공통비_x0000_í遘̩"/>
      <sheetName val="BQ"/>
      <sheetName val="Basic"/>
      <sheetName val="기성"/>
      <sheetName val="_x005f_x005f_x005f_x005f_x005f_x005f_x005f_x0018__x005f"/>
      <sheetName val="_x005f_x005f_x005f_x0018__"/>
      <sheetName val="간접비"/>
      <sheetName val="대구은행"/>
      <sheetName val="원재료"/>
      <sheetName val="비품"/>
      <sheetName val="PF 현황(11년12월)"/>
      <sheetName val="Sensitivity and GC Value"/>
      <sheetName val="FORM4"/>
      <sheetName val="FORM1"/>
      <sheetName val="FORM2"/>
      <sheetName val="FORM3"/>
      <sheetName val="FORM5"/>
      <sheetName val="FORM10"/>
      <sheetName val="FORM15"/>
      <sheetName val="FORM16"/>
      <sheetName val="main"/>
      <sheetName val="gr_val"/>
      <sheetName val="gr_sum"/>
      <sheetName val="Back_Data_12"/>
      <sheetName val="1월_예산1"/>
      <sheetName val="_견적서1"/>
      <sheetName val="해외_기술훈련비_(합계)2"/>
      <sheetName val="설문_평가1"/>
      <sheetName val="전선_및_전선관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조도계산서_(도서)"/>
      <sheetName val="C1_3_1"/>
      <sheetName val="입찰내역_Ĉᇆ"/>
      <sheetName val="입찰내역_Ĉᇆ"/>
      <sheetName val="6월_공嚺㓶가"/>
      <sheetName val="sum_x000a_"/>
      <sheetName val="_"/>
      <sheetName val="설비등록"/>
      <sheetName val="2_6_三无_(2)"/>
      <sheetName val="Worker_List"/>
      <sheetName val="GB-IC_Villingen_GG"/>
      <sheetName val="A(Rev_3)"/>
      <sheetName val="OUTER_A՜_x0000_缀_x0000__x0000__x0000_尀빙끯"/>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부대내역"/>
      <sheetName val="체신주조서"/>
      <sheetName val="자금_제_x0000__x0000_Ԁ_x0000_"/>
      <sheetName val="단독빌딩 총합계본"/>
      <sheetName val="OH _x000f_"/>
      <sheetName val="____"/>
      <sheetName val="本月预计"/>
      <sheetName val="1)추진현황"/>
      <sheetName val="매출회전"/>
      <sheetName val="소방사항"/>
      <sheetName val="TMPA"/>
      <sheetName val="TLoss"/>
      <sheetName val="예총"/>
      <sheetName val="0304"/>
      <sheetName val="이름표"/>
      <sheetName val="날개벽수량표"/>
      <sheetName val="001"/>
      <sheetName val="1__작성방식1"/>
      <sheetName val="표)CFT장_조직별_배분1"/>
      <sheetName val="20180214_P&amp;T1"/>
      <sheetName val="Ref__중점_추진_과제별_상세1"/>
      <sheetName val="Bank_code1"/>
      <sheetName val="Drop-down_RAW1"/>
      <sheetName val="Basic_Information1"/>
      <sheetName val="Exchange_rate1"/>
      <sheetName val="진행_DATA_(2)"/>
      <sheetName val="NG_Item"/>
      <sheetName val="Ref__Spec_Review_양식"/>
      <sheetName val="Ref__시험항목_테이블"/>
      <sheetName val="Ref__Search_Result_테이블"/>
      <sheetName val="4_1_월별_에너지_사용량"/>
      <sheetName val="TOWER_12TON"/>
      <sheetName val="TOWER_10TON"/>
      <sheetName val="JIB_CRANE,HOIST"/>
      <sheetName val="M&amp;Q_Lead"/>
      <sheetName val="경영비율 "/>
      <sheetName val="07.01"/>
      <sheetName val="수량산출서 (2)"/>
      <sheetName val="설계내역양식"/>
      <sheetName val="6F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refreshError="1"/>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sheetData sheetId="5289"/>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refreshError="1"/>
      <sheetData sheetId="5444"/>
      <sheetData sheetId="5445" refreshError="1"/>
      <sheetData sheetId="5446" refreshError="1"/>
      <sheetData sheetId="54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공사원가계산서"/>
      <sheetName val="내역서"/>
      <sheetName val="단가조사표"/>
      <sheetName val="전관노무비  "/>
      <sheetName val="시청각실"/>
      <sheetName val="체육관"/>
      <sheetName val="무대장치"/>
      <sheetName val="배관배선"/>
      <sheetName val="견적"/>
      <sheetName val="일위"/>
      <sheetName val="우원영상"/>
      <sheetName val="형제음향"/>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내역서"/>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집계표"/>
      <sheetName val="제직재"/>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지급자재"/>
      <sheetName val="건축"/>
      <sheetName val="데이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격비교-형석"/>
      <sheetName val="을지"/>
      <sheetName val="손익분석"/>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통합배선인건"/>
      <sheetName val="견적갑지"/>
      <sheetName val="물량산출"/>
      <sheetName val="비교자료"/>
      <sheetName val="200"/>
      <sheetName val="실행내역"/>
      <sheetName val="N賃率-職"/>
      <sheetName val="내역서"/>
      <sheetName val="조명율표"/>
      <sheetName val="직노"/>
      <sheetName val="내역"/>
      <sheetName val="당초"/>
      <sheetName val="48전력선로일위"/>
      <sheetName val="DATA"/>
      <sheetName val="3BL공동구 수량"/>
      <sheetName val="표지 (2)"/>
      <sheetName val="기계경비(시간당)"/>
      <sheetName val="실행"/>
      <sheetName val="CAT_5"/>
      <sheetName val="내역서1"/>
      <sheetName val="본부소개"/>
      <sheetName val="단가표"/>
      <sheetName val="A 견적"/>
      <sheetName val="가설공사"/>
      <sheetName val="건축내역"/>
      <sheetName val="교통대책내역"/>
      <sheetName val="총괄표"/>
      <sheetName val="갑지"/>
      <sheetName val="집계표"/>
      <sheetName val="CTEMCOST"/>
      <sheetName val="기본일위"/>
      <sheetName val=" 소방공사 산출근거"/>
      <sheetName val="영창26"/>
      <sheetName val="요율"/>
      <sheetName val="빌딩 안내"/>
      <sheetName val="J-EQ"/>
      <sheetName val="노무비 근거"/>
      <sheetName val="한일양산"/>
      <sheetName val="고등학교"/>
      <sheetName val="전기일위목록"/>
      <sheetName val="설계금내역서"/>
      <sheetName val="수량산출서"/>
      <sheetName val="Sheet1"/>
      <sheetName val="일위대가표"/>
      <sheetName val="신우"/>
      <sheetName val="골재산출"/>
      <sheetName val="BasePriceList"/>
      <sheetName val="노임단가표"/>
      <sheetName val="#REF"/>
      <sheetName val="설계서"/>
      <sheetName val="봉방동근생"/>
      <sheetName val="대공종"/>
      <sheetName val="제잡비"/>
      <sheetName val="SG"/>
      <sheetName val="견적서"/>
      <sheetName val="견적"/>
      <sheetName val="공사비총괄표"/>
      <sheetName val="98지급계획"/>
      <sheetName val="자재단가"/>
      <sheetName val="MAIN_TABLE"/>
      <sheetName val="수량분배표"/>
      <sheetName val="DB"/>
      <sheetName val="95년12월말"/>
      <sheetName val="일위대가집계표"/>
      <sheetName val="재료"/>
      <sheetName val="AIR SHOWER(3인용)"/>
      <sheetName val="기계경비"/>
      <sheetName val="101동"/>
      <sheetName val="지입자재집계표"/>
      <sheetName val="설직재-1"/>
      <sheetName val="오수공수량집계표"/>
      <sheetName val="PIPING"/>
      <sheetName val="J直材4"/>
      <sheetName val="적용토목"/>
      <sheetName val="건축공사"/>
      <sheetName val="철거산출근거"/>
      <sheetName val="산출금액내역"/>
      <sheetName val="97년 추정"/>
      <sheetName val="연습"/>
      <sheetName val="실행(1)"/>
      <sheetName val="102역사"/>
      <sheetName val="NYS"/>
      <sheetName val="asd"/>
      <sheetName val="교각별철근수량집계표"/>
      <sheetName val="재개발"/>
      <sheetName val="총(신설)"/>
      <sheetName val="N賃率_職"/>
      <sheetName val="원가"/>
      <sheetName val="바닥판"/>
      <sheetName val="입력DATA"/>
      <sheetName val="단위량"/>
      <sheetName val="재료집계표2"/>
      <sheetName val="토적집계표"/>
      <sheetName val="코드표"/>
      <sheetName val="단중표"/>
      <sheetName val="예산M11A"/>
      <sheetName val="총괄"/>
      <sheetName val="96정변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회사정보"/>
      <sheetName val="매입현황"/>
      <sheetName val="수입"/>
      <sheetName val="판매량"/>
      <sheetName val="업종코드"/>
      <sheetName val="Intro2"/>
      <sheetName val="Id"/>
      <sheetName val="수정시산표"/>
      <sheetName val="Project_CF"/>
      <sheetName val="1Month+Sheet2!"/>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수지차(년)"/>
      <sheetName val="15"/>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계산요약"/>
      <sheetName val="Data Sheet"/>
      <sheetName val="매출및수주이익"/>
      <sheetName val="GRADE별 투입원단위"/>
      <sheetName val="설치공사비"/>
      <sheetName val="한일자야(감액손실) (2)"/>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투찰(하수)"/>
      <sheetName val="익월작업계힉"/>
      <sheetName val="Data(인원)"/>
      <sheetName val="97년 추정"/>
      <sheetName val="해외사업"/>
      <sheetName val="첨부1"/>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준검_내역서"/>
      <sheetName val="SQL_Statement"/>
      <sheetName val="주소_작성"/>
      <sheetName val="Executive Summary"/>
      <sheetName val="Labels"/>
      <sheetName val="Executive_Summary"/>
      <sheetName val="BS Prior"/>
      <sheetName val="ls"/>
      <sheetName val="재공품(3)"/>
      <sheetName val="표준원가표(2)"/>
      <sheetName val="공통"/>
      <sheetName val="03中"/>
      <sheetName val="재무제표"/>
      <sheetName val="STROKE별_단가"/>
      <sheetName val="자료입력"/>
      <sheetName val="이자율별 차입금 적수"/>
      <sheetName val="SMXEXPS"/>
      <sheetName val="경비세목"/>
      <sheetName val="전환대상"/>
      <sheetName val="영외수지"/>
      <sheetName val="분개집계"/>
      <sheetName val="TENSCH"/>
      <sheetName val="Sheet1 (2)"/>
      <sheetName val="0.0ControlSheet"/>
      <sheetName val="0.1keyAssumption"/>
      <sheetName val="남양내역"/>
      <sheetName val="12"/>
      <sheetName val="차량별점검"/>
      <sheetName val="선급비용"/>
      <sheetName val="区分一覧表"/>
      <sheetName val="송전기본"/>
      <sheetName val="9710"/>
      <sheetName val="평가예상(200308)"/>
      <sheetName val="96수출"/>
      <sheetName val="◀-▶"/>
      <sheetName val="버튼"/>
      <sheetName val="판매추이"/>
      <sheetName val="pt_기투자금액"/>
      <sheetName val="pt_출자_분배"/>
      <sheetName val="***********************00"/>
      <sheetName val="Q2 Actual"/>
      <sheetName val="Q3 actuals"/>
      <sheetName val="본사"/>
      <sheetName val="2__2012년_실행계획_수립_및_대상선정용_SHEET_"/>
      <sheetName val="배합비(2,3_4분기)"/>
      <sheetName val="완성차_미수금"/>
      <sheetName val="BS"/>
      <sheetName val="LOOKUP"/>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직영2"/>
      <sheetName val="부동산현황표"/>
      <sheetName val="BS(5월-경리과)"/>
      <sheetName val="스평"/>
      <sheetName val="조건"/>
      <sheetName val="구동"/>
      <sheetName val="총수량집계표"/>
      <sheetName val="골조시행"/>
      <sheetName val="설비"/>
      <sheetName val="B&amp;F1"/>
      <sheetName val="생산량"/>
      <sheetName val="6.이토처리시간"/>
      <sheetName val="VXXXXXXX"/>
      <sheetName val="tggwan(mac)"/>
      <sheetName val="guard(mac)"/>
      <sheetName val="보차도경계석"/>
      <sheetName val="작업본"/>
      <sheetName val="정리"/>
      <sheetName val="담당자"/>
      <sheetName val="손익11"/>
      <sheetName val="총괄갑 "/>
      <sheetName val="1차 내역서"/>
      <sheetName val="도급FORM"/>
      <sheetName val="2공구산출내역"/>
      <sheetName val="을지"/>
      <sheetName val="백암비스타내역"/>
      <sheetName val="견적서-자동"/>
      <sheetName val="경비공통"/>
      <sheetName val="Config"/>
      <sheetName val="AC_List"/>
      <sheetName val="연결CF정산표"/>
      <sheetName val="손익계산서"/>
      <sheetName val="원가"/>
      <sheetName val="공사설계서"/>
      <sheetName val="퇴직급여충당금"/>
      <sheetName val="갑지"/>
      <sheetName val="제조부문배부"/>
      <sheetName val="Sheet2"/>
      <sheetName val="퇴직영수증"/>
      <sheetName val="FAB4생산"/>
      <sheetName val="土地ﾃﾞｰﾀ"/>
      <sheetName val="산업은행 경영지표"/>
      <sheetName val="보험료"/>
      <sheetName val="연간상여집계"/>
      <sheetName val="인건비 내역서"/>
      <sheetName val="종바2차"/>
      <sheetName val="평균급여(구미)"/>
      <sheetName val="평균급여(부산)"/>
      <sheetName val="1-1-1-1"/>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BMC009"/>
      <sheetName val="식대견적"/>
      <sheetName val="손익"/>
      <sheetName val="13.Op. Activities"/>
      <sheetName val="Training"/>
      <sheetName val="Facility Information"/>
      <sheetName val="General"/>
      <sheetName val="Instructions"/>
      <sheetName val="People"/>
      <sheetName val="Quality"/>
      <sheetName val="Risk"/>
      <sheetName val="1Month+Sheet2!"/>
      <sheetName val="노무비"/>
      <sheetName val="Prices"/>
      <sheetName val="의왕F사"/>
      <sheetName val="가공사"/>
      <sheetName val="2 카드채권(대출포함)"/>
      <sheetName val="Assumption"/>
      <sheetName val="의령"/>
      <sheetName val="대구"/>
      <sheetName val="안성"/>
      <sheetName val="'94자산"/>
      <sheetName val="근무변경검토"/>
      <sheetName val="Operational Activities"/>
      <sheetName val="재무가정"/>
      <sheetName val="118.세금과공과"/>
      <sheetName val="108.수선비"/>
      <sheetName val="Project_Brief"/>
      <sheetName val="外周区_"/>
      <sheetName val="13_Op__Activities"/>
      <sheetName val="Facility_Information"/>
      <sheetName val="2_카드채권(대출포함)"/>
      <sheetName val="17.채용자명단"/>
      <sheetName val="단가산출"/>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1ST"/>
      <sheetName val="인근점포"/>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실행(1)"/>
      <sheetName val="CTEMCOST"/>
      <sheetName val="예산작성기준(전기)"/>
      <sheetName val="95삼성급(본사)"/>
      <sheetName val="#REF"/>
      <sheetName val="15.Op. Activities"/>
      <sheetName val="충주"/>
      <sheetName val="기본사항"/>
      <sheetName val="POOM_MOTO"/>
      <sheetName val="POOM_MOTO2"/>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Utility Cost Trend"/>
      <sheetName val="목표세부명세"/>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납부서"/>
      <sheetName val="산출내역서집계표"/>
      <sheetName val="목록"/>
      <sheetName val="マスタ"/>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1. KPI"/>
      <sheetName val="Drop-down"/>
      <sheetName val="Office"/>
      <sheetName val="Retail"/>
      <sheetName val="200"/>
      <sheetName val="토목주소"/>
      <sheetName val="프랜트면허"/>
      <sheetName val="여흥"/>
      <sheetName val="건축원가"/>
      <sheetName val="일위대가"/>
      <sheetName val="연돌일위집계"/>
      <sheetName val="교통대책내역"/>
      <sheetName val="조명율표"/>
      <sheetName val="sw1"/>
      <sheetName val="갑지1"/>
      <sheetName val="배명(단가)"/>
      <sheetName val="0226"/>
      <sheetName val="터널조도"/>
      <sheetName val="전기실-1"/>
      <sheetName val="EJ"/>
      <sheetName val="실행(ALT1)"/>
      <sheetName val="설계내역서"/>
      <sheetName val="공정"/>
      <sheetName val="대정예"/>
      <sheetName val="평당자료"/>
      <sheetName val="현황"/>
      <sheetName val="0216직장별인원"/>
      <sheetName val="국내 pilot sample"/>
      <sheetName val="MH_??"/>
      <sheetName val="WEIGHT"/>
      <sheetName val="CF"/>
      <sheetName val="손익계산서"/>
      <sheetName val="Sheet2"/>
      <sheetName val="입력방법 설명서"/>
      <sheetName val="적용률"/>
      <sheetName val="상하차비용(기계상차)"/>
      <sheetName val="운반비"/>
      <sheetName val="총괄표 (조정2)"/>
      <sheetName val="공사내역"/>
      <sheetName val="17.수도광열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도급"/>
      <sheetName val="C-301E~305E"/>
      <sheetName val="Main"/>
      <sheetName val="CD-실적"/>
      <sheetName val="_94자산"/>
      <sheetName val="●MC계"/>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인사자료총집계"/>
      <sheetName val="플랜트 설치"/>
      <sheetName val="평가데이터"/>
      <sheetName val="2.2)기계배관철골-R2"/>
      <sheetName val="VAV단가조사"/>
      <sheetName val="9902"/>
      <sheetName val="PIPING"/>
      <sheetName val="단기차입금(2000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refreshError="1"/>
      <sheetData sheetId="82" refreshError="1"/>
      <sheetData sheetId="83"/>
      <sheetData sheetId="84"/>
      <sheetData sheetId="85" refreshError="1"/>
      <sheetData sheetId="86" refreshError="1"/>
      <sheetData sheetId="87" refreshError="1"/>
      <sheetData sheetId="88"/>
      <sheetData sheetId="89" refreshError="1"/>
      <sheetData sheetId="90"/>
      <sheetData sheetId="91" refreshError="1"/>
      <sheetData sheetId="92" refreshError="1"/>
      <sheetData sheetId="93" refreshError="1"/>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우"/>
      <sheetName val="laroux"/>
      <sheetName val="갑지"/>
      <sheetName val="강 당"/>
      <sheetName val="신우갑지"/>
      <sheetName val="천우갑지"/>
      <sheetName val="천우"/>
      <sheetName val="I一般比"/>
      <sheetName val="일위대가"/>
      <sheetName val="하조서"/>
      <sheetName val="집계표"/>
      <sheetName val="금호"/>
      <sheetName val="간접"/>
      <sheetName val="시운전연료"/>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noFill/>
        <a:ln w="9525">
          <a:noFill/>
          <a:miter lim="800000"/>
          <a:headEnd/>
          <a:tailEnd/>
        </a:ln>
      </a:spPr>
      <a:bodyPr wrap="none" lIns="91440" tIns="45720" rIns="91440" bIns="45720" anchor="t" upright="1">
        <a:spAutoFit/>
      </a:bodyPr>
      <a:lstStyle>
        <a:defPPr algn="l" rtl="0">
          <a:defRPr sz="1800" b="0" i="0" u="none" strike="noStrike" baseline="0">
            <a:solidFill>
              <a:srgbClr val="000000"/>
            </a:solidFill>
            <a:latin typeface="바탕"/>
            <a:ea typeface="바탕"/>
          </a:defRPr>
        </a:defP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1:V24"/>
  <sheetViews>
    <sheetView tabSelected="1" view="pageBreakPreview" zoomScaleNormal="100" zoomScaleSheetLayoutView="100" workbookViewId="0">
      <selection activeCell="Y10" sqref="Y10"/>
    </sheetView>
  </sheetViews>
  <sheetFormatPr defaultColWidth="9" defaultRowHeight="13.8"/>
  <cols>
    <col min="1" max="1" width="3.19921875" style="41" customWidth="1"/>
    <col min="2" max="2" width="13.3984375" style="41" customWidth="1"/>
    <col min="3" max="3" width="11.8984375" style="41" bestFit="1" customWidth="1"/>
    <col min="4" max="4" width="11.59765625" style="41" bestFit="1" customWidth="1"/>
    <col min="5" max="5" width="13.8984375" style="41" bestFit="1" customWidth="1"/>
    <col min="6" max="7" width="9" style="41"/>
    <col min="8" max="8" width="10.09765625" style="41" customWidth="1"/>
    <col min="9" max="9" width="5.8984375" style="41" customWidth="1"/>
    <col min="10" max="10" width="6.19921875" style="41" customWidth="1"/>
    <col min="11" max="11" width="9.09765625" style="41" bestFit="1" customWidth="1"/>
    <col min="12" max="12" width="12.3984375" style="41" bestFit="1" customWidth="1"/>
    <col min="13" max="13" width="12" style="41" bestFit="1" customWidth="1"/>
    <col min="14" max="14" width="9" style="41"/>
    <col min="15" max="15" width="9" style="399" customWidth="1"/>
    <col min="16" max="16" width="12.09765625" style="399" hidden="1" customWidth="1"/>
    <col min="17" max="17" width="30.69921875" style="399" customWidth="1"/>
    <col min="18" max="18" width="18.5" style="399" hidden="1" customWidth="1"/>
    <col min="19" max="19" width="9" style="399"/>
    <col min="20" max="20" width="0" style="41" hidden="1" customWidth="1"/>
    <col min="21" max="21" width="9" style="41"/>
    <col min="22" max="22" width="0" style="41" hidden="1" customWidth="1"/>
    <col min="23" max="16384" width="9" style="41"/>
  </cols>
  <sheetData>
    <row r="1" spans="2:22" ht="13.5" customHeight="1"/>
    <row r="2" spans="2:22" ht="24.9" customHeight="1">
      <c r="B2" s="39" t="str">
        <f>CONCATENATE(P6,Q7,R7)</f>
        <v>1. 펄어비스 안양오피스 원격감시시스템 구축견적</v>
      </c>
      <c r="C2" s="40"/>
      <c r="D2" s="40"/>
      <c r="E2" s="40"/>
      <c r="F2" s="40"/>
    </row>
    <row r="4" spans="2:22" ht="15.6">
      <c r="B4" s="42" t="s">
        <v>205</v>
      </c>
      <c r="H4" s="42" t="s">
        <v>206</v>
      </c>
      <c r="Q4" s="412"/>
      <c r="T4" s="411"/>
    </row>
    <row r="5" spans="2:22" ht="7.5" customHeight="1" thickBot="1">
      <c r="Q5" s="412"/>
    </row>
    <row r="6" spans="2:22" ht="27" customHeight="1">
      <c r="B6" s="43" t="s">
        <v>207</v>
      </c>
      <c r="C6" s="44" t="s">
        <v>208</v>
      </c>
      <c r="D6" s="44" t="s">
        <v>209</v>
      </c>
      <c r="E6" s="45" t="s">
        <v>210</v>
      </c>
      <c r="H6" s="43" t="s">
        <v>207</v>
      </c>
      <c r="I6" s="461" t="s">
        <v>321</v>
      </c>
      <c r="J6" s="462"/>
      <c r="K6" s="44" t="s">
        <v>211</v>
      </c>
      <c r="L6" s="44" t="s">
        <v>212</v>
      </c>
      <c r="M6" s="45" t="s">
        <v>210</v>
      </c>
      <c r="P6" s="400" t="s">
        <v>361</v>
      </c>
      <c r="Q6" s="413" t="s">
        <v>391</v>
      </c>
      <c r="R6" s="415"/>
      <c r="S6" s="415" t="s">
        <v>388</v>
      </c>
      <c r="T6" s="416"/>
      <c r="U6" s="416" t="s">
        <v>389</v>
      </c>
      <c r="V6" s="398" t="s">
        <v>364</v>
      </c>
    </row>
    <row r="7" spans="2:22" ht="27" customHeight="1">
      <c r="B7" s="46" t="s">
        <v>213</v>
      </c>
      <c r="C7" s="47">
        <v>1</v>
      </c>
      <c r="D7" s="48">
        <f>'3.공사예산내역서(갑)'!G27</f>
        <v>3747000</v>
      </c>
      <c r="E7" s="49">
        <f>SUM(C7*D7)</f>
        <v>3747000</v>
      </c>
      <c r="H7" s="50" t="s">
        <v>214</v>
      </c>
      <c r="I7" s="376">
        <v>3</v>
      </c>
      <c r="J7" s="374" t="s">
        <v>337</v>
      </c>
      <c r="K7" s="51">
        <v>15000</v>
      </c>
      <c r="L7" s="51"/>
      <c r="M7" s="52">
        <f>I7*K7</f>
        <v>45000</v>
      </c>
      <c r="P7" s="402" t="s">
        <v>362</v>
      </c>
      <c r="Q7" s="417" t="s">
        <v>414</v>
      </c>
      <c r="R7" s="418" t="s">
        <v>358</v>
      </c>
      <c r="S7" s="417" t="s">
        <v>403</v>
      </c>
      <c r="T7" s="419" t="s">
        <v>365</v>
      </c>
      <c r="U7" s="420" t="s">
        <v>415</v>
      </c>
      <c r="V7" s="366"/>
    </row>
    <row r="8" spans="2:22" ht="27" customHeight="1">
      <c r="B8" s="46" t="s">
        <v>326</v>
      </c>
      <c r="C8" s="47">
        <v>0</v>
      </c>
      <c r="D8" s="48">
        <v>0</v>
      </c>
      <c r="E8" s="49">
        <f>SUM(C8*D8)</f>
        <v>0</v>
      </c>
      <c r="H8" s="53" t="s">
        <v>325</v>
      </c>
      <c r="I8" s="377">
        <f>COUNTA('2.관제점리스트'!B:B)-2</f>
        <v>13</v>
      </c>
      <c r="J8" s="375" t="s">
        <v>338</v>
      </c>
      <c r="K8" s="51"/>
      <c r="L8" s="397">
        <v>69000</v>
      </c>
      <c r="M8" s="52">
        <f>SUM(K8:L8)</f>
        <v>69000</v>
      </c>
      <c r="N8" s="344"/>
      <c r="P8" s="403" t="s">
        <v>363</v>
      </c>
      <c r="Q8" s="421" t="str">
        <f>Q7</f>
        <v>펄어비스 안양오피스</v>
      </c>
      <c r="R8" s="422" t="s">
        <v>359</v>
      </c>
      <c r="S8" s="422"/>
      <c r="T8" s="423"/>
      <c r="U8" s="423"/>
      <c r="V8" s="366"/>
    </row>
    <row r="9" spans="2:22" ht="27" customHeight="1">
      <c r="B9" s="345" t="s">
        <v>232</v>
      </c>
      <c r="C9" s="346">
        <v>0</v>
      </c>
      <c r="D9" s="48"/>
      <c r="E9" s="347">
        <f>SUM(C9*D9)</f>
        <v>0</v>
      </c>
      <c r="H9" s="53" t="s">
        <v>239</v>
      </c>
      <c r="I9" s="377">
        <f>I8</f>
        <v>13</v>
      </c>
      <c r="J9" s="375" t="s">
        <v>338</v>
      </c>
      <c r="K9" s="51"/>
      <c r="L9" s="51">
        <v>186000</v>
      </c>
      <c r="M9" s="52">
        <f>L9/12</f>
        <v>15500</v>
      </c>
      <c r="P9" s="401" t="s">
        <v>366</v>
      </c>
      <c r="Q9" s="424" t="str">
        <f>Q7</f>
        <v>펄어비스 안양오피스</v>
      </c>
      <c r="R9" s="422" t="s">
        <v>360</v>
      </c>
      <c r="S9" s="422"/>
      <c r="T9" s="423"/>
      <c r="U9" s="423"/>
      <c r="V9" s="404"/>
    </row>
    <row r="10" spans="2:22" ht="27" customHeight="1" thickBot="1">
      <c r="B10" s="54" t="s">
        <v>215</v>
      </c>
      <c r="C10" s="55"/>
      <c r="D10" s="55"/>
      <c r="E10" s="56">
        <f>SUM(E7:E9)</f>
        <v>3747000</v>
      </c>
      <c r="H10" s="365" t="s">
        <v>216</v>
      </c>
      <c r="I10" s="378">
        <f>I8</f>
        <v>13</v>
      </c>
      <c r="J10" s="375" t="s">
        <v>338</v>
      </c>
      <c r="K10" s="57"/>
      <c r="L10" s="57">
        <v>739000</v>
      </c>
      <c r="M10" s="52">
        <f>L10/12</f>
        <v>61583.333333333336</v>
      </c>
      <c r="Q10" s="414" t="s">
        <v>392</v>
      </c>
      <c r="R10" s="422"/>
      <c r="S10" s="422"/>
      <c r="T10" s="425"/>
      <c r="U10" s="425"/>
    </row>
    <row r="11" spans="2:22" ht="27" customHeight="1" thickBot="1">
      <c r="B11" s="463" t="s">
        <v>236</v>
      </c>
      <c r="C11" s="463"/>
      <c r="D11" s="463"/>
      <c r="E11" s="463"/>
      <c r="F11" s="463"/>
      <c r="H11" s="60" t="s">
        <v>217</v>
      </c>
      <c r="I11" s="380"/>
      <c r="J11" s="379"/>
      <c r="K11" s="61"/>
      <c r="L11" s="61"/>
      <c r="M11" s="62">
        <f>ROUND(SUM(M7:M10),-3)</f>
        <v>191000</v>
      </c>
      <c r="Q11" s="415">
        <v>11395</v>
      </c>
      <c r="R11" s="426"/>
      <c r="S11" s="426"/>
      <c r="T11" s="423"/>
      <c r="U11" s="423"/>
    </row>
    <row r="12" spans="2:22" ht="27" customHeight="1">
      <c r="B12" s="463"/>
      <c r="C12" s="463"/>
      <c r="D12" s="463"/>
      <c r="E12" s="463"/>
      <c r="F12" s="463"/>
      <c r="H12" s="464" t="s">
        <v>400</v>
      </c>
      <c r="I12" s="464"/>
      <c r="J12" s="464"/>
      <c r="K12" s="464"/>
      <c r="L12" s="464"/>
      <c r="M12" s="464"/>
    </row>
    <row r="13" spans="2:22" ht="27" customHeight="1">
      <c r="B13" s="463"/>
      <c r="C13" s="463"/>
      <c r="D13" s="463"/>
      <c r="E13" s="463"/>
      <c r="F13" s="463"/>
      <c r="H13" s="463"/>
      <c r="I13" s="463"/>
      <c r="J13" s="463"/>
      <c r="K13" s="463"/>
      <c r="L13" s="463"/>
      <c r="M13" s="463"/>
    </row>
    <row r="14" spans="2:22" ht="17.100000000000001" customHeight="1">
      <c r="H14" s="463"/>
      <c r="I14" s="463"/>
      <c r="J14" s="463"/>
      <c r="K14" s="463"/>
      <c r="L14" s="463"/>
      <c r="M14" s="463"/>
    </row>
    <row r="15" spans="2:22" ht="17.100000000000001" customHeight="1">
      <c r="H15" s="463"/>
      <c r="I15" s="463"/>
      <c r="J15" s="463"/>
      <c r="K15" s="463"/>
      <c r="L15" s="463"/>
      <c r="M15" s="463"/>
    </row>
    <row r="16" spans="2:22" ht="17.100000000000001" customHeight="1">
      <c r="H16" s="371"/>
      <c r="I16" s="371"/>
      <c r="J16" s="371"/>
      <c r="K16" s="371"/>
      <c r="L16" s="371"/>
      <c r="M16" s="371"/>
    </row>
    <row r="17" spans="2:13" ht="17.100000000000001" customHeight="1">
      <c r="B17" s="59"/>
      <c r="C17" s="59"/>
      <c r="D17" s="59"/>
      <c r="E17" s="59"/>
      <c r="F17" s="58"/>
      <c r="G17" s="58"/>
    </row>
    <row r="18" spans="2:13" ht="15.6">
      <c r="B18" s="460" t="s">
        <v>240</v>
      </c>
      <c r="C18" s="460"/>
      <c r="D18" s="460"/>
      <c r="E18" s="460"/>
      <c r="F18" s="460"/>
      <c r="G18" s="460"/>
      <c r="H18" s="460"/>
      <c r="I18" s="460"/>
      <c r="J18" s="460"/>
      <c r="K18" s="460"/>
      <c r="L18" s="460"/>
      <c r="M18" s="460"/>
    </row>
    <row r="19" spans="2:13">
      <c r="B19" s="59"/>
      <c r="C19" s="59"/>
      <c r="D19" s="59"/>
      <c r="E19" s="59"/>
      <c r="F19" s="59"/>
      <c r="G19" s="59"/>
      <c r="H19" s="59"/>
      <c r="I19" s="59"/>
      <c r="J19" s="59"/>
      <c r="K19" s="59"/>
      <c r="L19" s="59"/>
      <c r="M19" s="63" t="s">
        <v>218</v>
      </c>
    </row>
    <row r="20" spans="2:13" ht="20.100000000000001" customHeight="1">
      <c r="B20" s="456" t="s">
        <v>219</v>
      </c>
      <c r="C20" s="457"/>
      <c r="D20" s="458" t="s">
        <v>220</v>
      </c>
      <c r="E20" s="458"/>
      <c r="F20" s="456" t="s">
        <v>221</v>
      </c>
      <c r="G20" s="459"/>
      <c r="H20" s="457"/>
      <c r="I20" s="456" t="s">
        <v>222</v>
      </c>
      <c r="J20" s="459"/>
      <c r="K20" s="459"/>
      <c r="L20" s="459"/>
      <c r="M20" s="457"/>
    </row>
    <row r="21" spans="2:13" ht="20.100000000000001" customHeight="1">
      <c r="B21" s="478" t="s">
        <v>238</v>
      </c>
      <c r="C21" s="479"/>
      <c r="D21" s="475">
        <f>ROUND(E10/24,-3)</f>
        <v>156000</v>
      </c>
      <c r="E21" s="477"/>
      <c r="F21" s="475">
        <f>D21*12</f>
        <v>1872000</v>
      </c>
      <c r="G21" s="476"/>
      <c r="H21" s="477"/>
      <c r="I21" s="465" t="s">
        <v>428</v>
      </c>
      <c r="J21" s="466"/>
      <c r="K21" s="466"/>
      <c r="L21" s="466"/>
      <c r="M21" s="467"/>
    </row>
    <row r="22" spans="2:13" ht="20.100000000000001" customHeight="1">
      <c r="B22" s="480" t="s">
        <v>223</v>
      </c>
      <c r="C22" s="481"/>
      <c r="D22" s="475">
        <f>M11</f>
        <v>191000</v>
      </c>
      <c r="E22" s="477"/>
      <c r="F22" s="475">
        <f t="shared" ref="F22" si="0">D22*12</f>
        <v>2292000</v>
      </c>
      <c r="G22" s="476"/>
      <c r="H22" s="477"/>
      <c r="I22" s="465" t="s">
        <v>401</v>
      </c>
      <c r="J22" s="466"/>
      <c r="K22" s="466"/>
      <c r="L22" s="466"/>
      <c r="M22" s="467"/>
    </row>
    <row r="23" spans="2:13" ht="20.100000000000001" customHeight="1">
      <c r="B23" s="468" t="s">
        <v>224</v>
      </c>
      <c r="C23" s="469"/>
      <c r="D23" s="470">
        <f>D21+D22</f>
        <v>347000</v>
      </c>
      <c r="E23" s="470"/>
      <c r="F23" s="471">
        <f>D23*12</f>
        <v>4164000</v>
      </c>
      <c r="G23" s="472"/>
      <c r="H23" s="473"/>
      <c r="I23" s="468"/>
      <c r="J23" s="474"/>
      <c r="K23" s="474"/>
      <c r="L23" s="474"/>
      <c r="M23" s="469"/>
    </row>
    <row r="24" spans="2:13" ht="20.100000000000001" customHeight="1">
      <c r="B24" s="366"/>
      <c r="C24" s="59"/>
      <c r="D24" s="59"/>
      <c r="F24" s="59"/>
      <c r="G24" s="59"/>
      <c r="H24" s="59"/>
      <c r="I24" s="59"/>
      <c r="J24" s="59"/>
      <c r="K24" s="59"/>
      <c r="L24" s="59"/>
      <c r="M24" s="59"/>
    </row>
  </sheetData>
  <mergeCells count="20">
    <mergeCell ref="I21:M21"/>
    <mergeCell ref="B23:C23"/>
    <mergeCell ref="D23:E23"/>
    <mergeCell ref="F23:H23"/>
    <mergeCell ref="I23:M23"/>
    <mergeCell ref="I22:M22"/>
    <mergeCell ref="F21:H21"/>
    <mergeCell ref="F22:H22"/>
    <mergeCell ref="B21:C21"/>
    <mergeCell ref="D21:E21"/>
    <mergeCell ref="B22:C22"/>
    <mergeCell ref="D22:E22"/>
    <mergeCell ref="B20:C20"/>
    <mergeCell ref="D20:E20"/>
    <mergeCell ref="F20:H20"/>
    <mergeCell ref="B18:M18"/>
    <mergeCell ref="I6:J6"/>
    <mergeCell ref="B11:F13"/>
    <mergeCell ref="I20:M20"/>
    <mergeCell ref="H12:M15"/>
  </mergeCells>
  <phoneticPr fontId="41" type="noConversion"/>
  <pageMargins left="0.70866141732283472" right="0.70866141732283472" top="0.74803149606299213" bottom="0.74803149606299213" header="0.31496062992125984" footer="0.31496062992125984"/>
  <pageSetup paperSize="9"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1:H17"/>
  <sheetViews>
    <sheetView zoomScaleNormal="100" zoomScaleSheetLayoutView="100" workbookViewId="0">
      <pane ySplit="4" topLeftCell="A5" activePane="bottomLeft" state="frozen"/>
      <selection activeCell="D16" sqref="D16"/>
      <selection pane="bottomLeft" activeCell="E14" sqref="E14"/>
    </sheetView>
  </sheetViews>
  <sheetFormatPr defaultColWidth="9" defaultRowHeight="21" customHeight="1"/>
  <cols>
    <col min="1" max="1" width="3.19921875" style="33" customWidth="1"/>
    <col min="2" max="2" width="7.19921875" style="31" bestFit="1" customWidth="1"/>
    <col min="3" max="3" width="12.09765625" style="32" bestFit="1" customWidth="1"/>
    <col min="4" max="4" width="17.5" style="32" customWidth="1"/>
    <col min="5" max="5" width="11.69921875" style="32" bestFit="1" customWidth="1"/>
    <col min="6" max="6" width="23.8984375" style="32" bestFit="1" customWidth="1"/>
    <col min="7" max="7" width="53.09765625" style="33" bestFit="1" customWidth="1"/>
    <col min="8" max="8" width="14.3984375" style="33" bestFit="1" customWidth="1"/>
    <col min="9" max="9" width="3" style="33" customWidth="1"/>
    <col min="10" max="16384" width="9" style="33"/>
  </cols>
  <sheetData>
    <row r="1" spans="2:8" ht="13.5" customHeight="1"/>
    <row r="2" spans="2:8" s="36" customFormat="1" ht="24.9" customHeight="1">
      <c r="B2" s="34" t="str">
        <f>CONCATENATE('1.구축견적'!P7,'1.구축견적'!Q8,'1.구축견적'!R8)</f>
        <v>2. 펄어비스 안양오피스 설비관제점 List</v>
      </c>
      <c r="C2" s="35"/>
      <c r="D2" s="35"/>
      <c r="E2" s="35"/>
      <c r="F2" s="35"/>
    </row>
    <row r="3" spans="2:8" ht="13.5" customHeight="1" thickBot="1">
      <c r="B3" s="37"/>
      <c r="C3" s="38"/>
      <c r="D3" s="38"/>
      <c r="E3" s="38"/>
      <c r="F3" s="38"/>
    </row>
    <row r="4" spans="2:8" ht="26.25" customHeight="1" thickBot="1">
      <c r="B4" s="341" t="s">
        <v>176</v>
      </c>
      <c r="C4" s="482" t="s">
        <v>280</v>
      </c>
      <c r="D4" s="482"/>
      <c r="E4" s="448" t="s">
        <v>177</v>
      </c>
      <c r="F4" s="448" t="s">
        <v>178</v>
      </c>
      <c r="G4" s="448" t="s">
        <v>179</v>
      </c>
      <c r="H4" s="342" t="s">
        <v>180</v>
      </c>
    </row>
    <row r="5" spans="2:8" ht="21" customHeight="1" thickTop="1">
      <c r="B5" s="363">
        <v>1</v>
      </c>
      <c r="C5" s="483" t="s">
        <v>423</v>
      </c>
      <c r="D5" s="487" t="s">
        <v>394</v>
      </c>
      <c r="E5" s="487" t="s">
        <v>412</v>
      </c>
      <c r="F5" s="490" t="s">
        <v>407</v>
      </c>
      <c r="G5" s="364" t="s">
        <v>408</v>
      </c>
      <c r="H5" s="455"/>
    </row>
    <row r="6" spans="2:8" ht="21" customHeight="1">
      <c r="B6" s="450">
        <v>2</v>
      </c>
      <c r="C6" s="483"/>
      <c r="D6" s="487"/>
      <c r="E6" s="487"/>
      <c r="F6" s="489"/>
      <c r="G6" s="451" t="s">
        <v>409</v>
      </c>
      <c r="H6" s="454"/>
    </row>
    <row r="7" spans="2:8" ht="21" customHeight="1">
      <c r="B7" s="363">
        <v>3</v>
      </c>
      <c r="C7" s="484" t="s">
        <v>429</v>
      </c>
      <c r="D7" s="486" t="s">
        <v>405</v>
      </c>
      <c r="E7" s="489" t="s">
        <v>396</v>
      </c>
      <c r="F7" s="489" t="s">
        <v>424</v>
      </c>
      <c r="G7" s="453" t="s">
        <v>416</v>
      </c>
      <c r="H7" s="454"/>
    </row>
    <row r="8" spans="2:8" ht="21" customHeight="1">
      <c r="B8" s="450">
        <v>4</v>
      </c>
      <c r="C8" s="483"/>
      <c r="D8" s="487"/>
      <c r="E8" s="489"/>
      <c r="F8" s="489"/>
      <c r="G8" s="453" t="s">
        <v>417</v>
      </c>
      <c r="H8" s="454"/>
    </row>
    <row r="9" spans="2:8" ht="21" customHeight="1">
      <c r="B9" s="363">
        <v>5</v>
      </c>
      <c r="C9" s="483"/>
      <c r="D9" s="487"/>
      <c r="E9" s="489"/>
      <c r="F9" s="489"/>
      <c r="G9" s="453" t="s">
        <v>418</v>
      </c>
      <c r="H9" s="454"/>
    </row>
    <row r="10" spans="2:8" ht="21" customHeight="1">
      <c r="B10" s="450">
        <v>6</v>
      </c>
      <c r="C10" s="483"/>
      <c r="D10" s="487"/>
      <c r="E10" s="489"/>
      <c r="F10" s="489"/>
      <c r="G10" s="453" t="s">
        <v>419</v>
      </c>
      <c r="H10" s="454"/>
    </row>
    <row r="11" spans="2:8" ht="21" customHeight="1">
      <c r="B11" s="363">
        <v>7</v>
      </c>
      <c r="C11" s="483"/>
      <c r="D11" s="487"/>
      <c r="E11" s="489"/>
      <c r="F11" s="489"/>
      <c r="G11" s="453" t="s">
        <v>420</v>
      </c>
      <c r="H11" s="454"/>
    </row>
    <row r="12" spans="2:8" ht="21" customHeight="1">
      <c r="B12" s="450">
        <v>8</v>
      </c>
      <c r="C12" s="483"/>
      <c r="D12" s="487"/>
      <c r="E12" s="489"/>
      <c r="F12" s="489"/>
      <c r="G12" s="453" t="s">
        <v>421</v>
      </c>
      <c r="H12" s="454"/>
    </row>
    <row r="13" spans="2:8" ht="21" customHeight="1">
      <c r="B13" s="363">
        <v>9</v>
      </c>
      <c r="C13" s="483"/>
      <c r="D13" s="487"/>
      <c r="E13" s="489"/>
      <c r="F13" s="489"/>
      <c r="G13" s="453" t="s">
        <v>422</v>
      </c>
      <c r="H13" s="454"/>
    </row>
    <row r="14" spans="2:8" ht="21" customHeight="1">
      <c r="B14" s="450">
        <v>10</v>
      </c>
      <c r="C14" s="483"/>
      <c r="D14" s="490"/>
      <c r="E14" s="449" t="s">
        <v>426</v>
      </c>
      <c r="F14" s="449" t="s">
        <v>427</v>
      </c>
      <c r="G14" s="453" t="s">
        <v>425</v>
      </c>
      <c r="H14" s="454"/>
    </row>
    <row r="15" spans="2:8" ht="21" customHeight="1">
      <c r="B15" s="363">
        <v>11</v>
      </c>
      <c r="C15" s="483"/>
      <c r="D15" s="486" t="s">
        <v>395</v>
      </c>
      <c r="E15" s="486" t="s">
        <v>406</v>
      </c>
      <c r="F15" s="486" t="s">
        <v>393</v>
      </c>
      <c r="G15" s="343" t="s">
        <v>410</v>
      </c>
      <c r="H15" s="454"/>
    </row>
    <row r="16" spans="2:8" ht="21" customHeight="1">
      <c r="B16" s="450">
        <v>12</v>
      </c>
      <c r="C16" s="483"/>
      <c r="D16" s="487"/>
      <c r="E16" s="487"/>
      <c r="F16" s="487"/>
      <c r="G16" s="453" t="s">
        <v>404</v>
      </c>
      <c r="H16" s="454"/>
    </row>
    <row r="17" spans="2:8" ht="21" customHeight="1" thickBot="1">
      <c r="B17" s="405">
        <v>13</v>
      </c>
      <c r="C17" s="485"/>
      <c r="D17" s="488"/>
      <c r="E17" s="488"/>
      <c r="F17" s="488"/>
      <c r="G17" s="406" t="s">
        <v>411</v>
      </c>
      <c r="H17" s="407"/>
    </row>
  </sheetData>
  <mergeCells count="12">
    <mergeCell ref="C4:D4"/>
    <mergeCell ref="C5:C6"/>
    <mergeCell ref="C7:C17"/>
    <mergeCell ref="F15:F17"/>
    <mergeCell ref="D15:D17"/>
    <mergeCell ref="E7:E13"/>
    <mergeCell ref="E15:E17"/>
    <mergeCell ref="F7:F13"/>
    <mergeCell ref="F5:F6"/>
    <mergeCell ref="D5:D6"/>
    <mergeCell ref="E5:E6"/>
    <mergeCell ref="D7:D14"/>
  </mergeCells>
  <phoneticPr fontId="41" type="noConversion"/>
  <pageMargins left="0.7" right="0.7" top="0.75" bottom="0.75" header="0.3" footer="0.3"/>
  <pageSetup paperSize="9" scale="8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30"/>
  <sheetViews>
    <sheetView showGridLines="0" zoomScaleNormal="100" zoomScaleSheetLayoutView="90" workbookViewId="0">
      <selection activeCell="E23" sqref="E23"/>
    </sheetView>
  </sheetViews>
  <sheetFormatPr defaultColWidth="9" defaultRowHeight="13.8"/>
  <cols>
    <col min="1" max="1" width="3.19921875" style="64" customWidth="1"/>
    <col min="2" max="2" width="16.59765625" style="64" customWidth="1"/>
    <col min="3" max="3" width="36.69921875" style="64" customWidth="1"/>
    <col min="4" max="4" width="18.69921875" style="64" customWidth="1"/>
    <col min="5" max="6" width="18.59765625" style="64" customWidth="1"/>
    <col min="7" max="7" width="17" style="64" customWidth="1"/>
    <col min="8" max="8" width="21" style="64" customWidth="1"/>
    <col min="9" max="9" width="2.69921875" style="64" customWidth="1"/>
    <col min="10" max="10" width="11.09765625" style="64" customWidth="1"/>
    <col min="11" max="11" width="18.3984375" style="64" customWidth="1"/>
    <col min="12" max="12" width="29.09765625" style="64" customWidth="1"/>
    <col min="13" max="16384" width="9" style="64"/>
  </cols>
  <sheetData>
    <row r="1" spans="2:12" ht="16.5" customHeight="1"/>
    <row r="2" spans="2:12" s="65" customFormat="1" ht="25.2">
      <c r="B2" s="491" t="s">
        <v>50</v>
      </c>
      <c r="C2" s="491"/>
      <c r="D2" s="491"/>
      <c r="E2" s="491"/>
      <c r="F2" s="491"/>
      <c r="G2" s="491"/>
      <c r="H2" s="491"/>
    </row>
    <row r="3" spans="2:12" ht="16.5" customHeight="1"/>
    <row r="4" spans="2:12" s="67" customFormat="1" ht="16.5" customHeight="1">
      <c r="B4" s="66" t="str">
        <f>CONCATENATE('1.구축견적'!P8,'1.구축견적'!Q9,'1.구축견적'!R9)</f>
        <v>공사명 : 펄어비스 안양오피스 원격감시시스템 구축공사</v>
      </c>
      <c r="H4" s="68" t="str">
        <f>CONCATENATE('1.구축견적'!P9,'1.구축견적'!S7,'1.구축견적'!T7,'1.구축견적'!U7,'1.구축견적'!V6)</f>
        <v>(작성일자:`22년 10월 19일)</v>
      </c>
    </row>
    <row r="5" spans="2:12" s="69" customFormat="1" ht="16.5" customHeight="1" thickBot="1">
      <c r="H5" s="70" t="s">
        <v>36</v>
      </c>
    </row>
    <row r="6" spans="2:12" s="74" customFormat="1" ht="23.25" customHeight="1">
      <c r="B6" s="71" t="s">
        <v>0</v>
      </c>
      <c r="C6" s="72" t="s">
        <v>1</v>
      </c>
      <c r="D6" s="72" t="s">
        <v>2</v>
      </c>
      <c r="E6" s="72" t="s">
        <v>3</v>
      </c>
      <c r="F6" s="72" t="s">
        <v>183</v>
      </c>
      <c r="G6" s="72" t="s">
        <v>4</v>
      </c>
      <c r="H6" s="73" t="s">
        <v>5</v>
      </c>
    </row>
    <row r="7" spans="2:12" s="74" customFormat="1" ht="15.9" customHeight="1">
      <c r="B7" s="492" t="s">
        <v>6</v>
      </c>
      <c r="C7" s="75"/>
      <c r="D7" s="76"/>
      <c r="E7" s="77"/>
      <c r="F7" s="77"/>
      <c r="G7" s="77"/>
      <c r="H7" s="78"/>
    </row>
    <row r="8" spans="2:12" s="74" customFormat="1" ht="15.9" customHeight="1">
      <c r="B8" s="493"/>
      <c r="C8" s="433" t="s">
        <v>196</v>
      </c>
      <c r="D8" s="434">
        <f>'4.공사예산내역서(을)'!H8+'4.공사예산내역서(을)'!H9+'4.공사예산내역서(을)'!H10</f>
        <v>2019700</v>
      </c>
      <c r="E8" s="435">
        <f>'4.공사예산내역서(을)'!J8+'4.공사예산내역서(을)'!J9+'4.공사예산내역서(을)'!J10</f>
        <v>1080209.8149999999</v>
      </c>
      <c r="F8" s="435"/>
      <c r="G8" s="435">
        <f>D8+E8+F8</f>
        <v>3099909.8149999999</v>
      </c>
      <c r="H8" s="436" t="s">
        <v>94</v>
      </c>
      <c r="J8" s="79"/>
    </row>
    <row r="9" spans="2:12" ht="15.9" customHeight="1">
      <c r="B9" s="493"/>
      <c r="C9" s="433" t="s">
        <v>93</v>
      </c>
      <c r="D9" s="434">
        <f>'4.공사예산내역서(을)'!H15</f>
        <v>60591</v>
      </c>
      <c r="E9" s="435"/>
      <c r="F9" s="435">
        <f>'4.공사예산내역서(을)'!L13</f>
        <v>32406.294449999998</v>
      </c>
      <c r="G9" s="435">
        <f t="shared" ref="G9:G10" si="0">D9+E9+F9</f>
        <v>92997.294450000001</v>
      </c>
      <c r="H9" s="436" t="s">
        <v>140</v>
      </c>
      <c r="I9" s="80"/>
      <c r="J9" s="79"/>
      <c r="K9" s="81"/>
      <c r="L9" s="82"/>
    </row>
    <row r="10" spans="2:12" ht="15.9" customHeight="1">
      <c r="B10" s="493"/>
      <c r="C10" s="433" t="s">
        <v>182</v>
      </c>
      <c r="D10" s="434"/>
      <c r="E10" s="435"/>
      <c r="F10" s="435">
        <f>'4.공사예산내역서(을)'!L14</f>
        <v>0</v>
      </c>
      <c r="G10" s="435">
        <f t="shared" si="0"/>
        <v>0</v>
      </c>
      <c r="H10" s="436" t="s">
        <v>186</v>
      </c>
      <c r="I10" s="80"/>
      <c r="J10" s="79"/>
      <c r="K10" s="81"/>
      <c r="L10" s="82"/>
    </row>
    <row r="11" spans="2:12" ht="15.9" customHeight="1">
      <c r="B11" s="493"/>
      <c r="C11" s="83"/>
      <c r="D11" s="84"/>
      <c r="E11" s="85"/>
      <c r="F11" s="85"/>
      <c r="G11" s="85"/>
      <c r="H11" s="86"/>
      <c r="I11" s="80"/>
      <c r="J11" s="87"/>
      <c r="K11" s="81"/>
      <c r="L11" s="82"/>
    </row>
    <row r="12" spans="2:12" ht="15.9" customHeight="1">
      <c r="B12" s="88"/>
      <c r="C12" s="89" t="s">
        <v>7</v>
      </c>
      <c r="D12" s="90">
        <f>SUM(D7:D11)</f>
        <v>2080291</v>
      </c>
      <c r="E12" s="90">
        <f>SUM(E7:E11)</f>
        <v>1080209.8149999999</v>
      </c>
      <c r="F12" s="90">
        <f>SUM(F7:F11)</f>
        <v>32406.294449999998</v>
      </c>
      <c r="G12" s="90">
        <f>SUM(G7:G11)</f>
        <v>3192907.1094499999</v>
      </c>
      <c r="H12" s="91"/>
      <c r="I12" s="80"/>
      <c r="J12" s="92"/>
      <c r="K12" s="81"/>
      <c r="L12" s="82"/>
    </row>
    <row r="13" spans="2:12" ht="15.9" customHeight="1">
      <c r="B13" s="492" t="s">
        <v>181</v>
      </c>
      <c r="C13" s="93"/>
      <c r="D13" s="94"/>
      <c r="E13" s="94"/>
      <c r="F13" s="94"/>
      <c r="G13" s="94"/>
      <c r="H13" s="86"/>
    </row>
    <row r="14" spans="2:12" ht="15.9" customHeight="1">
      <c r="B14" s="493"/>
      <c r="C14" s="430" t="s">
        <v>233</v>
      </c>
      <c r="D14" s="431"/>
      <c r="E14" s="432"/>
      <c r="F14" s="432"/>
      <c r="G14" s="432">
        <f>SUM(D12+E12)*2.93%</f>
        <v>92602.673879500013</v>
      </c>
      <c r="H14" s="373"/>
      <c r="I14" s="80"/>
    </row>
    <row r="15" spans="2:12" ht="15.9" customHeight="1">
      <c r="B15" s="493"/>
      <c r="C15" s="430" t="s">
        <v>283</v>
      </c>
      <c r="D15" s="431"/>
      <c r="E15" s="432"/>
      <c r="F15" s="432"/>
      <c r="G15" s="432">
        <f>E12*3.7%</f>
        <v>39967.763155000001</v>
      </c>
      <c r="H15" s="95"/>
      <c r="I15" s="80"/>
      <c r="L15" s="96"/>
    </row>
    <row r="16" spans="2:12" ht="15.9" customHeight="1">
      <c r="B16" s="493"/>
      <c r="C16" s="430" t="s">
        <v>322</v>
      </c>
      <c r="D16" s="431"/>
      <c r="E16" s="432"/>
      <c r="F16" s="432"/>
      <c r="G16" s="432">
        <f>E12*1.01%</f>
        <v>10910.1191315</v>
      </c>
      <c r="H16" s="95"/>
      <c r="I16" s="80"/>
    </row>
    <row r="17" spans="2:10" ht="15.9" customHeight="1">
      <c r="B17" s="493"/>
      <c r="C17" s="430" t="s">
        <v>323</v>
      </c>
      <c r="D17" s="431"/>
      <c r="E17" s="432"/>
      <c r="F17" s="432"/>
      <c r="G17" s="432">
        <f>E12*3.495%</f>
        <v>37753.333034249998</v>
      </c>
      <c r="H17" s="95"/>
      <c r="I17" s="80"/>
    </row>
    <row r="18" spans="2:10" ht="15.9" customHeight="1">
      <c r="B18" s="493"/>
      <c r="C18" s="430" t="s">
        <v>234</v>
      </c>
      <c r="D18" s="431"/>
      <c r="E18" s="432"/>
      <c r="F18" s="432"/>
      <c r="G18" s="432">
        <f>E12*4.5%</f>
        <v>48609.441674999995</v>
      </c>
      <c r="H18" s="95"/>
      <c r="I18" s="80"/>
    </row>
    <row r="19" spans="2:10" ht="15.9" customHeight="1">
      <c r="B19" s="493"/>
      <c r="C19" s="430" t="s">
        <v>324</v>
      </c>
      <c r="D19" s="432"/>
      <c r="E19" s="432"/>
      <c r="F19" s="432"/>
      <c r="G19" s="432">
        <f>G17*12.27%</f>
        <v>4632.3339633024743</v>
      </c>
      <c r="H19" s="95"/>
      <c r="I19" s="80"/>
      <c r="J19" s="92"/>
    </row>
    <row r="20" spans="2:10" ht="15.9" customHeight="1">
      <c r="B20" s="493"/>
      <c r="C20" s="97" t="s">
        <v>46</v>
      </c>
      <c r="D20" s="94"/>
      <c r="E20" s="94"/>
      <c r="F20" s="94"/>
      <c r="G20" s="94"/>
      <c r="H20" s="98"/>
    </row>
    <row r="21" spans="2:10" ht="15.9" customHeight="1">
      <c r="B21" s="88"/>
      <c r="C21" s="89" t="s">
        <v>7</v>
      </c>
      <c r="D21" s="90"/>
      <c r="E21" s="90"/>
      <c r="F21" s="90"/>
      <c r="G21" s="90">
        <f>SUM(G13:G20)</f>
        <v>234475.66483855247</v>
      </c>
      <c r="H21" s="91"/>
    </row>
    <row r="22" spans="2:10" ht="15.9" customHeight="1">
      <c r="B22" s="99"/>
      <c r="C22" s="100"/>
      <c r="D22" s="94"/>
      <c r="E22" s="94"/>
      <c r="F22" s="94"/>
      <c r="G22" s="94"/>
      <c r="H22" s="86"/>
    </row>
    <row r="23" spans="2:10" ht="15.9" customHeight="1">
      <c r="B23" s="427" t="s">
        <v>8</v>
      </c>
      <c r="C23" s="437" t="s">
        <v>316</v>
      </c>
      <c r="D23" s="432"/>
      <c r="E23" s="432"/>
      <c r="F23" s="432"/>
      <c r="G23" s="438">
        <f>SUM(G12,G21)*5%</f>
        <v>171369.13871442762</v>
      </c>
      <c r="H23" s="101"/>
      <c r="I23" s="80"/>
    </row>
    <row r="24" spans="2:10" ht="15.9" customHeight="1">
      <c r="B24" s="427" t="s">
        <v>47</v>
      </c>
      <c r="C24" s="437" t="s">
        <v>317</v>
      </c>
      <c r="D24" s="439"/>
      <c r="E24" s="440"/>
      <c r="F24" s="440"/>
      <c r="G24" s="438">
        <f>SUM(E12,G21,G23)*10%</f>
        <v>148605.461855298</v>
      </c>
      <c r="H24" s="101"/>
      <c r="I24" s="80"/>
      <c r="J24" s="92"/>
    </row>
    <row r="25" spans="2:10" ht="15.9" customHeight="1">
      <c r="B25" s="102"/>
      <c r="C25" s="93"/>
      <c r="D25" s="94"/>
      <c r="E25" s="94"/>
      <c r="F25" s="94"/>
      <c r="G25" s="94"/>
      <c r="H25" s="86"/>
    </row>
    <row r="26" spans="2:10" ht="15.9" customHeight="1">
      <c r="B26" s="103"/>
      <c r="C26" s="89" t="s">
        <v>7</v>
      </c>
      <c r="D26" s="104"/>
      <c r="E26" s="104"/>
      <c r="F26" s="104"/>
      <c r="G26" s="104">
        <f>SUM(G22:G25)</f>
        <v>319974.60056972562</v>
      </c>
      <c r="H26" s="91"/>
      <c r="J26" s="92"/>
    </row>
    <row r="27" spans="2:10" ht="18" customHeight="1" thickBot="1">
      <c r="B27" s="105" t="s">
        <v>9</v>
      </c>
      <c r="C27" s="106" t="s">
        <v>48</v>
      </c>
      <c r="D27" s="107">
        <f>SUM(D12)</f>
        <v>2080291</v>
      </c>
      <c r="E27" s="107">
        <f>SUM(E12)</f>
        <v>1080209.8149999999</v>
      </c>
      <c r="F27" s="107">
        <f>SUM(F12)</f>
        <v>32406.294449999998</v>
      </c>
      <c r="G27" s="107">
        <f>ROUNDDOWN(SUM(G26,G21,G12),-3)</f>
        <v>3747000</v>
      </c>
      <c r="H27" s="108" t="s">
        <v>282</v>
      </c>
      <c r="J27" s="92"/>
    </row>
    <row r="28" spans="2:10" ht="18" customHeight="1">
      <c r="G28" s="109"/>
    </row>
    <row r="29" spans="2:10" ht="18" customHeight="1">
      <c r="D29" s="109"/>
      <c r="G29" s="109"/>
    </row>
    <row r="30" spans="2:10">
      <c r="G30" s="109"/>
    </row>
  </sheetData>
  <mergeCells count="3">
    <mergeCell ref="B2:H2"/>
    <mergeCell ref="B7:B11"/>
    <mergeCell ref="B13:B20"/>
  </mergeCells>
  <phoneticPr fontId="41" type="noConversion"/>
  <pageMargins left="0.7" right="0.7" top="0.75" bottom="0.75" header="0.3" footer="0.3"/>
  <pageSetup paperSize="9" scale="7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O16"/>
  <sheetViews>
    <sheetView showGridLines="0" zoomScaleSheetLayoutView="100" workbookViewId="0">
      <selection activeCell="D8" sqref="D8:D10"/>
    </sheetView>
  </sheetViews>
  <sheetFormatPr defaultColWidth="1.59765625" defaultRowHeight="13.8"/>
  <cols>
    <col min="1" max="1" width="3.19921875" style="110" customWidth="1"/>
    <col min="2" max="2" width="4.09765625" style="110" customWidth="1"/>
    <col min="3" max="3" width="28.3984375" style="110" customWidth="1"/>
    <col min="4" max="4" width="21.09765625" style="110" customWidth="1"/>
    <col min="5" max="5" width="4.5" style="110" customWidth="1"/>
    <col min="6" max="6" width="5.8984375" style="110" customWidth="1"/>
    <col min="7" max="7" width="10.09765625" style="110" customWidth="1"/>
    <col min="8" max="8" width="12.59765625" style="110" customWidth="1"/>
    <col min="9" max="9" width="13.5" style="111" customWidth="1"/>
    <col min="10" max="12" width="11.3984375" style="111" customWidth="1"/>
    <col min="13" max="13" width="14.3984375" style="110" customWidth="1"/>
    <col min="14" max="14" width="17.19921875" style="110" customWidth="1"/>
    <col min="15" max="15" width="0.59765625" style="110" hidden="1" customWidth="1"/>
    <col min="16" max="246" width="10" style="110" customWidth="1"/>
    <col min="247" max="16384" width="1.59765625" style="110"/>
  </cols>
  <sheetData>
    <row r="1" spans="2:14" ht="16.5" customHeight="1"/>
    <row r="2" spans="2:14" s="112" customFormat="1" ht="25.2">
      <c r="B2" s="496" t="s">
        <v>40</v>
      </c>
      <c r="C2" s="496"/>
      <c r="D2" s="496"/>
      <c r="E2" s="496"/>
      <c r="F2" s="496"/>
      <c r="G2" s="496"/>
      <c r="H2" s="496"/>
      <c r="I2" s="496"/>
      <c r="J2" s="496"/>
      <c r="K2" s="496"/>
      <c r="L2" s="496"/>
      <c r="M2" s="496"/>
      <c r="N2" s="496"/>
    </row>
    <row r="3" spans="2:14" s="112" customFormat="1" ht="16.5" customHeight="1">
      <c r="B3" s="113"/>
      <c r="C3" s="113"/>
      <c r="D3" s="113"/>
      <c r="E3" s="113"/>
      <c r="F3" s="113"/>
      <c r="G3" s="113"/>
      <c r="H3" s="113"/>
      <c r="I3" s="113"/>
      <c r="J3" s="113"/>
      <c r="K3" s="113"/>
      <c r="L3" s="113"/>
      <c r="M3" s="113"/>
      <c r="N3" s="113"/>
    </row>
    <row r="4" spans="2:14" s="112" customFormat="1" ht="16.5" customHeight="1">
      <c r="B4" s="66" t="str">
        <f>'3.공사예산내역서(갑)'!$B$4</f>
        <v>공사명 : 펄어비스 안양오피스 원격감시시스템 구축공사</v>
      </c>
      <c r="C4" s="114"/>
      <c r="E4" s="114"/>
      <c r="G4" s="115"/>
      <c r="I4" s="114"/>
      <c r="J4" s="114"/>
      <c r="K4" s="114"/>
      <c r="L4" s="114"/>
      <c r="N4" s="68" t="str">
        <f>'3.공사예산내역서(갑)'!$H$4</f>
        <v>(작성일자:`22년 10월 19일)</v>
      </c>
    </row>
    <row r="5" spans="2:14" s="112" customFormat="1" ht="16.5" customHeight="1" thickBot="1">
      <c r="B5" s="66"/>
      <c r="C5" s="114"/>
      <c r="E5" s="114"/>
      <c r="G5" s="115"/>
      <c r="I5" s="114"/>
      <c r="J5" s="114"/>
      <c r="K5" s="114"/>
      <c r="L5" s="114"/>
      <c r="N5" s="116" t="s">
        <v>37</v>
      </c>
    </row>
    <row r="6" spans="2:14" s="117" customFormat="1" ht="21" customHeight="1">
      <c r="B6" s="497" t="s">
        <v>32</v>
      </c>
      <c r="C6" s="499" t="s">
        <v>33</v>
      </c>
      <c r="D6" s="499" t="s">
        <v>10</v>
      </c>
      <c r="E6" s="499" t="s">
        <v>11</v>
      </c>
      <c r="F6" s="499" t="s">
        <v>12</v>
      </c>
      <c r="G6" s="503" t="s">
        <v>13</v>
      </c>
      <c r="H6" s="503"/>
      <c r="I6" s="504" t="s">
        <v>44</v>
      </c>
      <c r="J6" s="504"/>
      <c r="K6" s="504" t="s">
        <v>184</v>
      </c>
      <c r="L6" s="504"/>
      <c r="M6" s="499" t="s">
        <v>15</v>
      </c>
      <c r="N6" s="505" t="s">
        <v>16</v>
      </c>
    </row>
    <row r="7" spans="2:14" s="120" customFormat="1" ht="21" customHeight="1">
      <c r="B7" s="498"/>
      <c r="C7" s="500"/>
      <c r="D7" s="501"/>
      <c r="E7" s="502"/>
      <c r="F7" s="502"/>
      <c r="G7" s="118" t="s">
        <v>17</v>
      </c>
      <c r="H7" s="429" t="s">
        <v>18</v>
      </c>
      <c r="I7" s="429" t="s">
        <v>17</v>
      </c>
      <c r="J7" s="119" t="s">
        <v>18</v>
      </c>
      <c r="K7" s="429" t="s">
        <v>17</v>
      </c>
      <c r="L7" s="119" t="s">
        <v>18</v>
      </c>
      <c r="M7" s="500"/>
      <c r="N7" s="506"/>
    </row>
    <row r="8" spans="2:14" s="117" customFormat="1" ht="21" customHeight="1">
      <c r="B8" s="121">
        <v>1</v>
      </c>
      <c r="C8" s="122" t="s">
        <v>189</v>
      </c>
      <c r="D8" s="494"/>
      <c r="E8" s="123" t="s">
        <v>62</v>
      </c>
      <c r="F8" s="124">
        <v>1</v>
      </c>
      <c r="G8" s="125">
        <f>'5.일위대가'!H28</f>
        <v>1870000</v>
      </c>
      <c r="H8" s="125">
        <f>G8*F8</f>
        <v>1870000</v>
      </c>
      <c r="I8" s="125">
        <f>'5.일위대가'!K28</f>
        <v>548167.375</v>
      </c>
      <c r="J8" s="125">
        <f>I8*F8</f>
        <v>548167.375</v>
      </c>
      <c r="K8" s="125"/>
      <c r="L8" s="125"/>
      <c r="M8" s="125">
        <f>SUM(H8,J8,L8)</f>
        <v>2418167.375</v>
      </c>
      <c r="N8" s="126" t="s">
        <v>55</v>
      </c>
    </row>
    <row r="9" spans="2:14" s="117" customFormat="1" ht="21" customHeight="1">
      <c r="B9" s="121">
        <v>2</v>
      </c>
      <c r="C9" s="122" t="s">
        <v>194</v>
      </c>
      <c r="D9" s="495"/>
      <c r="E9" s="123" t="s">
        <v>62</v>
      </c>
      <c r="F9" s="428">
        <v>1</v>
      </c>
      <c r="G9" s="125">
        <f>'5.일위대가'!H50</f>
        <v>142800</v>
      </c>
      <c r="H9" s="125">
        <f t="shared" ref="H9:H10" si="0">G9*F9</f>
        <v>142800</v>
      </c>
      <c r="I9" s="125">
        <f>'5.일위대가'!K50</f>
        <v>444594.44</v>
      </c>
      <c r="J9" s="125">
        <f t="shared" ref="J9:J10" si="1">I9*F9</f>
        <v>444594.44</v>
      </c>
      <c r="K9" s="125"/>
      <c r="L9" s="125"/>
      <c r="M9" s="125">
        <f t="shared" ref="M9:M10" si="2">SUM(H9,J9,L9)</f>
        <v>587394.43999999994</v>
      </c>
      <c r="N9" s="126" t="s">
        <v>55</v>
      </c>
    </row>
    <row r="10" spans="2:14" s="117" customFormat="1" ht="21" customHeight="1">
      <c r="B10" s="121">
        <v>3</v>
      </c>
      <c r="C10" s="122" t="s">
        <v>195</v>
      </c>
      <c r="D10" s="495"/>
      <c r="E10" s="123" t="s">
        <v>62</v>
      </c>
      <c r="F10" s="124">
        <v>1</v>
      </c>
      <c r="G10" s="125">
        <f>'5.일위대가'!H56</f>
        <v>6900</v>
      </c>
      <c r="H10" s="125">
        <f t="shared" si="0"/>
        <v>6900</v>
      </c>
      <c r="I10" s="125">
        <f>'5.일위대가'!K56</f>
        <v>87448</v>
      </c>
      <c r="J10" s="125">
        <f t="shared" si="1"/>
        <v>87448</v>
      </c>
      <c r="K10" s="125"/>
      <c r="L10" s="125"/>
      <c r="M10" s="125">
        <f t="shared" si="2"/>
        <v>94348</v>
      </c>
      <c r="N10" s="126" t="s">
        <v>55</v>
      </c>
    </row>
    <row r="11" spans="2:14" s="133" customFormat="1" ht="21" customHeight="1">
      <c r="B11" s="127"/>
      <c r="C11" s="128"/>
      <c r="D11" s="129" t="s">
        <v>52</v>
      </c>
      <c r="E11" s="129"/>
      <c r="F11" s="130"/>
      <c r="G11" s="131"/>
      <c r="H11" s="131">
        <f>SUM(H8:H10)</f>
        <v>2019700</v>
      </c>
      <c r="I11" s="131"/>
      <c r="J11" s="131">
        <f>SUM(J8:J10)</f>
        <v>1080209.8149999999</v>
      </c>
      <c r="K11" s="131"/>
      <c r="L11" s="131"/>
      <c r="M11" s="131">
        <f>SUM(M8:M10)</f>
        <v>3099909.8149999999</v>
      </c>
      <c r="N11" s="132"/>
    </row>
    <row r="12" spans="2:14" s="117" customFormat="1" ht="21" customHeight="1">
      <c r="B12" s="121">
        <v>4</v>
      </c>
      <c r="C12" s="134" t="s">
        <v>56</v>
      </c>
      <c r="D12" s="428" t="s">
        <v>45</v>
      </c>
      <c r="E12" s="135" t="s">
        <v>53</v>
      </c>
      <c r="F12" s="136">
        <v>0.03</v>
      </c>
      <c r="G12" s="125"/>
      <c r="H12" s="137">
        <f>H11*F12</f>
        <v>60591</v>
      </c>
      <c r="I12" s="125"/>
      <c r="J12" s="125"/>
      <c r="K12" s="125"/>
      <c r="L12" s="125"/>
      <c r="M12" s="125">
        <f>SUM(H12,J12,L12)</f>
        <v>60591</v>
      </c>
      <c r="N12" s="138"/>
    </row>
    <row r="13" spans="2:14" s="117" customFormat="1" ht="21" customHeight="1">
      <c r="B13" s="121">
        <v>5</v>
      </c>
      <c r="C13" s="134" t="s">
        <v>34</v>
      </c>
      <c r="D13" s="428" t="s">
        <v>35</v>
      </c>
      <c r="E13" s="135" t="s">
        <v>53</v>
      </c>
      <c r="F13" s="136">
        <v>0.03</v>
      </c>
      <c r="G13" s="125"/>
      <c r="H13" s="125"/>
      <c r="I13" s="125"/>
      <c r="J13" s="137"/>
      <c r="K13" s="125"/>
      <c r="L13" s="137">
        <f>J11*F13</f>
        <v>32406.294449999998</v>
      </c>
      <c r="M13" s="125">
        <f t="shared" ref="M13:M14" si="3">SUM(H13,J13,L13)</f>
        <v>32406.294449999998</v>
      </c>
      <c r="N13" s="139"/>
    </row>
    <row r="14" spans="2:14" s="117" customFormat="1" ht="21" customHeight="1">
      <c r="B14" s="121">
        <v>6</v>
      </c>
      <c r="C14" s="140" t="s">
        <v>185</v>
      </c>
      <c r="D14" s="428"/>
      <c r="E14" s="135" t="s">
        <v>235</v>
      </c>
      <c r="F14" s="124">
        <v>1</v>
      </c>
      <c r="G14" s="125"/>
      <c r="H14" s="125"/>
      <c r="I14" s="125"/>
      <c r="J14" s="137"/>
      <c r="K14" s="125">
        <f>'9.공사업체 출장경비'!K6</f>
        <v>0</v>
      </c>
      <c r="L14" s="137">
        <f>K14*F14</f>
        <v>0</v>
      </c>
      <c r="M14" s="125">
        <f t="shared" si="3"/>
        <v>0</v>
      </c>
      <c r="N14" s="139"/>
    </row>
    <row r="15" spans="2:14" s="133" customFormat="1" ht="21" customHeight="1" thickBot="1">
      <c r="B15" s="127"/>
      <c r="C15" s="128"/>
      <c r="D15" s="129" t="s">
        <v>52</v>
      </c>
      <c r="E15" s="129"/>
      <c r="F15" s="130"/>
      <c r="G15" s="131"/>
      <c r="H15" s="131">
        <f>SUM(H12:H14)</f>
        <v>60591</v>
      </c>
      <c r="I15" s="131"/>
      <c r="J15" s="131">
        <f>SUM(J12:J13)</f>
        <v>0</v>
      </c>
      <c r="K15" s="131"/>
      <c r="L15" s="131">
        <f>SUM(L12:L14)</f>
        <v>32406.294449999998</v>
      </c>
      <c r="M15" s="131">
        <f>SUM(M12:M14)</f>
        <v>92997.294450000001</v>
      </c>
      <c r="N15" s="132"/>
    </row>
    <row r="16" spans="2:14" s="147" customFormat="1" ht="26.25" customHeight="1" thickBot="1">
      <c r="B16" s="141"/>
      <c r="C16" s="142"/>
      <c r="D16" s="143" t="s">
        <v>54</v>
      </c>
      <c r="E16" s="143"/>
      <c r="F16" s="144"/>
      <c r="G16" s="145"/>
      <c r="H16" s="145">
        <f>SUM(H11,H15)</f>
        <v>2080291</v>
      </c>
      <c r="I16" s="145"/>
      <c r="J16" s="145">
        <f>SUM(J11,J15)</f>
        <v>1080209.8149999999</v>
      </c>
      <c r="K16" s="145"/>
      <c r="L16" s="145">
        <f>SUM(L11,L15)</f>
        <v>32406.294449999998</v>
      </c>
      <c r="M16" s="145">
        <f>SUM(M15,M11)</f>
        <v>3192907.1094499999</v>
      </c>
      <c r="N16" s="146"/>
    </row>
  </sheetData>
  <mergeCells count="12">
    <mergeCell ref="D8:D10"/>
    <mergeCell ref="B2:N2"/>
    <mergeCell ref="B6:B7"/>
    <mergeCell ref="C6:C7"/>
    <mergeCell ref="D6:D7"/>
    <mergeCell ref="E6:E7"/>
    <mergeCell ref="F6:F7"/>
    <mergeCell ref="G6:H6"/>
    <mergeCell ref="I6:J6"/>
    <mergeCell ref="M6:M7"/>
    <mergeCell ref="N6:N7"/>
    <mergeCell ref="K6:L6"/>
  </mergeCells>
  <phoneticPr fontId="41" type="noConversion"/>
  <pageMargins left="0.7" right="0.7" top="0.75" bottom="0.75" header="0.3" footer="0.3"/>
  <pageSetup paperSize="9" scale="71"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B1:S59"/>
  <sheetViews>
    <sheetView showGridLines="0" zoomScaleNormal="100" workbookViewId="0">
      <pane ySplit="7" topLeftCell="A8" activePane="bottomLeft" state="frozen"/>
      <selection activeCell="D16" sqref="D16"/>
      <selection pane="bottomLeft" activeCell="F34" sqref="F34"/>
    </sheetView>
  </sheetViews>
  <sheetFormatPr defaultColWidth="10" defaultRowHeight="13.8"/>
  <cols>
    <col min="1" max="1" width="3.19921875" style="110" customWidth="1"/>
    <col min="2" max="2" width="4.09765625" style="110" customWidth="1"/>
    <col min="3" max="3" width="27.19921875" style="110" bestFit="1" customWidth="1"/>
    <col min="4" max="4" width="36.59765625" style="110" bestFit="1" customWidth="1"/>
    <col min="5" max="5" width="10.09765625" style="110" customWidth="1"/>
    <col min="6" max="6" width="5.09765625" style="110" customWidth="1"/>
    <col min="7" max="7" width="10.09765625" style="110" customWidth="1"/>
    <col min="8" max="8" width="11.5" style="110" customWidth="1"/>
    <col min="9" max="9" width="7.3984375" style="148" customWidth="1"/>
    <col min="10" max="10" width="8.8984375" style="111" customWidth="1"/>
    <col min="11" max="11" width="11.19921875" style="111" bestFit="1" customWidth="1"/>
    <col min="12" max="12" width="14.8984375" style="110" customWidth="1"/>
    <col min="13" max="13" width="26" style="110" customWidth="1"/>
    <col min="14" max="14" width="2.3984375" style="110" customWidth="1"/>
    <col min="15" max="15" width="12.19921875" style="149" hidden="1" customWidth="1"/>
    <col min="16" max="17" width="10" style="110"/>
    <col min="18" max="18" width="10.5" style="110" bestFit="1" customWidth="1"/>
    <col min="19" max="16384" width="10" style="110"/>
  </cols>
  <sheetData>
    <row r="1" spans="2:15" ht="16.5" customHeight="1"/>
    <row r="2" spans="2:15" s="112" customFormat="1" ht="25.2">
      <c r="B2" s="512" t="s">
        <v>49</v>
      </c>
      <c r="C2" s="512"/>
      <c r="D2" s="512"/>
      <c r="E2" s="512"/>
      <c r="F2" s="512"/>
      <c r="G2" s="512"/>
      <c r="H2" s="512"/>
      <c r="I2" s="512"/>
      <c r="J2" s="512"/>
      <c r="K2" s="512"/>
      <c r="L2" s="512"/>
      <c r="M2" s="512"/>
      <c r="O2" s="150"/>
    </row>
    <row r="3" spans="2:15" s="112" customFormat="1" ht="16.5" customHeight="1">
      <c r="B3" s="113"/>
      <c r="C3" s="113"/>
      <c r="D3" s="113"/>
      <c r="E3" s="113"/>
      <c r="F3" s="113"/>
      <c r="G3" s="113"/>
      <c r="H3" s="113"/>
      <c r="I3" s="151"/>
      <c r="J3" s="113"/>
      <c r="K3" s="113"/>
      <c r="L3" s="113"/>
      <c r="M3" s="113"/>
      <c r="O3" s="150"/>
    </row>
    <row r="4" spans="2:15" s="112" customFormat="1" ht="16.5" customHeight="1">
      <c r="B4" s="66" t="str">
        <f>'3.공사예산내역서(갑)'!$B$4</f>
        <v>공사명 : 펄어비스 안양오피스 원격감시시스템 구축공사</v>
      </c>
      <c r="C4" s="114"/>
      <c r="E4" s="114"/>
      <c r="G4" s="115"/>
      <c r="I4" s="152"/>
      <c r="J4" s="114"/>
      <c r="K4" s="114"/>
      <c r="M4" s="68" t="str">
        <f>'3.공사예산내역서(갑)'!$H$4</f>
        <v>(작성일자:`22년 10월 19일)</v>
      </c>
      <c r="O4" s="150"/>
    </row>
    <row r="5" spans="2:15" s="112" customFormat="1" ht="16.5" customHeight="1" thickBot="1">
      <c r="B5" s="66"/>
      <c r="C5" s="114"/>
      <c r="E5" s="114"/>
      <c r="G5" s="115"/>
      <c r="I5" s="152"/>
      <c r="J5" s="114"/>
      <c r="K5" s="114"/>
      <c r="M5" s="116" t="s">
        <v>38</v>
      </c>
      <c r="O5" s="150"/>
    </row>
    <row r="6" spans="2:15" s="117" customFormat="1" ht="16.5" customHeight="1">
      <c r="B6" s="497" t="s">
        <v>32</v>
      </c>
      <c r="C6" s="513" t="s">
        <v>20</v>
      </c>
      <c r="D6" s="499" t="s">
        <v>21</v>
      </c>
      <c r="E6" s="499" t="s">
        <v>22</v>
      </c>
      <c r="F6" s="499" t="s">
        <v>23</v>
      </c>
      <c r="G6" s="515" t="s">
        <v>13</v>
      </c>
      <c r="H6" s="516"/>
      <c r="I6" s="517" t="s">
        <v>14</v>
      </c>
      <c r="J6" s="518"/>
      <c r="K6" s="519"/>
      <c r="L6" s="499" t="s">
        <v>24</v>
      </c>
      <c r="M6" s="507" t="s">
        <v>16</v>
      </c>
      <c r="O6" s="153"/>
    </row>
    <row r="7" spans="2:15" s="120" customFormat="1" ht="16.5" customHeight="1">
      <c r="B7" s="498"/>
      <c r="C7" s="514"/>
      <c r="D7" s="502"/>
      <c r="E7" s="502"/>
      <c r="F7" s="502"/>
      <c r="G7" s="154" t="s">
        <v>17</v>
      </c>
      <c r="H7" s="155" t="s">
        <v>18</v>
      </c>
      <c r="I7" s="156" t="s">
        <v>19</v>
      </c>
      <c r="J7" s="157" t="s">
        <v>17</v>
      </c>
      <c r="K7" s="158" t="s">
        <v>18</v>
      </c>
      <c r="L7" s="500"/>
      <c r="M7" s="508"/>
      <c r="O7" s="159"/>
    </row>
    <row r="8" spans="2:15" s="117" customFormat="1" ht="14.25" customHeight="1">
      <c r="B8" s="160" t="s">
        <v>192</v>
      </c>
      <c r="C8" s="161"/>
      <c r="D8" s="428"/>
      <c r="E8" s="123"/>
      <c r="F8" s="162"/>
      <c r="G8" s="163"/>
      <c r="H8" s="164"/>
      <c r="I8" s="165"/>
      <c r="J8" s="166"/>
      <c r="K8" s="167"/>
      <c r="L8" s="167"/>
      <c r="M8" s="168"/>
      <c r="O8" s="153"/>
    </row>
    <row r="9" spans="2:15" s="117" customFormat="1" ht="14.25" customHeight="1">
      <c r="B9" s="169"/>
      <c r="C9" s="161" t="s">
        <v>105</v>
      </c>
      <c r="D9" s="170" t="s">
        <v>281</v>
      </c>
      <c r="E9" s="123" t="s">
        <v>89</v>
      </c>
      <c r="F9" s="162">
        <v>3</v>
      </c>
      <c r="G9" s="163">
        <v>420000</v>
      </c>
      <c r="H9" s="164">
        <f t="shared" ref="H9:H20" si="0">F9*G9</f>
        <v>1260000</v>
      </c>
      <c r="I9" s="165"/>
      <c r="J9" s="166"/>
      <c r="K9" s="167"/>
      <c r="L9" s="167">
        <f t="shared" ref="L9:L20" si="1">H9+K9</f>
        <v>1260000</v>
      </c>
      <c r="M9" s="369" t="s">
        <v>292</v>
      </c>
      <c r="O9" s="153"/>
    </row>
    <row r="10" spans="2:15" s="117" customFormat="1" ht="14.25" customHeight="1">
      <c r="B10" s="169"/>
      <c r="C10" s="161" t="s">
        <v>284</v>
      </c>
      <c r="D10" s="170" t="s">
        <v>285</v>
      </c>
      <c r="E10" s="123" t="s">
        <v>89</v>
      </c>
      <c r="F10" s="162">
        <v>1</v>
      </c>
      <c r="G10" s="163">
        <v>210000</v>
      </c>
      <c r="H10" s="164">
        <f t="shared" si="0"/>
        <v>210000</v>
      </c>
      <c r="I10" s="367"/>
      <c r="J10" s="166"/>
      <c r="K10" s="167"/>
      <c r="L10" s="167">
        <f t="shared" si="1"/>
        <v>210000</v>
      </c>
      <c r="M10" s="168"/>
      <c r="O10" s="153"/>
    </row>
    <row r="11" spans="2:15" s="117" customFormat="1" ht="14.25" customHeight="1">
      <c r="B11" s="169"/>
      <c r="C11" s="161" t="s">
        <v>350</v>
      </c>
      <c r="D11" s="170" t="s">
        <v>353</v>
      </c>
      <c r="E11" s="123" t="s">
        <v>115</v>
      </c>
      <c r="F11" s="162">
        <v>0</v>
      </c>
      <c r="G11" s="163">
        <v>25000</v>
      </c>
      <c r="H11" s="164">
        <f t="shared" si="0"/>
        <v>0</v>
      </c>
      <c r="I11" s="165"/>
      <c r="J11" s="166"/>
      <c r="K11" s="167"/>
      <c r="L11" s="167">
        <f t="shared" si="1"/>
        <v>0</v>
      </c>
      <c r="M11" s="168" t="s">
        <v>342</v>
      </c>
      <c r="O11" s="153"/>
    </row>
    <row r="12" spans="2:15" s="117" customFormat="1" ht="14.25" customHeight="1">
      <c r="B12" s="169"/>
      <c r="C12" s="161" t="s">
        <v>351</v>
      </c>
      <c r="D12" s="170" t="s">
        <v>352</v>
      </c>
      <c r="E12" s="123" t="s">
        <v>115</v>
      </c>
      <c r="F12" s="162">
        <v>0</v>
      </c>
      <c r="G12" s="163">
        <v>25000</v>
      </c>
      <c r="H12" s="164">
        <f t="shared" si="0"/>
        <v>0</v>
      </c>
      <c r="I12" s="165"/>
      <c r="J12" s="166"/>
      <c r="K12" s="167"/>
      <c r="L12" s="167">
        <f t="shared" ref="L12" si="2">H12+K12</f>
        <v>0</v>
      </c>
      <c r="M12" s="168" t="s">
        <v>342</v>
      </c>
      <c r="O12" s="153"/>
    </row>
    <row r="13" spans="2:15" s="117" customFormat="1" ht="14.25" customHeight="1">
      <c r="B13" s="169"/>
      <c r="C13" s="368" t="s">
        <v>341</v>
      </c>
      <c r="D13" s="441" t="s">
        <v>354</v>
      </c>
      <c r="E13" s="188" t="s">
        <v>115</v>
      </c>
      <c r="F13" s="189">
        <v>0</v>
      </c>
      <c r="G13" s="442">
        <v>25000</v>
      </c>
      <c r="H13" s="443">
        <f t="shared" si="0"/>
        <v>0</v>
      </c>
      <c r="I13" s="444"/>
      <c r="J13" s="445"/>
      <c r="K13" s="446"/>
      <c r="L13" s="446">
        <f t="shared" ref="L13:L17" si="3">H13+K13</f>
        <v>0</v>
      </c>
      <c r="M13" s="168" t="s">
        <v>342</v>
      </c>
      <c r="O13" s="153"/>
    </row>
    <row r="14" spans="2:15" s="117" customFormat="1" ht="14.25" customHeight="1">
      <c r="B14" s="169"/>
      <c r="C14" s="368" t="s">
        <v>368</v>
      </c>
      <c r="D14" s="441" t="s">
        <v>369</v>
      </c>
      <c r="E14" s="188" t="s">
        <v>89</v>
      </c>
      <c r="F14" s="189">
        <v>1</v>
      </c>
      <c r="G14" s="442">
        <v>350000</v>
      </c>
      <c r="H14" s="443">
        <f>G14*F14</f>
        <v>350000</v>
      </c>
      <c r="I14" s="444"/>
      <c r="J14" s="445"/>
      <c r="K14" s="446"/>
      <c r="L14" s="446">
        <f t="shared" si="3"/>
        <v>350000</v>
      </c>
      <c r="M14" s="168"/>
      <c r="O14" s="153"/>
    </row>
    <row r="15" spans="2:15" s="117" customFormat="1" ht="14.25" customHeight="1">
      <c r="B15" s="169"/>
      <c r="C15" s="368" t="s">
        <v>370</v>
      </c>
      <c r="D15" s="441" t="s">
        <v>371</v>
      </c>
      <c r="E15" s="188" t="s">
        <v>89</v>
      </c>
      <c r="F15" s="189">
        <v>5</v>
      </c>
      <c r="G15" s="442">
        <v>10000</v>
      </c>
      <c r="H15" s="443">
        <f>G15*F15</f>
        <v>50000</v>
      </c>
      <c r="I15" s="444"/>
      <c r="J15" s="445"/>
      <c r="K15" s="446"/>
      <c r="L15" s="446">
        <f t="shared" si="3"/>
        <v>50000</v>
      </c>
      <c r="M15" s="168"/>
      <c r="O15" s="153"/>
    </row>
    <row r="16" spans="2:15" s="117" customFormat="1" ht="14.25" customHeight="1">
      <c r="B16" s="169"/>
      <c r="C16" s="368" t="s">
        <v>355</v>
      </c>
      <c r="D16" s="441" t="s">
        <v>367</v>
      </c>
      <c r="E16" s="188" t="s">
        <v>89</v>
      </c>
      <c r="F16" s="189">
        <v>0</v>
      </c>
      <c r="G16" s="442">
        <v>230000</v>
      </c>
      <c r="H16" s="443">
        <f>F16*G16</f>
        <v>0</v>
      </c>
      <c r="I16" s="444"/>
      <c r="J16" s="445"/>
      <c r="K16" s="446"/>
      <c r="L16" s="446">
        <f t="shared" si="3"/>
        <v>0</v>
      </c>
      <c r="M16" s="168" t="s">
        <v>342</v>
      </c>
      <c r="O16" s="153"/>
    </row>
    <row r="17" spans="2:19" s="117" customFormat="1" ht="14.25" customHeight="1">
      <c r="B17" s="169"/>
      <c r="C17" s="368" t="s">
        <v>356</v>
      </c>
      <c r="D17" s="441" t="s">
        <v>357</v>
      </c>
      <c r="E17" s="188" t="s">
        <v>89</v>
      </c>
      <c r="F17" s="189">
        <v>0</v>
      </c>
      <c r="G17" s="442">
        <v>110000</v>
      </c>
      <c r="H17" s="443">
        <f>F17*G17</f>
        <v>0</v>
      </c>
      <c r="I17" s="444"/>
      <c r="J17" s="445"/>
      <c r="K17" s="446"/>
      <c r="L17" s="446">
        <f t="shared" si="3"/>
        <v>0</v>
      </c>
      <c r="M17" s="168" t="s">
        <v>342</v>
      </c>
      <c r="O17" s="153"/>
    </row>
    <row r="18" spans="2:19" s="117" customFormat="1" ht="14.25" customHeight="1">
      <c r="B18" s="169"/>
      <c r="C18" s="368" t="s">
        <v>343</v>
      </c>
      <c r="D18" s="441" t="s">
        <v>344</v>
      </c>
      <c r="E18" s="188" t="s">
        <v>115</v>
      </c>
      <c r="F18" s="189">
        <v>0</v>
      </c>
      <c r="G18" s="442">
        <v>107800</v>
      </c>
      <c r="H18" s="443">
        <f t="shared" si="0"/>
        <v>0</v>
      </c>
      <c r="I18" s="444"/>
      <c r="J18" s="445"/>
      <c r="K18" s="446"/>
      <c r="L18" s="446">
        <f t="shared" si="1"/>
        <v>0</v>
      </c>
      <c r="M18" s="168" t="s">
        <v>345</v>
      </c>
      <c r="O18" s="153"/>
    </row>
    <row r="19" spans="2:19" s="117" customFormat="1" ht="14.25" customHeight="1">
      <c r="B19" s="169"/>
      <c r="C19" s="368" t="s">
        <v>346</v>
      </c>
      <c r="D19" s="441" t="s">
        <v>347</v>
      </c>
      <c r="E19" s="188" t="s">
        <v>115</v>
      </c>
      <c r="F19" s="189">
        <v>0</v>
      </c>
      <c r="G19" s="442">
        <v>107800</v>
      </c>
      <c r="H19" s="443">
        <f t="shared" si="0"/>
        <v>0</v>
      </c>
      <c r="I19" s="444"/>
      <c r="J19" s="445"/>
      <c r="K19" s="446"/>
      <c r="L19" s="446">
        <f t="shared" si="1"/>
        <v>0</v>
      </c>
      <c r="M19" s="168" t="s">
        <v>345</v>
      </c>
      <c r="O19" s="153"/>
    </row>
    <row r="20" spans="2:19" s="117" customFormat="1" ht="14.25" customHeight="1">
      <c r="B20" s="169"/>
      <c r="C20" s="368" t="s">
        <v>348</v>
      </c>
      <c r="D20" s="441" t="s">
        <v>349</v>
      </c>
      <c r="E20" s="188" t="s">
        <v>115</v>
      </c>
      <c r="F20" s="189">
        <v>0</v>
      </c>
      <c r="G20" s="442">
        <v>5000</v>
      </c>
      <c r="H20" s="443">
        <f t="shared" si="0"/>
        <v>0</v>
      </c>
      <c r="I20" s="444"/>
      <c r="J20" s="445"/>
      <c r="K20" s="446"/>
      <c r="L20" s="446">
        <f t="shared" si="1"/>
        <v>0</v>
      </c>
      <c r="M20" s="168" t="s">
        <v>345</v>
      </c>
      <c r="O20" s="153"/>
    </row>
    <row r="21" spans="2:19" s="117" customFormat="1" ht="14.25" customHeight="1">
      <c r="B21" s="169"/>
      <c r="C21" s="368" t="s">
        <v>106</v>
      </c>
      <c r="D21" s="441" t="s">
        <v>70</v>
      </c>
      <c r="E21" s="188" t="s">
        <v>90</v>
      </c>
      <c r="F21" s="189"/>
      <c r="G21" s="442"/>
      <c r="H21" s="443"/>
      <c r="I21" s="444">
        <f>'7.MP산출근거'!O9</f>
        <v>0.125</v>
      </c>
      <c r="J21" s="445">
        <f>'7.MP산출근거'!D42</f>
        <v>259089</v>
      </c>
      <c r="K21" s="446">
        <f>F9*I21*J21</f>
        <v>97158.375</v>
      </c>
      <c r="L21" s="446">
        <f>H21+K21</f>
        <v>97158.375</v>
      </c>
      <c r="M21" s="168" t="s">
        <v>78</v>
      </c>
      <c r="O21" s="173">
        <f>I21*F9</f>
        <v>0.375</v>
      </c>
      <c r="Q21" s="174"/>
      <c r="S21" s="174"/>
    </row>
    <row r="22" spans="2:19" s="117" customFormat="1" ht="14.25" customHeight="1">
      <c r="B22" s="169"/>
      <c r="C22" s="368" t="s">
        <v>286</v>
      </c>
      <c r="D22" s="441" t="s">
        <v>70</v>
      </c>
      <c r="E22" s="188" t="s">
        <v>41</v>
      </c>
      <c r="F22" s="189"/>
      <c r="G22" s="442"/>
      <c r="H22" s="443"/>
      <c r="I22" s="444">
        <f>'7.MP산출근거'!O11</f>
        <v>0.125</v>
      </c>
      <c r="J22" s="445">
        <f>'7.MP산출근거'!D42</f>
        <v>259089</v>
      </c>
      <c r="K22" s="446">
        <f>F10*I22*J22</f>
        <v>32386.125</v>
      </c>
      <c r="L22" s="446">
        <f>H22+K22</f>
        <v>32386.125</v>
      </c>
      <c r="M22" s="168" t="s">
        <v>287</v>
      </c>
      <c r="O22" s="173"/>
      <c r="Q22" s="174"/>
      <c r="S22" s="174"/>
    </row>
    <row r="23" spans="2:19" s="117" customFormat="1" ht="14.25" customHeight="1">
      <c r="B23" s="169"/>
      <c r="C23" s="368" t="s">
        <v>372</v>
      </c>
      <c r="D23" s="441" t="s">
        <v>70</v>
      </c>
      <c r="E23" s="188" t="s">
        <v>41</v>
      </c>
      <c r="F23" s="189"/>
      <c r="G23" s="447"/>
      <c r="H23" s="443"/>
      <c r="I23" s="444">
        <f>'7.MP산출근거'!O15</f>
        <v>0.25</v>
      </c>
      <c r="J23" s="445">
        <f>'7.MP산출근거'!D42</f>
        <v>259089</v>
      </c>
      <c r="K23" s="446">
        <f>F14*I23*J23</f>
        <v>64772.25</v>
      </c>
      <c r="L23" s="446">
        <f>H23+K23</f>
        <v>64772.25</v>
      </c>
      <c r="M23" s="168" t="s">
        <v>373</v>
      </c>
      <c r="O23" s="173"/>
      <c r="Q23" s="174"/>
      <c r="S23" s="174"/>
    </row>
    <row r="24" spans="2:19" s="117" customFormat="1" ht="14.25" customHeight="1">
      <c r="B24" s="169"/>
      <c r="C24" s="368" t="s">
        <v>374</v>
      </c>
      <c r="D24" s="441" t="s">
        <v>125</v>
      </c>
      <c r="E24" s="188" t="s">
        <v>41</v>
      </c>
      <c r="F24" s="189"/>
      <c r="G24" s="447"/>
      <c r="H24" s="443"/>
      <c r="I24" s="444">
        <f>'7.MP산출근거'!O17</f>
        <v>6.25E-2</v>
      </c>
      <c r="J24" s="445">
        <f>'7.MP산출근거'!D46</f>
        <v>349792</v>
      </c>
      <c r="K24" s="446">
        <f>F15*I24*J24</f>
        <v>109310</v>
      </c>
      <c r="L24" s="446">
        <f>H24+K24</f>
        <v>109310</v>
      </c>
      <c r="M24" s="168" t="s">
        <v>375</v>
      </c>
      <c r="O24" s="173"/>
      <c r="Q24" s="174"/>
      <c r="S24" s="174"/>
    </row>
    <row r="25" spans="2:19" s="117" customFormat="1" ht="14.25" customHeight="1">
      <c r="B25" s="169"/>
      <c r="C25" s="368" t="s">
        <v>120</v>
      </c>
      <c r="D25" s="441" t="s">
        <v>107</v>
      </c>
      <c r="E25" s="188" t="s">
        <v>41</v>
      </c>
      <c r="F25" s="189"/>
      <c r="G25" s="442"/>
      <c r="H25" s="443"/>
      <c r="I25" s="444">
        <f>'7.MP산출근거'!O21</f>
        <v>6.25E-2</v>
      </c>
      <c r="J25" s="445">
        <f>'7.MP산출근거'!D47</f>
        <v>391265</v>
      </c>
      <c r="K25" s="446">
        <f>F9*I25*J25</f>
        <v>73362.1875</v>
      </c>
      <c r="L25" s="446">
        <f t="shared" ref="L25:L27" si="4">H25+K25</f>
        <v>73362.1875</v>
      </c>
      <c r="M25" s="168" t="s">
        <v>289</v>
      </c>
      <c r="O25" s="175">
        <f>I25*F9</f>
        <v>0.1875</v>
      </c>
    </row>
    <row r="26" spans="2:19" s="117" customFormat="1" ht="14.25" customHeight="1">
      <c r="B26" s="169"/>
      <c r="C26" s="368" t="s">
        <v>288</v>
      </c>
      <c r="D26" s="441" t="s">
        <v>107</v>
      </c>
      <c r="E26" s="188" t="s">
        <v>41</v>
      </c>
      <c r="F26" s="189"/>
      <c r="G26" s="442"/>
      <c r="H26" s="443"/>
      <c r="I26" s="444">
        <f>'7.MP산출근거'!O23</f>
        <v>6.25E-2</v>
      </c>
      <c r="J26" s="445">
        <f>'7.MP산출근거'!D47</f>
        <v>391265</v>
      </c>
      <c r="K26" s="446">
        <f>F10*I26*J26</f>
        <v>24454.0625</v>
      </c>
      <c r="L26" s="446">
        <f t="shared" si="4"/>
        <v>24454.0625</v>
      </c>
      <c r="M26" s="168" t="s">
        <v>91</v>
      </c>
      <c r="O26" s="175"/>
    </row>
    <row r="27" spans="2:19" s="117" customFormat="1" ht="14.25" customHeight="1">
      <c r="B27" s="169"/>
      <c r="C27" s="368" t="s">
        <v>376</v>
      </c>
      <c r="D27" s="441" t="s">
        <v>107</v>
      </c>
      <c r="E27" s="188" t="s">
        <v>41</v>
      </c>
      <c r="F27" s="189"/>
      <c r="G27" s="447"/>
      <c r="H27" s="443"/>
      <c r="I27" s="444">
        <f>'7.MP산출근거'!O27</f>
        <v>0.375</v>
      </c>
      <c r="J27" s="445">
        <f>'7.MP산출근거'!D47</f>
        <v>391265</v>
      </c>
      <c r="K27" s="446">
        <f>F14*I27*J27</f>
        <v>146724.375</v>
      </c>
      <c r="L27" s="446">
        <f t="shared" si="4"/>
        <v>146724.375</v>
      </c>
      <c r="M27" s="168" t="s">
        <v>377</v>
      </c>
      <c r="O27" s="175"/>
    </row>
    <row r="28" spans="2:19" s="133" customFormat="1" ht="14.25" customHeight="1">
      <c r="B28" s="176"/>
      <c r="C28" s="177"/>
      <c r="D28" s="178" t="s">
        <v>43</v>
      </c>
      <c r="E28" s="178"/>
      <c r="F28" s="179"/>
      <c r="G28" s="180"/>
      <c r="H28" s="181">
        <f>SUM(H8:H27)</f>
        <v>1870000</v>
      </c>
      <c r="I28" s="182"/>
      <c r="J28" s="183"/>
      <c r="K28" s="181">
        <f>SUM(K8:K27)</f>
        <v>548167.375</v>
      </c>
      <c r="L28" s="184">
        <f>SUM(L8:L27)</f>
        <v>2418167.375</v>
      </c>
      <c r="M28" s="185"/>
      <c r="O28" s="186"/>
    </row>
    <row r="29" spans="2:19" s="133" customFormat="1" ht="13.5" customHeight="1">
      <c r="B29" s="520" t="s">
        <v>193</v>
      </c>
      <c r="C29" s="521"/>
      <c r="D29" s="187"/>
      <c r="E29" s="188"/>
      <c r="F29" s="189"/>
      <c r="G29" s="190"/>
      <c r="H29" s="191"/>
      <c r="I29" s="192"/>
      <c r="J29" s="193"/>
      <c r="K29" s="191"/>
      <c r="L29" s="194"/>
      <c r="M29" s="195"/>
      <c r="O29" s="186"/>
      <c r="P29" s="117"/>
      <c r="Q29" s="117"/>
      <c r="R29" s="174"/>
      <c r="S29" s="370"/>
    </row>
    <row r="30" spans="2:19" s="117" customFormat="1" ht="14.25" customHeight="1">
      <c r="B30" s="169"/>
      <c r="C30" s="161" t="s">
        <v>108</v>
      </c>
      <c r="D30" s="170" t="s">
        <v>109</v>
      </c>
      <c r="E30" s="123" t="s">
        <v>67</v>
      </c>
      <c r="F30" s="162">
        <v>60</v>
      </c>
      <c r="G30" s="163">
        <v>300</v>
      </c>
      <c r="H30" s="164">
        <f>F30*G30</f>
        <v>18000</v>
      </c>
      <c r="I30" s="165"/>
      <c r="J30" s="166"/>
      <c r="K30" s="167"/>
      <c r="L30" s="167">
        <f>H30+K30</f>
        <v>18000</v>
      </c>
      <c r="M30" s="168"/>
      <c r="O30" s="153"/>
      <c r="R30" s="174"/>
      <c r="S30" s="370"/>
    </row>
    <row r="31" spans="2:19" s="117" customFormat="1" ht="14.25" customHeight="1">
      <c r="B31" s="169"/>
      <c r="C31" s="161" t="s">
        <v>110</v>
      </c>
      <c r="D31" s="170" t="s">
        <v>109</v>
      </c>
      <c r="E31" s="123" t="s">
        <v>226</v>
      </c>
      <c r="F31" s="162">
        <v>20</v>
      </c>
      <c r="G31" s="163">
        <v>200</v>
      </c>
      <c r="H31" s="164">
        <f t="shared" ref="H31" si="5">F31*G31</f>
        <v>4000</v>
      </c>
      <c r="I31" s="165"/>
      <c r="J31" s="166"/>
      <c r="K31" s="167"/>
      <c r="L31" s="167">
        <f t="shared" ref="L31" si="6">H31+K31</f>
        <v>4000</v>
      </c>
      <c r="M31" s="168"/>
      <c r="O31" s="153"/>
      <c r="R31" s="174"/>
      <c r="S31" s="370"/>
    </row>
    <row r="32" spans="2:19" s="117" customFormat="1" ht="14.25" customHeight="1">
      <c r="B32" s="169"/>
      <c r="C32" s="171" t="s">
        <v>111</v>
      </c>
      <c r="D32" s="196" t="s">
        <v>112</v>
      </c>
      <c r="E32" s="197" t="s">
        <v>116</v>
      </c>
      <c r="F32" s="162">
        <v>30</v>
      </c>
      <c r="G32" s="172">
        <v>1100</v>
      </c>
      <c r="H32" s="164">
        <f t="shared" ref="H32:H54" si="7">F32*G32</f>
        <v>33000</v>
      </c>
      <c r="I32" s="165"/>
      <c r="J32" s="166"/>
      <c r="K32" s="167"/>
      <c r="L32" s="167">
        <f t="shared" ref="L32:L54" si="8">H32+K32</f>
        <v>33000</v>
      </c>
      <c r="M32" s="168"/>
      <c r="O32" s="153"/>
      <c r="P32" s="198"/>
      <c r="R32" s="174"/>
      <c r="S32" s="370"/>
    </row>
    <row r="33" spans="2:17" s="117" customFormat="1" ht="14.25" customHeight="1">
      <c r="B33" s="121"/>
      <c r="C33" s="171" t="s">
        <v>137</v>
      </c>
      <c r="D33" s="196" t="s">
        <v>138</v>
      </c>
      <c r="E33" s="197" t="s">
        <v>116</v>
      </c>
      <c r="F33" s="162">
        <v>30</v>
      </c>
      <c r="G33" s="172">
        <v>650</v>
      </c>
      <c r="H33" s="164">
        <f t="shared" si="7"/>
        <v>19500</v>
      </c>
      <c r="I33" s="165"/>
      <c r="J33" s="166"/>
      <c r="K33" s="167"/>
      <c r="L33" s="167">
        <f t="shared" si="8"/>
        <v>19500</v>
      </c>
      <c r="M33" s="168"/>
      <c r="O33" s="153"/>
    </row>
    <row r="34" spans="2:17" s="117" customFormat="1" ht="14.25" customHeight="1">
      <c r="B34" s="121"/>
      <c r="C34" s="171" t="s">
        <v>137</v>
      </c>
      <c r="D34" s="196" t="s">
        <v>139</v>
      </c>
      <c r="E34" s="199" t="s">
        <v>116</v>
      </c>
      <c r="F34" s="162">
        <v>10</v>
      </c>
      <c r="G34" s="172">
        <v>1930</v>
      </c>
      <c r="H34" s="164">
        <f t="shared" si="7"/>
        <v>19300</v>
      </c>
      <c r="I34" s="165"/>
      <c r="J34" s="166"/>
      <c r="K34" s="167"/>
      <c r="L34" s="167">
        <f t="shared" si="8"/>
        <v>19300</v>
      </c>
      <c r="M34" s="168"/>
      <c r="O34" s="153"/>
    </row>
    <row r="35" spans="2:17" s="117" customFormat="1" ht="14.25" customHeight="1">
      <c r="B35" s="121"/>
      <c r="C35" s="171" t="s">
        <v>137</v>
      </c>
      <c r="D35" s="196" t="s">
        <v>290</v>
      </c>
      <c r="E35" s="199" t="s">
        <v>116</v>
      </c>
      <c r="F35" s="162">
        <v>10</v>
      </c>
      <c r="G35" s="172">
        <v>4900</v>
      </c>
      <c r="H35" s="164">
        <f t="shared" si="7"/>
        <v>49000</v>
      </c>
      <c r="I35" s="165"/>
      <c r="J35" s="166"/>
      <c r="K35" s="167"/>
      <c r="L35" s="167">
        <f t="shared" si="8"/>
        <v>49000</v>
      </c>
      <c r="M35" s="168"/>
      <c r="O35" s="153"/>
    </row>
    <row r="36" spans="2:17" s="117" customFormat="1" ht="14.25" customHeight="1">
      <c r="B36" s="121"/>
      <c r="C36" s="161" t="s">
        <v>293</v>
      </c>
      <c r="D36" s="196" t="s">
        <v>327</v>
      </c>
      <c r="E36" s="199" t="s">
        <v>115</v>
      </c>
      <c r="F36" s="162">
        <v>0</v>
      </c>
      <c r="G36" s="172">
        <v>5000</v>
      </c>
      <c r="H36" s="164">
        <f t="shared" si="7"/>
        <v>0</v>
      </c>
      <c r="I36" s="165"/>
      <c r="J36" s="166"/>
      <c r="K36" s="164"/>
      <c r="L36" s="167">
        <f t="shared" si="8"/>
        <v>0</v>
      </c>
      <c r="M36" s="168" t="s">
        <v>314</v>
      </c>
      <c r="O36" s="153"/>
      <c r="P36" s="174"/>
      <c r="Q36" s="452"/>
    </row>
    <row r="37" spans="2:17" s="117" customFormat="1" ht="14.25" customHeight="1">
      <c r="B37" s="121"/>
      <c r="C37" s="161" t="s">
        <v>293</v>
      </c>
      <c r="D37" s="196" t="s">
        <v>329</v>
      </c>
      <c r="E37" s="199" t="s">
        <v>115</v>
      </c>
      <c r="F37" s="162">
        <v>0</v>
      </c>
      <c r="G37" s="172">
        <v>5000</v>
      </c>
      <c r="H37" s="164">
        <f t="shared" si="7"/>
        <v>0</v>
      </c>
      <c r="I37" s="165"/>
      <c r="J37" s="166"/>
      <c r="K37" s="164"/>
      <c r="L37" s="167">
        <f t="shared" si="8"/>
        <v>0</v>
      </c>
      <c r="M37" s="168" t="s">
        <v>314</v>
      </c>
      <c r="O37" s="153"/>
      <c r="P37" s="174"/>
      <c r="Q37" s="452"/>
    </row>
    <row r="38" spans="2:17" s="117" customFormat="1" ht="14.25" customHeight="1">
      <c r="B38" s="121"/>
      <c r="C38" s="161" t="s">
        <v>293</v>
      </c>
      <c r="D38" s="196" t="s">
        <v>328</v>
      </c>
      <c r="E38" s="199" t="s">
        <v>115</v>
      </c>
      <c r="F38" s="162">
        <v>0</v>
      </c>
      <c r="G38" s="172">
        <v>5000</v>
      </c>
      <c r="H38" s="164">
        <f t="shared" ref="H38" si="9">F38*G38</f>
        <v>0</v>
      </c>
      <c r="I38" s="165"/>
      <c r="J38" s="166"/>
      <c r="K38" s="164"/>
      <c r="L38" s="167">
        <f t="shared" ref="L38" si="10">H38+K38</f>
        <v>0</v>
      </c>
      <c r="M38" s="168" t="s">
        <v>314</v>
      </c>
      <c r="O38" s="153"/>
      <c r="P38" s="174"/>
      <c r="Q38" s="452"/>
    </row>
    <row r="39" spans="2:17" s="117" customFormat="1" ht="14.25" customHeight="1">
      <c r="B39" s="121"/>
      <c r="C39" s="161" t="s">
        <v>318</v>
      </c>
      <c r="D39" s="196" t="s">
        <v>319</v>
      </c>
      <c r="E39" s="199" t="s">
        <v>115</v>
      </c>
      <c r="F39" s="162">
        <v>0</v>
      </c>
      <c r="G39" s="172">
        <v>15000</v>
      </c>
      <c r="H39" s="164">
        <f t="shared" si="7"/>
        <v>0</v>
      </c>
      <c r="I39" s="165"/>
      <c r="J39" s="166"/>
      <c r="K39" s="164"/>
      <c r="L39" s="167">
        <f t="shared" si="8"/>
        <v>0</v>
      </c>
      <c r="M39" s="168" t="s">
        <v>314</v>
      </c>
      <c r="O39" s="153"/>
      <c r="P39" s="174"/>
      <c r="Q39" s="452"/>
    </row>
    <row r="40" spans="2:17" s="117" customFormat="1" ht="14.25" customHeight="1">
      <c r="B40" s="121"/>
      <c r="C40" s="161" t="s">
        <v>385</v>
      </c>
      <c r="D40" s="196" t="s">
        <v>378</v>
      </c>
      <c r="E40" s="199" t="s">
        <v>115</v>
      </c>
      <c r="F40" s="162">
        <v>0</v>
      </c>
      <c r="G40" s="172">
        <v>25000</v>
      </c>
      <c r="H40" s="164">
        <f t="shared" ref="H40" si="11">F40*G40</f>
        <v>0</v>
      </c>
      <c r="I40" s="165"/>
      <c r="J40" s="166"/>
      <c r="K40" s="164"/>
      <c r="L40" s="167">
        <f t="shared" ref="L40" si="12">H40+K40</f>
        <v>0</v>
      </c>
      <c r="M40" s="168"/>
      <c r="O40" s="153"/>
    </row>
    <row r="41" spans="2:17" s="117" customFormat="1" ht="14.25" customHeight="1">
      <c r="B41" s="121"/>
      <c r="C41" s="161" t="s">
        <v>294</v>
      </c>
      <c r="D41" s="196" t="s">
        <v>295</v>
      </c>
      <c r="E41" s="199" t="s">
        <v>115</v>
      </c>
      <c r="F41" s="162">
        <v>0</v>
      </c>
      <c r="G41" s="172">
        <v>13000</v>
      </c>
      <c r="H41" s="164">
        <f t="shared" si="7"/>
        <v>0</v>
      </c>
      <c r="I41" s="165"/>
      <c r="J41" s="166"/>
      <c r="K41" s="164"/>
      <c r="L41" s="167">
        <f t="shared" si="8"/>
        <v>0</v>
      </c>
      <c r="M41" s="168"/>
      <c r="O41" s="153"/>
    </row>
    <row r="42" spans="2:17" s="117" customFormat="1" ht="14.25" customHeight="1">
      <c r="B42" s="121"/>
      <c r="C42" s="161" t="s">
        <v>296</v>
      </c>
      <c r="D42" s="196" t="s">
        <v>297</v>
      </c>
      <c r="E42" s="199" t="s">
        <v>115</v>
      </c>
      <c r="F42" s="162">
        <v>0</v>
      </c>
      <c r="G42" s="172">
        <v>15000</v>
      </c>
      <c r="H42" s="164">
        <f t="shared" si="7"/>
        <v>0</v>
      </c>
      <c r="I42" s="165"/>
      <c r="J42" s="166"/>
      <c r="K42" s="164"/>
      <c r="L42" s="167">
        <f t="shared" si="8"/>
        <v>0</v>
      </c>
      <c r="M42" s="168"/>
      <c r="O42" s="153"/>
    </row>
    <row r="43" spans="2:17" s="117" customFormat="1" ht="14.25" customHeight="1">
      <c r="B43" s="121"/>
      <c r="C43" s="161" t="s">
        <v>122</v>
      </c>
      <c r="D43" s="170" t="s">
        <v>70</v>
      </c>
      <c r="E43" s="199" t="s">
        <v>126</v>
      </c>
      <c r="F43" s="162"/>
      <c r="G43" s="172"/>
      <c r="H43" s="164"/>
      <c r="I43" s="165">
        <f>'6.일위대가 산출근거'!D27</f>
        <v>0.05</v>
      </c>
      <c r="J43" s="166">
        <f>'7.MP산출근거'!D42</f>
        <v>259089</v>
      </c>
      <c r="K43" s="164">
        <f>(F30*I43*J43*80%)*30%</f>
        <v>186544.08</v>
      </c>
      <c r="L43" s="167">
        <f t="shared" si="8"/>
        <v>186544.08</v>
      </c>
      <c r="M43" s="168" t="s">
        <v>92</v>
      </c>
      <c r="O43" s="173">
        <f>(I43*F30)*0.8</f>
        <v>2.4000000000000004</v>
      </c>
    </row>
    <row r="44" spans="2:17" s="117" customFormat="1" ht="14.25" customHeight="1">
      <c r="B44" s="121"/>
      <c r="C44" s="161" t="s">
        <v>121</v>
      </c>
      <c r="D44" s="170" t="s">
        <v>70</v>
      </c>
      <c r="E44" s="199" t="s">
        <v>126</v>
      </c>
      <c r="F44" s="162"/>
      <c r="G44" s="172"/>
      <c r="H44" s="164"/>
      <c r="I44" s="165">
        <f>'6.일위대가 산출근거'!D9</f>
        <v>0.01</v>
      </c>
      <c r="J44" s="166">
        <f>'7.MP산출근거'!D42</f>
        <v>259089</v>
      </c>
      <c r="K44" s="164">
        <f>(F32*J44*I44)*50%</f>
        <v>38863.35</v>
      </c>
      <c r="L44" s="167">
        <f t="shared" si="8"/>
        <v>38863.35</v>
      </c>
      <c r="M44" s="168" t="s">
        <v>79</v>
      </c>
      <c r="O44" s="173">
        <f>I44*F32</f>
        <v>0.3</v>
      </c>
    </row>
    <row r="45" spans="2:17" s="117" customFormat="1" ht="14.25" customHeight="1">
      <c r="B45" s="121"/>
      <c r="C45" s="170" t="s">
        <v>127</v>
      </c>
      <c r="D45" s="171" t="s">
        <v>73</v>
      </c>
      <c r="E45" s="199" t="s">
        <v>126</v>
      </c>
      <c r="F45" s="162"/>
      <c r="G45" s="172"/>
      <c r="H45" s="164"/>
      <c r="I45" s="165">
        <f>'6.일위대가 산출근거'!D17</f>
        <v>2.5999999999999999E-2</v>
      </c>
      <c r="J45" s="166">
        <f>'7.MP산출근거'!D43</f>
        <v>272282</v>
      </c>
      <c r="K45" s="164">
        <f>(F33*I45*J45)*50%</f>
        <v>106189.97999999998</v>
      </c>
      <c r="L45" s="167">
        <f t="shared" si="8"/>
        <v>106189.97999999998</v>
      </c>
      <c r="M45" s="168" t="s">
        <v>80</v>
      </c>
      <c r="O45" s="200">
        <f>I45*F33</f>
        <v>0.77999999999999992</v>
      </c>
    </row>
    <row r="46" spans="2:17" s="117" customFormat="1" ht="14.25" customHeight="1">
      <c r="B46" s="121"/>
      <c r="C46" s="170" t="s">
        <v>127</v>
      </c>
      <c r="D46" s="171" t="s">
        <v>73</v>
      </c>
      <c r="E46" s="199" t="s">
        <v>126</v>
      </c>
      <c r="F46" s="162"/>
      <c r="G46" s="172"/>
      <c r="H46" s="164"/>
      <c r="I46" s="165">
        <f>'6.일위대가 산출근거'!F17</f>
        <v>3.5000000000000003E-2</v>
      </c>
      <c r="J46" s="166">
        <f>'7.MP산출근거'!D43</f>
        <v>272282</v>
      </c>
      <c r="K46" s="164">
        <f>(F34*I46*J46)*50%</f>
        <v>47649.350000000006</v>
      </c>
      <c r="L46" s="167">
        <f t="shared" si="8"/>
        <v>47649.350000000006</v>
      </c>
      <c r="M46" s="168" t="s">
        <v>80</v>
      </c>
      <c r="O46" s="200">
        <f>I46*F34</f>
        <v>0.35000000000000003</v>
      </c>
    </row>
    <row r="47" spans="2:17" s="117" customFormat="1" ht="14.25" customHeight="1">
      <c r="B47" s="121"/>
      <c r="C47" s="170" t="s">
        <v>127</v>
      </c>
      <c r="D47" s="171" t="s">
        <v>73</v>
      </c>
      <c r="E47" s="199" t="s">
        <v>41</v>
      </c>
      <c r="F47" s="162"/>
      <c r="G47" s="172"/>
      <c r="H47" s="164"/>
      <c r="I47" s="165">
        <f>'6.일위대가 산출근거'!H17</f>
        <v>4.8000000000000001E-2</v>
      </c>
      <c r="J47" s="166">
        <f>'7.MP산출근거'!D43</f>
        <v>272282</v>
      </c>
      <c r="K47" s="164">
        <f>(F35*I47*J47)*50%</f>
        <v>65347.68</v>
      </c>
      <c r="L47" s="167">
        <f t="shared" si="8"/>
        <v>65347.68</v>
      </c>
      <c r="M47" s="168" t="s">
        <v>80</v>
      </c>
      <c r="O47" s="200"/>
    </row>
    <row r="48" spans="2:17" s="117" customFormat="1" ht="14.25" customHeight="1">
      <c r="B48" s="121"/>
      <c r="C48" s="170" t="s">
        <v>383</v>
      </c>
      <c r="D48" s="171" t="s">
        <v>70</v>
      </c>
      <c r="E48" s="199" t="s">
        <v>41</v>
      </c>
      <c r="F48" s="162"/>
      <c r="G48" s="172"/>
      <c r="H48" s="164"/>
      <c r="I48" s="165">
        <f>'6.일위대가 산출근거'!D99</f>
        <v>0.28999999999999998</v>
      </c>
      <c r="J48" s="166">
        <f>'7.MP산출근거'!D42</f>
        <v>259089</v>
      </c>
      <c r="K48" s="164"/>
      <c r="L48" s="167"/>
      <c r="M48" s="168" t="s">
        <v>384</v>
      </c>
      <c r="O48" s="200"/>
    </row>
    <row r="49" spans="2:15" s="117" customFormat="1" ht="14.25" customHeight="1">
      <c r="B49" s="121"/>
      <c r="C49" s="170" t="s">
        <v>313</v>
      </c>
      <c r="D49" s="171" t="s">
        <v>201</v>
      </c>
      <c r="E49" s="199" t="s">
        <v>41</v>
      </c>
      <c r="F49" s="162"/>
      <c r="G49" s="172"/>
      <c r="H49" s="164"/>
      <c r="I49" s="165">
        <f>'6.일위대가 산출근거'!D55</f>
        <v>0.18</v>
      </c>
      <c r="J49" s="166">
        <f>'7.MP산출근거'!D44</f>
        <v>268571</v>
      </c>
      <c r="K49" s="164">
        <f>(F40*I49*J49)*50%</f>
        <v>0</v>
      </c>
      <c r="L49" s="167">
        <f t="shared" si="8"/>
        <v>0</v>
      </c>
      <c r="M49" s="168" t="s">
        <v>315</v>
      </c>
      <c r="O49" s="200"/>
    </row>
    <row r="50" spans="2:15" s="117" customFormat="1" ht="14.25" customHeight="1">
      <c r="B50" s="176"/>
      <c r="C50" s="177"/>
      <c r="D50" s="178" t="s">
        <v>43</v>
      </c>
      <c r="E50" s="178"/>
      <c r="F50" s="179"/>
      <c r="G50" s="180"/>
      <c r="H50" s="181">
        <f>SUM(H29:H49)</f>
        <v>142800</v>
      </c>
      <c r="I50" s="182"/>
      <c r="J50" s="183"/>
      <c r="K50" s="181">
        <f>SUM(K29:K49)</f>
        <v>444594.44</v>
      </c>
      <c r="L50" s="184">
        <f>SUM(L29:L49)</f>
        <v>587394.43999999994</v>
      </c>
      <c r="M50" s="185"/>
      <c r="O50" s="153"/>
    </row>
    <row r="51" spans="2:15" s="117" customFormat="1" ht="14.25" customHeight="1">
      <c r="B51" s="520" t="s">
        <v>291</v>
      </c>
      <c r="C51" s="521"/>
      <c r="D51" s="187"/>
      <c r="E51" s="188"/>
      <c r="F51" s="189"/>
      <c r="G51" s="190"/>
      <c r="H51" s="191"/>
      <c r="I51" s="192"/>
      <c r="J51" s="193"/>
      <c r="K51" s="191"/>
      <c r="L51" s="194"/>
      <c r="M51" s="195"/>
      <c r="O51" s="153"/>
    </row>
    <row r="52" spans="2:15" s="117" customFormat="1" ht="14.25" customHeight="1">
      <c r="B52" s="121"/>
      <c r="C52" s="171" t="s">
        <v>117</v>
      </c>
      <c r="D52" s="196" t="s">
        <v>118</v>
      </c>
      <c r="E52" s="199" t="s">
        <v>116</v>
      </c>
      <c r="F52" s="162">
        <v>3</v>
      </c>
      <c r="G52" s="172">
        <v>300</v>
      </c>
      <c r="H52" s="164">
        <f t="shared" si="7"/>
        <v>900</v>
      </c>
      <c r="I52" s="165"/>
      <c r="J52" s="166"/>
      <c r="K52" s="167"/>
      <c r="L52" s="167">
        <f t="shared" si="8"/>
        <v>900</v>
      </c>
      <c r="M52" s="168"/>
      <c r="O52" s="153"/>
    </row>
    <row r="53" spans="2:15" s="117" customFormat="1" ht="14.25" customHeight="1">
      <c r="B53" s="121"/>
      <c r="C53" s="171" t="s">
        <v>123</v>
      </c>
      <c r="D53" s="196" t="s">
        <v>113</v>
      </c>
      <c r="E53" s="199" t="s">
        <v>115</v>
      </c>
      <c r="F53" s="162">
        <v>100</v>
      </c>
      <c r="G53" s="172">
        <v>30</v>
      </c>
      <c r="H53" s="164">
        <f t="shared" si="7"/>
        <v>3000</v>
      </c>
      <c r="I53" s="165"/>
      <c r="J53" s="166"/>
      <c r="K53" s="167"/>
      <c r="L53" s="167">
        <f t="shared" si="8"/>
        <v>3000</v>
      </c>
      <c r="M53" s="168"/>
      <c r="O53" s="153"/>
    </row>
    <row r="54" spans="2:15" s="117" customFormat="1" ht="14.25" customHeight="1">
      <c r="B54" s="121"/>
      <c r="C54" s="171" t="s">
        <v>123</v>
      </c>
      <c r="D54" s="196" t="s">
        <v>114</v>
      </c>
      <c r="E54" s="199" t="s">
        <v>115</v>
      </c>
      <c r="F54" s="162">
        <v>100</v>
      </c>
      <c r="G54" s="172">
        <v>30</v>
      </c>
      <c r="H54" s="164">
        <f t="shared" si="7"/>
        <v>3000</v>
      </c>
      <c r="I54" s="165"/>
      <c r="J54" s="166"/>
      <c r="K54" s="167"/>
      <c r="L54" s="167">
        <f t="shared" si="8"/>
        <v>3000</v>
      </c>
      <c r="M54" s="168"/>
      <c r="O54" s="153"/>
    </row>
    <row r="55" spans="2:15" s="117" customFormat="1" ht="14.25" customHeight="1">
      <c r="B55" s="121"/>
      <c r="C55" s="171" t="s">
        <v>124</v>
      </c>
      <c r="D55" s="196" t="s">
        <v>125</v>
      </c>
      <c r="E55" s="199" t="s">
        <v>126</v>
      </c>
      <c r="F55" s="162"/>
      <c r="G55" s="172"/>
      <c r="H55" s="164"/>
      <c r="I55" s="165">
        <f>'7.MP산출근거'!O31</f>
        <v>6.25E-2</v>
      </c>
      <c r="J55" s="166">
        <f>'7.MP산출근거'!D46</f>
        <v>349792</v>
      </c>
      <c r="K55" s="167" cm="1">
        <f t="array" ref="K55">SUM(F9:F10*I55*J55)</f>
        <v>87448</v>
      </c>
      <c r="L55" s="167">
        <f>H55+K55</f>
        <v>87448</v>
      </c>
      <c r="M55" s="168" t="s">
        <v>91</v>
      </c>
      <c r="O55" s="201" t="e">
        <f>(F9+#REF!)*I55</f>
        <v>#REF!</v>
      </c>
    </row>
    <row r="56" spans="2:15" s="133" customFormat="1" ht="14.25" customHeight="1">
      <c r="B56" s="176"/>
      <c r="C56" s="177"/>
      <c r="D56" s="178" t="s">
        <v>43</v>
      </c>
      <c r="E56" s="178"/>
      <c r="F56" s="179"/>
      <c r="G56" s="180"/>
      <c r="H56" s="181">
        <f>SUM(H51:H55)</f>
        <v>6900</v>
      </c>
      <c r="I56" s="182"/>
      <c r="J56" s="183"/>
      <c r="K56" s="181">
        <f>SUM(K51:K55)</f>
        <v>87448</v>
      </c>
      <c r="L56" s="184">
        <f>SUM(L51:L55)</f>
        <v>94348</v>
      </c>
      <c r="M56" s="185"/>
      <c r="O56" s="186"/>
    </row>
    <row r="57" spans="2:15" s="208" customFormat="1" ht="24" customHeight="1" thickBot="1">
      <c r="B57" s="509" t="s">
        <v>51</v>
      </c>
      <c r="C57" s="510"/>
      <c r="D57" s="511"/>
      <c r="E57" s="202"/>
      <c r="F57" s="202"/>
      <c r="G57" s="203"/>
      <c r="H57" s="204">
        <f>SUM(H28,H50,H56)</f>
        <v>2019700</v>
      </c>
      <c r="I57" s="205"/>
      <c r="J57" s="206"/>
      <c r="K57" s="204">
        <f>SUM(K28,K50,K56)</f>
        <v>1080209.8149999999</v>
      </c>
      <c r="L57" s="204">
        <f>SUM(L28,L50,L56)</f>
        <v>3099909.8149999999</v>
      </c>
      <c r="M57" s="207"/>
      <c r="O57" s="209"/>
    </row>
    <row r="58" spans="2:15" s="117" customFormat="1" ht="14.25" customHeight="1">
      <c r="B58" s="210"/>
      <c r="C58" s="211"/>
      <c r="D58" s="210"/>
      <c r="E58" s="210"/>
      <c r="F58" s="210"/>
      <c r="G58" s="212"/>
      <c r="H58" s="213"/>
      <c r="I58" s="214"/>
      <c r="J58" s="215"/>
      <c r="K58" s="213"/>
      <c r="L58" s="213"/>
      <c r="M58" s="216"/>
      <c r="O58" s="153"/>
    </row>
    <row r="59" spans="2:15" s="117" customFormat="1" ht="16.5" customHeight="1">
      <c r="B59" s="210"/>
      <c r="C59" s="211"/>
      <c r="D59" s="210"/>
      <c r="E59" s="210"/>
      <c r="F59" s="210"/>
      <c r="G59" s="212"/>
      <c r="H59" s="213"/>
      <c r="I59" s="214"/>
      <c r="J59" s="215"/>
      <c r="K59" s="213"/>
      <c r="L59" s="213"/>
      <c r="M59" s="216"/>
      <c r="O59" s="153"/>
    </row>
  </sheetData>
  <mergeCells count="13">
    <mergeCell ref="L6:L7"/>
    <mergeCell ref="M6:M7"/>
    <mergeCell ref="B57:D57"/>
    <mergeCell ref="B2:M2"/>
    <mergeCell ref="B6:B7"/>
    <mergeCell ref="C6:C7"/>
    <mergeCell ref="D6:D7"/>
    <mergeCell ref="E6:E7"/>
    <mergeCell ref="F6:F7"/>
    <mergeCell ref="G6:H6"/>
    <mergeCell ref="I6:K6"/>
    <mergeCell ref="B29:C29"/>
    <mergeCell ref="B51:C51"/>
  </mergeCells>
  <phoneticPr fontId="10" type="noConversion"/>
  <printOptions horizontalCentered="1"/>
  <pageMargins left="0.7" right="0.7" top="0.75" bottom="0.75" header="0.3" footer="0.3"/>
  <pageSetup paperSize="9" scale="6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101"/>
  <sheetViews>
    <sheetView showGridLines="0" zoomScale="85" zoomScaleNormal="85" workbookViewId="0">
      <selection activeCell="H91" sqref="H91"/>
    </sheetView>
  </sheetViews>
  <sheetFormatPr defaultColWidth="10" defaultRowHeight="13.2"/>
  <cols>
    <col min="1" max="1" width="3.19921875" style="217" customWidth="1"/>
    <col min="2" max="2" width="23" style="217" customWidth="1"/>
    <col min="3" max="3" width="8.5" style="217" customWidth="1"/>
    <col min="4" max="6" width="8.59765625" style="217" customWidth="1"/>
    <col min="7" max="7" width="8.69921875" style="217" customWidth="1"/>
    <col min="8" max="16" width="8.59765625" style="217" customWidth="1"/>
    <col min="17" max="249" width="10" style="217"/>
    <col min="250" max="250" width="2" style="217" customWidth="1"/>
    <col min="251" max="251" width="23" style="217" customWidth="1"/>
    <col min="252" max="252" width="10.59765625" style="217" customWidth="1"/>
    <col min="253" max="253" width="8.5" style="217" customWidth="1"/>
    <col min="254" max="256" width="8.59765625" style="217" customWidth="1"/>
    <col min="257" max="257" width="8.69921875" style="217" customWidth="1"/>
    <col min="258" max="266" width="8.59765625" style="217" customWidth="1"/>
    <col min="267" max="267" width="22.5" style="217" bestFit="1" customWidth="1"/>
    <col min="268" max="505" width="10" style="217"/>
    <col min="506" max="506" width="2" style="217" customWidth="1"/>
    <col min="507" max="507" width="23" style="217" customWidth="1"/>
    <col min="508" max="508" width="10.59765625" style="217" customWidth="1"/>
    <col min="509" max="509" width="8.5" style="217" customWidth="1"/>
    <col min="510" max="512" width="8.59765625" style="217" customWidth="1"/>
    <col min="513" max="513" width="8.69921875" style="217" customWidth="1"/>
    <col min="514" max="522" width="8.59765625" style="217" customWidth="1"/>
    <col min="523" max="523" width="22.5" style="217" bestFit="1" customWidth="1"/>
    <col min="524" max="761" width="10" style="217"/>
    <col min="762" max="762" width="2" style="217" customWidth="1"/>
    <col min="763" max="763" width="23" style="217" customWidth="1"/>
    <col min="764" max="764" width="10.59765625" style="217" customWidth="1"/>
    <col min="765" max="765" width="8.5" style="217" customWidth="1"/>
    <col min="766" max="768" width="8.59765625" style="217" customWidth="1"/>
    <col min="769" max="769" width="8.69921875" style="217" customWidth="1"/>
    <col min="770" max="778" width="8.59765625" style="217" customWidth="1"/>
    <col min="779" max="779" width="22.5" style="217" bestFit="1" customWidth="1"/>
    <col min="780" max="1017" width="10" style="217"/>
    <col min="1018" max="1018" width="2" style="217" customWidth="1"/>
    <col min="1019" max="1019" width="23" style="217" customWidth="1"/>
    <col min="1020" max="1020" width="10.59765625" style="217" customWidth="1"/>
    <col min="1021" max="1021" width="8.5" style="217" customWidth="1"/>
    <col min="1022" max="1024" width="8.59765625" style="217" customWidth="1"/>
    <col min="1025" max="1025" width="8.69921875" style="217" customWidth="1"/>
    <col min="1026" max="1034" width="8.59765625" style="217" customWidth="1"/>
    <col min="1035" max="1035" width="22.5" style="217" bestFit="1" customWidth="1"/>
    <col min="1036" max="1273" width="10" style="217"/>
    <col min="1274" max="1274" width="2" style="217" customWidth="1"/>
    <col min="1275" max="1275" width="23" style="217" customWidth="1"/>
    <col min="1276" max="1276" width="10.59765625" style="217" customWidth="1"/>
    <col min="1277" max="1277" width="8.5" style="217" customWidth="1"/>
    <col min="1278" max="1280" width="8.59765625" style="217" customWidth="1"/>
    <col min="1281" max="1281" width="8.69921875" style="217" customWidth="1"/>
    <col min="1282" max="1290" width="8.59765625" style="217" customWidth="1"/>
    <col min="1291" max="1291" width="22.5" style="217" bestFit="1" customWidth="1"/>
    <col min="1292" max="1529" width="10" style="217"/>
    <col min="1530" max="1530" width="2" style="217" customWidth="1"/>
    <col min="1531" max="1531" width="23" style="217" customWidth="1"/>
    <col min="1532" max="1532" width="10.59765625" style="217" customWidth="1"/>
    <col min="1533" max="1533" width="8.5" style="217" customWidth="1"/>
    <col min="1534" max="1536" width="8.59765625" style="217" customWidth="1"/>
    <col min="1537" max="1537" width="8.69921875" style="217" customWidth="1"/>
    <col min="1538" max="1546" width="8.59765625" style="217" customWidth="1"/>
    <col min="1547" max="1547" width="22.5" style="217" bestFit="1" customWidth="1"/>
    <col min="1548" max="1785" width="10" style="217"/>
    <col min="1786" max="1786" width="2" style="217" customWidth="1"/>
    <col min="1787" max="1787" width="23" style="217" customWidth="1"/>
    <col min="1788" max="1788" width="10.59765625" style="217" customWidth="1"/>
    <col min="1789" max="1789" width="8.5" style="217" customWidth="1"/>
    <col min="1790" max="1792" width="8.59765625" style="217" customWidth="1"/>
    <col min="1793" max="1793" width="8.69921875" style="217" customWidth="1"/>
    <col min="1794" max="1802" width="8.59765625" style="217" customWidth="1"/>
    <col min="1803" max="1803" width="22.5" style="217" bestFit="1" customWidth="1"/>
    <col min="1804" max="2041" width="10" style="217"/>
    <col min="2042" max="2042" width="2" style="217" customWidth="1"/>
    <col min="2043" max="2043" width="23" style="217" customWidth="1"/>
    <col min="2044" max="2044" width="10.59765625" style="217" customWidth="1"/>
    <col min="2045" max="2045" width="8.5" style="217" customWidth="1"/>
    <col min="2046" max="2048" width="8.59765625" style="217" customWidth="1"/>
    <col min="2049" max="2049" width="8.69921875" style="217" customWidth="1"/>
    <col min="2050" max="2058" width="8.59765625" style="217" customWidth="1"/>
    <col min="2059" max="2059" width="22.5" style="217" bestFit="1" customWidth="1"/>
    <col min="2060" max="2297" width="10" style="217"/>
    <col min="2298" max="2298" width="2" style="217" customWidth="1"/>
    <col min="2299" max="2299" width="23" style="217" customWidth="1"/>
    <col min="2300" max="2300" width="10.59765625" style="217" customWidth="1"/>
    <col min="2301" max="2301" width="8.5" style="217" customWidth="1"/>
    <col min="2302" max="2304" width="8.59765625" style="217" customWidth="1"/>
    <col min="2305" max="2305" width="8.69921875" style="217" customWidth="1"/>
    <col min="2306" max="2314" width="8.59765625" style="217" customWidth="1"/>
    <col min="2315" max="2315" width="22.5" style="217" bestFit="1" customWidth="1"/>
    <col min="2316" max="2553" width="10" style="217"/>
    <col min="2554" max="2554" width="2" style="217" customWidth="1"/>
    <col min="2555" max="2555" width="23" style="217" customWidth="1"/>
    <col min="2556" max="2556" width="10.59765625" style="217" customWidth="1"/>
    <col min="2557" max="2557" width="8.5" style="217" customWidth="1"/>
    <col min="2558" max="2560" width="8.59765625" style="217" customWidth="1"/>
    <col min="2561" max="2561" width="8.69921875" style="217" customWidth="1"/>
    <col min="2562" max="2570" width="8.59765625" style="217" customWidth="1"/>
    <col min="2571" max="2571" width="22.5" style="217" bestFit="1" customWidth="1"/>
    <col min="2572" max="2809" width="10" style="217"/>
    <col min="2810" max="2810" width="2" style="217" customWidth="1"/>
    <col min="2811" max="2811" width="23" style="217" customWidth="1"/>
    <col min="2812" max="2812" width="10.59765625" style="217" customWidth="1"/>
    <col min="2813" max="2813" width="8.5" style="217" customWidth="1"/>
    <col min="2814" max="2816" width="8.59765625" style="217" customWidth="1"/>
    <col min="2817" max="2817" width="8.69921875" style="217" customWidth="1"/>
    <col min="2818" max="2826" width="8.59765625" style="217" customWidth="1"/>
    <col min="2827" max="2827" width="22.5" style="217" bestFit="1" customWidth="1"/>
    <col min="2828" max="3065" width="10" style="217"/>
    <col min="3066" max="3066" width="2" style="217" customWidth="1"/>
    <col min="3067" max="3067" width="23" style="217" customWidth="1"/>
    <col min="3068" max="3068" width="10.59765625" style="217" customWidth="1"/>
    <col min="3069" max="3069" width="8.5" style="217" customWidth="1"/>
    <col min="3070" max="3072" width="8.59765625" style="217" customWidth="1"/>
    <col min="3073" max="3073" width="8.69921875" style="217" customWidth="1"/>
    <col min="3074" max="3082" width="8.59765625" style="217" customWidth="1"/>
    <col min="3083" max="3083" width="22.5" style="217" bestFit="1" customWidth="1"/>
    <col min="3084" max="3321" width="10" style="217"/>
    <col min="3322" max="3322" width="2" style="217" customWidth="1"/>
    <col min="3323" max="3323" width="23" style="217" customWidth="1"/>
    <col min="3324" max="3324" width="10.59765625" style="217" customWidth="1"/>
    <col min="3325" max="3325" width="8.5" style="217" customWidth="1"/>
    <col min="3326" max="3328" width="8.59765625" style="217" customWidth="1"/>
    <col min="3329" max="3329" width="8.69921875" style="217" customWidth="1"/>
    <col min="3330" max="3338" width="8.59765625" style="217" customWidth="1"/>
    <col min="3339" max="3339" width="22.5" style="217" bestFit="1" customWidth="1"/>
    <col min="3340" max="3577" width="10" style="217"/>
    <col min="3578" max="3578" width="2" style="217" customWidth="1"/>
    <col min="3579" max="3579" width="23" style="217" customWidth="1"/>
    <col min="3580" max="3580" width="10.59765625" style="217" customWidth="1"/>
    <col min="3581" max="3581" width="8.5" style="217" customWidth="1"/>
    <col min="3582" max="3584" width="8.59765625" style="217" customWidth="1"/>
    <col min="3585" max="3585" width="8.69921875" style="217" customWidth="1"/>
    <col min="3586" max="3594" width="8.59765625" style="217" customWidth="1"/>
    <col min="3595" max="3595" width="22.5" style="217" bestFit="1" customWidth="1"/>
    <col min="3596" max="3833" width="10" style="217"/>
    <col min="3834" max="3834" width="2" style="217" customWidth="1"/>
    <col min="3835" max="3835" width="23" style="217" customWidth="1"/>
    <col min="3836" max="3836" width="10.59765625" style="217" customWidth="1"/>
    <col min="3837" max="3837" width="8.5" style="217" customWidth="1"/>
    <col min="3838" max="3840" width="8.59765625" style="217" customWidth="1"/>
    <col min="3841" max="3841" width="8.69921875" style="217" customWidth="1"/>
    <col min="3842" max="3850" width="8.59765625" style="217" customWidth="1"/>
    <col min="3851" max="3851" width="22.5" style="217" bestFit="1" customWidth="1"/>
    <col min="3852" max="4089" width="10" style="217"/>
    <col min="4090" max="4090" width="2" style="217" customWidth="1"/>
    <col min="4091" max="4091" width="23" style="217" customWidth="1"/>
    <col min="4092" max="4092" width="10.59765625" style="217" customWidth="1"/>
    <col min="4093" max="4093" width="8.5" style="217" customWidth="1"/>
    <col min="4094" max="4096" width="8.59765625" style="217" customWidth="1"/>
    <col min="4097" max="4097" width="8.69921875" style="217" customWidth="1"/>
    <col min="4098" max="4106" width="8.59765625" style="217" customWidth="1"/>
    <col min="4107" max="4107" width="22.5" style="217" bestFit="1" customWidth="1"/>
    <col min="4108" max="4345" width="10" style="217"/>
    <col min="4346" max="4346" width="2" style="217" customWidth="1"/>
    <col min="4347" max="4347" width="23" style="217" customWidth="1"/>
    <col min="4348" max="4348" width="10.59765625" style="217" customWidth="1"/>
    <col min="4349" max="4349" width="8.5" style="217" customWidth="1"/>
    <col min="4350" max="4352" width="8.59765625" style="217" customWidth="1"/>
    <col min="4353" max="4353" width="8.69921875" style="217" customWidth="1"/>
    <col min="4354" max="4362" width="8.59765625" style="217" customWidth="1"/>
    <col min="4363" max="4363" width="22.5" style="217" bestFit="1" customWidth="1"/>
    <col min="4364" max="4601" width="10" style="217"/>
    <col min="4602" max="4602" width="2" style="217" customWidth="1"/>
    <col min="4603" max="4603" width="23" style="217" customWidth="1"/>
    <col min="4604" max="4604" width="10.59765625" style="217" customWidth="1"/>
    <col min="4605" max="4605" width="8.5" style="217" customWidth="1"/>
    <col min="4606" max="4608" width="8.59765625" style="217" customWidth="1"/>
    <col min="4609" max="4609" width="8.69921875" style="217" customWidth="1"/>
    <col min="4610" max="4618" width="8.59765625" style="217" customWidth="1"/>
    <col min="4619" max="4619" width="22.5" style="217" bestFit="1" customWidth="1"/>
    <col min="4620" max="4857" width="10" style="217"/>
    <col min="4858" max="4858" width="2" style="217" customWidth="1"/>
    <col min="4859" max="4859" width="23" style="217" customWidth="1"/>
    <col min="4860" max="4860" width="10.59765625" style="217" customWidth="1"/>
    <col min="4861" max="4861" width="8.5" style="217" customWidth="1"/>
    <col min="4862" max="4864" width="8.59765625" style="217" customWidth="1"/>
    <col min="4865" max="4865" width="8.69921875" style="217" customWidth="1"/>
    <col min="4866" max="4874" width="8.59765625" style="217" customWidth="1"/>
    <col min="4875" max="4875" width="22.5" style="217" bestFit="1" customWidth="1"/>
    <col min="4876" max="5113" width="10" style="217"/>
    <col min="5114" max="5114" width="2" style="217" customWidth="1"/>
    <col min="5115" max="5115" width="23" style="217" customWidth="1"/>
    <col min="5116" max="5116" width="10.59765625" style="217" customWidth="1"/>
    <col min="5117" max="5117" width="8.5" style="217" customWidth="1"/>
    <col min="5118" max="5120" width="8.59765625" style="217" customWidth="1"/>
    <col min="5121" max="5121" width="8.69921875" style="217" customWidth="1"/>
    <col min="5122" max="5130" width="8.59765625" style="217" customWidth="1"/>
    <col min="5131" max="5131" width="22.5" style="217" bestFit="1" customWidth="1"/>
    <col min="5132" max="5369" width="10" style="217"/>
    <col min="5370" max="5370" width="2" style="217" customWidth="1"/>
    <col min="5371" max="5371" width="23" style="217" customWidth="1"/>
    <col min="5372" max="5372" width="10.59765625" style="217" customWidth="1"/>
    <col min="5373" max="5373" width="8.5" style="217" customWidth="1"/>
    <col min="5374" max="5376" width="8.59765625" style="217" customWidth="1"/>
    <col min="5377" max="5377" width="8.69921875" style="217" customWidth="1"/>
    <col min="5378" max="5386" width="8.59765625" style="217" customWidth="1"/>
    <col min="5387" max="5387" width="22.5" style="217" bestFit="1" customWidth="1"/>
    <col min="5388" max="5625" width="10" style="217"/>
    <col min="5626" max="5626" width="2" style="217" customWidth="1"/>
    <col min="5627" max="5627" width="23" style="217" customWidth="1"/>
    <col min="5628" max="5628" width="10.59765625" style="217" customWidth="1"/>
    <col min="5629" max="5629" width="8.5" style="217" customWidth="1"/>
    <col min="5630" max="5632" width="8.59765625" style="217" customWidth="1"/>
    <col min="5633" max="5633" width="8.69921875" style="217" customWidth="1"/>
    <col min="5634" max="5642" width="8.59765625" style="217" customWidth="1"/>
    <col min="5643" max="5643" width="22.5" style="217" bestFit="1" customWidth="1"/>
    <col min="5644" max="5881" width="10" style="217"/>
    <col min="5882" max="5882" width="2" style="217" customWidth="1"/>
    <col min="5883" max="5883" width="23" style="217" customWidth="1"/>
    <col min="5884" max="5884" width="10.59765625" style="217" customWidth="1"/>
    <col min="5885" max="5885" width="8.5" style="217" customWidth="1"/>
    <col min="5886" max="5888" width="8.59765625" style="217" customWidth="1"/>
    <col min="5889" max="5889" width="8.69921875" style="217" customWidth="1"/>
    <col min="5890" max="5898" width="8.59765625" style="217" customWidth="1"/>
    <col min="5899" max="5899" width="22.5" style="217" bestFit="1" customWidth="1"/>
    <col min="5900" max="6137" width="10" style="217"/>
    <col min="6138" max="6138" width="2" style="217" customWidth="1"/>
    <col min="6139" max="6139" width="23" style="217" customWidth="1"/>
    <col min="6140" max="6140" width="10.59765625" style="217" customWidth="1"/>
    <col min="6141" max="6141" width="8.5" style="217" customWidth="1"/>
    <col min="6142" max="6144" width="8.59765625" style="217" customWidth="1"/>
    <col min="6145" max="6145" width="8.69921875" style="217" customWidth="1"/>
    <col min="6146" max="6154" width="8.59765625" style="217" customWidth="1"/>
    <col min="6155" max="6155" width="22.5" style="217" bestFit="1" customWidth="1"/>
    <col min="6156" max="6393" width="10" style="217"/>
    <col min="6394" max="6394" width="2" style="217" customWidth="1"/>
    <col min="6395" max="6395" width="23" style="217" customWidth="1"/>
    <col min="6396" max="6396" width="10.59765625" style="217" customWidth="1"/>
    <col min="6397" max="6397" width="8.5" style="217" customWidth="1"/>
    <col min="6398" max="6400" width="8.59765625" style="217" customWidth="1"/>
    <col min="6401" max="6401" width="8.69921875" style="217" customWidth="1"/>
    <col min="6402" max="6410" width="8.59765625" style="217" customWidth="1"/>
    <col min="6411" max="6411" width="22.5" style="217" bestFit="1" customWidth="1"/>
    <col min="6412" max="6649" width="10" style="217"/>
    <col min="6650" max="6650" width="2" style="217" customWidth="1"/>
    <col min="6651" max="6651" width="23" style="217" customWidth="1"/>
    <col min="6652" max="6652" width="10.59765625" style="217" customWidth="1"/>
    <col min="6653" max="6653" width="8.5" style="217" customWidth="1"/>
    <col min="6654" max="6656" width="8.59765625" style="217" customWidth="1"/>
    <col min="6657" max="6657" width="8.69921875" style="217" customWidth="1"/>
    <col min="6658" max="6666" width="8.59765625" style="217" customWidth="1"/>
    <col min="6667" max="6667" width="22.5" style="217" bestFit="1" customWidth="1"/>
    <col min="6668" max="6905" width="10" style="217"/>
    <col min="6906" max="6906" width="2" style="217" customWidth="1"/>
    <col min="6907" max="6907" width="23" style="217" customWidth="1"/>
    <col min="6908" max="6908" width="10.59765625" style="217" customWidth="1"/>
    <col min="6909" max="6909" width="8.5" style="217" customWidth="1"/>
    <col min="6910" max="6912" width="8.59765625" style="217" customWidth="1"/>
    <col min="6913" max="6913" width="8.69921875" style="217" customWidth="1"/>
    <col min="6914" max="6922" width="8.59765625" style="217" customWidth="1"/>
    <col min="6923" max="6923" width="22.5" style="217" bestFit="1" customWidth="1"/>
    <col min="6924" max="7161" width="10" style="217"/>
    <col min="7162" max="7162" width="2" style="217" customWidth="1"/>
    <col min="7163" max="7163" width="23" style="217" customWidth="1"/>
    <col min="7164" max="7164" width="10.59765625" style="217" customWidth="1"/>
    <col min="7165" max="7165" width="8.5" style="217" customWidth="1"/>
    <col min="7166" max="7168" width="8.59765625" style="217" customWidth="1"/>
    <col min="7169" max="7169" width="8.69921875" style="217" customWidth="1"/>
    <col min="7170" max="7178" width="8.59765625" style="217" customWidth="1"/>
    <col min="7179" max="7179" width="22.5" style="217" bestFit="1" customWidth="1"/>
    <col min="7180" max="7417" width="10" style="217"/>
    <col min="7418" max="7418" width="2" style="217" customWidth="1"/>
    <col min="7419" max="7419" width="23" style="217" customWidth="1"/>
    <col min="7420" max="7420" width="10.59765625" style="217" customWidth="1"/>
    <col min="7421" max="7421" width="8.5" style="217" customWidth="1"/>
    <col min="7422" max="7424" width="8.59765625" style="217" customWidth="1"/>
    <col min="7425" max="7425" width="8.69921875" style="217" customWidth="1"/>
    <col min="7426" max="7434" width="8.59765625" style="217" customWidth="1"/>
    <col min="7435" max="7435" width="22.5" style="217" bestFit="1" customWidth="1"/>
    <col min="7436" max="7673" width="10" style="217"/>
    <col min="7674" max="7674" width="2" style="217" customWidth="1"/>
    <col min="7675" max="7675" width="23" style="217" customWidth="1"/>
    <col min="7676" max="7676" width="10.59765625" style="217" customWidth="1"/>
    <col min="7677" max="7677" width="8.5" style="217" customWidth="1"/>
    <col min="7678" max="7680" width="8.59765625" style="217" customWidth="1"/>
    <col min="7681" max="7681" width="8.69921875" style="217" customWidth="1"/>
    <col min="7682" max="7690" width="8.59765625" style="217" customWidth="1"/>
    <col min="7691" max="7691" width="22.5" style="217" bestFit="1" customWidth="1"/>
    <col min="7692" max="7929" width="10" style="217"/>
    <col min="7930" max="7930" width="2" style="217" customWidth="1"/>
    <col min="7931" max="7931" width="23" style="217" customWidth="1"/>
    <col min="7932" max="7932" width="10.59765625" style="217" customWidth="1"/>
    <col min="7933" max="7933" width="8.5" style="217" customWidth="1"/>
    <col min="7934" max="7936" width="8.59765625" style="217" customWidth="1"/>
    <col min="7937" max="7937" width="8.69921875" style="217" customWidth="1"/>
    <col min="7938" max="7946" width="8.59765625" style="217" customWidth="1"/>
    <col min="7947" max="7947" width="22.5" style="217" bestFit="1" customWidth="1"/>
    <col min="7948" max="8185" width="10" style="217"/>
    <col min="8186" max="8186" width="2" style="217" customWidth="1"/>
    <col min="8187" max="8187" width="23" style="217" customWidth="1"/>
    <col min="8188" max="8188" width="10.59765625" style="217" customWidth="1"/>
    <col min="8189" max="8189" width="8.5" style="217" customWidth="1"/>
    <col min="8190" max="8192" width="8.59765625" style="217" customWidth="1"/>
    <col min="8193" max="8193" width="8.69921875" style="217" customWidth="1"/>
    <col min="8194" max="8202" width="8.59765625" style="217" customWidth="1"/>
    <col min="8203" max="8203" width="22.5" style="217" bestFit="1" customWidth="1"/>
    <col min="8204" max="8441" width="10" style="217"/>
    <col min="8442" max="8442" width="2" style="217" customWidth="1"/>
    <col min="8443" max="8443" width="23" style="217" customWidth="1"/>
    <col min="8444" max="8444" width="10.59765625" style="217" customWidth="1"/>
    <col min="8445" max="8445" width="8.5" style="217" customWidth="1"/>
    <col min="8446" max="8448" width="8.59765625" style="217" customWidth="1"/>
    <col min="8449" max="8449" width="8.69921875" style="217" customWidth="1"/>
    <col min="8450" max="8458" width="8.59765625" style="217" customWidth="1"/>
    <col min="8459" max="8459" width="22.5" style="217" bestFit="1" customWidth="1"/>
    <col min="8460" max="8697" width="10" style="217"/>
    <col min="8698" max="8698" width="2" style="217" customWidth="1"/>
    <col min="8699" max="8699" width="23" style="217" customWidth="1"/>
    <col min="8700" max="8700" width="10.59765625" style="217" customWidth="1"/>
    <col min="8701" max="8701" width="8.5" style="217" customWidth="1"/>
    <col min="8702" max="8704" width="8.59765625" style="217" customWidth="1"/>
    <col min="8705" max="8705" width="8.69921875" style="217" customWidth="1"/>
    <col min="8706" max="8714" width="8.59765625" style="217" customWidth="1"/>
    <col min="8715" max="8715" width="22.5" style="217" bestFit="1" customWidth="1"/>
    <col min="8716" max="8953" width="10" style="217"/>
    <col min="8954" max="8954" width="2" style="217" customWidth="1"/>
    <col min="8955" max="8955" width="23" style="217" customWidth="1"/>
    <col min="8956" max="8956" width="10.59765625" style="217" customWidth="1"/>
    <col min="8957" max="8957" width="8.5" style="217" customWidth="1"/>
    <col min="8958" max="8960" width="8.59765625" style="217" customWidth="1"/>
    <col min="8961" max="8961" width="8.69921875" style="217" customWidth="1"/>
    <col min="8962" max="8970" width="8.59765625" style="217" customWidth="1"/>
    <col min="8971" max="8971" width="22.5" style="217" bestFit="1" customWidth="1"/>
    <col min="8972" max="9209" width="10" style="217"/>
    <col min="9210" max="9210" width="2" style="217" customWidth="1"/>
    <col min="9211" max="9211" width="23" style="217" customWidth="1"/>
    <col min="9212" max="9212" width="10.59765625" style="217" customWidth="1"/>
    <col min="9213" max="9213" width="8.5" style="217" customWidth="1"/>
    <col min="9214" max="9216" width="8.59765625" style="217" customWidth="1"/>
    <col min="9217" max="9217" width="8.69921875" style="217" customWidth="1"/>
    <col min="9218" max="9226" width="8.59765625" style="217" customWidth="1"/>
    <col min="9227" max="9227" width="22.5" style="217" bestFit="1" customWidth="1"/>
    <col min="9228" max="9465" width="10" style="217"/>
    <col min="9466" max="9466" width="2" style="217" customWidth="1"/>
    <col min="9467" max="9467" width="23" style="217" customWidth="1"/>
    <col min="9468" max="9468" width="10.59765625" style="217" customWidth="1"/>
    <col min="9469" max="9469" width="8.5" style="217" customWidth="1"/>
    <col min="9470" max="9472" width="8.59765625" style="217" customWidth="1"/>
    <col min="9473" max="9473" width="8.69921875" style="217" customWidth="1"/>
    <col min="9474" max="9482" width="8.59765625" style="217" customWidth="1"/>
    <col min="9483" max="9483" width="22.5" style="217" bestFit="1" customWidth="1"/>
    <col min="9484" max="9721" width="10" style="217"/>
    <col min="9722" max="9722" width="2" style="217" customWidth="1"/>
    <col min="9723" max="9723" width="23" style="217" customWidth="1"/>
    <col min="9724" max="9724" width="10.59765625" style="217" customWidth="1"/>
    <col min="9725" max="9725" width="8.5" style="217" customWidth="1"/>
    <col min="9726" max="9728" width="8.59765625" style="217" customWidth="1"/>
    <col min="9729" max="9729" width="8.69921875" style="217" customWidth="1"/>
    <col min="9730" max="9738" width="8.59765625" style="217" customWidth="1"/>
    <col min="9739" max="9739" width="22.5" style="217" bestFit="1" customWidth="1"/>
    <col min="9740" max="9977" width="10" style="217"/>
    <col min="9978" max="9978" width="2" style="217" customWidth="1"/>
    <col min="9979" max="9979" width="23" style="217" customWidth="1"/>
    <col min="9980" max="9980" width="10.59765625" style="217" customWidth="1"/>
    <col min="9981" max="9981" width="8.5" style="217" customWidth="1"/>
    <col min="9982" max="9984" width="8.59765625" style="217" customWidth="1"/>
    <col min="9985" max="9985" width="8.69921875" style="217" customWidth="1"/>
    <col min="9986" max="9994" width="8.59765625" style="217" customWidth="1"/>
    <col min="9995" max="9995" width="22.5" style="217" bestFit="1" customWidth="1"/>
    <col min="9996" max="10233" width="10" style="217"/>
    <col min="10234" max="10234" width="2" style="217" customWidth="1"/>
    <col min="10235" max="10235" width="23" style="217" customWidth="1"/>
    <col min="10236" max="10236" width="10.59765625" style="217" customWidth="1"/>
    <col min="10237" max="10237" width="8.5" style="217" customWidth="1"/>
    <col min="10238" max="10240" width="8.59765625" style="217" customWidth="1"/>
    <col min="10241" max="10241" width="8.69921875" style="217" customWidth="1"/>
    <col min="10242" max="10250" width="8.59765625" style="217" customWidth="1"/>
    <col min="10251" max="10251" width="22.5" style="217" bestFit="1" customWidth="1"/>
    <col min="10252" max="10489" width="10" style="217"/>
    <col min="10490" max="10490" width="2" style="217" customWidth="1"/>
    <col min="10491" max="10491" width="23" style="217" customWidth="1"/>
    <col min="10492" max="10492" width="10.59765625" style="217" customWidth="1"/>
    <col min="10493" max="10493" width="8.5" style="217" customWidth="1"/>
    <col min="10494" max="10496" width="8.59765625" style="217" customWidth="1"/>
    <col min="10497" max="10497" width="8.69921875" style="217" customWidth="1"/>
    <col min="10498" max="10506" width="8.59765625" style="217" customWidth="1"/>
    <col min="10507" max="10507" width="22.5" style="217" bestFit="1" customWidth="1"/>
    <col min="10508" max="10745" width="10" style="217"/>
    <col min="10746" max="10746" width="2" style="217" customWidth="1"/>
    <col min="10747" max="10747" width="23" style="217" customWidth="1"/>
    <col min="10748" max="10748" width="10.59765625" style="217" customWidth="1"/>
    <col min="10749" max="10749" width="8.5" style="217" customWidth="1"/>
    <col min="10750" max="10752" width="8.59765625" style="217" customWidth="1"/>
    <col min="10753" max="10753" width="8.69921875" style="217" customWidth="1"/>
    <col min="10754" max="10762" width="8.59765625" style="217" customWidth="1"/>
    <col min="10763" max="10763" width="22.5" style="217" bestFit="1" customWidth="1"/>
    <col min="10764" max="11001" width="10" style="217"/>
    <col min="11002" max="11002" width="2" style="217" customWidth="1"/>
    <col min="11003" max="11003" width="23" style="217" customWidth="1"/>
    <col min="11004" max="11004" width="10.59765625" style="217" customWidth="1"/>
    <col min="11005" max="11005" width="8.5" style="217" customWidth="1"/>
    <col min="11006" max="11008" width="8.59765625" style="217" customWidth="1"/>
    <col min="11009" max="11009" width="8.69921875" style="217" customWidth="1"/>
    <col min="11010" max="11018" width="8.59765625" style="217" customWidth="1"/>
    <col min="11019" max="11019" width="22.5" style="217" bestFit="1" customWidth="1"/>
    <col min="11020" max="11257" width="10" style="217"/>
    <col min="11258" max="11258" width="2" style="217" customWidth="1"/>
    <col min="11259" max="11259" width="23" style="217" customWidth="1"/>
    <col min="11260" max="11260" width="10.59765625" style="217" customWidth="1"/>
    <col min="11261" max="11261" width="8.5" style="217" customWidth="1"/>
    <col min="11262" max="11264" width="8.59765625" style="217" customWidth="1"/>
    <col min="11265" max="11265" width="8.69921875" style="217" customWidth="1"/>
    <col min="11266" max="11274" width="8.59765625" style="217" customWidth="1"/>
    <col min="11275" max="11275" width="22.5" style="217" bestFit="1" customWidth="1"/>
    <col min="11276" max="11513" width="10" style="217"/>
    <col min="11514" max="11514" width="2" style="217" customWidth="1"/>
    <col min="11515" max="11515" width="23" style="217" customWidth="1"/>
    <col min="11516" max="11516" width="10.59765625" style="217" customWidth="1"/>
    <col min="11517" max="11517" width="8.5" style="217" customWidth="1"/>
    <col min="11518" max="11520" width="8.59765625" style="217" customWidth="1"/>
    <col min="11521" max="11521" width="8.69921875" style="217" customWidth="1"/>
    <col min="11522" max="11530" width="8.59765625" style="217" customWidth="1"/>
    <col min="11531" max="11531" width="22.5" style="217" bestFit="1" customWidth="1"/>
    <col min="11532" max="11769" width="10" style="217"/>
    <col min="11770" max="11770" width="2" style="217" customWidth="1"/>
    <col min="11771" max="11771" width="23" style="217" customWidth="1"/>
    <col min="11772" max="11772" width="10.59765625" style="217" customWidth="1"/>
    <col min="11773" max="11773" width="8.5" style="217" customWidth="1"/>
    <col min="11774" max="11776" width="8.59765625" style="217" customWidth="1"/>
    <col min="11777" max="11777" width="8.69921875" style="217" customWidth="1"/>
    <col min="11778" max="11786" width="8.59765625" style="217" customWidth="1"/>
    <col min="11787" max="11787" width="22.5" style="217" bestFit="1" customWidth="1"/>
    <col min="11788" max="12025" width="10" style="217"/>
    <col min="12026" max="12026" width="2" style="217" customWidth="1"/>
    <col min="12027" max="12027" width="23" style="217" customWidth="1"/>
    <col min="12028" max="12028" width="10.59765625" style="217" customWidth="1"/>
    <col min="12029" max="12029" width="8.5" style="217" customWidth="1"/>
    <col min="12030" max="12032" width="8.59765625" style="217" customWidth="1"/>
    <col min="12033" max="12033" width="8.69921875" style="217" customWidth="1"/>
    <col min="12034" max="12042" width="8.59765625" style="217" customWidth="1"/>
    <col min="12043" max="12043" width="22.5" style="217" bestFit="1" customWidth="1"/>
    <col min="12044" max="12281" width="10" style="217"/>
    <col min="12282" max="12282" width="2" style="217" customWidth="1"/>
    <col min="12283" max="12283" width="23" style="217" customWidth="1"/>
    <col min="12284" max="12284" width="10.59765625" style="217" customWidth="1"/>
    <col min="12285" max="12285" width="8.5" style="217" customWidth="1"/>
    <col min="12286" max="12288" width="8.59765625" style="217" customWidth="1"/>
    <col min="12289" max="12289" width="8.69921875" style="217" customWidth="1"/>
    <col min="12290" max="12298" width="8.59765625" style="217" customWidth="1"/>
    <col min="12299" max="12299" width="22.5" style="217" bestFit="1" customWidth="1"/>
    <col min="12300" max="12537" width="10" style="217"/>
    <col min="12538" max="12538" width="2" style="217" customWidth="1"/>
    <col min="12539" max="12539" width="23" style="217" customWidth="1"/>
    <col min="12540" max="12540" width="10.59765625" style="217" customWidth="1"/>
    <col min="12541" max="12541" width="8.5" style="217" customWidth="1"/>
    <col min="12542" max="12544" width="8.59765625" style="217" customWidth="1"/>
    <col min="12545" max="12545" width="8.69921875" style="217" customWidth="1"/>
    <col min="12546" max="12554" width="8.59765625" style="217" customWidth="1"/>
    <col min="12555" max="12555" width="22.5" style="217" bestFit="1" customWidth="1"/>
    <col min="12556" max="12793" width="10" style="217"/>
    <col min="12794" max="12794" width="2" style="217" customWidth="1"/>
    <col min="12795" max="12795" width="23" style="217" customWidth="1"/>
    <col min="12796" max="12796" width="10.59765625" style="217" customWidth="1"/>
    <col min="12797" max="12797" width="8.5" style="217" customWidth="1"/>
    <col min="12798" max="12800" width="8.59765625" style="217" customWidth="1"/>
    <col min="12801" max="12801" width="8.69921875" style="217" customWidth="1"/>
    <col min="12802" max="12810" width="8.59765625" style="217" customWidth="1"/>
    <col min="12811" max="12811" width="22.5" style="217" bestFit="1" customWidth="1"/>
    <col min="12812" max="13049" width="10" style="217"/>
    <col min="13050" max="13050" width="2" style="217" customWidth="1"/>
    <col min="13051" max="13051" width="23" style="217" customWidth="1"/>
    <col min="13052" max="13052" width="10.59765625" style="217" customWidth="1"/>
    <col min="13053" max="13053" width="8.5" style="217" customWidth="1"/>
    <col min="13054" max="13056" width="8.59765625" style="217" customWidth="1"/>
    <col min="13057" max="13057" width="8.69921875" style="217" customWidth="1"/>
    <col min="13058" max="13066" width="8.59765625" style="217" customWidth="1"/>
    <col min="13067" max="13067" width="22.5" style="217" bestFit="1" customWidth="1"/>
    <col min="13068" max="13305" width="10" style="217"/>
    <col min="13306" max="13306" width="2" style="217" customWidth="1"/>
    <col min="13307" max="13307" width="23" style="217" customWidth="1"/>
    <col min="13308" max="13308" width="10.59765625" style="217" customWidth="1"/>
    <col min="13309" max="13309" width="8.5" style="217" customWidth="1"/>
    <col min="13310" max="13312" width="8.59765625" style="217" customWidth="1"/>
    <col min="13313" max="13313" width="8.69921875" style="217" customWidth="1"/>
    <col min="13314" max="13322" width="8.59765625" style="217" customWidth="1"/>
    <col min="13323" max="13323" width="22.5" style="217" bestFit="1" customWidth="1"/>
    <col min="13324" max="13561" width="10" style="217"/>
    <col min="13562" max="13562" width="2" style="217" customWidth="1"/>
    <col min="13563" max="13563" width="23" style="217" customWidth="1"/>
    <col min="13564" max="13564" width="10.59765625" style="217" customWidth="1"/>
    <col min="13565" max="13565" width="8.5" style="217" customWidth="1"/>
    <col min="13566" max="13568" width="8.59765625" style="217" customWidth="1"/>
    <col min="13569" max="13569" width="8.69921875" style="217" customWidth="1"/>
    <col min="13570" max="13578" width="8.59765625" style="217" customWidth="1"/>
    <col min="13579" max="13579" width="22.5" style="217" bestFit="1" customWidth="1"/>
    <col min="13580" max="13817" width="10" style="217"/>
    <col min="13818" max="13818" width="2" style="217" customWidth="1"/>
    <col min="13819" max="13819" width="23" style="217" customWidth="1"/>
    <col min="13820" max="13820" width="10.59765625" style="217" customWidth="1"/>
    <col min="13821" max="13821" width="8.5" style="217" customWidth="1"/>
    <col min="13822" max="13824" width="8.59765625" style="217" customWidth="1"/>
    <col min="13825" max="13825" width="8.69921875" style="217" customWidth="1"/>
    <col min="13826" max="13834" width="8.59765625" style="217" customWidth="1"/>
    <col min="13835" max="13835" width="22.5" style="217" bestFit="1" customWidth="1"/>
    <col min="13836" max="14073" width="10" style="217"/>
    <col min="14074" max="14074" width="2" style="217" customWidth="1"/>
    <col min="14075" max="14075" width="23" style="217" customWidth="1"/>
    <col min="14076" max="14076" width="10.59765625" style="217" customWidth="1"/>
    <col min="14077" max="14077" width="8.5" style="217" customWidth="1"/>
    <col min="14078" max="14080" width="8.59765625" style="217" customWidth="1"/>
    <col min="14081" max="14081" width="8.69921875" style="217" customWidth="1"/>
    <col min="14082" max="14090" width="8.59765625" style="217" customWidth="1"/>
    <col min="14091" max="14091" width="22.5" style="217" bestFit="1" customWidth="1"/>
    <col min="14092" max="14329" width="10" style="217"/>
    <col min="14330" max="14330" width="2" style="217" customWidth="1"/>
    <col min="14331" max="14331" width="23" style="217" customWidth="1"/>
    <col min="14332" max="14332" width="10.59765625" style="217" customWidth="1"/>
    <col min="14333" max="14333" width="8.5" style="217" customWidth="1"/>
    <col min="14334" max="14336" width="8.59765625" style="217" customWidth="1"/>
    <col min="14337" max="14337" width="8.69921875" style="217" customWidth="1"/>
    <col min="14338" max="14346" width="8.59765625" style="217" customWidth="1"/>
    <col min="14347" max="14347" width="22.5" style="217" bestFit="1" customWidth="1"/>
    <col min="14348" max="14585" width="10" style="217"/>
    <col min="14586" max="14586" width="2" style="217" customWidth="1"/>
    <col min="14587" max="14587" width="23" style="217" customWidth="1"/>
    <col min="14588" max="14588" width="10.59765625" style="217" customWidth="1"/>
    <col min="14589" max="14589" width="8.5" style="217" customWidth="1"/>
    <col min="14590" max="14592" width="8.59765625" style="217" customWidth="1"/>
    <col min="14593" max="14593" width="8.69921875" style="217" customWidth="1"/>
    <col min="14594" max="14602" width="8.59765625" style="217" customWidth="1"/>
    <col min="14603" max="14603" width="22.5" style="217" bestFit="1" customWidth="1"/>
    <col min="14604" max="14841" width="10" style="217"/>
    <col min="14842" max="14842" width="2" style="217" customWidth="1"/>
    <col min="14843" max="14843" width="23" style="217" customWidth="1"/>
    <col min="14844" max="14844" width="10.59765625" style="217" customWidth="1"/>
    <col min="14845" max="14845" width="8.5" style="217" customWidth="1"/>
    <col min="14846" max="14848" width="8.59765625" style="217" customWidth="1"/>
    <col min="14849" max="14849" width="8.69921875" style="217" customWidth="1"/>
    <col min="14850" max="14858" width="8.59765625" style="217" customWidth="1"/>
    <col min="14859" max="14859" width="22.5" style="217" bestFit="1" customWidth="1"/>
    <col min="14860" max="15097" width="10" style="217"/>
    <col min="15098" max="15098" width="2" style="217" customWidth="1"/>
    <col min="15099" max="15099" width="23" style="217" customWidth="1"/>
    <col min="15100" max="15100" width="10.59765625" style="217" customWidth="1"/>
    <col min="15101" max="15101" width="8.5" style="217" customWidth="1"/>
    <col min="15102" max="15104" width="8.59765625" style="217" customWidth="1"/>
    <col min="15105" max="15105" width="8.69921875" style="217" customWidth="1"/>
    <col min="15106" max="15114" width="8.59765625" style="217" customWidth="1"/>
    <col min="15115" max="15115" width="22.5" style="217" bestFit="1" customWidth="1"/>
    <col min="15116" max="15353" width="10" style="217"/>
    <col min="15354" max="15354" width="2" style="217" customWidth="1"/>
    <col min="15355" max="15355" width="23" style="217" customWidth="1"/>
    <col min="15356" max="15356" width="10.59765625" style="217" customWidth="1"/>
    <col min="15357" max="15357" width="8.5" style="217" customWidth="1"/>
    <col min="15358" max="15360" width="8.59765625" style="217" customWidth="1"/>
    <col min="15361" max="15361" width="8.69921875" style="217" customWidth="1"/>
    <col min="15362" max="15370" width="8.59765625" style="217" customWidth="1"/>
    <col min="15371" max="15371" width="22.5" style="217" bestFit="1" customWidth="1"/>
    <col min="15372" max="15609" width="10" style="217"/>
    <col min="15610" max="15610" width="2" style="217" customWidth="1"/>
    <col min="15611" max="15611" width="23" style="217" customWidth="1"/>
    <col min="15612" max="15612" width="10.59765625" style="217" customWidth="1"/>
    <col min="15613" max="15613" width="8.5" style="217" customWidth="1"/>
    <col min="15614" max="15616" width="8.59765625" style="217" customWidth="1"/>
    <col min="15617" max="15617" width="8.69921875" style="217" customWidth="1"/>
    <col min="15618" max="15626" width="8.59765625" style="217" customWidth="1"/>
    <col min="15627" max="15627" width="22.5" style="217" bestFit="1" customWidth="1"/>
    <col min="15628" max="15865" width="10" style="217"/>
    <col min="15866" max="15866" width="2" style="217" customWidth="1"/>
    <col min="15867" max="15867" width="23" style="217" customWidth="1"/>
    <col min="15868" max="15868" width="10.59765625" style="217" customWidth="1"/>
    <col min="15869" max="15869" width="8.5" style="217" customWidth="1"/>
    <col min="15870" max="15872" width="8.59765625" style="217" customWidth="1"/>
    <col min="15873" max="15873" width="8.69921875" style="217" customWidth="1"/>
    <col min="15874" max="15882" width="8.59765625" style="217" customWidth="1"/>
    <col min="15883" max="15883" width="22.5" style="217" bestFit="1" customWidth="1"/>
    <col min="15884" max="16121" width="10" style="217"/>
    <col min="16122" max="16122" width="2" style="217" customWidth="1"/>
    <col min="16123" max="16123" width="23" style="217" customWidth="1"/>
    <col min="16124" max="16124" width="10.59765625" style="217" customWidth="1"/>
    <col min="16125" max="16125" width="8.5" style="217" customWidth="1"/>
    <col min="16126" max="16128" width="8.59765625" style="217" customWidth="1"/>
    <col min="16129" max="16129" width="8.69921875" style="217" customWidth="1"/>
    <col min="16130" max="16138" width="8.59765625" style="217" customWidth="1"/>
    <col min="16139" max="16139" width="22.5" style="217" bestFit="1" customWidth="1"/>
    <col min="16140" max="16384" width="10" style="217"/>
  </cols>
  <sheetData>
    <row r="1" spans="2:15" ht="15" customHeight="1"/>
    <row r="2" spans="2:15" ht="25.2">
      <c r="B2" s="526" t="s">
        <v>68</v>
      </c>
      <c r="C2" s="526"/>
      <c r="D2" s="526"/>
      <c r="E2" s="526"/>
      <c r="F2" s="526"/>
      <c r="G2" s="526"/>
      <c r="H2" s="526"/>
      <c r="I2" s="526"/>
      <c r="J2" s="526"/>
      <c r="K2" s="526"/>
      <c r="L2" s="526"/>
      <c r="M2" s="526"/>
      <c r="N2" s="526"/>
      <c r="O2" s="526"/>
    </row>
    <row r="3" spans="2:15" ht="15" customHeight="1"/>
    <row r="4" spans="2:15" ht="15" customHeight="1"/>
    <row r="5" spans="2:15">
      <c r="B5" s="218"/>
      <c r="C5" s="218"/>
      <c r="D5" s="219"/>
      <c r="E5" s="219"/>
      <c r="F5" s="220"/>
    </row>
    <row r="6" spans="2:15" ht="13.8">
      <c r="B6" s="221" t="s">
        <v>128</v>
      </c>
      <c r="C6" s="222"/>
      <c r="D6" s="222"/>
      <c r="E6" s="223"/>
      <c r="F6" s="224"/>
      <c r="H6" s="224" t="s">
        <v>65</v>
      </c>
    </row>
    <row r="7" spans="2:15">
      <c r="B7" s="522" t="s">
        <v>227</v>
      </c>
      <c r="C7" s="522" t="s">
        <v>17</v>
      </c>
      <c r="D7" s="524" t="s">
        <v>69</v>
      </c>
      <c r="E7" s="524"/>
      <c r="F7" s="524" t="s">
        <v>81</v>
      </c>
      <c r="G7" s="524"/>
      <c r="H7" s="525" t="s">
        <v>64</v>
      </c>
    </row>
    <row r="8" spans="2:15">
      <c r="B8" s="523"/>
      <c r="C8" s="523"/>
      <c r="D8" s="225" t="s">
        <v>19</v>
      </c>
      <c r="E8" s="225" t="s">
        <v>18</v>
      </c>
      <c r="F8" s="225" t="s">
        <v>19</v>
      </c>
      <c r="G8" s="225" t="s">
        <v>18</v>
      </c>
      <c r="H8" s="525"/>
    </row>
    <row r="9" spans="2:15">
      <c r="B9" s="226" t="s">
        <v>70</v>
      </c>
      <c r="C9" s="227">
        <f>'7.MP산출근거'!$D$42</f>
        <v>259089</v>
      </c>
      <c r="D9" s="228">
        <v>0.01</v>
      </c>
      <c r="E9" s="229">
        <f>C9*D9</f>
        <v>2590.89</v>
      </c>
      <c r="F9" s="228">
        <v>2.3E-2</v>
      </c>
      <c r="G9" s="229">
        <f>C9*F9</f>
        <v>5959.0469999999996</v>
      </c>
      <c r="H9" s="230"/>
    </row>
    <row r="10" spans="2:15">
      <c r="B10" s="231" t="s">
        <v>63</v>
      </c>
      <c r="C10" s="232"/>
      <c r="D10" s="233"/>
      <c r="E10" s="233">
        <f>E9</f>
        <v>2590.89</v>
      </c>
      <c r="F10" s="233"/>
      <c r="G10" s="233">
        <f>G9</f>
        <v>5959.0469999999996</v>
      </c>
      <c r="H10" s="234"/>
    </row>
    <row r="11" spans="2:15">
      <c r="B11" s="217" t="s">
        <v>71</v>
      </c>
    </row>
    <row r="12" spans="2:15">
      <c r="B12" s="235" t="s">
        <v>198</v>
      </c>
    </row>
    <row r="14" spans="2:15" ht="13.8">
      <c r="B14" s="221" t="s">
        <v>129</v>
      </c>
      <c r="C14" s="222"/>
      <c r="J14" s="224"/>
      <c r="K14" s="223"/>
      <c r="L14" s="224" t="s">
        <v>65</v>
      </c>
    </row>
    <row r="15" spans="2:15">
      <c r="B15" s="522" t="s">
        <v>227</v>
      </c>
      <c r="C15" s="522" t="s">
        <v>17</v>
      </c>
      <c r="D15" s="524" t="s">
        <v>72</v>
      </c>
      <c r="E15" s="524"/>
      <c r="F15" s="524" t="s">
        <v>95</v>
      </c>
      <c r="G15" s="524"/>
      <c r="H15" s="524" t="s">
        <v>97</v>
      </c>
      <c r="I15" s="524"/>
      <c r="J15" s="524" t="s">
        <v>96</v>
      </c>
      <c r="K15" s="524"/>
      <c r="L15" s="525" t="s">
        <v>64</v>
      </c>
    </row>
    <row r="16" spans="2:15">
      <c r="B16" s="523"/>
      <c r="C16" s="523"/>
      <c r="D16" s="225" t="s">
        <v>19</v>
      </c>
      <c r="E16" s="225" t="s">
        <v>18</v>
      </c>
      <c r="F16" s="225" t="s">
        <v>19</v>
      </c>
      <c r="G16" s="225" t="s">
        <v>18</v>
      </c>
      <c r="H16" s="225" t="s">
        <v>19</v>
      </c>
      <c r="I16" s="225" t="s">
        <v>18</v>
      </c>
      <c r="J16" s="225" t="s">
        <v>19</v>
      </c>
      <c r="K16" s="225" t="s">
        <v>18</v>
      </c>
      <c r="L16" s="525"/>
    </row>
    <row r="17" spans="2:16">
      <c r="B17" s="226" t="s">
        <v>73</v>
      </c>
      <c r="C17" s="227">
        <f>'7.MP산출근거'!D43</f>
        <v>272282</v>
      </c>
      <c r="D17" s="228">
        <v>2.5999999999999999E-2</v>
      </c>
      <c r="E17" s="229">
        <f>C17*D17</f>
        <v>7079.3319999999994</v>
      </c>
      <c r="F17" s="228">
        <v>3.5000000000000003E-2</v>
      </c>
      <c r="G17" s="229">
        <f>C17*F17</f>
        <v>9529.8700000000008</v>
      </c>
      <c r="H17" s="228">
        <v>4.8000000000000001E-2</v>
      </c>
      <c r="I17" s="229">
        <f>C17*H17</f>
        <v>13069.536</v>
      </c>
      <c r="J17" s="228">
        <v>7.3999999999999996E-2</v>
      </c>
      <c r="K17" s="229">
        <f>C17*J17</f>
        <v>20148.867999999999</v>
      </c>
      <c r="L17" s="230"/>
    </row>
    <row r="18" spans="2:16">
      <c r="B18" s="231" t="s">
        <v>63</v>
      </c>
      <c r="C18" s="232"/>
      <c r="D18" s="233"/>
      <c r="E18" s="233">
        <f>E17</f>
        <v>7079.3319999999994</v>
      </c>
      <c r="F18" s="233"/>
      <c r="G18" s="233">
        <f>G17</f>
        <v>9529.8700000000008</v>
      </c>
      <c r="H18" s="233"/>
      <c r="I18" s="233">
        <f>I17</f>
        <v>13069.536</v>
      </c>
      <c r="J18" s="233"/>
      <c r="K18" s="233">
        <f>K17</f>
        <v>20148.867999999999</v>
      </c>
      <c r="L18" s="234"/>
    </row>
    <row r="19" spans="2:16">
      <c r="B19" s="217" t="s">
        <v>74</v>
      </c>
    </row>
    <row r="20" spans="2:16">
      <c r="B20" s="236" t="s">
        <v>75</v>
      </c>
    </row>
    <row r="21" spans="2:16">
      <c r="B21" s="236" t="s">
        <v>76</v>
      </c>
    </row>
    <row r="22" spans="2:16">
      <c r="B22" s="235" t="s">
        <v>199</v>
      </c>
    </row>
    <row r="24" spans="2:16" ht="13.8">
      <c r="B24" s="221" t="s">
        <v>130</v>
      </c>
      <c r="C24" s="237"/>
      <c r="P24" s="224" t="s">
        <v>82</v>
      </c>
    </row>
    <row r="25" spans="2:16" ht="13.5" customHeight="1">
      <c r="B25" s="522" t="s">
        <v>227</v>
      </c>
      <c r="C25" s="522" t="s">
        <v>17</v>
      </c>
      <c r="D25" s="524" t="s">
        <v>98</v>
      </c>
      <c r="E25" s="524"/>
      <c r="F25" s="524" t="s">
        <v>99</v>
      </c>
      <c r="G25" s="524"/>
      <c r="H25" s="524" t="s">
        <v>100</v>
      </c>
      <c r="I25" s="524"/>
      <c r="J25" s="524" t="s">
        <v>101</v>
      </c>
      <c r="K25" s="524"/>
      <c r="L25" s="524" t="s">
        <v>102</v>
      </c>
      <c r="M25" s="524"/>
      <c r="N25" s="524" t="s">
        <v>103</v>
      </c>
      <c r="O25" s="524"/>
      <c r="P25" s="525" t="s">
        <v>64</v>
      </c>
    </row>
    <row r="26" spans="2:16">
      <c r="B26" s="523"/>
      <c r="C26" s="523"/>
      <c r="D26" s="225" t="s">
        <v>19</v>
      </c>
      <c r="E26" s="225" t="s">
        <v>18</v>
      </c>
      <c r="F26" s="225" t="s">
        <v>19</v>
      </c>
      <c r="G26" s="225" t="s">
        <v>18</v>
      </c>
      <c r="H26" s="225" t="s">
        <v>19</v>
      </c>
      <c r="I26" s="225" t="s">
        <v>18</v>
      </c>
      <c r="J26" s="225" t="s">
        <v>19</v>
      </c>
      <c r="K26" s="225" t="s">
        <v>18</v>
      </c>
      <c r="L26" s="225" t="s">
        <v>19</v>
      </c>
      <c r="M26" s="225" t="s">
        <v>18</v>
      </c>
      <c r="N26" s="225" t="s">
        <v>19</v>
      </c>
      <c r="O26" s="225" t="s">
        <v>18</v>
      </c>
      <c r="P26" s="525"/>
    </row>
    <row r="27" spans="2:16">
      <c r="B27" s="226" t="s">
        <v>83</v>
      </c>
      <c r="C27" s="227">
        <f>'7.MP산출근거'!$D$42</f>
        <v>259089</v>
      </c>
      <c r="D27" s="228">
        <v>0.05</v>
      </c>
      <c r="E27" s="229">
        <f>$C$27*D27</f>
        <v>12954.45</v>
      </c>
      <c r="F27" s="228">
        <v>0.06</v>
      </c>
      <c r="G27" s="229">
        <f>$C$27*F27</f>
        <v>15545.34</v>
      </c>
      <c r="H27" s="228">
        <v>0.08</v>
      </c>
      <c r="I27" s="229">
        <f>$C$27*H27</f>
        <v>20727.12</v>
      </c>
      <c r="J27" s="228">
        <v>0.11</v>
      </c>
      <c r="K27" s="229">
        <f>$C$27*J27</f>
        <v>28499.79</v>
      </c>
      <c r="L27" s="228">
        <v>4.3999999999999997E-2</v>
      </c>
      <c r="M27" s="229">
        <f>$C$27*L27</f>
        <v>11399.915999999999</v>
      </c>
      <c r="N27" s="228">
        <v>5.8999999999999997E-2</v>
      </c>
      <c r="O27" s="229">
        <f>$C$27*N27</f>
        <v>15286.250999999998</v>
      </c>
      <c r="P27" s="230"/>
    </row>
    <row r="28" spans="2:16">
      <c r="B28" s="231" t="s">
        <v>63</v>
      </c>
      <c r="C28" s="232"/>
      <c r="D28" s="233"/>
      <c r="E28" s="233">
        <f>E27</f>
        <v>12954.45</v>
      </c>
      <c r="F28" s="233"/>
      <c r="G28" s="233">
        <f>G27</f>
        <v>15545.34</v>
      </c>
      <c r="H28" s="233"/>
      <c r="I28" s="233">
        <f>I27</f>
        <v>20727.12</v>
      </c>
      <c r="J28" s="233"/>
      <c r="K28" s="233">
        <f>K27</f>
        <v>28499.79</v>
      </c>
      <c r="L28" s="233"/>
      <c r="M28" s="233">
        <f>M27</f>
        <v>11399.915999999999</v>
      </c>
      <c r="N28" s="233"/>
      <c r="O28" s="233">
        <f>O27</f>
        <v>15286.250999999998</v>
      </c>
      <c r="P28" s="234"/>
    </row>
    <row r="29" spans="2:16">
      <c r="B29" s="217" t="s">
        <v>136</v>
      </c>
    </row>
    <row r="30" spans="2:16">
      <c r="B30" s="217" t="s">
        <v>134</v>
      </c>
    </row>
    <row r="31" spans="2:16">
      <c r="B31" s="217" t="s">
        <v>135</v>
      </c>
    </row>
    <row r="32" spans="2:16">
      <c r="B32" s="235" t="s">
        <v>381</v>
      </c>
    </row>
    <row r="34" spans="2:6" ht="13.8">
      <c r="B34" s="221" t="s">
        <v>131</v>
      </c>
      <c r="C34" s="222"/>
      <c r="D34" s="224"/>
      <c r="E34" s="223"/>
      <c r="F34" s="224" t="s">
        <v>84</v>
      </c>
    </row>
    <row r="35" spans="2:6">
      <c r="B35" s="522" t="s">
        <v>227</v>
      </c>
      <c r="C35" s="522" t="s">
        <v>17</v>
      </c>
      <c r="D35" s="524" t="s">
        <v>104</v>
      </c>
      <c r="E35" s="524"/>
      <c r="F35" s="525" t="s">
        <v>64</v>
      </c>
    </row>
    <row r="36" spans="2:6">
      <c r="B36" s="523"/>
      <c r="C36" s="523"/>
      <c r="D36" s="225" t="s">
        <v>19</v>
      </c>
      <c r="E36" s="225" t="s">
        <v>18</v>
      </c>
      <c r="F36" s="525"/>
    </row>
    <row r="37" spans="2:6">
      <c r="B37" s="226" t="s">
        <v>83</v>
      </c>
      <c r="C37" s="227">
        <f>'7.MP산출근거'!$D$42</f>
        <v>259089</v>
      </c>
      <c r="D37" s="228">
        <v>0.19</v>
      </c>
      <c r="E37" s="229">
        <f>C37*D37</f>
        <v>49226.91</v>
      </c>
      <c r="F37" s="230"/>
    </row>
    <row r="38" spans="2:6">
      <c r="B38" s="231" t="s">
        <v>63</v>
      </c>
      <c r="C38" s="232"/>
      <c r="D38" s="233"/>
      <c r="E38" s="233">
        <f>E37</f>
        <v>49226.91</v>
      </c>
      <c r="F38" s="234"/>
    </row>
    <row r="39" spans="2:6">
      <c r="B39" s="217" t="s">
        <v>225</v>
      </c>
    </row>
    <row r="40" spans="2:6">
      <c r="B40" s="217" t="s">
        <v>85</v>
      </c>
    </row>
    <row r="41" spans="2:6">
      <c r="B41" s="217" t="s">
        <v>86</v>
      </c>
    </row>
    <row r="42" spans="2:6">
      <c r="B42" s="235" t="s">
        <v>382</v>
      </c>
    </row>
    <row r="44" spans="2:6" ht="13.8">
      <c r="B44" s="221" t="s">
        <v>133</v>
      </c>
      <c r="C44" s="237"/>
      <c r="F44" s="224" t="s">
        <v>82</v>
      </c>
    </row>
    <row r="45" spans="2:6" ht="13.5" customHeight="1">
      <c r="B45" s="522" t="s">
        <v>227</v>
      </c>
      <c r="C45" s="522" t="s">
        <v>17</v>
      </c>
      <c r="D45" s="524" t="s">
        <v>132</v>
      </c>
      <c r="E45" s="524"/>
      <c r="F45" s="525" t="s">
        <v>64</v>
      </c>
    </row>
    <row r="46" spans="2:6">
      <c r="B46" s="523"/>
      <c r="C46" s="523"/>
      <c r="D46" s="225" t="s">
        <v>19</v>
      </c>
      <c r="E46" s="225" t="s">
        <v>18</v>
      </c>
      <c r="F46" s="525"/>
    </row>
    <row r="47" spans="2:6">
      <c r="B47" s="226" t="s">
        <v>70</v>
      </c>
      <c r="C47" s="227">
        <f>'7.MP산출근거'!$D$42</f>
        <v>259089</v>
      </c>
      <c r="D47" s="228">
        <v>0.15</v>
      </c>
      <c r="E47" s="229">
        <f>$C$47*D47</f>
        <v>38863.35</v>
      </c>
      <c r="F47" s="230"/>
    </row>
    <row r="48" spans="2:6">
      <c r="B48" s="231" t="s">
        <v>63</v>
      </c>
      <c r="C48" s="232"/>
      <c r="D48" s="233"/>
      <c r="E48" s="233">
        <f>E47</f>
        <v>38863.35</v>
      </c>
      <c r="F48" s="234"/>
    </row>
    <row r="49" spans="2:6">
      <c r="B49" s="217" t="s">
        <v>175</v>
      </c>
    </row>
    <row r="50" spans="2:6">
      <c r="B50" s="235" t="s">
        <v>197</v>
      </c>
    </row>
    <row r="52" spans="2:6" ht="13.8">
      <c r="B52" s="221" t="s">
        <v>200</v>
      </c>
      <c r="C52" s="237"/>
      <c r="F52" s="224" t="s">
        <v>203</v>
      </c>
    </row>
    <row r="53" spans="2:6">
      <c r="B53" s="522" t="s">
        <v>227</v>
      </c>
      <c r="C53" s="522" t="s">
        <v>17</v>
      </c>
      <c r="D53" s="524" t="s">
        <v>202</v>
      </c>
      <c r="E53" s="524"/>
      <c r="F53" s="525" t="s">
        <v>64</v>
      </c>
    </row>
    <row r="54" spans="2:6">
      <c r="B54" s="523"/>
      <c r="C54" s="523"/>
      <c r="D54" s="225" t="s">
        <v>19</v>
      </c>
      <c r="E54" s="225" t="s">
        <v>18</v>
      </c>
      <c r="F54" s="525"/>
    </row>
    <row r="55" spans="2:6">
      <c r="B55" s="226" t="s">
        <v>201</v>
      </c>
      <c r="C55" s="227">
        <f>'7.MP산출근거'!D44</f>
        <v>268571</v>
      </c>
      <c r="D55" s="228">
        <v>0.18</v>
      </c>
      <c r="E55" s="229">
        <f>$C$47*D55</f>
        <v>46636.02</v>
      </c>
      <c r="F55" s="230"/>
    </row>
    <row r="56" spans="2:6">
      <c r="B56" s="231" t="s">
        <v>63</v>
      </c>
      <c r="C56" s="232"/>
      <c r="D56" s="233"/>
      <c r="E56" s="233">
        <f>E55</f>
        <v>46636.02</v>
      </c>
      <c r="F56" s="234"/>
    </row>
    <row r="57" spans="2:6">
      <c r="B57" s="217" t="s">
        <v>237</v>
      </c>
    </row>
    <row r="58" spans="2:6">
      <c r="B58" s="236" t="s">
        <v>204</v>
      </c>
    </row>
    <row r="60" spans="2:6" ht="13.8">
      <c r="B60" s="221" t="s">
        <v>298</v>
      </c>
      <c r="C60" s="237"/>
      <c r="E60" s="224" t="s">
        <v>203</v>
      </c>
    </row>
    <row r="61" spans="2:6">
      <c r="B61" s="522" t="s">
        <v>227</v>
      </c>
      <c r="C61" s="522" t="s">
        <v>17</v>
      </c>
      <c r="D61" s="524" t="s">
        <v>299</v>
      </c>
      <c r="E61" s="524"/>
    </row>
    <row r="62" spans="2:6">
      <c r="B62" s="523"/>
      <c r="C62" s="523"/>
      <c r="D62" s="225" t="s">
        <v>19</v>
      </c>
      <c r="E62" s="225" t="s">
        <v>18</v>
      </c>
    </row>
    <row r="63" spans="2:6">
      <c r="B63" s="226" t="s">
        <v>70</v>
      </c>
      <c r="C63" s="227">
        <f>'7.MP산출근거'!$D$42</f>
        <v>259089</v>
      </c>
      <c r="D63" s="228">
        <v>0.1</v>
      </c>
      <c r="E63" s="229">
        <f>$C$63*D63</f>
        <v>25908.9</v>
      </c>
    </row>
    <row r="64" spans="2:6">
      <c r="B64" s="231" t="s">
        <v>63</v>
      </c>
      <c r="C64" s="232"/>
      <c r="D64" s="233"/>
      <c r="E64" s="233">
        <f>E63</f>
        <v>25908.9</v>
      </c>
    </row>
    <row r="65" spans="2:5">
      <c r="B65" s="217" t="s">
        <v>300</v>
      </c>
    </row>
    <row r="66" spans="2:5">
      <c r="B66" s="235" t="s">
        <v>198</v>
      </c>
    </row>
    <row r="67" spans="2:5">
      <c r="B67" s="236"/>
    </row>
    <row r="68" spans="2:5" ht="13.8">
      <c r="B68" s="221" t="s">
        <v>301</v>
      </c>
      <c r="C68" s="237"/>
      <c r="E68" s="224" t="s">
        <v>203</v>
      </c>
    </row>
    <row r="69" spans="2:5">
      <c r="B69" s="522" t="s">
        <v>227</v>
      </c>
      <c r="C69" s="522" t="s">
        <v>17</v>
      </c>
      <c r="D69" s="524" t="s">
        <v>302</v>
      </c>
      <c r="E69" s="524"/>
    </row>
    <row r="70" spans="2:5">
      <c r="B70" s="523"/>
      <c r="C70" s="523"/>
      <c r="D70" s="225" t="s">
        <v>19</v>
      </c>
      <c r="E70" s="225" t="s">
        <v>18</v>
      </c>
    </row>
    <row r="71" spans="2:5">
      <c r="B71" s="226" t="s">
        <v>70</v>
      </c>
      <c r="C71" s="227">
        <f>'7.MP산출근거'!$D$42</f>
        <v>259089</v>
      </c>
      <c r="D71" s="228">
        <v>0.08</v>
      </c>
      <c r="E71" s="229">
        <f>$C$71*D71</f>
        <v>20727.12</v>
      </c>
    </row>
    <row r="72" spans="2:5">
      <c r="B72" s="231" t="s">
        <v>63</v>
      </c>
      <c r="C72" s="232"/>
      <c r="D72" s="233"/>
      <c r="E72" s="233">
        <f>E71</f>
        <v>20727.12</v>
      </c>
    </row>
    <row r="73" spans="2:5">
      <c r="B73" s="235" t="s">
        <v>303</v>
      </c>
    </row>
    <row r="75" spans="2:5" ht="13.8">
      <c r="B75" s="221" t="s">
        <v>304</v>
      </c>
      <c r="C75" s="237"/>
      <c r="E75" s="224" t="s">
        <v>203</v>
      </c>
    </row>
    <row r="76" spans="2:5">
      <c r="B76" s="522" t="s">
        <v>227</v>
      </c>
      <c r="C76" s="522" t="s">
        <v>17</v>
      </c>
      <c r="D76" s="524" t="s">
        <v>305</v>
      </c>
      <c r="E76" s="524"/>
    </row>
    <row r="77" spans="2:5">
      <c r="B77" s="523"/>
      <c r="C77" s="523"/>
      <c r="D77" s="225" t="s">
        <v>19</v>
      </c>
      <c r="E77" s="225" t="s">
        <v>18</v>
      </c>
    </row>
    <row r="78" spans="2:5">
      <c r="B78" s="226" t="s">
        <v>70</v>
      </c>
      <c r="C78" s="227">
        <f>'7.MP산출근거'!$D$42</f>
        <v>259089</v>
      </c>
      <c r="D78" s="228">
        <v>0.23</v>
      </c>
      <c r="E78" s="229">
        <f>$C$78*D78</f>
        <v>59590.47</v>
      </c>
    </row>
    <row r="79" spans="2:5">
      <c r="B79" s="231" t="s">
        <v>63</v>
      </c>
      <c r="C79" s="232"/>
      <c r="D79" s="233"/>
      <c r="E79" s="233">
        <f>E78</f>
        <v>59590.47</v>
      </c>
    </row>
    <row r="80" spans="2:5" ht="13.8">
      <c r="B80" s="217" t="s">
        <v>306</v>
      </c>
    </row>
    <row r="81" spans="2:5">
      <c r="B81" s="235" t="s">
        <v>198</v>
      </c>
    </row>
    <row r="83" spans="2:5" ht="13.8">
      <c r="B83" s="221" t="s">
        <v>307</v>
      </c>
      <c r="C83" s="237"/>
      <c r="E83" s="224" t="s">
        <v>82</v>
      </c>
    </row>
    <row r="84" spans="2:5">
      <c r="B84" s="522" t="s">
        <v>227</v>
      </c>
      <c r="C84" s="522" t="s">
        <v>17</v>
      </c>
      <c r="D84" s="524" t="s">
        <v>308</v>
      </c>
      <c r="E84" s="524"/>
    </row>
    <row r="85" spans="2:5">
      <c r="B85" s="523"/>
      <c r="C85" s="523"/>
      <c r="D85" s="225" t="s">
        <v>19</v>
      </c>
      <c r="E85" s="225" t="s">
        <v>18</v>
      </c>
    </row>
    <row r="86" spans="2:5">
      <c r="B86" s="226" t="s">
        <v>309</v>
      </c>
      <c r="C86" s="227">
        <v>332485</v>
      </c>
      <c r="D86" s="228">
        <v>0.15</v>
      </c>
      <c r="E86" s="229">
        <f>$C$86*D86</f>
        <v>49872.75</v>
      </c>
    </row>
    <row r="87" spans="2:5">
      <c r="B87" s="231" t="s">
        <v>63</v>
      </c>
      <c r="C87" s="232"/>
      <c r="D87" s="233"/>
      <c r="E87" s="233">
        <f>E86</f>
        <v>49872.75</v>
      </c>
    </row>
    <row r="89" spans="2:5" ht="13.8">
      <c r="B89" s="221" t="s">
        <v>310</v>
      </c>
      <c r="C89" s="237"/>
    </row>
    <row r="90" spans="2:5">
      <c r="B90" s="522" t="s">
        <v>227</v>
      </c>
      <c r="C90" s="522" t="s">
        <v>17</v>
      </c>
      <c r="D90" s="524" t="s">
        <v>311</v>
      </c>
      <c r="E90" s="524"/>
    </row>
    <row r="91" spans="2:5">
      <c r="B91" s="523"/>
      <c r="C91" s="523"/>
      <c r="D91" s="225" t="s">
        <v>19</v>
      </c>
      <c r="E91" s="225" t="s">
        <v>18</v>
      </c>
    </row>
    <row r="92" spans="2:5">
      <c r="B92" s="226" t="s">
        <v>312</v>
      </c>
      <c r="C92" s="227">
        <v>338501</v>
      </c>
      <c r="D92" s="228">
        <v>0.18</v>
      </c>
      <c r="E92" s="229">
        <f>$C$92*D92</f>
        <v>60930.18</v>
      </c>
    </row>
    <row r="93" spans="2:5">
      <c r="B93" s="231" t="s">
        <v>63</v>
      </c>
      <c r="C93" s="232"/>
      <c r="D93" s="233"/>
      <c r="E93" s="233">
        <f>E92</f>
        <v>60930.18</v>
      </c>
    </row>
    <row r="94" spans="2:5">
      <c r="B94" s="235" t="s">
        <v>303</v>
      </c>
    </row>
    <row r="96" spans="2:5" ht="13.8">
      <c r="B96" s="221" t="s">
        <v>379</v>
      </c>
      <c r="C96" s="237"/>
    </row>
    <row r="97" spans="2:5">
      <c r="B97" s="522" t="s">
        <v>227</v>
      </c>
      <c r="C97" s="522" t="s">
        <v>17</v>
      </c>
      <c r="D97" s="524" t="s">
        <v>311</v>
      </c>
      <c r="E97" s="524"/>
    </row>
    <row r="98" spans="2:5">
      <c r="B98" s="523"/>
      <c r="C98" s="523"/>
      <c r="D98" s="225" t="s">
        <v>19</v>
      </c>
      <c r="E98" s="225" t="s">
        <v>18</v>
      </c>
    </row>
    <row r="99" spans="2:5">
      <c r="B99" s="226" t="s">
        <v>70</v>
      </c>
      <c r="C99" s="227">
        <f>'7.MP산출근거'!D42</f>
        <v>259089</v>
      </c>
      <c r="D99" s="228">
        <v>0.28999999999999998</v>
      </c>
      <c r="E99" s="229">
        <f>$C$92*D99</f>
        <v>98165.29</v>
      </c>
    </row>
    <row r="100" spans="2:5">
      <c r="B100" s="231" t="s">
        <v>63</v>
      </c>
      <c r="C100" s="232"/>
      <c r="D100" s="233"/>
      <c r="E100" s="233">
        <f>E99</f>
        <v>98165.29</v>
      </c>
    </row>
    <row r="101" spans="2:5">
      <c r="B101" s="235" t="s">
        <v>380</v>
      </c>
    </row>
  </sheetData>
  <mergeCells count="52">
    <mergeCell ref="B35:B36"/>
    <mergeCell ref="C35:C36"/>
    <mergeCell ref="D35:E35"/>
    <mergeCell ref="F35:F36"/>
    <mergeCell ref="B2:O2"/>
    <mergeCell ref="B7:B8"/>
    <mergeCell ref="C7:C8"/>
    <mergeCell ref="H7:H8"/>
    <mergeCell ref="D7:E7"/>
    <mergeCell ref="F7:G7"/>
    <mergeCell ref="B15:B16"/>
    <mergeCell ref="C15:C16"/>
    <mergeCell ref="J15:K15"/>
    <mergeCell ref="L15:L16"/>
    <mergeCell ref="D15:E15"/>
    <mergeCell ref="F15:G15"/>
    <mergeCell ref="H15:I15"/>
    <mergeCell ref="P25:P26"/>
    <mergeCell ref="B25:B26"/>
    <mergeCell ref="C25:C26"/>
    <mergeCell ref="D25:E25"/>
    <mergeCell ref="F25:G25"/>
    <mergeCell ref="H25:I25"/>
    <mergeCell ref="J25:K25"/>
    <mergeCell ref="L25:M25"/>
    <mergeCell ref="N25:O25"/>
    <mergeCell ref="D45:E45"/>
    <mergeCell ref="F45:F46"/>
    <mergeCell ref="B45:B46"/>
    <mergeCell ref="C45:C46"/>
    <mergeCell ref="B53:B54"/>
    <mergeCell ref="C53:C54"/>
    <mergeCell ref="D53:E53"/>
    <mergeCell ref="F53:F54"/>
    <mergeCell ref="B61:B62"/>
    <mergeCell ref="C61:C62"/>
    <mergeCell ref="D61:E61"/>
    <mergeCell ref="B69:B70"/>
    <mergeCell ref="C69:C70"/>
    <mergeCell ref="D69:E69"/>
    <mergeCell ref="B76:B77"/>
    <mergeCell ref="C76:C77"/>
    <mergeCell ref="D76:E76"/>
    <mergeCell ref="B84:B85"/>
    <mergeCell ref="C84:C85"/>
    <mergeCell ref="D84:E84"/>
    <mergeCell ref="B97:B98"/>
    <mergeCell ref="C97:C98"/>
    <mergeCell ref="D97:E97"/>
    <mergeCell ref="B90:B91"/>
    <mergeCell ref="C90:C91"/>
    <mergeCell ref="D90:E90"/>
  </mergeCells>
  <phoneticPr fontId="41" type="noConversion"/>
  <pageMargins left="0.7" right="0.7" top="0.75" bottom="0.75" header="0.3" footer="0.3"/>
  <pageSetup paperSize="9" scale="3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T49"/>
  <sheetViews>
    <sheetView showGridLines="0" topLeftCell="A22" workbookViewId="0">
      <selection activeCell="T42" sqref="T42"/>
    </sheetView>
  </sheetViews>
  <sheetFormatPr defaultColWidth="9" defaultRowHeight="13.8"/>
  <cols>
    <col min="1" max="1" width="3.19921875" style="238" customWidth="1"/>
    <col min="2" max="2" width="5.69921875" style="238" customWidth="1"/>
    <col min="3" max="3" width="29.59765625" style="238" customWidth="1"/>
    <col min="4" max="4" width="16.19921875" style="238" customWidth="1"/>
    <col min="5" max="5" width="5.5" style="238" customWidth="1"/>
    <col min="6" max="6" width="15.8984375" style="238" customWidth="1"/>
    <col min="7" max="8" width="1.8984375" style="238" customWidth="1"/>
    <col min="9" max="9" width="4.19921875" style="238" customWidth="1"/>
    <col min="10" max="10" width="4.5" style="238" bestFit="1" customWidth="1"/>
    <col min="11" max="11" width="3.09765625" style="238" customWidth="1"/>
    <col min="12" max="12" width="4.69921875" style="238" bestFit="1" customWidth="1"/>
    <col min="13" max="13" width="5" style="238" customWidth="1"/>
    <col min="14" max="14" width="4.8984375" style="238" bestFit="1" customWidth="1"/>
    <col min="15" max="15" width="10.69921875" style="238" customWidth="1"/>
    <col min="16" max="16" width="10.09765625" style="238" customWidth="1"/>
    <col min="17" max="17" width="7.8984375" style="238" customWidth="1"/>
    <col min="18" max="16384" width="9" style="238"/>
  </cols>
  <sheetData>
    <row r="1" spans="2:17">
      <c r="O1" s="239"/>
    </row>
    <row r="2" spans="2:17" s="112" customFormat="1" ht="24" customHeight="1">
      <c r="B2" s="539" t="s">
        <v>241</v>
      </c>
      <c r="C2" s="539"/>
      <c r="D2" s="539"/>
      <c r="E2" s="539"/>
      <c r="F2" s="539"/>
      <c r="G2" s="539"/>
      <c r="H2" s="539"/>
      <c r="I2" s="539"/>
      <c r="J2" s="539"/>
      <c r="K2" s="539"/>
      <c r="L2" s="539"/>
      <c r="M2" s="539"/>
      <c r="N2" s="539"/>
      <c r="O2" s="539"/>
      <c r="P2" s="539"/>
      <c r="Q2" s="539"/>
    </row>
    <row r="3" spans="2:17" ht="9.75" customHeight="1"/>
    <row r="4" spans="2:17">
      <c r="B4" s="66" t="str">
        <f>'3.공사예산내역서(갑)'!$B$4</f>
        <v>공사명 : 펄어비스 안양오피스 원격감시시스템 구축공사</v>
      </c>
      <c r="Q4" s="68" t="str">
        <f>'3.공사예산내역서(갑)'!$H$4</f>
        <v>(작성일자:`22년 10월 19일)</v>
      </c>
    </row>
    <row r="5" spans="2:17" ht="6.75" customHeight="1" thickBot="1">
      <c r="B5" s="240"/>
      <c r="Q5" s="116"/>
    </row>
    <row r="6" spans="2:17" s="133" customFormat="1">
      <c r="B6" s="540" t="s">
        <v>242</v>
      </c>
      <c r="C6" s="541"/>
      <c r="D6" s="241" t="s">
        <v>243</v>
      </c>
      <c r="E6" s="348" t="s">
        <v>25</v>
      </c>
      <c r="F6" s="242" t="s">
        <v>244</v>
      </c>
      <c r="G6" s="542" t="s">
        <v>245</v>
      </c>
      <c r="H6" s="543"/>
      <c r="I6" s="543"/>
      <c r="J6" s="543"/>
      <c r="K6" s="543"/>
      <c r="L6" s="543"/>
      <c r="M6" s="543"/>
      <c r="N6" s="544"/>
      <c r="O6" s="349" t="s">
        <v>19</v>
      </c>
      <c r="P6" s="545" t="s">
        <v>246</v>
      </c>
      <c r="Q6" s="546"/>
    </row>
    <row r="7" spans="2:17" s="253" customFormat="1" ht="16.5" customHeight="1">
      <c r="B7" s="243" t="s">
        <v>188</v>
      </c>
      <c r="C7" s="244"/>
      <c r="D7" s="245"/>
      <c r="E7" s="245"/>
      <c r="F7" s="246"/>
      <c r="G7" s="247"/>
      <c r="H7" s="248"/>
      <c r="I7" s="248"/>
      <c r="J7" s="248"/>
      <c r="K7" s="248"/>
      <c r="L7" s="248"/>
      <c r="M7" s="248"/>
      <c r="N7" s="249"/>
      <c r="O7" s="250"/>
      <c r="P7" s="251"/>
      <c r="Q7" s="252"/>
    </row>
    <row r="8" spans="2:17" s="253" customFormat="1" ht="16.5" customHeight="1">
      <c r="B8" s="254"/>
      <c r="C8" s="255" t="s">
        <v>189</v>
      </c>
      <c r="D8" s="245"/>
      <c r="E8" s="245"/>
      <c r="F8" s="246"/>
      <c r="G8" s="251"/>
      <c r="H8" s="256"/>
      <c r="I8" s="256"/>
      <c r="J8" s="256"/>
      <c r="K8" s="256"/>
      <c r="L8" s="256"/>
      <c r="M8" s="256"/>
      <c r="N8" s="257"/>
      <c r="O8" s="250"/>
      <c r="P8" s="251"/>
      <c r="Q8" s="252"/>
    </row>
    <row r="9" spans="2:17" s="253" customFormat="1" ht="16.5" customHeight="1">
      <c r="B9" s="258">
        <v>1</v>
      </c>
      <c r="C9" s="259" t="s">
        <v>247</v>
      </c>
      <c r="D9" s="260" t="s">
        <v>248</v>
      </c>
      <c r="E9" s="245">
        <v>2</v>
      </c>
      <c r="F9" s="246">
        <v>30</v>
      </c>
      <c r="G9" s="261" t="s">
        <v>57</v>
      </c>
      <c r="H9" s="262">
        <f t="shared" ref="H9" si="0">E9</f>
        <v>2</v>
      </c>
      <c r="I9" s="256" t="s">
        <v>58</v>
      </c>
      <c r="J9" s="262">
        <f t="shared" ref="J9" si="1">F9</f>
        <v>30</v>
      </c>
      <c r="K9" s="256" t="s">
        <v>249</v>
      </c>
      <c r="L9" s="262">
        <v>480</v>
      </c>
      <c r="M9" s="256" t="s">
        <v>250</v>
      </c>
      <c r="N9" s="263">
        <f t="shared" ref="N9" si="2">H9*J9/L9</f>
        <v>0.125</v>
      </c>
      <c r="O9" s="250">
        <f t="shared" ref="O9" si="3">N9</f>
        <v>0.125</v>
      </c>
      <c r="P9" s="264"/>
      <c r="Q9" s="252"/>
    </row>
    <row r="10" spans="2:17" s="253" customFormat="1" ht="16.5" customHeight="1">
      <c r="B10" s="258"/>
      <c r="C10" s="265" t="s">
        <v>251</v>
      </c>
      <c r="D10" s="260"/>
      <c r="E10" s="245"/>
      <c r="F10" s="246"/>
      <c r="G10" s="261"/>
      <c r="H10" s="262"/>
      <c r="I10" s="256"/>
      <c r="J10" s="262"/>
      <c r="K10" s="256"/>
      <c r="L10" s="262"/>
      <c r="M10" s="256"/>
      <c r="N10" s="263"/>
      <c r="O10" s="250"/>
      <c r="P10" s="264"/>
      <c r="Q10" s="252"/>
    </row>
    <row r="11" spans="2:17" s="253" customFormat="1" ht="16.5" customHeight="1">
      <c r="B11" s="258">
        <v>2</v>
      </c>
      <c r="C11" s="259" t="s">
        <v>252</v>
      </c>
      <c r="D11" s="260" t="s">
        <v>248</v>
      </c>
      <c r="E11" s="245">
        <v>2</v>
      </c>
      <c r="F11" s="246">
        <v>30</v>
      </c>
      <c r="G11" s="261" t="s">
        <v>57</v>
      </c>
      <c r="H11" s="262">
        <f t="shared" ref="H11" si="4">E11</f>
        <v>2</v>
      </c>
      <c r="I11" s="256" t="s">
        <v>253</v>
      </c>
      <c r="J11" s="262">
        <f t="shared" ref="J11" si="5">F11</f>
        <v>30</v>
      </c>
      <c r="K11" s="256" t="s">
        <v>249</v>
      </c>
      <c r="L11" s="262">
        <v>480</v>
      </c>
      <c r="M11" s="256" t="s">
        <v>250</v>
      </c>
      <c r="N11" s="263">
        <f t="shared" ref="N11" si="6">H11*J11/L11</f>
        <v>0.125</v>
      </c>
      <c r="O11" s="250">
        <f t="shared" ref="O11" si="7">N11</f>
        <v>0.125</v>
      </c>
      <c r="P11" s="264"/>
      <c r="Q11" s="252"/>
    </row>
    <row r="12" spans="2:17" s="253" customFormat="1" ht="16.5" customHeight="1">
      <c r="B12" s="258"/>
      <c r="C12" s="265" t="s">
        <v>251</v>
      </c>
      <c r="D12" s="260"/>
      <c r="E12" s="245"/>
      <c r="F12" s="246"/>
      <c r="G12" s="261"/>
      <c r="H12" s="262"/>
      <c r="I12" s="256"/>
      <c r="J12" s="262"/>
      <c r="K12" s="256"/>
      <c r="L12" s="262"/>
      <c r="M12" s="256"/>
      <c r="N12" s="263"/>
      <c r="O12" s="250"/>
      <c r="P12" s="264"/>
      <c r="Q12" s="252"/>
    </row>
    <row r="13" spans="2:17" s="253" customFormat="1" ht="16.5" customHeight="1">
      <c r="B13" s="258">
        <v>3</v>
      </c>
      <c r="C13" s="259" t="s">
        <v>254</v>
      </c>
      <c r="D13" s="260" t="s">
        <v>248</v>
      </c>
      <c r="E13" s="245">
        <v>1</v>
      </c>
      <c r="F13" s="246">
        <v>20</v>
      </c>
      <c r="G13" s="261" t="s">
        <v>57</v>
      </c>
      <c r="H13" s="262">
        <f t="shared" ref="H13" si="8">E13</f>
        <v>1</v>
      </c>
      <c r="I13" s="256" t="s">
        <v>253</v>
      </c>
      <c r="J13" s="262">
        <f t="shared" ref="J13" si="9">F13</f>
        <v>20</v>
      </c>
      <c r="K13" s="256" t="s">
        <v>249</v>
      </c>
      <c r="L13" s="262">
        <v>480</v>
      </c>
      <c r="M13" s="256" t="s">
        <v>250</v>
      </c>
      <c r="N13" s="263">
        <f t="shared" ref="N13" si="10">H13*J13/L13</f>
        <v>4.1666666666666664E-2</v>
      </c>
      <c r="O13" s="250">
        <f t="shared" ref="O13" si="11">N13</f>
        <v>4.1666666666666664E-2</v>
      </c>
      <c r="P13" s="264"/>
      <c r="Q13" s="252"/>
    </row>
    <row r="14" spans="2:17" s="253" customFormat="1" ht="16.5" customHeight="1">
      <c r="B14" s="258"/>
      <c r="C14" s="265" t="s">
        <v>251</v>
      </c>
      <c r="D14" s="260"/>
      <c r="E14" s="245"/>
      <c r="F14" s="246"/>
      <c r="G14" s="261"/>
      <c r="H14" s="262"/>
      <c r="I14" s="256"/>
      <c r="J14" s="262"/>
      <c r="K14" s="256"/>
      <c r="L14" s="262"/>
      <c r="M14" s="256"/>
      <c r="N14" s="263"/>
      <c r="O14" s="250"/>
      <c r="P14" s="264"/>
      <c r="Q14" s="252"/>
    </row>
    <row r="15" spans="2:17" s="253" customFormat="1" ht="16.5" customHeight="1">
      <c r="B15" s="258">
        <v>4</v>
      </c>
      <c r="C15" s="351" t="s">
        <v>255</v>
      </c>
      <c r="D15" s="352" t="s">
        <v>248</v>
      </c>
      <c r="E15" s="353">
        <v>1</v>
      </c>
      <c r="F15" s="354">
        <v>120</v>
      </c>
      <c r="G15" s="355" t="s">
        <v>57</v>
      </c>
      <c r="H15" s="356">
        <f t="shared" ref="H15" si="12">E15</f>
        <v>1</v>
      </c>
      <c r="I15" s="357" t="s">
        <v>253</v>
      </c>
      <c r="J15" s="356">
        <f>F15</f>
        <v>120</v>
      </c>
      <c r="K15" s="357" t="s">
        <v>249</v>
      </c>
      <c r="L15" s="356">
        <v>480</v>
      </c>
      <c r="M15" s="357" t="s">
        <v>250</v>
      </c>
      <c r="N15" s="358">
        <f t="shared" ref="N15" si="13">H15*J15/L15</f>
        <v>0.25</v>
      </c>
      <c r="O15" s="359">
        <f t="shared" ref="O15" si="14">N15</f>
        <v>0.25</v>
      </c>
      <c r="P15" s="547"/>
      <c r="Q15" s="548"/>
    </row>
    <row r="16" spans="2:17" s="253" customFormat="1" ht="16.5" customHeight="1">
      <c r="B16" s="258"/>
      <c r="C16" s="360" t="s">
        <v>251</v>
      </c>
      <c r="D16" s="352"/>
      <c r="E16" s="353"/>
      <c r="F16" s="354"/>
      <c r="G16" s="355"/>
      <c r="H16" s="356"/>
      <c r="I16" s="357"/>
      <c r="J16" s="356"/>
      <c r="K16" s="357"/>
      <c r="L16" s="356"/>
      <c r="M16" s="357"/>
      <c r="N16" s="358"/>
      <c r="O16" s="359"/>
      <c r="P16" s="547"/>
      <c r="Q16" s="548"/>
    </row>
    <row r="17" spans="2:17" s="253" customFormat="1" ht="16.5" customHeight="1">
      <c r="B17" s="258">
        <v>5</v>
      </c>
      <c r="C17" s="351" t="s">
        <v>256</v>
      </c>
      <c r="D17" s="352" t="s">
        <v>257</v>
      </c>
      <c r="E17" s="353">
        <v>1</v>
      </c>
      <c r="F17" s="354">
        <v>30</v>
      </c>
      <c r="G17" s="355" t="s">
        <v>57</v>
      </c>
      <c r="H17" s="356">
        <f t="shared" ref="H17" si="15">E17</f>
        <v>1</v>
      </c>
      <c r="I17" s="357" t="s">
        <v>253</v>
      </c>
      <c r="J17" s="356">
        <f>F17</f>
        <v>30</v>
      </c>
      <c r="K17" s="357" t="s">
        <v>249</v>
      </c>
      <c r="L17" s="356">
        <v>480</v>
      </c>
      <c r="M17" s="357" t="s">
        <v>250</v>
      </c>
      <c r="N17" s="358">
        <f t="shared" ref="N17" si="16">H17*J17/L17</f>
        <v>6.25E-2</v>
      </c>
      <c r="O17" s="359">
        <f t="shared" ref="O17" si="17">N17</f>
        <v>6.25E-2</v>
      </c>
      <c r="P17" s="547"/>
      <c r="Q17" s="548"/>
    </row>
    <row r="18" spans="2:17" s="253" customFormat="1" ht="16.5" customHeight="1">
      <c r="B18" s="258"/>
      <c r="C18" s="360" t="s">
        <v>251</v>
      </c>
      <c r="D18" s="352"/>
      <c r="E18" s="353"/>
      <c r="F18" s="354"/>
      <c r="G18" s="355"/>
      <c r="H18" s="356"/>
      <c r="I18" s="357"/>
      <c r="J18" s="356"/>
      <c r="K18" s="357"/>
      <c r="L18" s="356"/>
      <c r="M18" s="357"/>
      <c r="N18" s="358"/>
      <c r="O18" s="359"/>
      <c r="P18" s="547"/>
      <c r="Q18" s="548"/>
    </row>
    <row r="19" spans="2:17" s="253" customFormat="1" ht="16.5" customHeight="1">
      <c r="B19" s="258"/>
      <c r="C19" s="266"/>
      <c r="D19" s="267"/>
      <c r="E19" s="268"/>
      <c r="F19" s="269"/>
      <c r="G19" s="270"/>
      <c r="H19" s="271"/>
      <c r="I19" s="272"/>
      <c r="J19" s="271"/>
      <c r="K19" s="272"/>
      <c r="L19" s="271"/>
      <c r="M19" s="272"/>
      <c r="N19" s="273"/>
      <c r="O19" s="274">
        <f>SUM(O7:O18)</f>
        <v>0.60416666666666674</v>
      </c>
      <c r="P19" s="264"/>
      <c r="Q19" s="252"/>
    </row>
    <row r="20" spans="2:17" s="253" customFormat="1" ht="16.5" customHeight="1">
      <c r="B20" s="254"/>
      <c r="C20" s="255" t="s">
        <v>190</v>
      </c>
      <c r="D20" s="245"/>
      <c r="E20" s="245"/>
      <c r="F20" s="246"/>
      <c r="G20" s="251"/>
      <c r="H20" s="256"/>
      <c r="I20" s="256"/>
      <c r="J20" s="256"/>
      <c r="K20" s="256"/>
      <c r="L20" s="256"/>
      <c r="M20" s="256"/>
      <c r="N20" s="257"/>
      <c r="O20" s="250"/>
      <c r="P20" s="264"/>
      <c r="Q20" s="252"/>
    </row>
    <row r="21" spans="2:17" s="253" customFormat="1" ht="16.5" customHeight="1">
      <c r="B21" s="258">
        <v>6</v>
      </c>
      <c r="C21" s="259" t="s">
        <v>247</v>
      </c>
      <c r="D21" s="260" t="s">
        <v>258</v>
      </c>
      <c r="E21" s="245">
        <v>1</v>
      </c>
      <c r="F21" s="246">
        <v>30</v>
      </c>
      <c r="G21" s="261" t="s">
        <v>57</v>
      </c>
      <c r="H21" s="262">
        <f t="shared" ref="H21" si="18">E21</f>
        <v>1</v>
      </c>
      <c r="I21" s="256" t="s">
        <v>253</v>
      </c>
      <c r="J21" s="262">
        <f t="shared" ref="J21" si="19">F21</f>
        <v>30</v>
      </c>
      <c r="K21" s="256" t="s">
        <v>59</v>
      </c>
      <c r="L21" s="262">
        <v>480</v>
      </c>
      <c r="M21" s="256" t="s">
        <v>250</v>
      </c>
      <c r="N21" s="263">
        <f t="shared" ref="N21" si="20">H21*J21/L21</f>
        <v>6.25E-2</v>
      </c>
      <c r="O21" s="250">
        <f t="shared" ref="O21" si="21">N21</f>
        <v>6.25E-2</v>
      </c>
      <c r="P21" s="264"/>
      <c r="Q21" s="252"/>
    </row>
    <row r="22" spans="2:17" s="253" customFormat="1" ht="16.5" customHeight="1">
      <c r="B22" s="258"/>
      <c r="C22" s="265" t="s">
        <v>259</v>
      </c>
      <c r="D22" s="260"/>
      <c r="E22" s="245"/>
      <c r="F22" s="246"/>
      <c r="G22" s="261"/>
      <c r="H22" s="262"/>
      <c r="I22" s="256"/>
      <c r="J22" s="262"/>
      <c r="K22" s="256"/>
      <c r="L22" s="262"/>
      <c r="M22" s="256"/>
      <c r="N22" s="263"/>
      <c r="O22" s="250"/>
      <c r="P22" s="264"/>
      <c r="Q22" s="252"/>
    </row>
    <row r="23" spans="2:17" s="253" customFormat="1" ht="16.5" customHeight="1">
      <c r="B23" s="258">
        <v>7</v>
      </c>
      <c r="C23" s="259" t="s">
        <v>252</v>
      </c>
      <c r="D23" s="260" t="s">
        <v>258</v>
      </c>
      <c r="E23" s="245">
        <v>1</v>
      </c>
      <c r="F23" s="246">
        <v>30</v>
      </c>
      <c r="G23" s="261" t="s">
        <v>57</v>
      </c>
      <c r="H23" s="262">
        <f t="shared" ref="H23" si="22">E23</f>
        <v>1</v>
      </c>
      <c r="I23" s="256" t="s">
        <v>253</v>
      </c>
      <c r="J23" s="262">
        <f t="shared" ref="J23" si="23">F23</f>
        <v>30</v>
      </c>
      <c r="K23" s="256" t="s">
        <v>249</v>
      </c>
      <c r="L23" s="262">
        <v>480</v>
      </c>
      <c r="M23" s="256" t="s">
        <v>250</v>
      </c>
      <c r="N23" s="263">
        <f t="shared" ref="N23" si="24">H23*J23/L23</f>
        <v>6.25E-2</v>
      </c>
      <c r="O23" s="250">
        <f t="shared" ref="O23" si="25">N23</f>
        <v>6.25E-2</v>
      </c>
      <c r="P23" s="264"/>
      <c r="Q23" s="252"/>
    </row>
    <row r="24" spans="2:17" s="253" customFormat="1" ht="16.5" customHeight="1">
      <c r="B24" s="258"/>
      <c r="C24" s="265" t="s">
        <v>259</v>
      </c>
      <c r="D24" s="260"/>
      <c r="E24" s="245"/>
      <c r="F24" s="246"/>
      <c r="G24" s="261"/>
      <c r="H24" s="262"/>
      <c r="I24" s="256"/>
      <c r="J24" s="262"/>
      <c r="K24" s="256"/>
      <c r="L24" s="262"/>
      <c r="M24" s="256"/>
      <c r="N24" s="263"/>
      <c r="O24" s="250"/>
      <c r="P24" s="264"/>
      <c r="Q24" s="252"/>
    </row>
    <row r="25" spans="2:17" s="253" customFormat="1" ht="16.5" customHeight="1">
      <c r="B25" s="258">
        <v>8</v>
      </c>
      <c r="C25" s="259" t="s">
        <v>254</v>
      </c>
      <c r="D25" s="260" t="s">
        <v>258</v>
      </c>
      <c r="E25" s="245">
        <v>1</v>
      </c>
      <c r="F25" s="246">
        <v>30</v>
      </c>
      <c r="G25" s="261" t="s">
        <v>57</v>
      </c>
      <c r="H25" s="262">
        <f t="shared" ref="H25" si="26">E25</f>
        <v>1</v>
      </c>
      <c r="I25" s="256" t="s">
        <v>253</v>
      </c>
      <c r="J25" s="262">
        <f t="shared" ref="J25" si="27">F25</f>
        <v>30</v>
      </c>
      <c r="K25" s="256" t="s">
        <v>59</v>
      </c>
      <c r="L25" s="262">
        <v>480</v>
      </c>
      <c r="M25" s="256" t="s">
        <v>250</v>
      </c>
      <c r="N25" s="263">
        <f t="shared" ref="N25" si="28">H25*J25/L25</f>
        <v>6.25E-2</v>
      </c>
      <c r="O25" s="250">
        <f t="shared" ref="O25" si="29">N25</f>
        <v>6.25E-2</v>
      </c>
      <c r="P25" s="264"/>
      <c r="Q25" s="252"/>
    </row>
    <row r="26" spans="2:17" s="253" customFormat="1" ht="16.5" customHeight="1">
      <c r="B26" s="258"/>
      <c r="C26" s="265" t="s">
        <v>260</v>
      </c>
      <c r="D26" s="260"/>
      <c r="E26" s="245"/>
      <c r="F26" s="246"/>
      <c r="G26" s="261"/>
      <c r="H26" s="262"/>
      <c r="I26" s="256"/>
      <c r="J26" s="262"/>
      <c r="K26" s="256"/>
      <c r="L26" s="262"/>
      <c r="M26" s="256"/>
      <c r="N26" s="263"/>
      <c r="O26" s="250"/>
      <c r="P26" s="264"/>
      <c r="Q26" s="252"/>
    </row>
    <row r="27" spans="2:17" s="253" customFormat="1" ht="16.5" customHeight="1">
      <c r="B27" s="258">
        <v>9</v>
      </c>
      <c r="C27" s="351" t="s">
        <v>255</v>
      </c>
      <c r="D27" s="352" t="s">
        <v>258</v>
      </c>
      <c r="E27" s="353">
        <v>1</v>
      </c>
      <c r="F27" s="354">
        <v>180</v>
      </c>
      <c r="G27" s="355" t="s">
        <v>57</v>
      </c>
      <c r="H27" s="356">
        <f t="shared" ref="H27" si="30">E27</f>
        <v>1</v>
      </c>
      <c r="I27" s="357" t="s">
        <v>253</v>
      </c>
      <c r="J27" s="356">
        <f>F27</f>
        <v>180</v>
      </c>
      <c r="K27" s="357" t="s">
        <v>249</v>
      </c>
      <c r="L27" s="356">
        <v>480</v>
      </c>
      <c r="M27" s="357" t="s">
        <v>250</v>
      </c>
      <c r="N27" s="358">
        <f t="shared" ref="N27" si="31">H27*J27/L27</f>
        <v>0.375</v>
      </c>
      <c r="O27" s="359">
        <f t="shared" ref="O27" si="32">N27</f>
        <v>0.375</v>
      </c>
      <c r="P27" s="361"/>
      <c r="Q27" s="362"/>
    </row>
    <row r="28" spans="2:17" s="253" customFormat="1" ht="16.5" customHeight="1">
      <c r="B28" s="258"/>
      <c r="C28" s="360" t="s">
        <v>261</v>
      </c>
      <c r="D28" s="352"/>
      <c r="E28" s="353"/>
      <c r="F28" s="354"/>
      <c r="G28" s="355"/>
      <c r="H28" s="356"/>
      <c r="I28" s="357"/>
      <c r="J28" s="356"/>
      <c r="K28" s="357"/>
      <c r="L28" s="356"/>
      <c r="M28" s="357"/>
      <c r="N28" s="358"/>
      <c r="O28" s="359"/>
      <c r="P28" s="361"/>
      <c r="Q28" s="362"/>
    </row>
    <row r="29" spans="2:17" s="253" customFormat="1" ht="16.5" customHeight="1">
      <c r="B29" s="275"/>
      <c r="C29" s="266"/>
      <c r="D29" s="267"/>
      <c r="E29" s="268"/>
      <c r="F29" s="269"/>
      <c r="G29" s="270"/>
      <c r="H29" s="271"/>
      <c r="I29" s="272"/>
      <c r="J29" s="271"/>
      <c r="K29" s="272"/>
      <c r="L29" s="271"/>
      <c r="M29" s="272"/>
      <c r="N29" s="273"/>
      <c r="O29" s="274">
        <f>SUM(O20:O28)</f>
        <v>0.5625</v>
      </c>
      <c r="P29" s="264"/>
      <c r="Q29" s="252"/>
    </row>
    <row r="30" spans="2:17" s="253" customFormat="1" ht="16.5" customHeight="1">
      <c r="B30" s="254"/>
      <c r="C30" s="255" t="s">
        <v>262</v>
      </c>
      <c r="D30" s="245"/>
      <c r="E30" s="245"/>
      <c r="F30" s="246"/>
      <c r="G30" s="251"/>
      <c r="H30" s="256"/>
      <c r="I30" s="256"/>
      <c r="J30" s="256"/>
      <c r="K30" s="256"/>
      <c r="L30" s="256"/>
      <c r="M30" s="256"/>
      <c r="N30" s="257"/>
      <c r="O30" s="250"/>
      <c r="P30" s="264"/>
      <c r="Q30" s="252"/>
    </row>
    <row r="31" spans="2:17" s="253" customFormat="1" ht="16.5" customHeight="1">
      <c r="B31" s="258">
        <v>10</v>
      </c>
      <c r="C31" s="259" t="s">
        <v>263</v>
      </c>
      <c r="D31" s="260" t="s">
        <v>257</v>
      </c>
      <c r="E31" s="245">
        <v>1</v>
      </c>
      <c r="F31" s="246">
        <v>30</v>
      </c>
      <c r="G31" s="261" t="s">
        <v>57</v>
      </c>
      <c r="H31" s="262">
        <f t="shared" ref="H31" si="33">E31</f>
        <v>1</v>
      </c>
      <c r="I31" s="256" t="s">
        <v>253</v>
      </c>
      <c r="J31" s="262">
        <f t="shared" ref="J31" si="34">F31</f>
        <v>30</v>
      </c>
      <c r="K31" s="256" t="s">
        <v>249</v>
      </c>
      <c r="L31" s="262">
        <v>480</v>
      </c>
      <c r="M31" s="256" t="s">
        <v>250</v>
      </c>
      <c r="N31" s="263">
        <f t="shared" ref="N31" si="35">H31*J31/L31</f>
        <v>6.25E-2</v>
      </c>
      <c r="O31" s="250">
        <f t="shared" ref="O31" si="36">N31</f>
        <v>6.25E-2</v>
      </c>
      <c r="P31" s="338"/>
      <c r="Q31" s="252"/>
    </row>
    <row r="32" spans="2:17" s="253" customFormat="1" ht="16.5" customHeight="1">
      <c r="B32" s="275"/>
      <c r="C32" s="266"/>
      <c r="D32" s="267"/>
      <c r="E32" s="268"/>
      <c r="F32" s="269"/>
      <c r="G32" s="270"/>
      <c r="H32" s="271"/>
      <c r="I32" s="272"/>
      <c r="J32" s="271"/>
      <c r="K32" s="272"/>
      <c r="L32" s="271"/>
      <c r="M32" s="272"/>
      <c r="N32" s="273"/>
      <c r="O32" s="274">
        <f>SUM(O30:O31)</f>
        <v>6.25E-2</v>
      </c>
      <c r="P32" s="339"/>
      <c r="Q32" s="276"/>
    </row>
    <row r="33" spans="2:20" s="284" customFormat="1" ht="15" customHeight="1">
      <c r="B33" s="277" t="s">
        <v>264</v>
      </c>
      <c r="C33" s="278"/>
      <c r="D33" s="279"/>
      <c r="E33" s="278"/>
      <c r="F33" s="280"/>
      <c r="G33" s="281"/>
      <c r="H33" s="281"/>
      <c r="I33" s="281"/>
      <c r="J33" s="281"/>
      <c r="K33" s="281"/>
      <c r="L33" s="281"/>
      <c r="M33" s="281"/>
      <c r="N33" s="281"/>
      <c r="O33" s="282"/>
      <c r="P33" s="281"/>
      <c r="Q33" s="283"/>
    </row>
    <row r="34" spans="2:20" s="284" customFormat="1" ht="15" customHeight="1">
      <c r="B34" s="285" t="s">
        <v>413</v>
      </c>
      <c r="C34" s="286"/>
      <c r="D34" s="279"/>
      <c r="E34" s="278"/>
      <c r="F34" s="280"/>
      <c r="G34" s="281"/>
      <c r="H34" s="281"/>
      <c r="I34" s="281"/>
      <c r="J34" s="281"/>
      <c r="K34" s="281"/>
      <c r="L34" s="281"/>
      <c r="M34" s="281"/>
      <c r="N34" s="281"/>
      <c r="O34" s="282"/>
      <c r="P34" s="281"/>
      <c r="Q34" s="283"/>
    </row>
    <row r="35" spans="2:20" s="284" customFormat="1" ht="15" customHeight="1">
      <c r="B35" s="285" t="s">
        <v>265</v>
      </c>
      <c r="C35" s="279"/>
      <c r="D35" s="279"/>
      <c r="E35" s="278"/>
      <c r="F35" s="280"/>
      <c r="G35" s="281"/>
      <c r="H35" s="281"/>
      <c r="I35" s="281"/>
      <c r="J35" s="281"/>
      <c r="K35" s="281"/>
      <c r="L35" s="281"/>
      <c r="M35" s="281"/>
      <c r="N35" s="281"/>
      <c r="O35" s="282"/>
      <c r="P35" s="281"/>
      <c r="Q35" s="283"/>
    </row>
    <row r="36" spans="2:20" s="284" customFormat="1" ht="15" customHeight="1">
      <c r="B36" s="287" t="s">
        <v>266</v>
      </c>
      <c r="C36" s="279"/>
      <c r="D36" s="279"/>
      <c r="E36" s="278"/>
      <c r="F36" s="280"/>
      <c r="G36" s="281"/>
      <c r="H36" s="281"/>
      <c r="I36" s="281"/>
      <c r="J36" s="281"/>
      <c r="K36" s="281"/>
      <c r="L36" s="281"/>
      <c r="M36" s="281"/>
      <c r="N36" s="281"/>
      <c r="O36" s="282"/>
      <c r="P36" s="281"/>
      <c r="Q36" s="283"/>
    </row>
    <row r="37" spans="2:20" s="284" customFormat="1" ht="15" customHeight="1">
      <c r="B37" s="285" t="s">
        <v>267</v>
      </c>
      <c r="C37" s="279"/>
      <c r="D37" s="279"/>
      <c r="E37" s="278"/>
      <c r="F37" s="280"/>
      <c r="G37" s="281"/>
      <c r="H37" s="281"/>
      <c r="I37" s="281"/>
      <c r="J37" s="281"/>
      <c r="K37" s="281"/>
      <c r="L37" s="281"/>
      <c r="M37" s="281"/>
      <c r="N37" s="281"/>
      <c r="O37" s="282"/>
      <c r="P37" s="281"/>
      <c r="Q37" s="283"/>
    </row>
    <row r="38" spans="2:20" s="284" customFormat="1" ht="15" customHeight="1">
      <c r="B38" s="287" t="s">
        <v>191</v>
      </c>
      <c r="C38" s="279"/>
      <c r="D38" s="279"/>
      <c r="E38" s="278"/>
      <c r="F38" s="280"/>
      <c r="G38" s="281"/>
      <c r="H38" s="281"/>
      <c r="I38" s="281"/>
      <c r="J38" s="281"/>
      <c r="K38" s="281"/>
      <c r="L38" s="281"/>
      <c r="M38" s="281"/>
      <c r="N38" s="281"/>
      <c r="O38" s="282"/>
      <c r="P38" s="281"/>
      <c r="Q38" s="283"/>
    </row>
    <row r="39" spans="2:20" s="284" customFormat="1" ht="15" customHeight="1">
      <c r="B39" s="288"/>
      <c r="C39" s="279"/>
      <c r="D39" s="279"/>
      <c r="E39" s="278"/>
      <c r="F39" s="280"/>
      <c r="G39" s="281"/>
      <c r="H39" s="281"/>
      <c r="I39" s="281"/>
      <c r="J39" s="281"/>
      <c r="K39" s="281"/>
      <c r="L39" s="281"/>
      <c r="M39" s="281"/>
      <c r="N39" s="281"/>
      <c r="O39" s="282"/>
      <c r="P39" s="281"/>
      <c r="Q39" s="283"/>
    </row>
    <row r="40" spans="2:20" s="290" customFormat="1" ht="15.9" customHeight="1">
      <c r="B40" s="243" t="s">
        <v>268</v>
      </c>
      <c r="C40" s="289"/>
      <c r="E40" s="291"/>
      <c r="F40" s="291"/>
      <c r="G40" s="291"/>
      <c r="H40" s="291"/>
      <c r="I40" s="291"/>
      <c r="J40" s="291"/>
      <c r="K40" s="291"/>
      <c r="L40" s="291"/>
      <c r="M40" s="291"/>
      <c r="N40" s="291"/>
      <c r="P40" s="292" t="s">
        <v>269</v>
      </c>
      <c r="Q40" s="293"/>
      <c r="R40" s="294"/>
      <c r="S40" s="291"/>
      <c r="T40" s="295"/>
    </row>
    <row r="41" spans="2:20" s="290" customFormat="1" ht="15.9" customHeight="1">
      <c r="B41" s="296"/>
      <c r="C41" s="297" t="s">
        <v>270</v>
      </c>
      <c r="D41" s="297" t="s">
        <v>42</v>
      </c>
      <c r="E41" s="536" t="s">
        <v>60</v>
      </c>
      <c r="F41" s="537"/>
      <c r="G41" s="537"/>
      <c r="H41" s="537"/>
      <c r="I41" s="537"/>
      <c r="J41" s="537"/>
      <c r="K41" s="537"/>
      <c r="L41" s="537"/>
      <c r="M41" s="537"/>
      <c r="N41" s="537"/>
      <c r="O41" s="537"/>
      <c r="P41" s="538"/>
      <c r="Q41" s="293"/>
      <c r="R41" s="298"/>
      <c r="S41" s="291"/>
      <c r="T41" s="295"/>
    </row>
    <row r="42" spans="2:20" s="290" customFormat="1" ht="33.9" customHeight="1">
      <c r="B42" s="296"/>
      <c r="C42" s="299" t="s">
        <v>66</v>
      </c>
      <c r="D42" s="300">
        <v>259089</v>
      </c>
      <c r="E42" s="530" t="s">
        <v>271</v>
      </c>
      <c r="F42" s="531"/>
      <c r="G42" s="531"/>
      <c r="H42" s="531"/>
      <c r="I42" s="531"/>
      <c r="J42" s="531"/>
      <c r="K42" s="531"/>
      <c r="L42" s="531"/>
      <c r="M42" s="531"/>
      <c r="N42" s="531"/>
      <c r="O42" s="531"/>
      <c r="P42" s="532"/>
      <c r="Q42" s="293"/>
      <c r="R42" s="298"/>
      <c r="S42" s="291"/>
      <c r="T42" s="295"/>
    </row>
    <row r="43" spans="2:20" s="290" customFormat="1" ht="33.9" customHeight="1">
      <c r="B43" s="296"/>
      <c r="C43" s="299" t="s">
        <v>272</v>
      </c>
      <c r="D43" s="300">
        <v>272282</v>
      </c>
      <c r="E43" s="530" t="s">
        <v>273</v>
      </c>
      <c r="F43" s="531"/>
      <c r="G43" s="531"/>
      <c r="H43" s="531"/>
      <c r="I43" s="531"/>
      <c r="J43" s="531"/>
      <c r="K43" s="531"/>
      <c r="L43" s="531"/>
      <c r="M43" s="531"/>
      <c r="N43" s="531"/>
      <c r="O43" s="531"/>
      <c r="P43" s="532"/>
      <c r="Q43" s="293"/>
      <c r="R43" s="298"/>
      <c r="S43" s="291"/>
      <c r="T43" s="295"/>
    </row>
    <row r="44" spans="2:20" s="290" customFormat="1" ht="33.9" customHeight="1">
      <c r="B44" s="296"/>
      <c r="C44" s="299" t="s">
        <v>274</v>
      </c>
      <c r="D44" s="300">
        <v>268571</v>
      </c>
      <c r="E44" s="527" t="s">
        <v>275</v>
      </c>
      <c r="F44" s="533"/>
      <c r="G44" s="533"/>
      <c r="H44" s="533"/>
      <c r="I44" s="533"/>
      <c r="J44" s="533"/>
      <c r="K44" s="533"/>
      <c r="L44" s="533"/>
      <c r="M44" s="533"/>
      <c r="N44" s="533"/>
      <c r="O44" s="533"/>
      <c r="P44" s="534"/>
      <c r="Q44" s="293"/>
      <c r="R44" s="298"/>
      <c r="S44" s="291"/>
      <c r="T44" s="295"/>
    </row>
    <row r="45" spans="2:20" s="290" customFormat="1" ht="33.9" customHeight="1">
      <c r="B45" s="296"/>
      <c r="C45" s="299" t="s">
        <v>276</v>
      </c>
      <c r="D45" s="300">
        <v>153671</v>
      </c>
      <c r="E45" s="535" t="s">
        <v>277</v>
      </c>
      <c r="F45" s="533"/>
      <c r="G45" s="533"/>
      <c r="H45" s="533"/>
      <c r="I45" s="533"/>
      <c r="J45" s="533"/>
      <c r="K45" s="533"/>
      <c r="L45" s="533"/>
      <c r="M45" s="533"/>
      <c r="N45" s="533"/>
      <c r="O45" s="533"/>
      <c r="P45" s="534"/>
      <c r="Q45" s="293"/>
      <c r="R45" s="298"/>
      <c r="S45" s="291"/>
      <c r="T45" s="295"/>
    </row>
    <row r="46" spans="2:20" s="290" customFormat="1" ht="33.9" customHeight="1">
      <c r="B46" s="296"/>
      <c r="C46" s="299" t="s">
        <v>257</v>
      </c>
      <c r="D46" s="300">
        <v>349792</v>
      </c>
      <c r="E46" s="527" t="s">
        <v>278</v>
      </c>
      <c r="F46" s="528"/>
      <c r="G46" s="528"/>
      <c r="H46" s="528"/>
      <c r="I46" s="528"/>
      <c r="J46" s="528"/>
      <c r="K46" s="528"/>
      <c r="L46" s="528"/>
      <c r="M46" s="528"/>
      <c r="N46" s="528"/>
      <c r="O46" s="528"/>
      <c r="P46" s="529"/>
      <c r="Q46" s="293"/>
      <c r="R46" s="298"/>
      <c r="S46" s="291"/>
      <c r="T46" s="295"/>
    </row>
    <row r="47" spans="2:20" s="290" customFormat="1" ht="33.9" customHeight="1">
      <c r="B47" s="296"/>
      <c r="C47" s="299" t="s">
        <v>258</v>
      </c>
      <c r="D47" s="300">
        <v>391265</v>
      </c>
      <c r="E47" s="527" t="s">
        <v>279</v>
      </c>
      <c r="F47" s="528"/>
      <c r="G47" s="528"/>
      <c r="H47" s="528"/>
      <c r="I47" s="528"/>
      <c r="J47" s="528"/>
      <c r="K47" s="528"/>
      <c r="L47" s="528"/>
      <c r="M47" s="528"/>
      <c r="N47" s="528"/>
      <c r="O47" s="528"/>
      <c r="P47" s="529"/>
      <c r="Q47" s="293"/>
      <c r="R47" s="298"/>
      <c r="S47" s="291"/>
      <c r="T47" s="295"/>
    </row>
    <row r="48" spans="2:20" s="290" customFormat="1" ht="15.9" customHeight="1">
      <c r="B48" s="296"/>
      <c r="Q48" s="293"/>
      <c r="R48" s="298"/>
      <c r="S48" s="291"/>
      <c r="T48" s="295"/>
    </row>
    <row r="49" spans="2:20" s="110" customFormat="1" ht="15" customHeight="1" thickBot="1">
      <c r="B49" s="301"/>
      <c r="C49" s="302"/>
      <c r="D49" s="303"/>
      <c r="E49" s="303"/>
      <c r="F49" s="304"/>
      <c r="G49" s="305"/>
      <c r="H49" s="305"/>
      <c r="I49" s="305"/>
      <c r="J49" s="305"/>
      <c r="K49" s="305"/>
      <c r="L49" s="305"/>
      <c r="M49" s="305"/>
      <c r="N49" s="305"/>
      <c r="O49" s="306"/>
      <c r="P49" s="305"/>
      <c r="Q49" s="307"/>
      <c r="T49" s="308"/>
    </row>
  </sheetData>
  <mergeCells count="15">
    <mergeCell ref="E41:P41"/>
    <mergeCell ref="B2:Q2"/>
    <mergeCell ref="B6:C6"/>
    <mergeCell ref="G6:N6"/>
    <mergeCell ref="P6:Q6"/>
    <mergeCell ref="P15:Q15"/>
    <mergeCell ref="P16:Q16"/>
    <mergeCell ref="P17:Q17"/>
    <mergeCell ref="P18:Q18"/>
    <mergeCell ref="E47:P47"/>
    <mergeCell ref="E42:P42"/>
    <mergeCell ref="E43:P43"/>
    <mergeCell ref="E44:P44"/>
    <mergeCell ref="E45:P45"/>
    <mergeCell ref="E46:P46"/>
  </mergeCells>
  <phoneticPr fontId="41" type="noConversion"/>
  <pageMargins left="0.7" right="0.7" top="0.75" bottom="0.75" header="0.3" footer="0.3"/>
  <pageSetup paperSize="9" scale="5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I47"/>
  <sheetViews>
    <sheetView showGridLines="0" workbookViewId="0">
      <selection activeCell="G7" sqref="G7:H41"/>
    </sheetView>
  </sheetViews>
  <sheetFormatPr defaultColWidth="10" defaultRowHeight="13.8"/>
  <cols>
    <col min="1" max="1" width="3.19921875" style="309" customWidth="1"/>
    <col min="2" max="2" width="4.8984375" style="309" customWidth="1"/>
    <col min="3" max="3" width="35.8984375" style="309" customWidth="1"/>
    <col min="4" max="4" width="55.19921875" style="309" customWidth="1"/>
    <col min="5" max="5" width="6.8984375" style="309" customWidth="1"/>
    <col min="6" max="6" width="6.5" style="310" customWidth="1"/>
    <col min="7" max="8" width="16.5" style="309" customWidth="1"/>
    <col min="9" max="9" width="12.5" style="309" customWidth="1"/>
    <col min="10" max="16384" width="10" style="309"/>
  </cols>
  <sheetData>
    <row r="1" spans="2:9" ht="16.5" customHeight="1"/>
    <row r="2" spans="2:9" s="311" customFormat="1" ht="26.25" customHeight="1">
      <c r="B2" s="549" t="s">
        <v>39</v>
      </c>
      <c r="C2" s="549"/>
      <c r="D2" s="549"/>
      <c r="E2" s="549"/>
      <c r="F2" s="549"/>
      <c r="G2" s="549"/>
      <c r="H2" s="549"/>
      <c r="I2" s="549"/>
    </row>
    <row r="3" spans="2:9" s="312" customFormat="1" ht="16.5" customHeight="1">
      <c r="C3" s="313"/>
      <c r="D3" s="313"/>
      <c r="E3" s="313"/>
      <c r="F3" s="313"/>
      <c r="G3" s="313"/>
      <c r="H3" s="313"/>
      <c r="I3" s="314"/>
    </row>
    <row r="4" spans="2:9" ht="16.5" customHeight="1" thickBot="1">
      <c r="B4" s="66" t="str">
        <f>'3.공사예산내역서(갑)'!$B$4</f>
        <v>공사명 : 펄어비스 안양오피스 원격감시시스템 구축공사</v>
      </c>
      <c r="I4" s="68" t="str">
        <f>'3.공사예산내역서(갑)'!$H$4</f>
        <v>(작성일자:`22년 10월 19일)</v>
      </c>
    </row>
    <row r="5" spans="2:9" ht="6.75" customHeight="1" thickBot="1">
      <c r="C5" s="66"/>
      <c r="I5" s="116"/>
    </row>
    <row r="6" spans="2:9" ht="33" customHeight="1">
      <c r="B6" s="315" t="s">
        <v>61</v>
      </c>
      <c r="C6" s="316" t="s">
        <v>26</v>
      </c>
      <c r="D6" s="317" t="s">
        <v>27</v>
      </c>
      <c r="E6" s="317" t="s">
        <v>28</v>
      </c>
      <c r="F6" s="318" t="s">
        <v>29</v>
      </c>
      <c r="G6" s="550" t="s">
        <v>30</v>
      </c>
      <c r="H6" s="550"/>
      <c r="I6" s="319" t="s">
        <v>31</v>
      </c>
    </row>
    <row r="7" spans="2:9" ht="18.45" customHeight="1">
      <c r="B7" s="320"/>
      <c r="C7" s="321" t="s">
        <v>187</v>
      </c>
      <c r="D7" s="322"/>
      <c r="E7" s="323"/>
      <c r="F7" s="324"/>
      <c r="G7" s="551"/>
      <c r="H7" s="552"/>
      <c r="I7" s="325"/>
    </row>
    <row r="8" spans="2:9" ht="18.45" customHeight="1">
      <c r="B8" s="320">
        <v>1</v>
      </c>
      <c r="C8" s="326" t="str">
        <f>'5.일위대가'!C9</f>
        <v>Smart Gateway</v>
      </c>
      <c r="D8" s="326" t="str">
        <f>'5.일위대가'!D9</f>
        <v>WI-SUN/LECIM, S&amp;I RMS연동, DI 8CH</v>
      </c>
      <c r="E8" s="350" t="str">
        <f>'5.일위대가'!E9</f>
        <v>대</v>
      </c>
      <c r="F8" s="350">
        <f>'5.일위대가'!F9</f>
        <v>3</v>
      </c>
      <c r="G8" s="553"/>
      <c r="H8" s="554"/>
      <c r="I8" s="330"/>
    </row>
    <row r="9" spans="2:9" ht="18.45" customHeight="1">
      <c r="B9" s="320">
        <v>2</v>
      </c>
      <c r="C9" s="326" t="str">
        <f>'5.일위대가'!C10</f>
        <v>Smart End Device</v>
      </c>
      <c r="D9" s="326" t="str">
        <f>'5.일위대가'!D10</f>
        <v>WI-SUN/LECIM, 4CH I/O</v>
      </c>
      <c r="E9" s="350" t="str">
        <f>'5.일위대가'!E10</f>
        <v>대</v>
      </c>
      <c r="F9" s="350">
        <f>'5.일위대가'!F10</f>
        <v>1</v>
      </c>
      <c r="G9" s="553"/>
      <c r="H9" s="554"/>
      <c r="I9" s="330"/>
    </row>
    <row r="10" spans="2:9" ht="18.45" customHeight="1">
      <c r="B10" s="320">
        <v>3</v>
      </c>
      <c r="C10" s="326" t="str">
        <f>'5.일위대가'!C11</f>
        <v>Smart DI Module</v>
      </c>
      <c r="D10" s="326" t="str">
        <f>'5.일위대가'!D11</f>
        <v>DI INPUT [I/O 4ch]</v>
      </c>
      <c r="E10" s="350" t="str">
        <f>'5.일위대가'!E11</f>
        <v>EA</v>
      </c>
      <c r="F10" s="350">
        <f>'5.일위대가'!F11</f>
        <v>0</v>
      </c>
      <c r="G10" s="553"/>
      <c r="H10" s="554"/>
      <c r="I10" s="330"/>
    </row>
    <row r="11" spans="2:9" ht="18.45" customHeight="1">
      <c r="B11" s="320">
        <v>4</v>
      </c>
      <c r="C11" s="326" t="str">
        <f>'5.일위대가'!C12</f>
        <v>Smart DO Module</v>
      </c>
      <c r="D11" s="326" t="str">
        <f>'5.일위대가'!D12</f>
        <v>Relay OUTPUT [I/O 4ch]</v>
      </c>
      <c r="E11" s="350" t="str">
        <f>'5.일위대가'!E12</f>
        <v>EA</v>
      </c>
      <c r="F11" s="350">
        <f>'5.일위대가'!F12</f>
        <v>0</v>
      </c>
      <c r="G11" s="553"/>
      <c r="H11" s="554"/>
      <c r="I11" s="330"/>
    </row>
    <row r="12" spans="2:9" ht="18.45" customHeight="1">
      <c r="B12" s="320">
        <v>5</v>
      </c>
      <c r="C12" s="326" t="str">
        <f>'5.일위대가'!C13</f>
        <v>Smart AI Module</v>
      </c>
      <c r="D12" s="326" t="str">
        <f>'5.일위대가'!D13</f>
        <v>VDC/ADC INPUT [I/O 4ch]</v>
      </c>
      <c r="E12" s="350" t="str">
        <f>'5.일위대가'!E13</f>
        <v>EA</v>
      </c>
      <c r="F12" s="350">
        <f>'5.일위대가'!F13</f>
        <v>0</v>
      </c>
      <c r="G12" s="553"/>
      <c r="H12" s="554"/>
      <c r="I12" s="330"/>
    </row>
    <row r="13" spans="2:9" ht="18.45" customHeight="1">
      <c r="B13" s="320">
        <v>6</v>
      </c>
      <c r="C13" s="326" t="str">
        <f>'5.일위대가'!C14</f>
        <v>Smart LED Detector Device</v>
      </c>
      <c r="D13" s="326" t="str">
        <f>'5.일위대가'!D14</f>
        <v>Arduino Nano 10CH Board</v>
      </c>
      <c r="E13" s="350" t="str">
        <f>'5.일위대가'!E14</f>
        <v>대</v>
      </c>
      <c r="F13" s="350">
        <f>'5.일위대가'!F14</f>
        <v>1</v>
      </c>
      <c r="G13" s="553"/>
      <c r="H13" s="554"/>
      <c r="I13" s="330"/>
    </row>
    <row r="14" spans="2:9" ht="18.45" customHeight="1">
      <c r="B14" s="320">
        <v>7</v>
      </c>
      <c r="C14" s="326" t="str">
        <f>'5.일위대가'!C15</f>
        <v>Smart CDS Sensor Module</v>
      </c>
      <c r="D14" s="326" t="str">
        <f>'5.일위대가'!D15</f>
        <v>High sensitivity CDS/3D Printing Cap</v>
      </c>
      <c r="E14" s="350" t="str">
        <f>'5.일위대가'!E15</f>
        <v>대</v>
      </c>
      <c r="F14" s="350">
        <f>'5.일위대가'!F15</f>
        <v>5</v>
      </c>
      <c r="G14" s="553"/>
      <c r="H14" s="554"/>
      <c r="I14" s="330"/>
    </row>
    <row r="15" spans="2:9" ht="18.45" customHeight="1">
      <c r="B15" s="320">
        <v>8</v>
      </c>
      <c r="C15" s="326" t="str">
        <f>'5.일위대가'!C16</f>
        <v>Mini DC-UPS</v>
      </c>
      <c r="D15" s="326" t="str">
        <f>'5.일위대가'!D16</f>
        <v>MPS-L24 / DC24V 3.0A Adapter 포함</v>
      </c>
      <c r="E15" s="350" t="str">
        <f>'5.일위대가'!E16</f>
        <v>대</v>
      </c>
      <c r="F15" s="350">
        <f>'5.일위대가'!F16</f>
        <v>0</v>
      </c>
      <c r="G15" s="553"/>
      <c r="H15" s="554"/>
      <c r="I15" s="330"/>
    </row>
    <row r="16" spans="2:9" ht="18.45" customHeight="1">
      <c r="B16" s="320">
        <v>9</v>
      </c>
      <c r="C16" s="326" t="str">
        <f>'5.일위대가'!C17</f>
        <v>AC UPS</v>
      </c>
      <c r="D16" s="326" t="str">
        <f>'5.일위대가'!D17</f>
        <v>APC BACK-UPS 650 (BX650LI-GR)</v>
      </c>
      <c r="E16" s="350" t="str">
        <f>'5.일위대가'!E17</f>
        <v>대</v>
      </c>
      <c r="F16" s="350">
        <f>'5.일위대가'!F17</f>
        <v>0</v>
      </c>
      <c r="G16" s="553"/>
      <c r="H16" s="554"/>
      <c r="I16" s="330"/>
    </row>
    <row r="17" spans="2:9" ht="18.45" customHeight="1">
      <c r="B17" s="320">
        <v>10</v>
      </c>
      <c r="C17" s="326" t="str">
        <f>'5.일위대가'!C18</f>
        <v>Modbus RTU DI Board</v>
      </c>
      <c r="D17" s="326" t="str">
        <f>'5.일위대가'!D18</f>
        <v>KM6054[I/O 13ch] - Digital INPUT</v>
      </c>
      <c r="E17" s="350" t="str">
        <f>'5.일위대가'!E18</f>
        <v>EA</v>
      </c>
      <c r="F17" s="350">
        <f>'5.일위대가'!F18</f>
        <v>0</v>
      </c>
      <c r="G17" s="553"/>
      <c r="H17" s="554"/>
      <c r="I17" s="330"/>
    </row>
    <row r="18" spans="2:9" ht="18.45" customHeight="1">
      <c r="B18" s="320">
        <v>11</v>
      </c>
      <c r="C18" s="326" t="str">
        <f>'5.일위대가'!C19</f>
        <v>Modbus RTU AI Board</v>
      </c>
      <c r="D18" s="326" t="str">
        <f>'5.일위대가'!D19</f>
        <v>KM6412[I/O 8ch] - Analog INPUT</v>
      </c>
      <c r="E18" s="350" t="str">
        <f>'5.일위대가'!E19</f>
        <v>EA</v>
      </c>
      <c r="F18" s="350">
        <f>'5.일위대가'!F19</f>
        <v>0</v>
      </c>
      <c r="G18" s="553"/>
      <c r="H18" s="554"/>
      <c r="I18" s="330"/>
    </row>
    <row r="19" spans="2:9" ht="18.45" customHeight="1">
      <c r="B19" s="320">
        <v>12</v>
      </c>
      <c r="C19" s="326" t="str">
        <f>'5.일위대가'!C20</f>
        <v>NTC 저항식 온도센서</v>
      </c>
      <c r="D19" s="326" t="str">
        <f>'5.일위대가'!D20</f>
        <v>FS-200N</v>
      </c>
      <c r="E19" s="350" t="str">
        <f>'5.일위대가'!E20</f>
        <v>EA</v>
      </c>
      <c r="F19" s="350">
        <f>'5.일위대가'!F20</f>
        <v>0</v>
      </c>
      <c r="G19" s="553"/>
      <c r="H19" s="554"/>
      <c r="I19" s="330"/>
    </row>
    <row r="20" spans="2:9" ht="18.45" customHeight="1">
      <c r="B20" s="320">
        <v>13</v>
      </c>
      <c r="C20" s="326" t="str">
        <f>'5.일위대가'!C30</f>
        <v>합성수지 전선관(CD)</v>
      </c>
      <c r="D20" s="326" t="str">
        <f>'5.일위대가'!D30</f>
        <v>16mm</v>
      </c>
      <c r="E20" s="350" t="str">
        <f>'5.일위대가'!E30</f>
        <v>M</v>
      </c>
      <c r="F20" s="350">
        <f>'5.일위대가'!F30</f>
        <v>60</v>
      </c>
      <c r="G20" s="553"/>
      <c r="H20" s="554"/>
      <c r="I20" s="330"/>
    </row>
    <row r="21" spans="2:9" ht="18.45" customHeight="1">
      <c r="B21" s="320">
        <v>14</v>
      </c>
      <c r="C21" s="326" t="str">
        <f>'5.일위대가'!C31</f>
        <v>합성수지 전선관 커넥터</v>
      </c>
      <c r="D21" s="326" t="str">
        <f>'5.일위대가'!D31</f>
        <v>16mm</v>
      </c>
      <c r="E21" s="350" t="str">
        <f>'5.일위대가'!E31</f>
        <v>EA</v>
      </c>
      <c r="F21" s="350">
        <f>'5.일위대가'!F31</f>
        <v>20</v>
      </c>
      <c r="G21" s="553"/>
      <c r="H21" s="554"/>
      <c r="I21" s="330"/>
    </row>
    <row r="22" spans="2:9" ht="18.45" customHeight="1">
      <c r="B22" s="320">
        <v>15</v>
      </c>
      <c r="C22" s="326" t="str">
        <f>'5.일위대가'!C32</f>
        <v>절연난연 PVC 시스케이블</v>
      </c>
      <c r="D22" s="326" t="str">
        <f>'5.일위대가'!D32</f>
        <v>0.6/1kv F-CV 3Cx1.5mm</v>
      </c>
      <c r="E22" s="350" t="str">
        <f>'5.일위대가'!E32</f>
        <v>M</v>
      </c>
      <c r="F22" s="350">
        <f>'5.일위대가'!F32</f>
        <v>30</v>
      </c>
      <c r="G22" s="553"/>
      <c r="H22" s="554"/>
      <c r="I22" s="330"/>
    </row>
    <row r="23" spans="2:9" ht="18.45" customHeight="1">
      <c r="B23" s="320">
        <v>16</v>
      </c>
      <c r="C23" s="326" t="str">
        <f>'5.일위대가'!C33</f>
        <v>신호용 케이블</v>
      </c>
      <c r="D23" s="326" t="str">
        <f>'5.일위대가'!D33</f>
        <v>4C x 0.5mm</v>
      </c>
      <c r="E23" s="350" t="str">
        <f>'5.일위대가'!E33</f>
        <v>M</v>
      </c>
      <c r="F23" s="350">
        <f>'5.일위대가'!F33</f>
        <v>30</v>
      </c>
      <c r="G23" s="553"/>
      <c r="H23" s="554"/>
      <c r="I23" s="330"/>
    </row>
    <row r="24" spans="2:9" ht="18.45" customHeight="1">
      <c r="B24" s="320">
        <v>17</v>
      </c>
      <c r="C24" s="326" t="str">
        <f>'5.일위대가'!C34</f>
        <v>신호용 케이블</v>
      </c>
      <c r="D24" s="326" t="str">
        <f>'5.일위대가'!D34</f>
        <v>6C x 0.5mm</v>
      </c>
      <c r="E24" s="350" t="str">
        <f>'5.일위대가'!E34</f>
        <v>M</v>
      </c>
      <c r="F24" s="350">
        <f>'5.일위대가'!F34</f>
        <v>10</v>
      </c>
      <c r="G24" s="553"/>
      <c r="H24" s="554"/>
      <c r="I24" s="330"/>
    </row>
    <row r="25" spans="2:9" ht="18.45" customHeight="1">
      <c r="B25" s="320">
        <v>18</v>
      </c>
      <c r="C25" s="326" t="str">
        <f>'5.일위대가'!C35</f>
        <v>신호용 케이블</v>
      </c>
      <c r="D25" s="326" t="str">
        <f>'5.일위대가'!D35</f>
        <v>10C x 0.5mm</v>
      </c>
      <c r="E25" s="350" t="str">
        <f>'5.일위대가'!E35</f>
        <v>M</v>
      </c>
      <c r="F25" s="350">
        <f>'5.일위대가'!F35</f>
        <v>10</v>
      </c>
      <c r="G25" s="553"/>
      <c r="H25" s="554"/>
      <c r="I25" s="330"/>
    </row>
    <row r="26" spans="2:9" ht="18.45" customHeight="1">
      <c r="B26" s="320">
        <v>19</v>
      </c>
      <c r="C26" s="326" t="str">
        <f>'5.일위대가'!C36</f>
        <v>소형계전기</v>
      </c>
      <c r="D26" s="326" t="str">
        <f>'5.일위대가'!D36</f>
        <v>Relay AC24V 4a4c (SOCKET 포함)</v>
      </c>
      <c r="E26" s="350" t="str">
        <f>'5.일위대가'!E36</f>
        <v>EA</v>
      </c>
      <c r="F26" s="350">
        <f>'5.일위대가'!F36</f>
        <v>0</v>
      </c>
      <c r="G26" s="553"/>
      <c r="H26" s="554"/>
      <c r="I26" s="330"/>
    </row>
    <row r="27" spans="2:9" ht="18.45" customHeight="1">
      <c r="B27" s="320">
        <v>20</v>
      </c>
      <c r="C27" s="326" t="str">
        <f>'5.일위대가'!C37</f>
        <v>소형계전기</v>
      </c>
      <c r="D27" s="326" t="str">
        <f>'5.일위대가'!D37</f>
        <v>Relay DC24V 4a4c (SOCKET 포함)</v>
      </c>
      <c r="E27" s="350" t="str">
        <f>'5.일위대가'!E37</f>
        <v>EA</v>
      </c>
      <c r="F27" s="350">
        <f>'5.일위대가'!F37</f>
        <v>0</v>
      </c>
      <c r="G27" s="553"/>
      <c r="H27" s="554"/>
      <c r="I27" s="330"/>
    </row>
    <row r="28" spans="2:9" ht="18.45" customHeight="1">
      <c r="B28" s="320">
        <v>21</v>
      </c>
      <c r="C28" s="326" t="str">
        <f>'5.일위대가'!C38</f>
        <v>소형계전기</v>
      </c>
      <c r="D28" s="326" t="str">
        <f>'5.일위대가'!D38</f>
        <v>Relay AC220V 4a4c (SOCKET 포함)</v>
      </c>
      <c r="E28" s="350" t="str">
        <f>'5.일위대가'!E38</f>
        <v>EA</v>
      </c>
      <c r="F28" s="350">
        <f>'5.일위대가'!F38</f>
        <v>0</v>
      </c>
      <c r="G28" s="553"/>
      <c r="H28" s="554"/>
      <c r="I28" s="330"/>
    </row>
    <row r="29" spans="2:9" ht="18.45" customHeight="1">
      <c r="B29" s="320">
        <v>22</v>
      </c>
      <c r="C29" s="326" t="str">
        <f>'5.일위대가'!C39</f>
        <v>HI-BOX (Relay SET-UP)</v>
      </c>
      <c r="D29" s="326" t="str">
        <f>'5.일위대가'!D39</f>
        <v>190(W) X 280 (H) X 180(D)</v>
      </c>
      <c r="E29" s="350" t="str">
        <f>'5.일위대가'!E39</f>
        <v>EA</v>
      </c>
      <c r="F29" s="350">
        <f>'5.일위대가'!F39</f>
        <v>0</v>
      </c>
      <c r="G29" s="553"/>
      <c r="H29" s="554"/>
      <c r="I29" s="330"/>
    </row>
    <row r="30" spans="2:9" ht="18.45" customHeight="1">
      <c r="B30" s="320">
        <v>23</v>
      </c>
      <c r="C30" s="326" t="str">
        <f>'5.일위대가'!C40</f>
        <v>HI-BOX (SGW 외부시공 방수용)</v>
      </c>
      <c r="D30" s="326" t="str">
        <f>'5.일위대가'!D40</f>
        <v>300(W) X 400 (H) X 180(D)</v>
      </c>
      <c r="E30" s="350" t="str">
        <f>'5.일위대가'!E40</f>
        <v>EA</v>
      </c>
      <c r="F30" s="350">
        <f>'5.일위대가'!F40</f>
        <v>0</v>
      </c>
      <c r="G30" s="553"/>
      <c r="H30" s="554"/>
      <c r="I30" s="330"/>
    </row>
    <row r="31" spans="2:9" ht="18.45" customHeight="1">
      <c r="B31" s="320">
        <v>24</v>
      </c>
      <c r="C31" s="326" t="str">
        <f>'5.일위대가'!C41</f>
        <v>수위감지센서</v>
      </c>
      <c r="D31" s="326" t="str">
        <f>'5.일위대가'!D41</f>
        <v>YQ-1 A/B접점</v>
      </c>
      <c r="E31" s="350" t="str">
        <f>'5.일위대가'!E41</f>
        <v>EA</v>
      </c>
      <c r="F31" s="350">
        <f>'5.일위대가'!F41</f>
        <v>0</v>
      </c>
      <c r="G31" s="553"/>
      <c r="H31" s="554"/>
      <c r="I31" s="330"/>
    </row>
    <row r="32" spans="2:9" ht="18.45" customHeight="1">
      <c r="B32" s="320">
        <v>25</v>
      </c>
      <c r="C32" s="326" t="str">
        <f>'5.일위대가'!C42</f>
        <v>수위감지센서 무게추</v>
      </c>
      <c r="D32" s="326" t="str">
        <f>'5.일위대가'!D42</f>
        <v>DSF-014</v>
      </c>
      <c r="E32" s="350" t="str">
        <f>'5.일위대가'!E42</f>
        <v>EA</v>
      </c>
      <c r="F32" s="350">
        <f>'5.일위대가'!F42</f>
        <v>0</v>
      </c>
      <c r="G32" s="553"/>
      <c r="H32" s="554"/>
      <c r="I32" s="330"/>
    </row>
    <row r="33" spans="2:9" ht="18.45" customHeight="1">
      <c r="B33" s="320">
        <v>26</v>
      </c>
      <c r="C33" s="326" t="str">
        <f>'5.일위대가'!C52</f>
        <v>넘버링튜브</v>
      </c>
      <c r="D33" s="340" t="str">
        <f>'5.일위대가'!D52</f>
        <v>1.5SQ 백색</v>
      </c>
      <c r="E33" s="328" t="s">
        <v>116</v>
      </c>
      <c r="F33" s="329">
        <f>'5.일위대가'!F52</f>
        <v>3</v>
      </c>
      <c r="G33" s="553"/>
      <c r="H33" s="554"/>
      <c r="I33" s="330"/>
    </row>
    <row r="34" spans="2:9" ht="18.45" customHeight="1">
      <c r="B34" s="320">
        <v>27</v>
      </c>
      <c r="C34" s="326" t="str">
        <f>'5.일위대가'!C53</f>
        <v>압착단자</v>
      </c>
      <c r="D34" s="340" t="str">
        <f>'5.일위대가'!D53</f>
        <v>15SQ x 3mm Y형</v>
      </c>
      <c r="E34" s="328" t="s">
        <v>115</v>
      </c>
      <c r="F34" s="329">
        <f>'5.일위대가'!F53</f>
        <v>100</v>
      </c>
      <c r="G34" s="553"/>
      <c r="H34" s="554"/>
      <c r="I34" s="330"/>
    </row>
    <row r="35" spans="2:9" ht="18.45" customHeight="1">
      <c r="B35" s="320">
        <v>28</v>
      </c>
      <c r="C35" s="326" t="str">
        <f>'5.일위대가'!C54</f>
        <v>압착단자</v>
      </c>
      <c r="D35" s="340" t="str">
        <f>'5.일위대가'!D54</f>
        <v>15SQ x 3mm PIN형</v>
      </c>
      <c r="E35" s="328" t="s">
        <v>115</v>
      </c>
      <c r="F35" s="329">
        <f>'5.일위대가'!F54</f>
        <v>100</v>
      </c>
      <c r="G35" s="553"/>
      <c r="H35" s="554"/>
      <c r="I35" s="330"/>
    </row>
    <row r="36" spans="2:9" ht="18.45" customHeight="1">
      <c r="B36" s="320">
        <v>29</v>
      </c>
      <c r="C36" s="326" t="s">
        <v>228</v>
      </c>
      <c r="D36" s="327" t="s">
        <v>174</v>
      </c>
      <c r="E36" s="328" t="s">
        <v>77</v>
      </c>
      <c r="F36" s="329">
        <v>1</v>
      </c>
      <c r="G36" s="553"/>
      <c r="H36" s="554"/>
      <c r="I36" s="330"/>
    </row>
    <row r="37" spans="2:9" ht="18.45" customHeight="1">
      <c r="B37" s="320">
        <v>30</v>
      </c>
      <c r="C37" s="326" t="s">
        <v>229</v>
      </c>
      <c r="D37" s="327" t="s">
        <v>87</v>
      </c>
      <c r="E37" s="328" t="s">
        <v>77</v>
      </c>
      <c r="F37" s="329">
        <v>1</v>
      </c>
      <c r="G37" s="553"/>
      <c r="H37" s="554"/>
      <c r="I37" s="330"/>
    </row>
    <row r="38" spans="2:9" ht="18.45" customHeight="1">
      <c r="B38" s="320">
        <v>31</v>
      </c>
      <c r="C38" s="326" t="s">
        <v>141</v>
      </c>
      <c r="D38" s="327"/>
      <c r="E38" s="328" t="s">
        <v>142</v>
      </c>
      <c r="F38" s="329">
        <v>1</v>
      </c>
      <c r="G38" s="553"/>
      <c r="H38" s="554"/>
      <c r="I38" s="330"/>
    </row>
    <row r="39" spans="2:9" ht="48" customHeight="1">
      <c r="B39" s="320">
        <v>32</v>
      </c>
      <c r="C39" s="326" t="s">
        <v>230</v>
      </c>
      <c r="D39" s="331" t="s">
        <v>320</v>
      </c>
      <c r="E39" s="328" t="s">
        <v>77</v>
      </c>
      <c r="F39" s="329" t="s">
        <v>88</v>
      </c>
      <c r="G39" s="553"/>
      <c r="H39" s="554"/>
      <c r="I39" s="330"/>
    </row>
    <row r="40" spans="2:9" ht="18.45" customHeight="1">
      <c r="B40" s="320">
        <v>33</v>
      </c>
      <c r="C40" s="326" t="s">
        <v>231</v>
      </c>
      <c r="D40" s="327"/>
      <c r="E40" s="328" t="s">
        <v>77</v>
      </c>
      <c r="F40" s="329">
        <v>1</v>
      </c>
      <c r="G40" s="553"/>
      <c r="H40" s="554"/>
      <c r="I40" s="330"/>
    </row>
    <row r="41" spans="2:9" ht="18.45" customHeight="1" thickBot="1">
      <c r="B41" s="332"/>
      <c r="C41" s="333"/>
      <c r="D41" s="334"/>
      <c r="E41" s="335"/>
      <c r="F41" s="336"/>
      <c r="G41" s="555"/>
      <c r="H41" s="556"/>
      <c r="I41" s="337"/>
    </row>
    <row r="42" spans="2:9" ht="18.45" customHeight="1"/>
    <row r="43" spans="2:9" ht="18.45" customHeight="1"/>
    <row r="44" spans="2:9" ht="18.45" customHeight="1"/>
    <row r="45" spans="2:9" ht="18.45" customHeight="1"/>
    <row r="46" spans="2:9" ht="18.45" customHeight="1"/>
    <row r="47" spans="2:9" ht="18.45" customHeight="1"/>
  </sheetData>
  <mergeCells count="3">
    <mergeCell ref="B2:I2"/>
    <mergeCell ref="G6:H6"/>
    <mergeCell ref="G7:H41"/>
  </mergeCells>
  <phoneticPr fontId="10" type="noConversion"/>
  <pageMargins left="0.7" right="0.7" top="0.75" bottom="0.75" header="0.3" footer="0.3"/>
  <pageSetup paperSize="9" scale="64"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B4307-05B7-468A-B4A5-601187EDA6AC}">
  <sheetPr>
    <tabColor rgb="FF00B0F0"/>
    <pageSetUpPr fitToPage="1"/>
  </sheetPr>
  <dimension ref="A1:L36"/>
  <sheetViews>
    <sheetView showGridLines="0" workbookViewId="0">
      <selection activeCell="C19" sqref="C19"/>
    </sheetView>
  </sheetViews>
  <sheetFormatPr defaultColWidth="10" defaultRowHeight="17.399999999999999"/>
  <cols>
    <col min="1" max="1" width="3.19921875" style="3" customWidth="1"/>
    <col min="2" max="2" width="10.59765625" style="3" customWidth="1"/>
    <col min="3" max="3" width="45.19921875" style="3" customWidth="1"/>
    <col min="4" max="4" width="8.59765625" style="3" bestFit="1" customWidth="1"/>
    <col min="5" max="5" width="8.59765625" style="3" customWidth="1"/>
    <col min="6" max="6" width="10.59765625" style="4" customWidth="1"/>
    <col min="7" max="12" width="10.59765625" style="3" customWidth="1"/>
    <col min="13" max="18" width="10" style="3"/>
    <col min="19" max="19" width="23.8984375" style="3" customWidth="1"/>
    <col min="20" max="16384" width="10" style="3"/>
  </cols>
  <sheetData>
    <row r="1" spans="1:12" ht="16.5" customHeight="1"/>
    <row r="2" spans="1:12" s="7" customFormat="1" ht="26.25" customHeight="1">
      <c r="B2" s="549" t="s">
        <v>386</v>
      </c>
      <c r="C2" s="549"/>
      <c r="D2" s="549"/>
      <c r="E2" s="549"/>
      <c r="F2" s="549"/>
      <c r="G2" s="549"/>
      <c r="H2" s="549"/>
      <c r="I2" s="549"/>
      <c r="J2" s="549"/>
      <c r="K2" s="549"/>
      <c r="L2" s="549"/>
    </row>
    <row r="3" spans="1:12" s="7" customFormat="1" ht="26.25" customHeight="1">
      <c r="B3" s="372"/>
      <c r="C3" s="372"/>
      <c r="D3" s="372"/>
      <c r="E3" s="372"/>
      <c r="F3" s="372"/>
      <c r="G3" s="372"/>
      <c r="H3" s="372"/>
      <c r="I3" s="372"/>
      <c r="J3" s="372"/>
      <c r="K3" s="372"/>
      <c r="L3" s="68" t="str">
        <f>'3.공사예산내역서(갑)'!$H$4</f>
        <v>(작성일자:`22년 10월 19일)</v>
      </c>
    </row>
    <row r="4" spans="1:12" s="1" customFormat="1" ht="16.5" customHeight="1" thickBot="1">
      <c r="B4" s="313"/>
      <c r="C4" s="313"/>
      <c r="D4" s="313"/>
      <c r="E4" s="313"/>
      <c r="F4" s="313"/>
      <c r="G4" s="313"/>
      <c r="H4" s="313"/>
      <c r="I4" s="313"/>
      <c r="J4" s="313"/>
      <c r="K4" s="313"/>
      <c r="L4" s="70" t="s">
        <v>36</v>
      </c>
    </row>
    <row r="5" spans="1:12" ht="33" customHeight="1" thickBot="1">
      <c r="B5" s="381" t="s">
        <v>163</v>
      </c>
      <c r="C5" s="382" t="s">
        <v>330</v>
      </c>
      <c r="D5" s="382" t="s">
        <v>331</v>
      </c>
      <c r="E5" s="382" t="s">
        <v>332</v>
      </c>
      <c r="F5" s="382" t="s">
        <v>165</v>
      </c>
      <c r="G5" s="382" t="s">
        <v>166</v>
      </c>
      <c r="H5" s="382" t="s">
        <v>173</v>
      </c>
      <c r="I5" s="382" t="s">
        <v>333</v>
      </c>
      <c r="J5" s="383" t="s">
        <v>162</v>
      </c>
      <c r="K5" s="384" t="s">
        <v>141</v>
      </c>
      <c r="L5" s="385" t="s">
        <v>152</v>
      </c>
    </row>
    <row r="6" spans="1:12" ht="35.4" customHeight="1" thickTop="1" thickBot="1">
      <c r="A6" s="21"/>
      <c r="B6" s="386" t="s">
        <v>334</v>
      </c>
      <c r="C6" s="387" t="s">
        <v>430</v>
      </c>
      <c r="D6" s="387">
        <v>1</v>
      </c>
      <c r="E6" s="387">
        <v>2</v>
      </c>
      <c r="F6" s="388">
        <f>F7*2</f>
        <v>0</v>
      </c>
      <c r="G6" s="388">
        <f t="shared" ref="G6:H6" si="0">G7*2</f>
        <v>0</v>
      </c>
      <c r="H6" s="388">
        <f t="shared" si="0"/>
        <v>0</v>
      </c>
      <c r="I6" s="388">
        <f>I7</f>
        <v>0</v>
      </c>
      <c r="J6" s="387">
        <f>((G6+H6)*D6)+I6</f>
        <v>0</v>
      </c>
      <c r="K6" s="389">
        <f>ROUNDUP(J6*1.3,-3)</f>
        <v>0</v>
      </c>
      <c r="L6" s="390"/>
    </row>
    <row r="7" spans="1:12">
      <c r="A7" s="21"/>
      <c r="B7" s="368" t="s">
        <v>339</v>
      </c>
      <c r="C7" s="391"/>
      <c r="D7" s="391"/>
      <c r="E7" s="408" t="s">
        <v>387</v>
      </c>
      <c r="F7" s="409">
        <v>0</v>
      </c>
      <c r="G7" s="410">
        <v>0</v>
      </c>
      <c r="H7" s="410">
        <v>0</v>
      </c>
      <c r="I7" s="410"/>
      <c r="J7" s="392"/>
      <c r="K7" s="392"/>
      <c r="L7" s="393"/>
    </row>
    <row r="8" spans="1:12">
      <c r="A8" s="21"/>
      <c r="B8" s="368" t="s">
        <v>340</v>
      </c>
      <c r="C8" s="391"/>
      <c r="D8" s="391"/>
      <c r="E8" s="391"/>
      <c r="F8" s="394"/>
      <c r="G8" s="392"/>
      <c r="H8" s="392"/>
      <c r="I8" s="392"/>
      <c r="J8" s="392"/>
      <c r="K8" s="392"/>
      <c r="L8" s="309"/>
    </row>
    <row r="9" spans="1:12" ht="18.45" customHeight="1">
      <c r="A9" s="21"/>
      <c r="B9" s="368" t="s">
        <v>335</v>
      </c>
      <c r="C9" s="391"/>
      <c r="D9" s="391"/>
      <c r="E9" s="391"/>
      <c r="F9" s="394"/>
      <c r="G9" s="392"/>
      <c r="H9" s="392"/>
      <c r="I9" s="392"/>
      <c r="J9" s="392"/>
      <c r="K9" s="392"/>
      <c r="L9" s="309"/>
    </row>
    <row r="10" spans="1:12" ht="18.45" customHeight="1">
      <c r="A10" s="21"/>
      <c r="B10" s="368" t="s">
        <v>336</v>
      </c>
      <c r="C10" s="391"/>
      <c r="D10" s="391"/>
      <c r="E10" s="391"/>
      <c r="F10" s="394"/>
      <c r="G10" s="392"/>
      <c r="H10" s="392"/>
      <c r="I10" s="392"/>
      <c r="J10" s="392"/>
      <c r="K10" s="392"/>
      <c r="L10" s="393"/>
    </row>
    <row r="11" spans="1:12" ht="18.45" customHeight="1">
      <c r="A11" s="21"/>
      <c r="B11" s="368" t="s">
        <v>402</v>
      </c>
      <c r="C11" s="391"/>
      <c r="D11" s="391"/>
      <c r="E11" s="391"/>
      <c r="F11" s="394"/>
      <c r="G11" s="392"/>
      <c r="H11" s="392"/>
      <c r="I11" s="392"/>
      <c r="J11" s="392"/>
      <c r="K11" s="392"/>
      <c r="L11" s="393"/>
    </row>
    <row r="12" spans="1:12" ht="18.45" customHeight="1">
      <c r="A12" s="21"/>
      <c r="B12" s="368" t="s">
        <v>399</v>
      </c>
      <c r="C12" s="391"/>
      <c r="D12" s="391"/>
      <c r="E12" s="391"/>
      <c r="F12" s="394"/>
      <c r="G12" s="392"/>
      <c r="H12" s="392"/>
      <c r="I12" s="392"/>
      <c r="J12" s="392"/>
      <c r="K12" s="392"/>
      <c r="L12" s="393"/>
    </row>
    <row r="13" spans="1:12" ht="18.45" customHeight="1">
      <c r="A13" s="21"/>
      <c r="B13" s="368" t="s">
        <v>398</v>
      </c>
      <c r="C13" s="391"/>
      <c r="D13" s="391"/>
      <c r="E13" s="391"/>
      <c r="F13" s="394"/>
      <c r="G13" s="392"/>
      <c r="H13" s="392"/>
      <c r="I13" s="392"/>
      <c r="J13" s="392"/>
      <c r="K13" s="392"/>
      <c r="L13" s="393"/>
    </row>
    <row r="14" spans="1:12" ht="18.45" customHeight="1">
      <c r="A14" s="21"/>
      <c r="B14" s="395" t="s">
        <v>397</v>
      </c>
      <c r="C14" s="396"/>
      <c r="D14" s="396"/>
      <c r="E14" s="396"/>
      <c r="F14" s="394"/>
      <c r="G14" s="392"/>
      <c r="H14" s="392"/>
      <c r="I14" s="392"/>
      <c r="J14" s="392"/>
      <c r="K14" s="392"/>
      <c r="L14" s="393"/>
    </row>
    <row r="15" spans="1:12" ht="18.45" customHeight="1">
      <c r="A15" s="21"/>
      <c r="B15" s="23"/>
      <c r="C15" s="24"/>
      <c r="D15" s="24"/>
      <c r="E15" s="24"/>
      <c r="F15" s="25"/>
      <c r="G15" s="26"/>
      <c r="H15" s="26"/>
      <c r="I15" s="26"/>
      <c r="J15" s="26"/>
      <c r="K15" s="26"/>
      <c r="L15" s="27"/>
    </row>
    <row r="16" spans="1:12" ht="18.45" customHeight="1">
      <c r="A16" s="21"/>
      <c r="B16" s="23"/>
      <c r="C16" s="24"/>
      <c r="D16" s="24"/>
      <c r="E16" s="24"/>
      <c r="F16" s="25"/>
      <c r="G16" s="26"/>
      <c r="H16" s="26"/>
      <c r="I16" s="26"/>
      <c r="J16" s="26"/>
      <c r="K16" s="26"/>
    </row>
    <row r="17" spans="1:12" ht="18.45" customHeight="1">
      <c r="A17" s="21"/>
      <c r="B17" s="23"/>
      <c r="C17" s="24"/>
      <c r="D17" s="24"/>
      <c r="E17" s="24"/>
      <c r="F17" s="25"/>
      <c r="G17" s="26"/>
      <c r="H17" s="26"/>
      <c r="I17" s="26"/>
      <c r="J17" s="26"/>
      <c r="K17" s="26"/>
      <c r="L17" s="27"/>
    </row>
    <row r="18" spans="1:12" ht="18.45" customHeight="1">
      <c r="A18" s="21"/>
      <c r="B18" s="23"/>
      <c r="C18" s="24"/>
      <c r="D18" s="24"/>
      <c r="E18" s="24"/>
      <c r="F18" s="25"/>
      <c r="G18" s="26"/>
      <c r="H18" s="26"/>
      <c r="I18" s="26"/>
      <c r="J18" s="26"/>
      <c r="K18" s="26"/>
      <c r="L18" s="27"/>
    </row>
    <row r="19" spans="1:12" ht="18.45" customHeight="1">
      <c r="A19" s="21"/>
      <c r="B19" s="23"/>
      <c r="C19" s="24"/>
      <c r="D19" s="24"/>
      <c r="E19" s="24"/>
      <c r="F19" s="25"/>
      <c r="G19" s="26"/>
      <c r="H19" s="26"/>
      <c r="I19" s="26"/>
      <c r="J19" s="26"/>
      <c r="K19" s="26"/>
      <c r="L19" s="27"/>
    </row>
    <row r="20" spans="1:12" ht="18.45" customHeight="1">
      <c r="A20" s="21"/>
      <c r="B20" s="23"/>
      <c r="C20" s="24"/>
      <c r="D20" s="24"/>
      <c r="E20" s="24"/>
      <c r="F20" s="25"/>
      <c r="G20" s="26"/>
      <c r="H20" s="26"/>
      <c r="I20" s="26"/>
      <c r="J20" s="26"/>
      <c r="K20" s="26"/>
      <c r="L20" s="27"/>
    </row>
    <row r="21" spans="1:12" ht="18.45" customHeight="1">
      <c r="A21" s="21"/>
      <c r="B21" s="23"/>
      <c r="C21" s="24"/>
      <c r="D21" s="24"/>
      <c r="E21" s="24"/>
      <c r="F21" s="25"/>
      <c r="G21" s="26"/>
      <c r="H21" s="26"/>
      <c r="I21" s="26"/>
      <c r="J21" s="26"/>
      <c r="K21" s="26"/>
      <c r="L21" s="27"/>
    </row>
    <row r="22" spans="1:12" ht="18.45" customHeight="1">
      <c r="A22" s="21"/>
      <c r="B22" s="23"/>
      <c r="C22" s="24"/>
      <c r="D22" s="24"/>
      <c r="E22" s="24"/>
      <c r="F22" s="25"/>
      <c r="G22" s="26"/>
      <c r="H22" s="26"/>
      <c r="I22" s="26"/>
      <c r="J22" s="26"/>
      <c r="K22" s="26"/>
      <c r="L22" s="27"/>
    </row>
    <row r="23" spans="1:12" ht="48" customHeight="1">
      <c r="A23" s="21"/>
      <c r="B23" s="23"/>
      <c r="C23" s="24"/>
      <c r="D23" s="24"/>
      <c r="E23" s="24"/>
      <c r="F23" s="25"/>
      <c r="G23" s="26"/>
      <c r="H23" s="26"/>
      <c r="I23" s="26"/>
      <c r="J23" s="26"/>
      <c r="K23" s="26"/>
      <c r="L23" s="27"/>
    </row>
    <row r="24" spans="1:12" ht="18.45" customHeight="1">
      <c r="A24" s="21"/>
      <c r="B24" s="23"/>
      <c r="C24" s="24"/>
      <c r="D24" s="24"/>
      <c r="E24" s="24"/>
      <c r="F24" s="25"/>
      <c r="G24" s="26"/>
      <c r="H24" s="26"/>
      <c r="I24" s="26"/>
      <c r="J24" s="26"/>
      <c r="K24" s="26"/>
      <c r="L24" s="27"/>
    </row>
    <row r="25" spans="1:12" ht="18.45" customHeight="1">
      <c r="A25" s="21"/>
      <c r="B25" s="23"/>
      <c r="C25" s="24"/>
      <c r="D25" s="24"/>
      <c r="E25" s="24"/>
      <c r="F25" s="25"/>
      <c r="G25" s="26"/>
      <c r="H25" s="26"/>
      <c r="I25" s="26"/>
      <c r="J25" s="26"/>
      <c r="K25" s="26"/>
      <c r="L25" s="27"/>
    </row>
    <row r="26" spans="1:12" ht="18.45" customHeight="1"/>
    <row r="27" spans="1:12" ht="18.45" customHeight="1"/>
    <row r="28" spans="1:12" ht="18.45" customHeight="1"/>
    <row r="29" spans="1:12" ht="18.45" customHeight="1"/>
    <row r="30" spans="1:12" ht="18.45" customHeight="1"/>
    <row r="31" spans="1:12" ht="18.45" customHeight="1"/>
    <row r="36" spans="2:2">
      <c r="B36" s="27" t="s">
        <v>390</v>
      </c>
    </row>
  </sheetData>
  <mergeCells count="1">
    <mergeCell ref="B2:L2"/>
  </mergeCells>
  <phoneticPr fontId="41" type="noConversion"/>
  <pageMargins left="0.35433070866141736" right="0.15748031496062992" top="0.41" bottom="0.19685039370078741" header="0.15748031496062992" footer="0.15748031496062992"/>
  <pageSetup paperSize="9" scale="85"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35"/>
  <sheetViews>
    <sheetView showGridLines="0" workbookViewId="0">
      <selection activeCell="H21" sqref="H21"/>
    </sheetView>
  </sheetViews>
  <sheetFormatPr defaultColWidth="10" defaultRowHeight="17.399999999999999"/>
  <cols>
    <col min="1" max="1" width="1.59765625" style="3" customWidth="1"/>
    <col min="2" max="2" width="4.8984375" style="3" customWidth="1"/>
    <col min="3" max="4" width="10.59765625" style="3" customWidth="1"/>
    <col min="5" max="5" width="13.3984375" style="3" customWidth="1"/>
    <col min="6" max="6" width="10.59765625" style="4" customWidth="1"/>
    <col min="7" max="10" width="10.59765625" style="3" customWidth="1"/>
    <col min="11" max="11" width="25.8984375" style="3" customWidth="1"/>
    <col min="12" max="18" width="10" style="3"/>
    <col min="19" max="19" width="23.8984375" style="3" customWidth="1"/>
    <col min="20" max="16384" width="10" style="3"/>
  </cols>
  <sheetData>
    <row r="1" spans="1:11" ht="16.5" customHeight="1"/>
    <row r="2" spans="1:11" s="7" customFormat="1" ht="26.25" customHeight="1">
      <c r="C2" s="563" t="s">
        <v>167</v>
      </c>
      <c r="D2" s="563"/>
      <c r="E2" s="563"/>
      <c r="F2" s="563"/>
      <c r="G2" s="563"/>
      <c r="H2" s="563"/>
      <c r="I2" s="563"/>
      <c r="J2" s="563"/>
      <c r="K2" s="563"/>
    </row>
    <row r="3" spans="1:11" s="7" customFormat="1" ht="26.25" customHeight="1">
      <c r="C3" s="9"/>
      <c r="D3" s="9"/>
      <c r="E3" s="9"/>
      <c r="F3" s="9"/>
      <c r="G3" s="9"/>
      <c r="H3" s="9"/>
      <c r="I3" s="9"/>
      <c r="J3" s="9"/>
      <c r="K3" s="8" t="s">
        <v>119</v>
      </c>
    </row>
    <row r="4" spans="1:11" s="1" customFormat="1" ht="16.5" customHeight="1" thickBot="1">
      <c r="C4" s="5"/>
      <c r="D4" s="5"/>
      <c r="E4" s="5"/>
      <c r="F4" s="5"/>
      <c r="G4" s="5"/>
      <c r="H4" s="5"/>
      <c r="I4" s="5"/>
      <c r="J4" s="5"/>
      <c r="K4" s="6" t="s">
        <v>36</v>
      </c>
    </row>
    <row r="5" spans="1:11" ht="33" customHeight="1">
      <c r="B5" s="2"/>
      <c r="C5" s="11" t="s">
        <v>151</v>
      </c>
      <c r="D5" s="29" t="s">
        <v>163</v>
      </c>
      <c r="E5" s="20" t="s">
        <v>158</v>
      </c>
      <c r="F5" s="20" t="s">
        <v>165</v>
      </c>
      <c r="G5" s="20" t="s">
        <v>166</v>
      </c>
      <c r="H5" s="20" t="s">
        <v>173</v>
      </c>
      <c r="I5" s="17" t="s">
        <v>162</v>
      </c>
      <c r="J5" s="12" t="s">
        <v>141</v>
      </c>
      <c r="K5" s="13" t="s">
        <v>152</v>
      </c>
    </row>
    <row r="6" spans="1:11" ht="21" customHeight="1">
      <c r="C6" s="14" t="s">
        <v>143</v>
      </c>
      <c r="D6" s="560" t="s">
        <v>164</v>
      </c>
      <c r="E6" s="18" t="s">
        <v>161</v>
      </c>
      <c r="F6" s="18">
        <v>200</v>
      </c>
      <c r="G6" s="18">
        <v>30000</v>
      </c>
      <c r="H6" s="18">
        <v>8600</v>
      </c>
      <c r="I6" s="18">
        <f>G6+H6</f>
        <v>38600</v>
      </c>
      <c r="J6" s="10">
        <v>50000</v>
      </c>
      <c r="K6" s="557" t="s">
        <v>171</v>
      </c>
    </row>
    <row r="7" spans="1:11" ht="21" customHeight="1">
      <c r="A7" s="21"/>
      <c r="B7" s="21"/>
      <c r="C7" s="14" t="s">
        <v>144</v>
      </c>
      <c r="D7" s="561"/>
      <c r="E7" s="18" t="s">
        <v>160</v>
      </c>
      <c r="F7" s="18">
        <v>480</v>
      </c>
      <c r="G7" s="18">
        <v>60000</v>
      </c>
      <c r="H7" s="18">
        <v>24600</v>
      </c>
      <c r="I7" s="18">
        <f t="shared" ref="I7:I13" si="0">G7+H7</f>
        <v>84600</v>
      </c>
      <c r="J7" s="10">
        <v>100000</v>
      </c>
      <c r="K7" s="558"/>
    </row>
    <row r="8" spans="1:11" ht="21" customHeight="1">
      <c r="A8" s="21"/>
      <c r="B8" s="22"/>
      <c r="C8" s="14" t="s">
        <v>145</v>
      </c>
      <c r="D8" s="561"/>
      <c r="E8" s="18" t="s">
        <v>159</v>
      </c>
      <c r="F8" s="18">
        <v>360</v>
      </c>
      <c r="G8" s="18">
        <v>45000</v>
      </c>
      <c r="H8" s="18">
        <v>21800</v>
      </c>
      <c r="I8" s="18">
        <f t="shared" si="0"/>
        <v>66800</v>
      </c>
      <c r="J8" s="10">
        <v>100000</v>
      </c>
      <c r="K8" s="558"/>
    </row>
    <row r="9" spans="1:11" ht="21" customHeight="1">
      <c r="A9" s="21"/>
      <c r="B9" s="22"/>
      <c r="C9" s="14" t="s">
        <v>146</v>
      </c>
      <c r="D9" s="561"/>
      <c r="E9" s="18" t="s">
        <v>157</v>
      </c>
      <c r="F9" s="18">
        <v>466</v>
      </c>
      <c r="G9" s="18">
        <v>60000</v>
      </c>
      <c r="H9" s="18">
        <v>24600</v>
      </c>
      <c r="I9" s="18">
        <f t="shared" si="0"/>
        <v>84600</v>
      </c>
      <c r="J9" s="10">
        <v>100000</v>
      </c>
      <c r="K9" s="558"/>
    </row>
    <row r="10" spans="1:11" ht="21" customHeight="1">
      <c r="A10" s="21"/>
      <c r="B10" s="22"/>
      <c r="C10" s="14" t="s">
        <v>147</v>
      </c>
      <c r="D10" s="561"/>
      <c r="E10" s="18" t="s">
        <v>156</v>
      </c>
      <c r="F10" s="18">
        <v>620</v>
      </c>
      <c r="G10" s="18">
        <v>80000</v>
      </c>
      <c r="H10" s="18">
        <v>34000</v>
      </c>
      <c r="I10" s="18">
        <f t="shared" si="0"/>
        <v>114000</v>
      </c>
      <c r="J10" s="10">
        <v>150000</v>
      </c>
      <c r="K10" s="558"/>
    </row>
    <row r="11" spans="1:11" ht="21" customHeight="1">
      <c r="A11" s="21"/>
      <c r="B11" s="22"/>
      <c r="C11" s="14" t="s">
        <v>148</v>
      </c>
      <c r="D11" s="561"/>
      <c r="E11" s="18" t="s">
        <v>155</v>
      </c>
      <c r="F11" s="18">
        <v>760</v>
      </c>
      <c r="G11" s="18">
        <v>95000</v>
      </c>
      <c r="H11" s="18">
        <v>36600</v>
      </c>
      <c r="I11" s="18">
        <f t="shared" si="0"/>
        <v>131600</v>
      </c>
      <c r="J11" s="10">
        <v>200000</v>
      </c>
      <c r="K11" s="558"/>
    </row>
    <row r="12" spans="1:11" ht="21" customHeight="1">
      <c r="A12" s="21"/>
      <c r="B12" s="22"/>
      <c r="C12" s="14" t="s">
        <v>149</v>
      </c>
      <c r="D12" s="561"/>
      <c r="E12" s="18" t="s">
        <v>154</v>
      </c>
      <c r="F12" s="18">
        <v>500</v>
      </c>
      <c r="G12" s="18">
        <v>65000</v>
      </c>
      <c r="H12" s="18">
        <v>31800</v>
      </c>
      <c r="I12" s="18">
        <f t="shared" si="0"/>
        <v>96800</v>
      </c>
      <c r="J12" s="10">
        <v>150000</v>
      </c>
      <c r="K12" s="558"/>
    </row>
    <row r="13" spans="1:11" ht="21" customHeight="1" thickBot="1">
      <c r="A13" s="21"/>
      <c r="B13" s="22"/>
      <c r="C13" s="15" t="s">
        <v>150</v>
      </c>
      <c r="D13" s="562"/>
      <c r="E13" s="19" t="s">
        <v>153</v>
      </c>
      <c r="F13" s="19">
        <v>830</v>
      </c>
      <c r="G13" s="19">
        <v>110000</v>
      </c>
      <c r="H13" s="19">
        <v>38600</v>
      </c>
      <c r="I13" s="19">
        <f t="shared" si="0"/>
        <v>148600</v>
      </c>
      <c r="J13" s="16">
        <v>200000</v>
      </c>
      <c r="K13" s="559"/>
    </row>
    <row r="14" spans="1:11">
      <c r="A14" s="21"/>
      <c r="B14" s="22"/>
      <c r="C14" s="30" t="s">
        <v>172</v>
      </c>
      <c r="D14" s="28"/>
      <c r="E14" s="24"/>
      <c r="F14" s="25"/>
      <c r="G14" s="26"/>
      <c r="H14" s="26"/>
      <c r="I14" s="26"/>
      <c r="J14" s="26"/>
      <c r="K14" s="27"/>
    </row>
    <row r="15" spans="1:11">
      <c r="A15" s="21"/>
      <c r="B15" s="22"/>
      <c r="C15" s="30" t="s">
        <v>170</v>
      </c>
      <c r="D15" s="23"/>
      <c r="E15" s="24"/>
      <c r="F15" s="25"/>
      <c r="G15" s="26"/>
      <c r="H15" s="26"/>
      <c r="I15" s="26"/>
      <c r="J15" s="26"/>
    </row>
    <row r="16" spans="1:11" ht="18.45" customHeight="1">
      <c r="A16" s="21"/>
      <c r="B16" s="22"/>
      <c r="C16" s="30" t="s">
        <v>168</v>
      </c>
      <c r="D16" s="23"/>
      <c r="E16" s="24"/>
      <c r="F16" s="25"/>
      <c r="G16" s="26"/>
      <c r="H16" s="26"/>
      <c r="I16" s="26"/>
      <c r="J16" s="26"/>
    </row>
    <row r="17" spans="1:11" ht="18.45" customHeight="1">
      <c r="A17" s="21"/>
      <c r="B17" s="22"/>
      <c r="C17" s="30" t="s">
        <v>169</v>
      </c>
      <c r="D17" s="23"/>
      <c r="E17" s="24"/>
      <c r="F17" s="25"/>
      <c r="G17" s="26"/>
      <c r="H17" s="26"/>
      <c r="I17" s="26"/>
      <c r="J17" s="26"/>
      <c r="K17" s="27"/>
    </row>
    <row r="18" spans="1:11" ht="18.45" customHeight="1">
      <c r="A18" s="21"/>
      <c r="B18" s="22"/>
      <c r="C18" s="23"/>
      <c r="D18" s="23"/>
      <c r="E18" s="24"/>
      <c r="F18" s="25"/>
      <c r="G18" s="26"/>
      <c r="H18" s="26"/>
      <c r="I18" s="26"/>
      <c r="J18" s="26"/>
      <c r="K18" s="27"/>
    </row>
    <row r="19" spans="1:11" ht="18.45" customHeight="1">
      <c r="A19" s="21"/>
      <c r="B19" s="22"/>
      <c r="C19" s="23"/>
      <c r="D19" s="23"/>
      <c r="E19" s="24"/>
      <c r="F19" s="25"/>
      <c r="G19" s="26"/>
      <c r="H19" s="26"/>
      <c r="I19" s="26"/>
      <c r="J19" s="26"/>
      <c r="K19" s="27"/>
    </row>
    <row r="20" spans="1:11" ht="18.45" customHeight="1">
      <c r="A20" s="21"/>
      <c r="B20" s="22"/>
      <c r="C20" s="23"/>
      <c r="D20" s="23"/>
      <c r="E20" s="24"/>
      <c r="F20" s="25"/>
      <c r="G20" s="26"/>
      <c r="H20" s="26"/>
      <c r="I20" s="26"/>
      <c r="J20" s="26"/>
      <c r="K20" s="27"/>
    </row>
    <row r="21" spans="1:11" ht="18.45" customHeight="1">
      <c r="A21" s="21"/>
      <c r="B21" s="22"/>
      <c r="C21" s="23"/>
      <c r="D21" s="23"/>
      <c r="E21" s="24"/>
      <c r="F21" s="25"/>
      <c r="G21" s="26"/>
      <c r="H21" s="26"/>
      <c r="I21" s="26"/>
      <c r="J21" s="26"/>
      <c r="K21" s="27"/>
    </row>
    <row r="22" spans="1:11" ht="18.45" customHeight="1">
      <c r="A22" s="21"/>
      <c r="B22" s="22"/>
      <c r="C22" s="23"/>
      <c r="D22" s="23"/>
      <c r="E22" s="24"/>
      <c r="F22" s="25"/>
      <c r="G22" s="26"/>
      <c r="H22" s="26"/>
      <c r="I22" s="26"/>
      <c r="J22" s="26"/>
      <c r="K22" s="27"/>
    </row>
    <row r="23" spans="1:11" ht="18.45" customHeight="1">
      <c r="A23" s="21"/>
      <c r="B23" s="22"/>
      <c r="C23" s="23"/>
      <c r="D23" s="23"/>
      <c r="E23" s="24"/>
      <c r="F23" s="25"/>
      <c r="G23" s="26"/>
      <c r="H23" s="26"/>
      <c r="I23" s="26"/>
      <c r="J23" s="26"/>
      <c r="K23" s="27"/>
    </row>
    <row r="24" spans="1:11" ht="18.45" customHeight="1">
      <c r="A24" s="21"/>
      <c r="B24" s="22"/>
      <c r="C24" s="23"/>
      <c r="D24" s="23"/>
      <c r="E24" s="24"/>
      <c r="F24" s="25"/>
      <c r="G24" s="26"/>
      <c r="H24" s="26"/>
      <c r="I24" s="26"/>
      <c r="J24" s="26"/>
      <c r="K24" s="27"/>
    </row>
    <row r="25" spans="1:11" ht="18.45" customHeight="1">
      <c r="A25" s="21"/>
      <c r="B25" s="22"/>
      <c r="C25" s="23"/>
      <c r="D25" s="23"/>
      <c r="E25" s="24"/>
      <c r="F25" s="25"/>
      <c r="G25" s="26"/>
      <c r="H25" s="26"/>
      <c r="I25" s="26"/>
      <c r="J25" s="26"/>
      <c r="K25" s="27"/>
    </row>
    <row r="26" spans="1:11" ht="18.45" customHeight="1">
      <c r="A26" s="21"/>
      <c r="B26" s="22"/>
      <c r="C26" s="23"/>
      <c r="D26" s="23"/>
      <c r="E26" s="24"/>
      <c r="F26" s="25"/>
      <c r="G26" s="26"/>
      <c r="H26" s="26"/>
      <c r="I26" s="26"/>
      <c r="J26" s="26"/>
      <c r="K26" s="27"/>
    </row>
    <row r="27" spans="1:11" ht="48" customHeight="1">
      <c r="A27" s="21"/>
      <c r="B27" s="22"/>
      <c r="C27" s="23"/>
      <c r="D27" s="23"/>
      <c r="E27" s="24"/>
      <c r="F27" s="25"/>
      <c r="G27" s="26"/>
      <c r="H27" s="26"/>
      <c r="I27" s="26"/>
      <c r="J27" s="26"/>
      <c r="K27" s="27"/>
    </row>
    <row r="28" spans="1:11" ht="18.45" customHeight="1">
      <c r="A28" s="21"/>
      <c r="B28" s="22"/>
      <c r="C28" s="23"/>
      <c r="D28" s="23"/>
      <c r="E28" s="24"/>
      <c r="F28" s="25"/>
      <c r="G28" s="26"/>
      <c r="H28" s="26"/>
      <c r="I28" s="26"/>
      <c r="J28" s="26"/>
      <c r="K28" s="27"/>
    </row>
    <row r="29" spans="1:11" ht="18.45" customHeight="1">
      <c r="A29" s="21"/>
      <c r="B29" s="22"/>
      <c r="C29" s="23"/>
      <c r="D29" s="23"/>
      <c r="E29" s="24"/>
      <c r="F29" s="25"/>
      <c r="G29" s="26"/>
      <c r="H29" s="26"/>
      <c r="I29" s="26"/>
      <c r="J29" s="26"/>
      <c r="K29" s="27"/>
    </row>
    <row r="30" spans="1:11" ht="18.45" customHeight="1"/>
    <row r="31" spans="1:11" ht="18.45" customHeight="1"/>
    <row r="32" spans="1:11" ht="18.45" customHeight="1"/>
    <row r="33" ht="18.45" customHeight="1"/>
    <row r="34" ht="18.45" customHeight="1"/>
    <row r="35" ht="18.45" customHeight="1"/>
  </sheetData>
  <mergeCells count="3">
    <mergeCell ref="K6:K13"/>
    <mergeCell ref="D6:D13"/>
    <mergeCell ref="C2:K2"/>
  </mergeCells>
  <phoneticPr fontId="41" type="noConversion"/>
  <pageMargins left="0.35433070866141736" right="0.15748031496062992" top="0.41" bottom="0.19685039370078741" header="0.15748031496062992" footer="0.1574803149606299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4</vt:i4>
      </vt:variant>
    </vt:vector>
  </HeadingPairs>
  <TitlesOfParts>
    <vt:vector size="14" baseType="lpstr">
      <vt:lpstr>1.구축견적</vt:lpstr>
      <vt:lpstr>2.관제점리스트</vt:lpstr>
      <vt:lpstr>3.공사예산내역서(갑)</vt:lpstr>
      <vt:lpstr>4.공사예산내역서(을)</vt:lpstr>
      <vt:lpstr>5.일위대가</vt:lpstr>
      <vt:lpstr>6.일위대가 산출근거</vt:lpstr>
      <vt:lpstr>7.MP산출근거</vt:lpstr>
      <vt:lpstr>8.공사물량산출서</vt:lpstr>
      <vt:lpstr>9.공사업체 출장경비</vt:lpstr>
      <vt:lpstr>첨부2_출장경비</vt:lpstr>
      <vt:lpstr>'1.구축견적'!Print_Area</vt:lpstr>
      <vt:lpstr>'2.관제점리스트'!Print_Area</vt:lpstr>
      <vt:lpstr>'3.공사예산내역서(갑)'!Print_Area</vt:lpstr>
      <vt:lpstr>첨부2_출장경비!Print_Area</vt:lpstr>
    </vt:vector>
  </TitlesOfParts>
  <Company>SERVEONE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김경환</dc:creator>
  <cp:lastModifiedBy>youngjun kim</cp:lastModifiedBy>
  <cp:lastPrinted>2022-01-20T03:25:52Z</cp:lastPrinted>
  <dcterms:created xsi:type="dcterms:W3CDTF">2010-12-06T14:33:35Z</dcterms:created>
  <dcterms:modified xsi:type="dcterms:W3CDTF">2022-10-18T14:44:54Z</dcterms:modified>
</cp:coreProperties>
</file>