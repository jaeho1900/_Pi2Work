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\COC\"/>
    </mc:Choice>
  </mc:AlternateContent>
  <xr:revisionPtr revIDLastSave="0" documentId="13_ncr:1_{6E200156-8383-4125-8D47-42753F8F67A3}" xr6:coauthVersionLast="36" xr6:coauthVersionMax="36" xr10:uidLastSave="{00000000-0000-0000-0000-000000000000}"/>
  <bookViews>
    <workbookView xWindow="0" yWindow="0" windowWidth="28800" windowHeight="12765" activeTab="2" xr2:uid="{00000000-000D-0000-FFFF-FFFF00000000}"/>
  </bookViews>
  <sheets>
    <sheet name="담당추정" sheetId="5" r:id="rId1"/>
    <sheet name="COC요청_atG등록기준" sheetId="6" r:id="rId2"/>
    <sheet name="COC요청_atG등록기준 (2)" sheetId="7" r:id="rId3"/>
  </sheets>
  <definedNames>
    <definedName name="_xlnm._FilterDatabase" localSheetId="1" hidden="1">COC요청_atG등록기준!$A$1:$X$124</definedName>
    <definedName name="_xlnm._FilterDatabase" localSheetId="2" hidden="1">'COC요청_atG등록기준 (2)'!$A$1:$X$118</definedName>
  </definedNames>
  <calcPr calcId="191029"/>
</workbook>
</file>

<file path=xl/calcChain.xml><?xml version="1.0" encoding="utf-8"?>
<calcChain xmlns="http://schemas.openxmlformats.org/spreadsheetml/2006/main">
  <c r="H118" i="7" l="1"/>
  <c r="I118" i="7" s="1"/>
  <c r="H117" i="7"/>
  <c r="I117" i="7" s="1"/>
  <c r="J117" i="7" s="1"/>
  <c r="K117" i="7" s="1"/>
  <c r="H116" i="7"/>
  <c r="I116" i="7" s="1"/>
  <c r="H115" i="7"/>
  <c r="I115" i="7" s="1"/>
  <c r="H114" i="7"/>
  <c r="I114" i="7" s="1"/>
  <c r="H113" i="7"/>
  <c r="I113" i="7" s="1"/>
  <c r="H112" i="7"/>
  <c r="I112" i="7" s="1"/>
  <c r="H111" i="7"/>
  <c r="I111" i="7" s="1"/>
  <c r="J111" i="7" s="1"/>
  <c r="K111" i="7" s="1"/>
  <c r="H110" i="7"/>
  <c r="I110" i="7" s="1"/>
  <c r="H109" i="7"/>
  <c r="I109" i="7" s="1"/>
  <c r="H108" i="7"/>
  <c r="I108" i="7" s="1"/>
  <c r="H107" i="7"/>
  <c r="I107" i="7" s="1"/>
  <c r="H106" i="7"/>
  <c r="I106" i="7" s="1"/>
  <c r="H105" i="7"/>
  <c r="I105" i="7" s="1"/>
  <c r="H104" i="7"/>
  <c r="I104" i="7" s="1"/>
  <c r="H103" i="7"/>
  <c r="I103" i="7" s="1"/>
  <c r="H102" i="7"/>
  <c r="I102" i="7" s="1"/>
  <c r="H101" i="7"/>
  <c r="I101" i="7" s="1"/>
  <c r="H100" i="7"/>
  <c r="I100" i="7" s="1"/>
  <c r="H99" i="7"/>
  <c r="I99" i="7" s="1"/>
  <c r="H98" i="7"/>
  <c r="I98" i="7" s="1"/>
  <c r="H97" i="7"/>
  <c r="I97" i="7" s="1"/>
  <c r="H96" i="7"/>
  <c r="I96" i="7" s="1"/>
  <c r="H95" i="7"/>
  <c r="I95" i="7" s="1"/>
  <c r="H94" i="7"/>
  <c r="I94" i="7" s="1"/>
  <c r="H93" i="7"/>
  <c r="I93" i="7" s="1"/>
  <c r="H92" i="7"/>
  <c r="I92" i="7" s="1"/>
  <c r="H91" i="7"/>
  <c r="I91" i="7" s="1"/>
  <c r="J91" i="7" s="1"/>
  <c r="K91" i="7" s="1"/>
  <c r="H90" i="7"/>
  <c r="I90" i="7" s="1"/>
  <c r="H89" i="7"/>
  <c r="I89" i="7" s="1"/>
  <c r="H88" i="7"/>
  <c r="I88" i="7" s="1"/>
  <c r="H87" i="7"/>
  <c r="I87" i="7" s="1"/>
  <c r="H86" i="7"/>
  <c r="I86" i="7" s="1"/>
  <c r="H85" i="7"/>
  <c r="I85" i="7" s="1"/>
  <c r="J85" i="7" s="1"/>
  <c r="K85" i="7" s="1"/>
  <c r="H84" i="7"/>
  <c r="I84" i="7" s="1"/>
  <c r="H83" i="7"/>
  <c r="I83" i="7" s="1"/>
  <c r="H82" i="7"/>
  <c r="I82" i="7" s="1"/>
  <c r="H81" i="7"/>
  <c r="I81" i="7" s="1"/>
  <c r="H50" i="7"/>
  <c r="I50" i="7" s="1"/>
  <c r="H49" i="7"/>
  <c r="I49" i="7" s="1"/>
  <c r="H80" i="7"/>
  <c r="I80" i="7" s="1"/>
  <c r="H79" i="7"/>
  <c r="I79" i="7" s="1"/>
  <c r="H78" i="7"/>
  <c r="I78" i="7" s="1"/>
  <c r="H77" i="7"/>
  <c r="I77" i="7" s="1"/>
  <c r="J77" i="7" s="1"/>
  <c r="K77" i="7" s="1"/>
  <c r="H76" i="7"/>
  <c r="I76" i="7" s="1"/>
  <c r="H75" i="7"/>
  <c r="I75" i="7" s="1"/>
  <c r="J75" i="7" s="1"/>
  <c r="K75" i="7" s="1"/>
  <c r="H74" i="7"/>
  <c r="I74" i="7" s="1"/>
  <c r="H73" i="7"/>
  <c r="I73" i="7" s="1"/>
  <c r="J73" i="7" s="1"/>
  <c r="K73" i="7" s="1"/>
  <c r="H72" i="7"/>
  <c r="I72" i="7" s="1"/>
  <c r="H71" i="7"/>
  <c r="I71" i="7" s="1"/>
  <c r="H70" i="7"/>
  <c r="I70" i="7" s="1"/>
  <c r="J70" i="7" s="1"/>
  <c r="H69" i="7"/>
  <c r="I69" i="7" s="1"/>
  <c r="J69" i="7" s="1"/>
  <c r="K69" i="7" s="1"/>
  <c r="H68" i="7"/>
  <c r="I68" i="7" s="1"/>
  <c r="J68" i="7" s="1"/>
  <c r="H67" i="7"/>
  <c r="I67" i="7" s="1"/>
  <c r="J67" i="7" s="1"/>
  <c r="K67" i="7" s="1"/>
  <c r="H66" i="7"/>
  <c r="I66" i="7" s="1"/>
  <c r="J66" i="7" s="1"/>
  <c r="H65" i="7"/>
  <c r="I65" i="7" s="1"/>
  <c r="J65" i="7" s="1"/>
  <c r="K65" i="7" s="1"/>
  <c r="H64" i="7"/>
  <c r="I64" i="7" s="1"/>
  <c r="H63" i="7"/>
  <c r="I63" i="7" s="1"/>
  <c r="H62" i="7"/>
  <c r="I62" i="7" s="1"/>
  <c r="H61" i="7"/>
  <c r="I61" i="7" s="1"/>
  <c r="H60" i="7"/>
  <c r="I60" i="7" s="1"/>
  <c r="J60" i="7" s="1"/>
  <c r="K60" i="7" s="1"/>
  <c r="H59" i="7"/>
  <c r="I59" i="7" s="1"/>
  <c r="H58" i="7"/>
  <c r="I58" i="7" s="1"/>
  <c r="J58" i="7" s="1"/>
  <c r="K58" i="7" s="1"/>
  <c r="H57" i="7"/>
  <c r="I57" i="7" s="1"/>
  <c r="H56" i="7"/>
  <c r="I56" i="7" s="1"/>
  <c r="J56" i="7" s="1"/>
  <c r="K56" i="7" s="1"/>
  <c r="H55" i="7"/>
  <c r="I55" i="7" s="1"/>
  <c r="J55" i="7" s="1"/>
  <c r="H54" i="7"/>
  <c r="I54" i="7" s="1"/>
  <c r="J54" i="7" s="1"/>
  <c r="K54" i="7" s="1"/>
  <c r="H53" i="7"/>
  <c r="I53" i="7" s="1"/>
  <c r="J53" i="7" s="1"/>
  <c r="H52" i="7"/>
  <c r="I52" i="7" s="1"/>
  <c r="J52" i="7" s="1"/>
  <c r="K52" i="7" s="1"/>
  <c r="H51" i="7"/>
  <c r="I51" i="7" s="1"/>
  <c r="X48" i="7"/>
  <c r="H48" i="7"/>
  <c r="I48" i="7" s="1"/>
  <c r="J48" i="7" s="1"/>
  <c r="X47" i="7"/>
  <c r="H47" i="7"/>
  <c r="I47" i="7" s="1"/>
  <c r="X46" i="7"/>
  <c r="H46" i="7"/>
  <c r="I46" i="7" s="1"/>
  <c r="X45" i="7"/>
  <c r="H45" i="7"/>
  <c r="I45" i="7" s="1"/>
  <c r="J45" i="7" s="1"/>
  <c r="K45" i="7" s="1"/>
  <c r="X44" i="7"/>
  <c r="H44" i="7"/>
  <c r="I44" i="7" s="1"/>
  <c r="X43" i="7"/>
  <c r="H43" i="7"/>
  <c r="I43" i="7" s="1"/>
  <c r="X42" i="7"/>
  <c r="H42" i="7"/>
  <c r="I42" i="7" s="1"/>
  <c r="X41" i="7"/>
  <c r="H41" i="7"/>
  <c r="I41" i="7" s="1"/>
  <c r="J41" i="7" s="1"/>
  <c r="X40" i="7"/>
  <c r="H40" i="7"/>
  <c r="I40" i="7" s="1"/>
  <c r="X39" i="7"/>
  <c r="H39" i="7"/>
  <c r="I39" i="7" s="1"/>
  <c r="X38" i="7"/>
  <c r="H38" i="7"/>
  <c r="I38" i="7" s="1"/>
  <c r="J38" i="7" s="1"/>
  <c r="K38" i="7" s="1"/>
  <c r="X37" i="7"/>
  <c r="H37" i="7"/>
  <c r="I37" i="7" s="1"/>
  <c r="X36" i="7"/>
  <c r="H36" i="7"/>
  <c r="I36" i="7" s="1"/>
  <c r="X35" i="7"/>
  <c r="H35" i="7"/>
  <c r="I35" i="7" s="1"/>
  <c r="X34" i="7"/>
  <c r="H34" i="7"/>
  <c r="I34" i="7" s="1"/>
  <c r="J34" i="7" s="1"/>
  <c r="X33" i="7"/>
  <c r="H33" i="7"/>
  <c r="I33" i="7" s="1"/>
  <c r="J33" i="7" s="1"/>
  <c r="X32" i="7"/>
  <c r="H32" i="7"/>
  <c r="I32" i="7" s="1"/>
  <c r="J32" i="7" s="1"/>
  <c r="X31" i="7"/>
  <c r="H31" i="7"/>
  <c r="I31" i="7" s="1"/>
  <c r="X30" i="7"/>
  <c r="H30" i="7"/>
  <c r="I30" i="7" s="1"/>
  <c r="J30" i="7" s="1"/>
  <c r="K30" i="7" s="1"/>
  <c r="X29" i="7"/>
  <c r="H29" i="7"/>
  <c r="I29" i="7" s="1"/>
  <c r="X28" i="7"/>
  <c r="H28" i="7"/>
  <c r="I28" i="7" s="1"/>
  <c r="X27" i="7"/>
  <c r="H27" i="7"/>
  <c r="I27" i="7" s="1"/>
  <c r="X26" i="7"/>
  <c r="H26" i="7"/>
  <c r="I26" i="7" s="1"/>
  <c r="J26" i="7" s="1"/>
  <c r="X25" i="7"/>
  <c r="H25" i="7"/>
  <c r="I25" i="7" s="1"/>
  <c r="J25" i="7" s="1"/>
  <c r="X24" i="7"/>
  <c r="H24" i="7"/>
  <c r="I24" i="7" s="1"/>
  <c r="J24" i="7" s="1"/>
  <c r="X23" i="7"/>
  <c r="H23" i="7"/>
  <c r="I23" i="7" s="1"/>
  <c r="X22" i="7"/>
  <c r="H22" i="7"/>
  <c r="I22" i="7" s="1"/>
  <c r="J22" i="7" s="1"/>
  <c r="K22" i="7" s="1"/>
  <c r="X21" i="7"/>
  <c r="H21" i="7"/>
  <c r="I21" i="7" s="1"/>
  <c r="X20" i="7"/>
  <c r="H20" i="7"/>
  <c r="I20" i="7" s="1"/>
  <c r="X19" i="7"/>
  <c r="H19" i="7"/>
  <c r="I19" i="7" s="1"/>
  <c r="X18" i="7"/>
  <c r="H18" i="7"/>
  <c r="I18" i="7" s="1"/>
  <c r="J18" i="7" s="1"/>
  <c r="X17" i="7"/>
  <c r="H17" i="7"/>
  <c r="I17" i="7" s="1"/>
  <c r="J17" i="7" s="1"/>
  <c r="X16" i="7"/>
  <c r="H16" i="7"/>
  <c r="I16" i="7" s="1"/>
  <c r="J16" i="7" s="1"/>
  <c r="X15" i="7"/>
  <c r="H15" i="7"/>
  <c r="I15" i="7" s="1"/>
  <c r="X14" i="7"/>
  <c r="H14" i="7"/>
  <c r="I14" i="7" s="1"/>
  <c r="J14" i="7" s="1"/>
  <c r="X13" i="7"/>
  <c r="H13" i="7"/>
  <c r="I13" i="7" s="1"/>
  <c r="X12" i="7"/>
  <c r="H12" i="7"/>
  <c r="I12" i="7" s="1"/>
  <c r="J12" i="7" s="1"/>
  <c r="X11" i="7"/>
  <c r="H11" i="7"/>
  <c r="I11" i="7" s="1"/>
  <c r="X10" i="7"/>
  <c r="H10" i="7"/>
  <c r="I10" i="7" s="1"/>
  <c r="J10" i="7" s="1"/>
  <c r="X9" i="7"/>
  <c r="H9" i="7"/>
  <c r="I9" i="7" s="1"/>
  <c r="J9" i="7" s="1"/>
  <c r="X8" i="7"/>
  <c r="H8" i="7"/>
  <c r="I8" i="7" s="1"/>
  <c r="X7" i="7"/>
  <c r="H7" i="7"/>
  <c r="I7" i="7" s="1"/>
  <c r="X6" i="7"/>
  <c r="H6" i="7"/>
  <c r="I6" i="7" s="1"/>
  <c r="X5" i="7"/>
  <c r="X4" i="7"/>
  <c r="X3" i="7"/>
  <c r="X2" i="7"/>
  <c r="K12" i="7" l="1"/>
  <c r="J97" i="7"/>
  <c r="K97" i="7" s="1"/>
  <c r="J63" i="7"/>
  <c r="K63" i="7" s="1"/>
  <c r="J83" i="7"/>
  <c r="K83" i="7" s="1"/>
  <c r="J93" i="7"/>
  <c r="K93" i="7" s="1"/>
  <c r="J105" i="7"/>
  <c r="K105" i="7" s="1"/>
  <c r="J87" i="7"/>
  <c r="K87" i="7" s="1"/>
  <c r="J99" i="7"/>
  <c r="K99" i="7" s="1"/>
  <c r="J6" i="7"/>
  <c r="K6" i="7" s="1"/>
  <c r="J62" i="7"/>
  <c r="K62" i="7" s="1"/>
  <c r="J81" i="7"/>
  <c r="K81" i="7" s="1"/>
  <c r="J101" i="7"/>
  <c r="K101" i="7" s="1"/>
  <c r="J107" i="7"/>
  <c r="K107" i="7" s="1"/>
  <c r="J89" i="7"/>
  <c r="K89" i="7" s="1"/>
  <c r="J95" i="7"/>
  <c r="K95" i="7" s="1"/>
  <c r="J71" i="7"/>
  <c r="K71" i="7" s="1"/>
  <c r="J49" i="7"/>
  <c r="K49" i="7" s="1"/>
  <c r="J103" i="7"/>
  <c r="K103" i="7" s="1"/>
  <c r="J109" i="7"/>
  <c r="K109" i="7" s="1"/>
  <c r="J115" i="7"/>
  <c r="K115" i="7" s="1"/>
  <c r="K9" i="7"/>
  <c r="J79" i="7"/>
  <c r="K79" i="7" s="1"/>
  <c r="J113" i="7"/>
  <c r="K113" i="7" s="1"/>
  <c r="J39" i="7"/>
  <c r="K39" i="7" s="1"/>
  <c r="J98" i="7"/>
  <c r="K98" i="7" s="1"/>
  <c r="J72" i="7"/>
  <c r="K72" i="7" s="1"/>
  <c r="J31" i="7"/>
  <c r="K31" i="7" s="1"/>
  <c r="J64" i="7"/>
  <c r="K64" i="7" s="1"/>
  <c r="J84" i="7"/>
  <c r="K84" i="7" s="1"/>
  <c r="J90" i="7"/>
  <c r="K90" i="7" s="1"/>
  <c r="J104" i="7"/>
  <c r="K104" i="7" s="1"/>
  <c r="J59" i="7"/>
  <c r="K59" i="7" s="1"/>
  <c r="J96" i="7"/>
  <c r="K96" i="7" s="1"/>
  <c r="J23" i="7"/>
  <c r="K23" i="7" s="1"/>
  <c r="J80" i="7"/>
  <c r="K80" i="7" s="1"/>
  <c r="J114" i="7"/>
  <c r="K114" i="7" s="1"/>
  <c r="J74" i="7"/>
  <c r="K74" i="7" s="1"/>
  <c r="J82" i="7"/>
  <c r="K82" i="7" s="1"/>
  <c r="J88" i="7"/>
  <c r="K88" i="7" s="1"/>
  <c r="J8" i="7"/>
  <c r="K8" i="7" s="1"/>
  <c r="J15" i="7"/>
  <c r="K15" i="7" s="1"/>
  <c r="J46" i="7"/>
  <c r="K46" i="7" s="1"/>
  <c r="J106" i="7"/>
  <c r="K106" i="7" s="1"/>
  <c r="J57" i="7"/>
  <c r="K57" i="7" s="1"/>
  <c r="J78" i="7"/>
  <c r="K78" i="7" s="1"/>
  <c r="J112" i="7"/>
  <c r="K112" i="7" s="1"/>
  <c r="J118" i="7"/>
  <c r="K118" i="7" s="1"/>
  <c r="J116" i="7"/>
  <c r="K116" i="7" s="1"/>
  <c r="J40" i="7"/>
  <c r="K40" i="7" s="1"/>
  <c r="J47" i="7"/>
  <c r="K47" i="7" s="1"/>
  <c r="K10" i="7"/>
  <c r="K53" i="7"/>
  <c r="K68" i="7"/>
  <c r="K18" i="7"/>
  <c r="K34" i="7"/>
  <c r="J100" i="7"/>
  <c r="K100" i="7" s="1"/>
  <c r="J51" i="7"/>
  <c r="K51" i="7" s="1"/>
  <c r="J50" i="7"/>
  <c r="K50" i="7" s="1"/>
  <c r="K14" i="7"/>
  <c r="K16" i="7"/>
  <c r="K24" i="7"/>
  <c r="K32" i="7"/>
  <c r="K26" i="7"/>
  <c r="J92" i="7"/>
  <c r="K92" i="7" s="1"/>
  <c r="J36" i="7"/>
  <c r="K36" i="7" s="1"/>
  <c r="J108" i="7"/>
  <c r="K108" i="7" s="1"/>
  <c r="J13" i="7"/>
  <c r="K13" i="7" s="1"/>
  <c r="J29" i="7"/>
  <c r="K29" i="7" s="1"/>
  <c r="J44" i="7"/>
  <c r="K44" i="7" s="1"/>
  <c r="J61" i="7"/>
  <c r="K61" i="7" s="1"/>
  <c r="J76" i="7"/>
  <c r="K76" i="7" s="1"/>
  <c r="J86" i="7"/>
  <c r="K86" i="7" s="1"/>
  <c r="J20" i="7"/>
  <c r="K20" i="7" s="1"/>
  <c r="K66" i="7"/>
  <c r="J11" i="7"/>
  <c r="K11" i="7" s="1"/>
  <c r="J21" i="7"/>
  <c r="K21" i="7" s="1"/>
  <c r="J37" i="7"/>
  <c r="K37" i="7" s="1"/>
  <c r="K17" i="7"/>
  <c r="J19" i="7"/>
  <c r="K19" i="7" s="1"/>
  <c r="K25" i="7"/>
  <c r="J27" i="7"/>
  <c r="K27" i="7" s="1"/>
  <c r="K33" i="7"/>
  <c r="J35" i="7"/>
  <c r="K35" i="7" s="1"/>
  <c r="K41" i="7"/>
  <c r="J42" i="7"/>
  <c r="K42" i="7" s="1"/>
  <c r="K48" i="7"/>
  <c r="J28" i="7"/>
  <c r="K28" i="7" s="1"/>
  <c r="J43" i="7"/>
  <c r="K43" i="7" s="1"/>
  <c r="J7" i="7"/>
  <c r="K7" i="7" s="1"/>
  <c r="K55" i="7"/>
  <c r="K70" i="7"/>
  <c r="J94" i="7"/>
  <c r="K94" i="7" s="1"/>
  <c r="J102" i="7"/>
  <c r="K102" i="7" s="1"/>
  <c r="J110" i="7"/>
  <c r="K110" i="7" s="1"/>
  <c r="H7" i="6"/>
  <c r="I7" i="6" s="1"/>
  <c r="J7" i="6" s="1"/>
  <c r="H8" i="6"/>
  <c r="I8" i="6" s="1"/>
  <c r="J8" i="6" s="1"/>
  <c r="H9" i="6"/>
  <c r="I9" i="6" s="1"/>
  <c r="H10" i="6"/>
  <c r="I10" i="6" s="1"/>
  <c r="J10" i="6" s="1"/>
  <c r="H11" i="6"/>
  <c r="I11" i="6" s="1"/>
  <c r="J11" i="6" s="1"/>
  <c r="H12" i="6"/>
  <c r="I12" i="6" s="1"/>
  <c r="H13" i="6"/>
  <c r="I13" i="6" s="1"/>
  <c r="H14" i="6"/>
  <c r="I14" i="6" s="1"/>
  <c r="J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J21" i="6" s="1"/>
  <c r="H22" i="6"/>
  <c r="I22" i="6" s="1"/>
  <c r="J22" i="6" s="1"/>
  <c r="H23" i="6"/>
  <c r="I23" i="6" s="1"/>
  <c r="H24" i="6"/>
  <c r="I24" i="6" s="1"/>
  <c r="J24" i="6" s="1"/>
  <c r="H25" i="6"/>
  <c r="I25" i="6" s="1"/>
  <c r="J25" i="6" s="1"/>
  <c r="H26" i="6"/>
  <c r="I26" i="6" s="1"/>
  <c r="H27" i="6"/>
  <c r="I27" i="6" s="1"/>
  <c r="H28" i="6"/>
  <c r="I28" i="6" s="1"/>
  <c r="J28" i="6" s="1"/>
  <c r="H29" i="6"/>
  <c r="I29" i="6" s="1"/>
  <c r="H48" i="6"/>
  <c r="I48" i="6" s="1"/>
  <c r="J48" i="6" s="1"/>
  <c r="H30" i="6"/>
  <c r="I30" i="6" s="1"/>
  <c r="H31" i="6"/>
  <c r="I31" i="6" s="1"/>
  <c r="H32" i="6"/>
  <c r="I32" i="6" s="1"/>
  <c r="H33" i="6"/>
  <c r="I33" i="6" s="1"/>
  <c r="H47" i="6"/>
  <c r="I47" i="6" s="1"/>
  <c r="H34" i="6"/>
  <c r="I34" i="6" s="1"/>
  <c r="H35" i="6"/>
  <c r="I35" i="6" s="1"/>
  <c r="J35" i="6" s="1"/>
  <c r="H36" i="6"/>
  <c r="I36" i="6" s="1"/>
  <c r="J36" i="6" s="1"/>
  <c r="H37" i="6"/>
  <c r="I37" i="6" s="1"/>
  <c r="H38" i="6"/>
  <c r="I38" i="6" s="1"/>
  <c r="J38" i="6" s="1"/>
  <c r="H39" i="6"/>
  <c r="I39" i="6" s="1"/>
  <c r="J39" i="6" s="1"/>
  <c r="H40" i="6"/>
  <c r="I40" i="6" s="1"/>
  <c r="H41" i="6"/>
  <c r="I41" i="6" s="1"/>
  <c r="H42" i="6"/>
  <c r="I42" i="6" s="1"/>
  <c r="J42" i="6" s="1"/>
  <c r="H43" i="6"/>
  <c r="I43" i="6" s="1"/>
  <c r="H49" i="6"/>
  <c r="I49" i="6" s="1"/>
  <c r="J49" i="6" s="1"/>
  <c r="H44" i="6"/>
  <c r="I44" i="6" s="1"/>
  <c r="H45" i="6"/>
  <c r="I45" i="6" s="1"/>
  <c r="H46" i="6"/>
  <c r="I46" i="6" s="1"/>
  <c r="H50" i="6"/>
  <c r="I50" i="6" s="1"/>
  <c r="J50" i="6" s="1"/>
  <c r="H51" i="6"/>
  <c r="I51" i="6" s="1"/>
  <c r="J51" i="6" s="1"/>
  <c r="H52" i="6"/>
  <c r="I52" i="6" s="1"/>
  <c r="J52" i="6" s="1"/>
  <c r="H53" i="6"/>
  <c r="I53" i="6" s="1"/>
  <c r="J53" i="6" s="1"/>
  <c r="H54" i="6"/>
  <c r="I54" i="6" s="1"/>
  <c r="H55" i="6"/>
  <c r="I55" i="6" s="1"/>
  <c r="J55" i="6" s="1"/>
  <c r="H56" i="6"/>
  <c r="I56" i="6" s="1"/>
  <c r="J56" i="6" s="1"/>
  <c r="H57" i="6"/>
  <c r="I57" i="6" s="1"/>
  <c r="J57" i="6" s="1"/>
  <c r="H58" i="6"/>
  <c r="I58" i="6" s="1"/>
  <c r="J58" i="6" s="1"/>
  <c r="H59" i="6"/>
  <c r="I59" i="6" s="1"/>
  <c r="J59" i="6" s="1"/>
  <c r="H60" i="6"/>
  <c r="I60" i="6" s="1"/>
  <c r="H61" i="6"/>
  <c r="I61" i="6" s="1"/>
  <c r="J61" i="6" s="1"/>
  <c r="H62" i="6"/>
  <c r="I62" i="6" s="1"/>
  <c r="H63" i="6"/>
  <c r="I63" i="6" s="1"/>
  <c r="J63" i="6" s="1"/>
  <c r="H64" i="6"/>
  <c r="I64" i="6" s="1"/>
  <c r="H65" i="6"/>
  <c r="I65" i="6" s="1"/>
  <c r="J65" i="6" s="1"/>
  <c r="H66" i="6"/>
  <c r="I66" i="6" s="1"/>
  <c r="J66" i="6" s="1"/>
  <c r="H67" i="6"/>
  <c r="I67" i="6" s="1"/>
  <c r="J67" i="6" s="1"/>
  <c r="H68" i="6"/>
  <c r="I68" i="6" s="1"/>
  <c r="J68" i="6" s="1"/>
  <c r="H69" i="6"/>
  <c r="I69" i="6" s="1"/>
  <c r="J69" i="6" s="1"/>
  <c r="H70" i="6"/>
  <c r="I70" i="6" s="1"/>
  <c r="H71" i="6"/>
  <c r="I71" i="6" s="1"/>
  <c r="J71" i="6" s="1"/>
  <c r="H72" i="6"/>
  <c r="I72" i="6" s="1"/>
  <c r="J72" i="6" s="1"/>
  <c r="H73" i="6"/>
  <c r="I73" i="6" s="1"/>
  <c r="J73" i="6" s="1"/>
  <c r="H74" i="6"/>
  <c r="I74" i="6" s="1"/>
  <c r="J74" i="6" s="1"/>
  <c r="H75" i="6"/>
  <c r="I75" i="6" s="1"/>
  <c r="J75" i="6" s="1"/>
  <c r="H76" i="6"/>
  <c r="I76" i="6" s="1"/>
  <c r="H77" i="6"/>
  <c r="I77" i="6" s="1"/>
  <c r="J77" i="6" s="1"/>
  <c r="H78" i="6"/>
  <c r="I78" i="6" s="1"/>
  <c r="H79" i="6"/>
  <c r="I79" i="6" s="1"/>
  <c r="J79" i="6" s="1"/>
  <c r="H81" i="6"/>
  <c r="I81" i="6" s="1"/>
  <c r="J81" i="6" s="1"/>
  <c r="H82" i="6"/>
  <c r="I82" i="6" s="1"/>
  <c r="J82" i="6" s="1"/>
  <c r="H83" i="6"/>
  <c r="I83" i="6" s="1"/>
  <c r="J83" i="6" s="1"/>
  <c r="H84" i="6"/>
  <c r="I84" i="6" s="1"/>
  <c r="J84" i="6" s="1"/>
  <c r="H85" i="6"/>
  <c r="I85" i="6" s="1"/>
  <c r="J85" i="6" s="1"/>
  <c r="H86" i="6"/>
  <c r="I86" i="6" s="1"/>
  <c r="J86" i="6" s="1"/>
  <c r="H80" i="6"/>
  <c r="I80" i="6" s="1"/>
  <c r="H87" i="6"/>
  <c r="I87" i="6" s="1"/>
  <c r="J87" i="6" s="1"/>
  <c r="H88" i="6"/>
  <c r="I88" i="6" s="1"/>
  <c r="J88" i="6" s="1"/>
  <c r="H89" i="6"/>
  <c r="I89" i="6" s="1"/>
  <c r="J89" i="6" s="1"/>
  <c r="H90" i="6"/>
  <c r="I90" i="6" s="1"/>
  <c r="J90" i="6" s="1"/>
  <c r="H91" i="6"/>
  <c r="I91" i="6" s="1"/>
  <c r="J91" i="6" s="1"/>
  <c r="H92" i="6"/>
  <c r="I92" i="6" s="1"/>
  <c r="H93" i="6"/>
  <c r="I93" i="6" s="1"/>
  <c r="J93" i="6" s="1"/>
  <c r="H94" i="6"/>
  <c r="I94" i="6" s="1"/>
  <c r="H95" i="6"/>
  <c r="I95" i="6" s="1"/>
  <c r="J95" i="6" s="1"/>
  <c r="H96" i="6"/>
  <c r="I96" i="6" s="1"/>
  <c r="J96" i="6" s="1"/>
  <c r="H97" i="6"/>
  <c r="I97" i="6" s="1"/>
  <c r="J97" i="6" s="1"/>
  <c r="H98" i="6"/>
  <c r="I98" i="6" s="1"/>
  <c r="J98" i="6" s="1"/>
  <c r="H99" i="6"/>
  <c r="I99" i="6" s="1"/>
  <c r="J99" i="6" s="1"/>
  <c r="H100" i="6"/>
  <c r="I100" i="6" s="1"/>
  <c r="J100" i="6" s="1"/>
  <c r="H101" i="6"/>
  <c r="I101" i="6" s="1"/>
  <c r="J101" i="6" s="1"/>
  <c r="H102" i="6"/>
  <c r="I102" i="6" s="1"/>
  <c r="H103" i="6"/>
  <c r="I103" i="6" s="1"/>
  <c r="J103" i="6" s="1"/>
  <c r="H104" i="6"/>
  <c r="I104" i="6" s="1"/>
  <c r="J104" i="6" s="1"/>
  <c r="H105" i="6"/>
  <c r="I105" i="6" s="1"/>
  <c r="J105" i="6" s="1"/>
  <c r="H106" i="6"/>
  <c r="I106" i="6" s="1"/>
  <c r="J106" i="6" s="1"/>
  <c r="H107" i="6"/>
  <c r="I107" i="6" s="1"/>
  <c r="J107" i="6" s="1"/>
  <c r="H108" i="6"/>
  <c r="I108" i="6" s="1"/>
  <c r="H109" i="6"/>
  <c r="I109" i="6" s="1"/>
  <c r="J109" i="6" s="1"/>
  <c r="H110" i="6"/>
  <c r="I110" i="6" s="1"/>
  <c r="H111" i="6"/>
  <c r="I111" i="6" s="1"/>
  <c r="J111" i="6" s="1"/>
  <c r="H112" i="6"/>
  <c r="I112" i="6" s="1"/>
  <c r="H113" i="6"/>
  <c r="I113" i="6" s="1"/>
  <c r="J113" i="6" s="1"/>
  <c r="H114" i="6"/>
  <c r="I114" i="6" s="1"/>
  <c r="J114" i="6" s="1"/>
  <c r="H115" i="6"/>
  <c r="I115" i="6" s="1"/>
  <c r="J115" i="6" s="1"/>
  <c r="H116" i="6"/>
  <c r="I116" i="6" s="1"/>
  <c r="J116" i="6" s="1"/>
  <c r="H117" i="6"/>
  <c r="I117" i="6" s="1"/>
  <c r="J117" i="6" s="1"/>
  <c r="H118" i="6"/>
  <c r="I118" i="6" s="1"/>
  <c r="H119" i="6"/>
  <c r="I119" i="6" s="1"/>
  <c r="J119" i="6" s="1"/>
  <c r="H120" i="6"/>
  <c r="I120" i="6" s="1"/>
  <c r="H121" i="6"/>
  <c r="I121" i="6" s="1"/>
  <c r="J121" i="6" s="1"/>
  <c r="H122" i="6"/>
  <c r="I122" i="6" s="1"/>
  <c r="J122" i="6" s="1"/>
  <c r="H123" i="6"/>
  <c r="I123" i="6" s="1"/>
  <c r="J123" i="6" s="1"/>
  <c r="H124" i="6"/>
  <c r="I124" i="6" s="1"/>
  <c r="H6" i="6"/>
  <c r="I6" i="6" s="1"/>
  <c r="J13" i="6" l="1"/>
  <c r="K13" i="6" s="1"/>
  <c r="J27" i="6"/>
  <c r="K27" i="6" s="1"/>
  <c r="J41" i="6"/>
  <c r="K41" i="6" s="1"/>
  <c r="J34" i="6"/>
  <c r="J29" i="6"/>
  <c r="K29" i="6" s="1"/>
  <c r="J94" i="6"/>
  <c r="K94" i="6" s="1"/>
  <c r="J76" i="6"/>
  <c r="K76" i="6" s="1"/>
  <c r="J62" i="6"/>
  <c r="K62" i="6" s="1"/>
  <c r="J46" i="6"/>
  <c r="K46" i="6" s="1"/>
  <c r="J20" i="6"/>
  <c r="J120" i="6"/>
  <c r="K120" i="6" s="1"/>
  <c r="J80" i="6"/>
  <c r="K80" i="6" s="1"/>
  <c r="J124" i="6"/>
  <c r="K124" i="6" s="1"/>
  <c r="J118" i="6"/>
  <c r="K118" i="6" s="1"/>
  <c r="J33" i="6"/>
  <c r="K33" i="6" s="1"/>
  <c r="J112" i="6"/>
  <c r="K112" i="6" s="1"/>
  <c r="J44" i="6"/>
  <c r="K44" i="6" s="1"/>
  <c r="J32" i="6"/>
  <c r="K32" i="6" s="1"/>
  <c r="J16" i="6"/>
  <c r="K16" i="6" s="1"/>
  <c r="J60" i="6"/>
  <c r="K60" i="6" s="1"/>
  <c r="J40" i="6"/>
  <c r="K40" i="6" s="1"/>
  <c r="J31" i="6"/>
  <c r="K31" i="6" s="1"/>
  <c r="J23" i="6"/>
  <c r="K23" i="6" s="1"/>
  <c r="J6" i="6"/>
  <c r="J54" i="6"/>
  <c r="K54" i="6" s="1"/>
  <c r="J37" i="6"/>
  <c r="K37" i="6" s="1"/>
  <c r="J92" i="6"/>
  <c r="K92" i="6" s="1"/>
  <c r="J110" i="6"/>
  <c r="K110" i="6" s="1"/>
  <c r="J70" i="6"/>
  <c r="K70" i="6" s="1"/>
  <c r="J30" i="6"/>
  <c r="K30" i="6" s="1"/>
  <c r="J18" i="6"/>
  <c r="K18" i="6" s="1"/>
  <c r="J64" i="6"/>
  <c r="K64" i="6" s="1"/>
  <c r="J108" i="6"/>
  <c r="K108" i="6" s="1"/>
  <c r="J12" i="6"/>
  <c r="K12" i="6" s="1"/>
  <c r="J45" i="6"/>
  <c r="K45" i="6" s="1"/>
  <c r="J15" i="6"/>
  <c r="K15" i="6" s="1"/>
  <c r="J102" i="6"/>
  <c r="K102" i="6" s="1"/>
  <c r="J78" i="6"/>
  <c r="K78" i="6" s="1"/>
  <c r="J43" i="6"/>
  <c r="K43" i="6" s="1"/>
  <c r="J26" i="6"/>
  <c r="K26" i="6" s="1"/>
  <c r="J17" i="6"/>
  <c r="K17" i="6" s="1"/>
  <c r="J9" i="6"/>
  <c r="K9" i="6" s="1"/>
  <c r="J47" i="6"/>
  <c r="K47" i="6" s="1"/>
  <c r="J19" i="6"/>
  <c r="K19" i="6" s="1"/>
  <c r="K98" i="6"/>
  <c r="K50" i="6"/>
  <c r="K104" i="6"/>
  <c r="K88" i="6"/>
  <c r="K72" i="6"/>
  <c r="K56" i="6"/>
  <c r="K39" i="6"/>
  <c r="K25" i="6"/>
  <c r="K11" i="6"/>
  <c r="K66" i="6"/>
  <c r="K83" i="6"/>
  <c r="K100" i="6"/>
  <c r="K85" i="6"/>
  <c r="K52" i="6"/>
  <c r="K35" i="6"/>
  <c r="K21" i="6"/>
  <c r="K7" i="6"/>
  <c r="K122" i="6"/>
  <c r="K106" i="6"/>
  <c r="K90" i="6"/>
  <c r="K74" i="6"/>
  <c r="K58" i="6"/>
  <c r="K116" i="6"/>
  <c r="K96" i="6"/>
  <c r="K81" i="6"/>
  <c r="K114" i="6"/>
  <c r="K68" i="6"/>
  <c r="K123" i="6"/>
  <c r="K119" i="6"/>
  <c r="K115" i="6"/>
  <c r="K111" i="6"/>
  <c r="K107" i="6"/>
  <c r="K105" i="6"/>
  <c r="K101" i="6"/>
  <c r="K97" i="6"/>
  <c r="K93" i="6"/>
  <c r="K89" i="6"/>
  <c r="K86" i="6"/>
  <c r="K82" i="6"/>
  <c r="K77" i="6"/>
  <c r="K75" i="6"/>
  <c r="K71" i="6"/>
  <c r="K69" i="6"/>
  <c r="K67" i="6"/>
  <c r="K65" i="6"/>
  <c r="K61" i="6"/>
  <c r="K59" i="6"/>
  <c r="K57" i="6"/>
  <c r="K55" i="6"/>
  <c r="K53" i="6"/>
  <c r="K51" i="6"/>
  <c r="K49" i="6"/>
  <c r="K42" i="6"/>
  <c r="K38" i="6"/>
  <c r="K36" i="6"/>
  <c r="K34" i="6"/>
  <c r="K48" i="6"/>
  <c r="K28" i="6"/>
  <c r="K24" i="6"/>
  <c r="K22" i="6"/>
  <c r="K20" i="6"/>
  <c r="K14" i="6"/>
  <c r="K10" i="6"/>
  <c r="K8" i="6"/>
  <c r="K121" i="6"/>
  <c r="K117" i="6"/>
  <c r="K113" i="6"/>
  <c r="K109" i="6"/>
  <c r="K103" i="6"/>
  <c r="K99" i="6"/>
  <c r="K95" i="6"/>
  <c r="K91" i="6"/>
  <c r="K87" i="6"/>
  <c r="K84" i="6"/>
  <c r="K79" i="6"/>
  <c r="K73" i="6"/>
  <c r="K63" i="6"/>
  <c r="K6" i="6" l="1"/>
  <c r="X5" i="6"/>
  <c r="X46" i="6"/>
  <c r="X45" i="6"/>
  <c r="X44" i="6"/>
  <c r="X49" i="6"/>
  <c r="X43" i="6"/>
  <c r="X42" i="6"/>
  <c r="X41" i="6"/>
  <c r="X40" i="6"/>
  <c r="X39" i="6"/>
  <c r="X38" i="6"/>
  <c r="X37" i="6"/>
  <c r="X36" i="6"/>
  <c r="X35" i="6"/>
  <c r="X34" i="6"/>
  <c r="X47" i="6"/>
  <c r="X33" i="6"/>
  <c r="X32" i="6"/>
  <c r="X31" i="6"/>
  <c r="X30" i="6"/>
  <c r="X48" i="6"/>
  <c r="X29" i="6"/>
  <c r="X28" i="6"/>
  <c r="X27" i="6"/>
  <c r="X26" i="6"/>
  <c r="X25" i="6"/>
  <c r="X24" i="6"/>
  <c r="X23" i="6"/>
  <c r="X22" i="6"/>
  <c r="X21" i="6"/>
  <c r="X20" i="6"/>
  <c r="X19" i="6"/>
  <c r="X3" i="6"/>
  <c r="X18" i="6"/>
  <c r="X17" i="6"/>
  <c r="X16" i="6"/>
  <c r="X4" i="6"/>
  <c r="X15" i="6"/>
  <c r="X14" i="6"/>
  <c r="X13" i="6"/>
  <c r="X12" i="6"/>
  <c r="X11" i="6"/>
  <c r="X10" i="6"/>
  <c r="X9" i="6"/>
  <c r="X8" i="6"/>
  <c r="X7" i="6"/>
  <c r="X2" i="6"/>
  <c r="X6" i="6"/>
  <c r="R35" i="5" l="1"/>
  <c r="P51" i="5"/>
  <c r="O51" i="5"/>
  <c r="U10" i="5"/>
  <c r="U8" i="5" s="1"/>
  <c r="U12" i="5" s="1"/>
  <c r="W8" i="5"/>
  <c r="W12" i="5" s="1"/>
  <c r="M51" i="5" l="1"/>
  <c r="N51" i="5"/>
  <c r="P54" i="5"/>
  <c r="O54" i="5"/>
  <c r="N54" i="5"/>
  <c r="M54" i="5"/>
  <c r="L54" i="5"/>
  <c r="Q53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V10" i="5" s="1"/>
  <c r="Q13" i="5"/>
  <c r="Q12" i="5"/>
  <c r="Q11" i="5"/>
  <c r="Q10" i="5"/>
  <c r="Q9" i="5"/>
  <c r="Q8" i="5"/>
  <c r="Q7" i="5"/>
  <c r="Q6" i="5"/>
  <c r="Q5" i="5"/>
  <c r="Q4" i="5"/>
  <c r="Q3" i="5"/>
  <c r="Q54" i="5" l="1"/>
  <c r="V11" i="5"/>
  <c r="Q51" i="5"/>
  <c r="Q56" i="5" s="1"/>
  <c r="V9" i="5"/>
  <c r="V8" i="5" s="1"/>
  <c r="V7" i="5" l="1"/>
  <c r="V12" i="5" s="1"/>
</calcChain>
</file>

<file path=xl/sharedStrings.xml><?xml version="1.0" encoding="utf-8"?>
<sst xmlns="http://schemas.openxmlformats.org/spreadsheetml/2006/main" count="1159" uniqueCount="336">
  <si>
    <t>No.</t>
  </si>
  <si>
    <t>WBS/CC</t>
  </si>
  <si>
    <t>WBS/CC명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</si>
  <si>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</si>
  <si>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</si>
  <si>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</si>
  <si>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</si>
  <si>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</si>
  <si>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</si>
  <si>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</si>
  <si>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</si>
  <si>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</si>
  <si>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</si>
  <si>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</si>
  <si>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</si>
  <si>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실적</t>
  </si>
  <si>
    <t>1</t>
  </si>
  <si>
    <t>F0041</t>
  </si>
  <si>
    <t>이노텍안산R&amp;D운영센터</t>
  </si>
  <si>
    <t>-</t>
  </si>
  <si>
    <t>3</t>
  </si>
  <si>
    <t>4</t>
  </si>
  <si>
    <t>F0048</t>
  </si>
  <si>
    <t>인프라-GS수퍼</t>
  </si>
  <si>
    <t>5</t>
  </si>
  <si>
    <t>6</t>
  </si>
  <si>
    <t>F0199</t>
  </si>
  <si>
    <t>인프라-파스퇴르</t>
  </si>
  <si>
    <t>7</t>
  </si>
  <si>
    <t>F0288</t>
  </si>
  <si>
    <t>대치갤러리운영센터</t>
  </si>
  <si>
    <t>8</t>
  </si>
  <si>
    <t>9</t>
  </si>
  <si>
    <t>F0349</t>
  </si>
  <si>
    <t>LG생활건강인천운영센터</t>
  </si>
  <si>
    <t>10</t>
  </si>
  <si>
    <t>11</t>
  </si>
  <si>
    <t>F0355</t>
  </si>
  <si>
    <t>인프라-연암기념관</t>
  </si>
  <si>
    <t>12</t>
  </si>
  <si>
    <t>F0371</t>
  </si>
  <si>
    <t>인프라-현담원</t>
  </si>
  <si>
    <t>13</t>
  </si>
  <si>
    <t>F0411</t>
  </si>
  <si>
    <t>인프라-연암대학교</t>
  </si>
  <si>
    <t>14</t>
  </si>
  <si>
    <t>15</t>
  </si>
  <si>
    <t>F0445</t>
  </si>
  <si>
    <t>디앤오강서사옥운영센터</t>
  </si>
  <si>
    <t>16</t>
  </si>
  <si>
    <t>17</t>
  </si>
  <si>
    <t>F0446</t>
  </si>
  <si>
    <t>한국교직원공제회운영센터</t>
  </si>
  <si>
    <t>18</t>
  </si>
  <si>
    <t>F0454</t>
  </si>
  <si>
    <t>휴맥스빌리지FPM운영센터</t>
  </si>
  <si>
    <t>19</t>
  </si>
  <si>
    <t>F0460</t>
  </si>
  <si>
    <t>인프라-스타벅스</t>
  </si>
  <si>
    <t>20</t>
  </si>
  <si>
    <t>21</t>
  </si>
  <si>
    <t>F0464</t>
  </si>
  <si>
    <t>DGB혁신센터운영센터</t>
  </si>
  <si>
    <t>22</t>
  </si>
  <si>
    <t>F0468</t>
  </si>
  <si>
    <t>미래에셋증권여의도운영센터</t>
  </si>
  <si>
    <t>23</t>
  </si>
  <si>
    <t>24</t>
  </si>
  <si>
    <t>F0469</t>
  </si>
  <si>
    <t>미래에셋증권주안운영센터</t>
  </si>
  <si>
    <t>25</t>
  </si>
  <si>
    <t>26</t>
  </si>
  <si>
    <t>F0482</t>
  </si>
  <si>
    <t>인프라-GS편의점</t>
  </si>
  <si>
    <t>27</t>
  </si>
  <si>
    <t>28</t>
  </si>
  <si>
    <t>F0501</t>
  </si>
  <si>
    <t>대신위례운영센터</t>
  </si>
  <si>
    <t>29</t>
  </si>
  <si>
    <t>F0508</t>
  </si>
  <si>
    <t>YTN상암FPM운영센터</t>
  </si>
  <si>
    <t>30</t>
  </si>
  <si>
    <t>F0509</t>
  </si>
  <si>
    <t>금융투자운영센터</t>
  </si>
  <si>
    <t>31</t>
  </si>
  <si>
    <t>32</t>
  </si>
  <si>
    <t>F0514</t>
  </si>
  <si>
    <t>KB증권중부운영센터</t>
  </si>
  <si>
    <t>33</t>
  </si>
  <si>
    <t>34</t>
  </si>
  <si>
    <t>35</t>
  </si>
  <si>
    <t>36</t>
  </si>
  <si>
    <t>37</t>
  </si>
  <si>
    <t>38</t>
  </si>
  <si>
    <t>39</t>
  </si>
  <si>
    <t>F0515</t>
  </si>
  <si>
    <t>KB증권남부운영센터</t>
  </si>
  <si>
    <t>40</t>
  </si>
  <si>
    <t>F0519</t>
  </si>
  <si>
    <t>미래에셋증권동부운영센터</t>
  </si>
  <si>
    <t>41</t>
  </si>
  <si>
    <t>F0522</t>
  </si>
  <si>
    <t>미래에셋증권청주운영센터</t>
  </si>
  <si>
    <t>42</t>
  </si>
  <si>
    <t>F0524</t>
  </si>
  <si>
    <t>KB국민은행신관운영센터</t>
  </si>
  <si>
    <t>43</t>
  </si>
  <si>
    <t>F0529</t>
  </si>
  <si>
    <t>인프라-베네치아메가몰</t>
  </si>
  <si>
    <t>44</t>
  </si>
  <si>
    <t>F0530</t>
  </si>
  <si>
    <t>KB국민은행본관운영센터</t>
  </si>
  <si>
    <t>45</t>
  </si>
  <si>
    <t>F0531</t>
  </si>
  <si>
    <t>인프라-LS어린이집</t>
  </si>
  <si>
    <t>46</t>
  </si>
  <si>
    <t>F0532</t>
  </si>
  <si>
    <t>KB국민은행여의도IT운영센터</t>
  </si>
  <si>
    <t>47</t>
  </si>
  <si>
    <t>F0533</t>
  </si>
  <si>
    <t>KB국민은행종암운영센터</t>
  </si>
  <si>
    <t>F0538</t>
  </si>
  <si>
    <t>판교아이스퀘어운영센터</t>
  </si>
  <si>
    <t>F0541</t>
  </si>
  <si>
    <t>인프라-새마을금고</t>
  </si>
  <si>
    <t>F0542</t>
  </si>
  <si>
    <t>오투타워FPM운영센터</t>
  </si>
  <si>
    <t>F0560</t>
  </si>
  <si>
    <t>분당퍼스트타워운영센터</t>
  </si>
  <si>
    <t>F0562</t>
  </si>
  <si>
    <t>한국교직원공제회부산운영센터</t>
  </si>
  <si>
    <t>F0563</t>
  </si>
  <si>
    <t>한국교직원공제회인천운영센터</t>
  </si>
  <si>
    <t>F0564</t>
  </si>
  <si>
    <t>한국교직원공제회경남운영센터</t>
  </si>
  <si>
    <t>F0565</t>
  </si>
  <si>
    <t>한국교직원공제회광주운영센터</t>
  </si>
  <si>
    <t>F0566</t>
  </si>
  <si>
    <t>한국교직원공제회대구운영센터</t>
  </si>
  <si>
    <t>F0567</t>
  </si>
  <si>
    <t>한국교직원공제회전북운영센터</t>
  </si>
  <si>
    <t>F0568</t>
  </si>
  <si>
    <t>한국교직원공제회강원운영센터</t>
  </si>
  <si>
    <t>F0569</t>
  </si>
  <si>
    <t>한국교직원공제회대전운영센터</t>
  </si>
  <si>
    <t>F0579</t>
  </si>
  <si>
    <t>한국교직원공제회창녕운영센터</t>
  </si>
  <si>
    <t>F0592</t>
  </si>
  <si>
    <t>펄어비스운영센터</t>
  </si>
  <si>
    <t>F0606</t>
  </si>
  <si>
    <t>LF스퀘어양주운영센터</t>
  </si>
  <si>
    <t>F0607</t>
  </si>
  <si>
    <t>LF스퀘어연수운영센터</t>
  </si>
  <si>
    <t>F0608</t>
  </si>
  <si>
    <t>LF스퀘어광양운영센터</t>
  </si>
  <si>
    <t>F0344</t>
  </si>
  <si>
    <t>인프라-에이치앤엠</t>
  </si>
  <si>
    <t>계획</t>
  </si>
  <si>
    <t>F0486</t>
  </si>
  <si>
    <t>인프라수선공사컨설팅((주)비지에프리테일)</t>
    <phoneticPr fontId="14" type="noConversion"/>
  </si>
  <si>
    <t>합계</t>
    <phoneticPr fontId="14" type="noConversion"/>
  </si>
  <si>
    <t>년간실적</t>
    <phoneticPr fontId="14" type="noConversion"/>
  </si>
  <si>
    <t>21년</t>
    <phoneticPr fontId="14" type="noConversion"/>
  </si>
  <si>
    <t>22년</t>
    <phoneticPr fontId="14" type="noConversion"/>
  </si>
  <si>
    <t>계</t>
    <phoneticPr fontId="14" type="noConversion"/>
  </si>
  <si>
    <t>1</t>
    <phoneticPr fontId="14" type="noConversion"/>
  </si>
  <si>
    <t>2</t>
    <phoneticPr fontId="14" type="noConversion"/>
  </si>
  <si>
    <t>(단위 백만원)</t>
    <phoneticPr fontId="18" type="noConversion"/>
  </si>
  <si>
    <t>개소</t>
    <phoneticPr fontId="18" type="noConversion"/>
  </si>
  <si>
    <t>2022년</t>
    <phoneticPr fontId="18" type="noConversion"/>
  </si>
  <si>
    <t>2021년</t>
    <phoneticPr fontId="18" type="noConversion"/>
  </si>
  <si>
    <t>건물RMS</t>
    <phoneticPr fontId="18" type="noConversion"/>
  </si>
  <si>
    <t>▷ 신규수주 7천만원</t>
    <phoneticPr fontId="18" type="noConversion"/>
  </si>
  <si>
    <t>매장RMS</t>
    <phoneticPr fontId="18" type="noConversion"/>
  </si>
  <si>
    <t>매장(GS)</t>
    <phoneticPr fontId="18" type="noConversion"/>
  </si>
  <si>
    <t>▷ GS25편의점 년초대비 1,480개가 증가하면</t>
    <phoneticPr fontId="18" type="noConversion"/>
  </si>
  <si>
    <t>LPR(스타벅스)</t>
    <phoneticPr fontId="18" type="noConversion"/>
  </si>
  <si>
    <t xml:space="preserve">     23.1억원 --&gt; 35.1억원으로 매출액 증가</t>
    <phoneticPr fontId="18" type="noConversion"/>
  </si>
  <si>
    <t>EMS(H&amp;M)</t>
    <phoneticPr fontId="18" type="noConversion"/>
  </si>
  <si>
    <t>총계</t>
    <phoneticPr fontId="18" type="noConversion"/>
  </si>
  <si>
    <t>신규수주</t>
    <phoneticPr fontId="14" type="noConversion"/>
  </si>
  <si>
    <t>2022.01실적</t>
  </si>
  <si>
    <t>2022.02실적</t>
  </si>
  <si>
    <t>2022.03실적</t>
  </si>
  <si>
    <t>2022.04실적</t>
  </si>
  <si>
    <t>2022.05실적</t>
  </si>
  <si>
    <t>2022.06실적</t>
  </si>
  <si>
    <t>2022.07실적</t>
  </si>
  <si>
    <t>2022.08실적</t>
  </si>
  <si>
    <t>2022.09계획</t>
  </si>
  <si>
    <t>2022.10계획</t>
  </si>
  <si>
    <t>2022.11계획</t>
  </si>
  <si>
    <t>2022.12계획</t>
  </si>
  <si>
    <t>22년계</t>
  </si>
  <si>
    <t>RMS</t>
  </si>
  <si>
    <t>서울2</t>
  </si>
  <si>
    <t>LPR</t>
  </si>
  <si>
    <t>서울5</t>
  </si>
  <si>
    <t>EMS</t>
  </si>
  <si>
    <t>중부1</t>
  </si>
  <si>
    <t>중부2</t>
  </si>
  <si>
    <t>서울6</t>
  </si>
  <si>
    <t>남부2</t>
  </si>
  <si>
    <t>남부1</t>
  </si>
  <si>
    <t>서울3</t>
  </si>
  <si>
    <t>서울1</t>
  </si>
  <si>
    <t>서울4</t>
  </si>
  <si>
    <t>F0322</t>
    <phoneticPr fontId="14" type="noConversion"/>
  </si>
  <si>
    <t>디지털큐브운영센터</t>
  </si>
  <si>
    <t>F0020</t>
    <phoneticPr fontId="14" type="noConversion"/>
  </si>
  <si>
    <t>광화문빌딩운영센터</t>
  </si>
  <si>
    <t>F0080</t>
    <phoneticPr fontId="14" type="noConversion"/>
  </si>
  <si>
    <t>엘지가산디지털운영센터</t>
  </si>
  <si>
    <t>F0414</t>
    <phoneticPr fontId="14" type="noConversion"/>
  </si>
  <si>
    <t>서울역빌딩운영센터</t>
  </si>
  <si>
    <t>F0114</t>
  </si>
  <si>
    <t>NH투자증권부산운영센터</t>
  </si>
  <si>
    <t>F0091</t>
    <phoneticPr fontId="14" type="noConversion"/>
  </si>
  <si>
    <t>대한제지운영센터</t>
  </si>
  <si>
    <t>F0039</t>
    <phoneticPr fontId="14" type="noConversion"/>
  </si>
  <si>
    <t>LS타워운영센터</t>
  </si>
  <si>
    <t>F0295</t>
  </si>
  <si>
    <t>LS엠트론지식산업운영센터</t>
  </si>
  <si>
    <t>F0139</t>
  </si>
  <si>
    <t>LS미래원운영센터</t>
  </si>
  <si>
    <t>F0290</t>
  </si>
  <si>
    <t>연산갤러리운영센터</t>
  </si>
  <si>
    <t>F0132</t>
    <phoneticPr fontId="14" type="noConversion"/>
  </si>
  <si>
    <t>서울예대기숙사운영센터</t>
  </si>
  <si>
    <t>F0143</t>
    <phoneticPr fontId="14" type="noConversion"/>
  </si>
  <si>
    <t>서울대기숙사운영센터</t>
  </si>
  <si>
    <t>신한카드역삼운영센터</t>
  </si>
  <si>
    <t>F0094</t>
  </si>
  <si>
    <t>F0131</t>
    <phoneticPr fontId="14" type="noConversion"/>
  </si>
  <si>
    <t>건대기숙사운영센터</t>
  </si>
  <si>
    <t>F0142</t>
    <phoneticPr fontId="14" type="noConversion"/>
  </si>
  <si>
    <t>건대기숙사2차운영센터</t>
  </si>
  <si>
    <t>F0095</t>
  </si>
  <si>
    <t>LF동관운영센터(동관, 서관)</t>
    <phoneticPr fontId="14" type="noConversion"/>
  </si>
  <si>
    <t>LF동관운영센터(삼영,명동헤지스)</t>
    <phoneticPr fontId="14" type="noConversion"/>
  </si>
  <si>
    <t>F0342</t>
  </si>
  <si>
    <t>BIFC운영센터</t>
  </si>
  <si>
    <t>한국교직원공제회대전운영센터</t>
    <phoneticPr fontId="14" type="noConversion"/>
  </si>
  <si>
    <t>한국교직원공제회대전운영센터(충북회관)</t>
    <phoneticPr fontId="14" type="noConversion"/>
  </si>
  <si>
    <t>F0305</t>
  </si>
  <si>
    <t>디앤오강남빌딩운영센터</t>
  </si>
  <si>
    <t>미래에셋증권동부운영센터(포항,창원,진주)</t>
    <phoneticPr fontId="14" type="noConversion"/>
  </si>
  <si>
    <t>KB증권중부운영센터(수원,대치)</t>
    <phoneticPr fontId="14" type="noConversion"/>
  </si>
  <si>
    <t>KB증권남부운영센터(남울산,대구)</t>
    <phoneticPr fontId="14" type="noConversion"/>
  </si>
  <si>
    <t>F0474</t>
  </si>
  <si>
    <t>F0475</t>
    <phoneticPr fontId="14" type="noConversion"/>
  </si>
  <si>
    <t>인프라-한국타이어티스테이션(부천도당,서울신월)</t>
    <phoneticPr fontId="14" type="noConversion"/>
  </si>
  <si>
    <t>한국타이어물류운영센터(생산기술연구소,계룡/평택/양산/칠곡물류)</t>
    <phoneticPr fontId="14" type="noConversion"/>
  </si>
  <si>
    <t>F0504</t>
  </si>
  <si>
    <t>한국테크노플렉스운영센터</t>
  </si>
  <si>
    <t>금융투자운영센터(사옥,교육원)</t>
    <phoneticPr fontId="14" type="noConversion"/>
  </si>
  <si>
    <t>F0022</t>
  </si>
  <si>
    <t>생활건강대전연구소운영센터</t>
  </si>
  <si>
    <t>F0521</t>
  </si>
  <si>
    <t>미래에셋증권광주운영센터</t>
  </si>
  <si>
    <t>F0014</t>
  </si>
  <si>
    <t>트윈타워운영센터</t>
  </si>
  <si>
    <t>F0084</t>
  </si>
  <si>
    <t>GS타워운영센터</t>
  </si>
  <si>
    <t>F0009</t>
  </si>
  <si>
    <t>GS강서타워운영센터</t>
  </si>
  <si>
    <t>F0340</t>
  </si>
  <si>
    <t>GS강서N타워</t>
  </si>
  <si>
    <t>F0023</t>
  </si>
  <si>
    <t>화학대전기술연구원운영센터</t>
  </si>
  <si>
    <t>F0010</t>
  </si>
  <si>
    <t>마포운영센터</t>
  </si>
  <si>
    <t>F0129</t>
  </si>
  <si>
    <t>F0421</t>
  </si>
  <si>
    <t>RMS</t>
    <phoneticPr fontId="14" type="noConversion"/>
  </si>
  <si>
    <t>신한은행운영센터</t>
    <phoneticPr fontId="14" type="noConversion"/>
  </si>
  <si>
    <t>F0423</t>
  </si>
  <si>
    <t>인프라-KT&amp;G-담배인삼공제회</t>
    <phoneticPr fontId="14" type="noConversion"/>
  </si>
  <si>
    <t>GS건설용인(수신반)</t>
    <phoneticPr fontId="14" type="noConversion"/>
  </si>
  <si>
    <t>구축년도</t>
    <phoneticPr fontId="14" type="noConversion"/>
  </si>
  <si>
    <t>구축추정비용</t>
    <phoneticPr fontId="14" type="noConversion"/>
  </si>
  <si>
    <t>U+독산운영센터</t>
  </si>
  <si>
    <t>U+인천구월운영센터</t>
  </si>
  <si>
    <t>U+수원우만운영센터</t>
  </si>
  <si>
    <t>U+안양운영센터</t>
  </si>
  <si>
    <t>U+성남수진운영센터</t>
  </si>
  <si>
    <t>U+시흥고객센터운영센터</t>
  </si>
  <si>
    <t>U+대전탄방운영센터</t>
  </si>
  <si>
    <t>U+광주중흥운영센터</t>
  </si>
  <si>
    <t>U+전주우아운영센터</t>
  </si>
  <si>
    <t>U+부산감전운영센터</t>
  </si>
  <si>
    <t>U+대구신천운영센터</t>
  </si>
  <si>
    <t>U+방배운영센터</t>
  </si>
  <si>
    <t>U+논현운영센터</t>
  </si>
  <si>
    <t>U+전주중화운영센터</t>
  </si>
  <si>
    <t>U+인천간석운영센터</t>
  </si>
  <si>
    <t>U+북수원운영센터</t>
  </si>
  <si>
    <t>U+수원인계운영센터</t>
  </si>
  <si>
    <t>U+대전오류운영센터</t>
  </si>
  <si>
    <t>U+대전R&amp;D운영센터</t>
  </si>
  <si>
    <t>U+광주광천운영센터</t>
  </si>
  <si>
    <t>U+광주우산운영센터</t>
  </si>
  <si>
    <t>U+부산초량운영센터</t>
  </si>
  <si>
    <t>U+부산고객센터운영센터</t>
  </si>
  <si>
    <t>U+대구효목운영센터</t>
  </si>
  <si>
    <t>U+대구황금운영센터</t>
  </si>
  <si>
    <t>U+대구동인운영센터</t>
  </si>
  <si>
    <t>U+진주혁신운영센터</t>
  </si>
  <si>
    <t>부산아미국사</t>
  </si>
  <si>
    <t>U+구로</t>
  </si>
  <si>
    <t>U+춘천소양</t>
  </si>
  <si>
    <t>U+강릉명주</t>
  </si>
  <si>
    <t>U+김해부원</t>
  </si>
  <si>
    <t>U+통영도천</t>
  </si>
  <si>
    <t>U+밀양내이</t>
  </si>
  <si>
    <t>U+청주복대</t>
  </si>
  <si>
    <t>U+마산합성</t>
  </si>
  <si>
    <t>U+양산중부</t>
  </si>
  <si>
    <t>U+남울산</t>
  </si>
  <si>
    <t>관제/점검/통신/이윤</t>
    <phoneticPr fontId="14" type="noConversion"/>
  </si>
  <si>
    <t>추정매총1(A-B)</t>
    <phoneticPr fontId="14" type="noConversion"/>
  </si>
  <si>
    <t>추정월매출(A)</t>
    <phoneticPr fontId="14" type="noConversion"/>
  </si>
  <si>
    <t>추정월매입(B)</t>
    <phoneticPr fontId="14" type="noConversion"/>
  </si>
  <si>
    <t>님부2</t>
  </si>
  <si>
    <t>단가계약</t>
    <phoneticPr fontId="14" type="noConversion"/>
  </si>
  <si>
    <t>점별상이</t>
    <phoneticPr fontId="14" type="noConversion"/>
  </si>
  <si>
    <t>금융투자운영센터</t>
    <phoneticPr fontId="14" type="noConversion"/>
  </si>
  <si>
    <t>KB증권중부운영센터</t>
    <phoneticPr fontId="14" type="noConversion"/>
  </si>
  <si>
    <t>KB증권남부운영센터</t>
    <phoneticPr fontId="14" type="noConversion"/>
  </si>
  <si>
    <t>미래에셋증권동부운영센터</t>
    <phoneticPr fontId="14" type="noConversion"/>
  </si>
  <si>
    <t>한국타이어물류운영센터</t>
    <phoneticPr fontId="14" type="noConversion"/>
  </si>
  <si>
    <t>인프라-한국타이어티스테이션</t>
    <phoneticPr fontId="14" type="noConversion"/>
  </si>
  <si>
    <t>설치불가</t>
    <phoneticPr fontId="14" type="noConversion"/>
  </si>
  <si>
    <t>설치예정</t>
    <phoneticPr fontId="14" type="noConversion"/>
  </si>
  <si>
    <t>GS건설용인</t>
    <phoneticPr fontId="14" type="noConversion"/>
  </si>
  <si>
    <t>2017~2022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</si>
</sst>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_);[Red]\(0\)"/>
  </numFmts>
  <fonts count="23">
    <font>
      <sz val="11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2"/>
      <scheme val="minor"/>
    </font>
    <font>
      <strike/>
      <sz val="9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E9E7F8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/>
      <bottom style="thin">
        <color rgb="FFDCDBDA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/>
      <right/>
      <top/>
      <bottom style="thin">
        <color rgb="FFE7E7E7"/>
      </bottom>
      <diagonal/>
    </border>
    <border>
      <left/>
      <right style="thin">
        <color rgb="FFDCDBDA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/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DCDBDA"/>
      </top>
      <bottom style="thin">
        <color rgb="FFDCDBDA"/>
      </bottom>
      <diagonal/>
    </border>
    <border>
      <left/>
      <right/>
      <top/>
      <bottom style="thin">
        <color rgb="FFDCDBDA"/>
      </bottom>
      <diagonal/>
    </border>
    <border>
      <left style="thin">
        <color rgb="FFDCDBDA"/>
      </left>
      <right/>
      <top style="thin">
        <color rgb="FFDCDBDA"/>
      </top>
      <bottom/>
      <diagonal/>
    </border>
    <border>
      <left style="medium">
        <color indexed="64"/>
      </left>
      <right style="thin">
        <color rgb="FFDCDBDA"/>
      </right>
      <top style="medium">
        <color indexed="64"/>
      </top>
      <bottom style="thin">
        <color rgb="FFDCDBDA"/>
      </bottom>
      <diagonal/>
    </border>
    <border>
      <left/>
      <right style="thin">
        <color rgb="FFDCDBDA"/>
      </right>
      <top style="medium">
        <color indexed="64"/>
      </top>
      <bottom style="thin">
        <color rgb="FFDCDBDA"/>
      </bottom>
      <diagonal/>
    </border>
    <border>
      <left/>
      <right style="medium">
        <color indexed="64"/>
      </right>
      <top style="medium">
        <color indexed="64"/>
      </top>
      <bottom style="thin">
        <color rgb="FFDCDBDA"/>
      </bottom>
      <diagonal/>
    </border>
    <border>
      <left style="medium">
        <color indexed="64"/>
      </left>
      <right style="thin">
        <color rgb="FFDCDBDA"/>
      </right>
      <top/>
      <bottom style="thin">
        <color rgb="FFDCDBDA"/>
      </bottom>
      <diagonal/>
    </border>
    <border>
      <left/>
      <right style="medium">
        <color indexed="64"/>
      </right>
      <top/>
      <bottom style="thin">
        <color rgb="FFDCDBDA"/>
      </bottom>
      <diagonal/>
    </border>
    <border>
      <left style="medium">
        <color indexed="64"/>
      </left>
      <right style="thin">
        <color rgb="FFDCDBDA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DCDBDA"/>
      </right>
      <top/>
      <bottom style="thin">
        <color rgb="FFE7E7E7"/>
      </bottom>
      <diagonal/>
    </border>
    <border>
      <left/>
      <right style="medium">
        <color indexed="64"/>
      </right>
      <top/>
      <bottom style="thin">
        <color rgb="FFE7E7E7"/>
      </bottom>
      <diagonal/>
    </border>
    <border>
      <left style="medium">
        <color indexed="64"/>
      </left>
      <right style="thin">
        <color rgb="FFDCDBDA"/>
      </right>
      <top style="thin">
        <color rgb="FFDCDBDA"/>
      </top>
      <bottom style="medium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medium">
        <color indexed="64"/>
      </bottom>
      <diagonal/>
    </border>
    <border>
      <left style="thin">
        <color rgb="FFDCDBDA"/>
      </left>
      <right style="medium">
        <color indexed="64"/>
      </right>
      <top style="thin">
        <color rgb="FFDCDBDA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CDBDA"/>
      </bottom>
      <diagonal/>
    </border>
    <border>
      <left style="medium">
        <color indexed="64"/>
      </left>
      <right style="medium">
        <color indexed="64"/>
      </right>
      <top/>
      <bottom style="thin">
        <color rgb="FFDCDBDA"/>
      </bottom>
      <diagonal/>
    </border>
    <border>
      <left style="medium">
        <color indexed="64"/>
      </left>
      <right style="medium">
        <color indexed="64"/>
      </right>
      <top/>
      <bottom style="thin">
        <color rgb="FFE7E7E7"/>
      </bottom>
      <diagonal/>
    </border>
    <border>
      <left style="medium">
        <color indexed="64"/>
      </left>
      <right style="medium">
        <color indexed="64"/>
      </right>
      <top style="thin">
        <color rgb="FFDCDBDA"/>
      </top>
      <bottom style="medium">
        <color indexed="64"/>
      </bottom>
      <diagonal/>
    </border>
    <border>
      <left style="thin">
        <color rgb="FFDCDBDA"/>
      </left>
      <right/>
      <top/>
      <bottom style="thin">
        <color rgb="FFDCDBD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CDBDA"/>
      </right>
      <top/>
      <bottom style="medium">
        <color indexed="64"/>
      </bottom>
      <diagonal/>
    </border>
    <border>
      <left style="thin">
        <color rgb="FFDCDBDA"/>
      </left>
      <right style="thin">
        <color rgb="FFDCDBDA"/>
      </right>
      <top/>
      <bottom style="medium">
        <color indexed="64"/>
      </bottom>
      <diagonal/>
    </border>
    <border>
      <left style="thin">
        <color rgb="FFDCDBDA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3" fontId="16" fillId="5" borderId="0" xfId="0" applyNumberFormat="1" applyFont="1" applyFill="1">
      <alignment vertical="center"/>
    </xf>
    <xf numFmtId="49" fontId="4" fillId="0" borderId="4" xfId="0" applyNumberFormat="1" applyFont="1" applyFill="1" applyBorder="1" applyAlignment="1">
      <alignment horizontal="center" vertical="center" wrapText="1"/>
    </xf>
    <xf numFmtId="3" fontId="12" fillId="0" borderId="4" xfId="0" applyNumberFormat="1" applyFont="1" applyFill="1" applyBorder="1" applyAlignment="1">
      <alignment horizontal="right" vertical="center" wrapText="1"/>
    </xf>
    <xf numFmtId="3" fontId="13" fillId="0" borderId="4" xfId="0" applyNumberFormat="1" applyFont="1" applyFill="1" applyBorder="1" applyAlignment="1">
      <alignment horizontal="right" vertical="center" wrapText="1"/>
    </xf>
    <xf numFmtId="3" fontId="12" fillId="0" borderId="6" xfId="0" applyNumberFormat="1" applyFont="1" applyFill="1" applyBorder="1" applyAlignment="1">
      <alignment horizontal="right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3" fontId="13" fillId="0" borderId="5" xfId="0" applyNumberFormat="1" applyFont="1" applyFill="1" applyBorder="1" applyAlignment="1">
      <alignment horizontal="right" vertical="center" wrapText="1"/>
    </xf>
    <xf numFmtId="49" fontId="13" fillId="0" borderId="4" xfId="0" applyNumberFormat="1" applyFont="1" applyFill="1" applyBorder="1" applyAlignment="1">
      <alignment horizontal="right" vertical="center" wrapText="1"/>
    </xf>
    <xf numFmtId="49" fontId="12" fillId="0" borderId="4" xfId="0" applyNumberFormat="1" applyFont="1" applyFill="1" applyBorder="1" applyAlignment="1">
      <alignment horizontal="right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3" fontId="12" fillId="0" borderId="5" xfId="0" applyNumberFormat="1" applyFont="1" applyFill="1" applyBorder="1" applyAlignment="1">
      <alignment horizontal="right" vertical="center" wrapText="1"/>
    </xf>
    <xf numFmtId="3" fontId="13" fillId="0" borderId="0" xfId="0" applyNumberFormat="1" applyFont="1" applyFill="1" applyBorder="1" applyAlignment="1">
      <alignment horizontal="right" vertical="center" wrapText="1"/>
    </xf>
    <xf numFmtId="3" fontId="12" fillId="0" borderId="0" xfId="0" applyNumberFormat="1" applyFont="1" applyFill="1" applyBorder="1" applyAlignment="1">
      <alignment horizontal="right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right" vertical="center" wrapText="1"/>
    </xf>
    <xf numFmtId="3" fontId="11" fillId="3" borderId="9" xfId="0" applyNumberFormat="1" applyFont="1" applyFill="1" applyBorder="1" applyAlignment="1">
      <alignment horizontal="right" vertical="center" wrapText="1"/>
    </xf>
    <xf numFmtId="3" fontId="11" fillId="3" borderId="8" xfId="0" applyNumberFormat="1" applyFont="1" applyFill="1" applyBorder="1" applyAlignment="1">
      <alignment horizontal="right" vertical="center" wrapText="1"/>
    </xf>
    <xf numFmtId="0" fontId="10" fillId="3" borderId="10" xfId="0" applyFont="1" applyFill="1" applyBorder="1" applyAlignment="1">
      <alignment horizontal="right" vertical="center" wrapText="1"/>
    </xf>
    <xf numFmtId="3" fontId="10" fillId="3" borderId="3" xfId="0" applyNumberFormat="1" applyFont="1" applyFill="1" applyBorder="1" applyAlignment="1">
      <alignment horizontal="right" vertical="center" wrapText="1"/>
    </xf>
    <xf numFmtId="3" fontId="10" fillId="3" borderId="10" xfId="0" applyNumberFormat="1" applyFont="1" applyFill="1" applyBorder="1" applyAlignment="1">
      <alignment horizontal="right" vertical="center" wrapText="1"/>
    </xf>
    <xf numFmtId="0" fontId="0" fillId="0" borderId="0" xfId="0" applyFill="1" applyBorder="1">
      <alignment vertical="center"/>
    </xf>
    <xf numFmtId="3" fontId="0" fillId="0" borderId="0" xfId="0" applyNumberFormat="1" applyFill="1" applyBorder="1">
      <alignment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3" fontId="1" fillId="0" borderId="0" xfId="0" applyNumberFormat="1" applyFont="1" applyFill="1" applyBorder="1" applyAlignment="1">
      <alignment horizontal="right" vertical="center" wrapText="1"/>
    </xf>
    <xf numFmtId="49" fontId="17" fillId="0" borderId="4" xfId="0" applyNumberFormat="1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49" fontId="1" fillId="8" borderId="3" xfId="0" applyNumberFormat="1" applyFont="1" applyFill="1" applyBorder="1" applyAlignment="1">
      <alignment horizontal="center" vertical="center" wrapText="1"/>
    </xf>
    <xf numFmtId="3" fontId="12" fillId="9" borderId="4" xfId="0" applyNumberFormat="1" applyFont="1" applyFill="1" applyBorder="1" applyAlignment="1">
      <alignment horizontal="right" vertical="center" wrapText="1"/>
    </xf>
    <xf numFmtId="3" fontId="13" fillId="9" borderId="0" xfId="0" applyNumberFormat="1" applyFont="1" applyFill="1" applyBorder="1" applyAlignment="1">
      <alignment horizontal="right" vertical="center" wrapText="1"/>
    </xf>
    <xf numFmtId="3" fontId="13" fillId="6" borderId="0" xfId="0" applyNumberFormat="1" applyFont="1" applyFill="1" applyBorder="1" applyAlignment="1">
      <alignment horizontal="right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center" vertical="center" wrapText="1"/>
    </xf>
    <xf numFmtId="3" fontId="11" fillId="3" borderId="24" xfId="0" applyNumberFormat="1" applyFont="1" applyFill="1" applyBorder="1" applyAlignment="1">
      <alignment horizontal="right" vertical="center" wrapText="1"/>
    </xf>
    <xf numFmtId="3" fontId="11" fillId="7" borderId="9" xfId="0" applyNumberFormat="1" applyFont="1" applyFill="1" applyBorder="1" applyAlignment="1">
      <alignment horizontal="right" vertical="center" wrapText="1"/>
    </xf>
    <xf numFmtId="49" fontId="2" fillId="2" borderId="25" xfId="0" applyNumberFormat="1" applyFont="1" applyFill="1" applyBorder="1" applyAlignment="1">
      <alignment horizontal="center" vertical="center" wrapText="1"/>
    </xf>
    <xf numFmtId="49" fontId="2" fillId="2" borderId="26" xfId="0" applyNumberFormat="1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>
      <alignment horizontal="center" vertical="center" wrapText="1"/>
    </xf>
    <xf numFmtId="49" fontId="3" fillId="4" borderId="28" xfId="0" applyNumberFormat="1" applyFont="1" applyFill="1" applyBorder="1" applyAlignment="1">
      <alignment horizontal="center" vertical="center" wrapText="1"/>
    </xf>
    <xf numFmtId="49" fontId="3" fillId="4" borderId="29" xfId="0" applyNumberFormat="1" applyFont="1" applyFill="1" applyBorder="1" applyAlignment="1">
      <alignment horizontal="center" vertical="center" wrapText="1"/>
    </xf>
    <xf numFmtId="3" fontId="12" fillId="0" borderId="30" xfId="0" applyNumberFormat="1" applyFont="1" applyFill="1" applyBorder="1" applyAlignment="1">
      <alignment horizontal="right" vertical="center" wrapText="1"/>
    </xf>
    <xf numFmtId="3" fontId="12" fillId="0" borderId="31" xfId="0" applyNumberFormat="1" applyFont="1" applyFill="1" applyBorder="1" applyAlignment="1">
      <alignment horizontal="right" vertical="center" wrapText="1"/>
    </xf>
    <xf numFmtId="3" fontId="13" fillId="0" borderId="32" xfId="0" applyNumberFormat="1" applyFont="1" applyFill="1" applyBorder="1" applyAlignment="1">
      <alignment horizontal="right" vertical="center" wrapText="1"/>
    </xf>
    <xf numFmtId="3" fontId="13" fillId="0" borderId="31" xfId="0" applyNumberFormat="1" applyFont="1" applyFill="1" applyBorder="1" applyAlignment="1">
      <alignment horizontal="right" vertical="center" wrapText="1"/>
    </xf>
    <xf numFmtId="3" fontId="12" fillId="0" borderId="32" xfId="0" applyNumberFormat="1" applyFont="1" applyFill="1" applyBorder="1" applyAlignment="1">
      <alignment horizontal="right" vertical="center" wrapText="1"/>
    </xf>
    <xf numFmtId="3" fontId="12" fillId="0" borderId="33" xfId="0" applyNumberFormat="1" applyFont="1" applyFill="1" applyBorder="1" applyAlignment="1">
      <alignment horizontal="right" vertical="center" wrapText="1"/>
    </xf>
    <xf numFmtId="3" fontId="12" fillId="0" borderId="34" xfId="0" applyNumberFormat="1" applyFont="1" applyFill="1" applyBorder="1" applyAlignment="1">
      <alignment horizontal="right" vertical="center" wrapText="1"/>
    </xf>
    <xf numFmtId="3" fontId="13" fillId="0" borderId="33" xfId="0" applyNumberFormat="1" applyFont="1" applyFill="1" applyBorder="1" applyAlignment="1">
      <alignment horizontal="right" vertical="center" wrapText="1"/>
    </xf>
    <xf numFmtId="3" fontId="13" fillId="0" borderId="34" xfId="0" applyNumberFormat="1" applyFont="1" applyFill="1" applyBorder="1" applyAlignment="1">
      <alignment horizontal="right" vertical="center" wrapText="1"/>
    </xf>
    <xf numFmtId="3" fontId="11" fillId="3" borderId="35" xfId="0" applyNumberFormat="1" applyFont="1" applyFill="1" applyBorder="1" applyAlignment="1">
      <alignment horizontal="right" vertical="center" wrapText="1"/>
    </xf>
    <xf numFmtId="3" fontId="11" fillId="3" borderId="36" xfId="0" applyNumberFormat="1" applyFont="1" applyFill="1" applyBorder="1" applyAlignment="1">
      <alignment horizontal="right" vertical="center" wrapText="1"/>
    </xf>
    <xf numFmtId="3" fontId="11" fillId="3" borderId="37" xfId="0" applyNumberFormat="1" applyFont="1" applyFill="1" applyBorder="1" applyAlignment="1">
      <alignment horizontal="right" vertical="center" wrapText="1"/>
    </xf>
    <xf numFmtId="49" fontId="4" fillId="0" borderId="5" xfId="0" applyNumberFormat="1" applyFont="1" applyFill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8" fillId="0" borderId="5" xfId="0" applyNumberFormat="1" applyFont="1" applyFill="1" applyBorder="1" applyAlignment="1">
      <alignment vertical="center" wrapText="1"/>
    </xf>
    <xf numFmtId="49" fontId="9" fillId="0" borderId="5" xfId="0" applyNumberFormat="1" applyFont="1" applyFill="1" applyBorder="1" applyAlignment="1">
      <alignment vertical="center" wrapText="1"/>
    </xf>
    <xf numFmtId="49" fontId="17" fillId="0" borderId="5" xfId="0" applyNumberFormat="1" applyFont="1" applyFill="1" applyBorder="1" applyAlignment="1">
      <alignment vertical="center" wrapText="1"/>
    </xf>
    <xf numFmtId="0" fontId="10" fillId="3" borderId="24" xfId="0" applyFont="1" applyFill="1" applyBorder="1" applyAlignment="1">
      <alignment horizontal="center" vertical="center" wrapText="1"/>
    </xf>
    <xf numFmtId="49" fontId="1" fillId="8" borderId="38" xfId="0" applyNumberFormat="1" applyFont="1" applyFill="1" applyBorder="1" applyAlignment="1">
      <alignment horizontal="center" vertical="center" wrapText="1"/>
    </xf>
    <xf numFmtId="49" fontId="1" fillId="8" borderId="39" xfId="0" applyNumberFormat="1" applyFont="1" applyFill="1" applyBorder="1" applyAlignment="1">
      <alignment horizontal="center" vertical="center" wrapText="1"/>
    </xf>
    <xf numFmtId="41" fontId="1" fillId="0" borderId="40" xfId="1" applyFont="1" applyFill="1" applyBorder="1" applyAlignment="1">
      <alignment horizontal="center" vertical="center" wrapText="1"/>
    </xf>
    <xf numFmtId="41" fontId="5" fillId="9" borderId="40" xfId="1" applyFont="1" applyFill="1" applyBorder="1" applyAlignment="1">
      <alignment horizontal="center" vertical="center" wrapText="1"/>
    </xf>
    <xf numFmtId="41" fontId="5" fillId="0" borderId="40" xfId="1" applyFont="1" applyFill="1" applyBorder="1" applyAlignment="1">
      <alignment horizontal="center" vertical="center" wrapText="1"/>
    </xf>
    <xf numFmtId="41" fontId="4" fillId="0" borderId="40" xfId="1" applyFont="1" applyFill="1" applyBorder="1" applyAlignment="1">
      <alignment horizontal="center" vertical="center" wrapText="1"/>
    </xf>
    <xf numFmtId="41" fontId="4" fillId="6" borderId="40" xfId="1" applyFont="1" applyFill="1" applyBorder="1" applyAlignment="1">
      <alignment horizontal="center" vertical="center" wrapText="1"/>
    </xf>
    <xf numFmtId="41" fontId="17" fillId="0" borderId="40" xfId="1" applyFont="1" applyFill="1" applyBorder="1" applyAlignment="1">
      <alignment horizontal="center" vertical="center" wrapText="1"/>
    </xf>
    <xf numFmtId="3" fontId="10" fillId="7" borderId="41" xfId="0" applyNumberFormat="1" applyFont="1" applyFill="1" applyBorder="1" applyAlignment="1">
      <alignment horizontal="right" vertical="center" wrapText="1"/>
    </xf>
    <xf numFmtId="0" fontId="10" fillId="3" borderId="42" xfId="0" applyFont="1" applyFill="1" applyBorder="1" applyAlignment="1">
      <alignment horizontal="center" vertical="center" wrapText="1"/>
    </xf>
    <xf numFmtId="3" fontId="1" fillId="0" borderId="43" xfId="0" applyNumberFormat="1" applyFont="1" applyFill="1" applyBorder="1" applyAlignment="1">
      <alignment horizontal="right" vertical="center" wrapText="1"/>
    </xf>
    <xf numFmtId="3" fontId="10" fillId="7" borderId="44" xfId="0" applyNumberFormat="1" applyFont="1" applyFill="1" applyBorder="1" applyAlignment="1">
      <alignment horizontal="right" vertical="center" wrapText="1"/>
    </xf>
    <xf numFmtId="3" fontId="16" fillId="5" borderId="21" xfId="0" applyNumberFormat="1" applyFont="1" applyFill="1" applyBorder="1">
      <alignment vertical="center"/>
    </xf>
    <xf numFmtId="3" fontId="10" fillId="3" borderId="42" xfId="0" applyNumberFormat="1" applyFont="1" applyFill="1" applyBorder="1" applyAlignment="1">
      <alignment horizontal="right" vertical="center" wrapText="1"/>
    </xf>
    <xf numFmtId="3" fontId="10" fillId="7" borderId="3" xfId="0" applyNumberFormat="1" applyFont="1" applyFill="1" applyBorder="1" applyAlignment="1">
      <alignment horizontal="right" vertical="center" wrapText="1"/>
    </xf>
    <xf numFmtId="41" fontId="1" fillId="0" borderId="45" xfId="1" applyFont="1" applyFill="1" applyBorder="1" applyAlignment="1">
      <alignment horizontal="right" vertical="center" wrapText="1"/>
    </xf>
    <xf numFmtId="41" fontId="1" fillId="0" borderId="46" xfId="1" applyFont="1" applyFill="1" applyBorder="1" applyAlignment="1">
      <alignment horizontal="right" vertical="center" wrapText="1"/>
    </xf>
    <xf numFmtId="49" fontId="1" fillId="0" borderId="47" xfId="0" applyNumberFormat="1" applyFont="1" applyFill="1" applyBorder="1" applyAlignment="1">
      <alignment horizontal="right" vertical="center" wrapText="1"/>
    </xf>
    <xf numFmtId="3" fontId="10" fillId="3" borderId="48" xfId="0" applyNumberFormat="1" applyFont="1" applyFill="1" applyBorder="1" applyAlignment="1">
      <alignment horizontal="right" vertical="center" wrapText="1"/>
    </xf>
    <xf numFmtId="3" fontId="10" fillId="3" borderId="49" xfId="0" applyNumberFormat="1" applyFont="1" applyFill="1" applyBorder="1" applyAlignment="1">
      <alignment horizontal="right" vertical="center" wrapText="1"/>
    </xf>
    <xf numFmtId="3" fontId="10" fillId="3" borderId="50" xfId="0" applyNumberFormat="1" applyFont="1" applyFill="1" applyBorder="1" applyAlignment="1">
      <alignment horizontal="right" vertical="center" wrapText="1"/>
    </xf>
    <xf numFmtId="0" fontId="16" fillId="0" borderId="0" xfId="0" applyFont="1">
      <alignment vertical="center"/>
    </xf>
    <xf numFmtId="0" fontId="19" fillId="10" borderId="11" xfId="0" applyFont="1" applyFill="1" applyBorder="1">
      <alignment vertical="center"/>
    </xf>
    <xf numFmtId="0" fontId="19" fillId="10" borderId="12" xfId="0" applyFont="1" applyFill="1" applyBorder="1">
      <alignment vertical="center"/>
    </xf>
    <xf numFmtId="0" fontId="19" fillId="10" borderId="12" xfId="0" applyFont="1" applyFill="1" applyBorder="1" applyAlignment="1">
      <alignment horizontal="center" vertical="center"/>
    </xf>
    <xf numFmtId="41" fontId="19" fillId="10" borderId="13" xfId="1" applyFont="1" applyFill="1" applyBorder="1">
      <alignment vertical="center"/>
    </xf>
    <xf numFmtId="41" fontId="19" fillId="10" borderId="13" xfId="1" applyFont="1" applyFill="1" applyBorder="1" applyAlignment="1">
      <alignment horizontal="center" vertical="center"/>
    </xf>
    <xf numFmtId="41" fontId="19" fillId="11" borderId="12" xfId="1" applyFont="1" applyFill="1" applyBorder="1">
      <alignment vertical="center"/>
    </xf>
    <xf numFmtId="41" fontId="19" fillId="11" borderId="13" xfId="1" applyFont="1" applyFill="1" applyBorder="1">
      <alignment vertical="center"/>
    </xf>
    <xf numFmtId="41" fontId="19" fillId="11" borderId="15" xfId="1" applyFont="1" applyFill="1" applyBorder="1">
      <alignment vertical="center"/>
    </xf>
    <xf numFmtId="41" fontId="19" fillId="11" borderId="16" xfId="1" applyFont="1" applyFill="1" applyBorder="1">
      <alignment vertical="center"/>
    </xf>
    <xf numFmtId="0" fontId="19" fillId="0" borderId="17" xfId="0" applyFont="1" applyBorder="1">
      <alignment vertical="center"/>
    </xf>
    <xf numFmtId="0" fontId="19" fillId="0" borderId="0" xfId="0" applyFont="1" applyBorder="1">
      <alignment vertical="center"/>
    </xf>
    <xf numFmtId="41" fontId="19" fillId="0" borderId="0" xfId="1" applyFont="1" applyBorder="1">
      <alignment vertical="center"/>
    </xf>
    <xf numFmtId="41" fontId="19" fillId="0" borderId="7" xfId="1" applyFont="1" applyBorder="1">
      <alignment vertical="center"/>
    </xf>
    <xf numFmtId="0" fontId="19" fillId="0" borderId="18" xfId="0" applyFont="1" applyBorder="1">
      <alignment vertical="center"/>
    </xf>
    <xf numFmtId="0" fontId="19" fillId="0" borderId="19" xfId="0" applyFont="1" applyBorder="1">
      <alignment vertical="center"/>
    </xf>
    <xf numFmtId="41" fontId="19" fillId="0" borderId="19" xfId="1" applyFont="1" applyBorder="1">
      <alignment vertical="center"/>
    </xf>
    <xf numFmtId="41" fontId="19" fillId="0" borderId="20" xfId="1" applyFont="1" applyBorder="1">
      <alignment vertical="center"/>
    </xf>
    <xf numFmtId="41" fontId="19" fillId="10" borderId="12" xfId="1" applyFont="1" applyFill="1" applyBorder="1">
      <alignment vertical="center"/>
    </xf>
    <xf numFmtId="3" fontId="16" fillId="0" borderId="0" xfId="0" applyNumberFormat="1" applyFont="1">
      <alignment vertical="center"/>
    </xf>
    <xf numFmtId="43" fontId="0" fillId="0" borderId="0" xfId="0" applyNumberFormat="1">
      <alignment vertical="center"/>
    </xf>
    <xf numFmtId="176" fontId="20" fillId="2" borderId="1" xfId="0" applyNumberFormat="1" applyFont="1" applyFill="1" applyBorder="1" applyAlignment="1">
      <alignment horizontal="center" vertical="center" wrapText="1"/>
    </xf>
    <xf numFmtId="49" fontId="20" fillId="2" borderId="2" xfId="0" applyNumberFormat="1" applyFont="1" applyFill="1" applyBorder="1" applyAlignment="1">
      <alignment horizontal="center" vertical="center" wrapText="1"/>
    </xf>
    <xf numFmtId="49" fontId="20" fillId="2" borderId="22" xfId="0" applyNumberFormat="1" applyFont="1" applyFill="1" applyBorder="1" applyAlignment="1">
      <alignment horizontal="center" vertical="center" wrapText="1"/>
    </xf>
    <xf numFmtId="0" fontId="20" fillId="2" borderId="22" xfId="0" applyNumberFormat="1" applyFont="1" applyFill="1" applyBorder="1" applyAlignment="1">
      <alignment horizontal="center" vertical="center" wrapText="1"/>
    </xf>
    <xf numFmtId="41" fontId="20" fillId="2" borderId="22" xfId="1" applyFont="1" applyFill="1" applyBorder="1" applyAlignment="1">
      <alignment horizontal="center" vertical="center" wrapText="1"/>
    </xf>
    <xf numFmtId="49" fontId="20" fillId="2" borderId="0" xfId="0" applyNumberFormat="1" applyFont="1" applyFill="1" applyBorder="1" applyAlignment="1">
      <alignment horizontal="center" vertical="center" wrapText="1"/>
    </xf>
    <xf numFmtId="49" fontId="20" fillId="4" borderId="0" xfId="0" applyNumberFormat="1" applyFont="1" applyFill="1" applyBorder="1" applyAlignment="1">
      <alignment horizontal="center" vertical="center" wrapText="1"/>
    </xf>
    <xf numFmtId="49" fontId="20" fillId="8" borderId="0" xfId="0" applyNumberFormat="1" applyFont="1" applyFill="1" applyBorder="1" applyAlignment="1">
      <alignment horizontal="center" vertical="center" wrapText="1"/>
    </xf>
    <xf numFmtId="0" fontId="20" fillId="0" borderId="4" xfId="0" applyNumberFormat="1" applyFont="1" applyFill="1" applyBorder="1" applyAlignment="1">
      <alignment horizontal="center" vertical="center" wrapText="1"/>
    </xf>
    <xf numFmtId="49" fontId="20" fillId="0" borderId="4" xfId="0" applyNumberFormat="1" applyFont="1" applyFill="1" applyBorder="1" applyAlignment="1">
      <alignment horizontal="center" vertical="center" wrapText="1"/>
    </xf>
    <xf numFmtId="49" fontId="20" fillId="0" borderId="5" xfId="0" applyNumberFormat="1" applyFont="1" applyFill="1" applyBorder="1" applyAlignment="1">
      <alignment horizontal="center" vertical="center" wrapText="1"/>
    </xf>
    <xf numFmtId="49" fontId="20" fillId="0" borderId="5" xfId="0" applyNumberFormat="1" applyFont="1" applyFill="1" applyBorder="1" applyAlignment="1">
      <alignment vertical="center" wrapText="1"/>
    </xf>
    <xf numFmtId="0" fontId="20" fillId="0" borderId="5" xfId="0" applyNumberFormat="1" applyFont="1" applyFill="1" applyBorder="1" applyAlignment="1">
      <alignment horizontal="center" vertical="center" wrapText="1"/>
    </xf>
    <xf numFmtId="41" fontId="20" fillId="0" borderId="5" xfId="1" applyFont="1" applyFill="1" applyBorder="1" applyAlignment="1">
      <alignment vertical="center" wrapText="1"/>
    </xf>
    <xf numFmtId="3" fontId="20" fillId="0" borderId="4" xfId="0" applyNumberFormat="1" applyFont="1" applyFill="1" applyBorder="1" applyAlignment="1">
      <alignment horizontal="right" vertical="center" wrapText="1"/>
    </xf>
    <xf numFmtId="3" fontId="20" fillId="0" borderId="5" xfId="0" applyNumberFormat="1" applyFont="1" applyFill="1" applyBorder="1" applyAlignment="1">
      <alignment horizontal="right" vertical="center" wrapText="1"/>
    </xf>
    <xf numFmtId="3" fontId="20" fillId="0" borderId="0" xfId="0" applyNumberFormat="1" applyFont="1" applyFill="1" applyBorder="1" applyAlignment="1">
      <alignment horizontal="right" vertical="center" wrapText="1"/>
    </xf>
    <xf numFmtId="43" fontId="20" fillId="0" borderId="5" xfId="1" applyNumberFormat="1" applyFont="1" applyFill="1" applyBorder="1" applyAlignment="1">
      <alignment vertical="center" wrapText="1"/>
    </xf>
    <xf numFmtId="49" fontId="20" fillId="0" borderId="4" xfId="0" applyNumberFormat="1" applyFont="1" applyFill="1" applyBorder="1" applyAlignment="1">
      <alignment horizontal="right" vertical="center" wrapText="1"/>
    </xf>
    <xf numFmtId="49" fontId="20" fillId="6" borderId="4" xfId="0" applyNumberFormat="1" applyFont="1" applyFill="1" applyBorder="1" applyAlignment="1">
      <alignment horizontal="center" vertical="center" wrapText="1"/>
    </xf>
    <xf numFmtId="49" fontId="20" fillId="0" borderId="5" xfId="0" applyNumberFormat="1" applyFont="1" applyFill="1" applyBorder="1" applyAlignment="1">
      <alignment horizontal="right" vertical="center" wrapText="1"/>
    </xf>
    <xf numFmtId="41" fontId="20" fillId="0" borderId="0" xfId="1" applyFont="1" applyFill="1" applyBorder="1" applyAlignment="1">
      <alignment horizontal="right" vertical="center" wrapText="1"/>
    </xf>
    <xf numFmtId="49" fontId="20" fillId="0" borderId="0" xfId="0" applyNumberFormat="1" applyFont="1" applyFill="1" applyBorder="1" applyAlignment="1">
      <alignment horizontal="right" vertical="center" wrapText="1"/>
    </xf>
    <xf numFmtId="176" fontId="20" fillId="0" borderId="4" xfId="0" applyNumberFormat="1" applyFont="1" applyFill="1" applyBorder="1" applyAlignment="1">
      <alignment horizontal="center" vertical="center" wrapText="1"/>
    </xf>
    <xf numFmtId="0" fontId="21" fillId="0" borderId="5" xfId="0" applyNumberFormat="1" applyFont="1" applyFill="1" applyBorder="1" applyAlignment="1">
      <alignment horizontal="center" vertical="center" wrapText="1"/>
    </xf>
    <xf numFmtId="49" fontId="20" fillId="0" borderId="6" xfId="0" applyNumberFormat="1" applyFont="1" applyFill="1" applyBorder="1" applyAlignment="1">
      <alignment horizontal="center" vertical="center" wrapText="1"/>
    </xf>
    <xf numFmtId="49" fontId="20" fillId="0" borderId="0" xfId="0" applyNumberFormat="1" applyFont="1" applyFill="1" applyBorder="1" applyAlignment="1">
      <alignment horizontal="center" vertical="center" wrapText="1"/>
    </xf>
    <xf numFmtId="49" fontId="20" fillId="0" borderId="0" xfId="0" applyNumberFormat="1" applyFont="1" applyFill="1" applyBorder="1" applyAlignment="1">
      <alignment vertical="center" wrapText="1"/>
    </xf>
    <xf numFmtId="0" fontId="20" fillId="0" borderId="0" xfId="0" applyNumberFormat="1" applyFont="1" applyFill="1" applyBorder="1" applyAlignment="1">
      <alignment horizontal="center" vertical="center" wrapText="1"/>
    </xf>
    <xf numFmtId="41" fontId="20" fillId="0" borderId="0" xfId="1" applyFont="1" applyFill="1" applyBorder="1" applyAlignment="1">
      <alignment vertical="center" wrapText="1"/>
    </xf>
    <xf numFmtId="176" fontId="20" fillId="0" borderId="5" xfId="0" applyNumberFormat="1" applyFont="1" applyFill="1" applyBorder="1" applyAlignment="1">
      <alignment horizontal="center" vertical="center" wrapText="1"/>
    </xf>
    <xf numFmtId="176" fontId="20" fillId="0" borderId="0" xfId="0" applyNumberFormat="1" applyFont="1" applyFill="1" applyBorder="1" applyAlignment="1">
      <alignment horizontal="center" vertical="center" wrapText="1"/>
    </xf>
    <xf numFmtId="49" fontId="20" fillId="6" borderId="0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Fill="1">
      <alignment vertical="center"/>
    </xf>
    <xf numFmtId="0" fontId="22" fillId="0" borderId="0" xfId="0" applyFont="1" applyFill="1" applyBorder="1">
      <alignment vertical="center"/>
    </xf>
    <xf numFmtId="176" fontId="22" fillId="0" borderId="0" xfId="0" applyNumberFormat="1" applyFont="1">
      <alignment vertical="center"/>
    </xf>
    <xf numFmtId="0" fontId="22" fillId="0" borderId="0" xfId="0" applyFont="1" applyBorder="1">
      <alignment vertical="center"/>
    </xf>
    <xf numFmtId="41" fontId="22" fillId="0" borderId="0" xfId="1" applyFont="1">
      <alignment vertical="center"/>
    </xf>
    <xf numFmtId="49" fontId="20" fillId="12" borderId="5" xfId="0" applyNumberFormat="1" applyFont="1" applyFill="1" applyBorder="1" applyAlignment="1">
      <alignment horizontal="center" vertical="center" wrapText="1"/>
    </xf>
    <xf numFmtId="49" fontId="20" fillId="12" borderId="5" xfId="0" applyNumberFormat="1" applyFont="1" applyFill="1" applyBorder="1" applyAlignment="1">
      <alignment vertical="center" wrapText="1"/>
    </xf>
    <xf numFmtId="49" fontId="20" fillId="12" borderId="0" xfId="0" applyNumberFormat="1" applyFont="1" applyFill="1" applyBorder="1" applyAlignment="1">
      <alignment horizontal="center" vertical="center" wrapText="1"/>
    </xf>
    <xf numFmtId="49" fontId="20" fillId="12" borderId="0" xfId="0" applyNumberFormat="1" applyFont="1" applyFill="1" applyBorder="1" applyAlignment="1">
      <alignment vertical="center" wrapText="1"/>
    </xf>
    <xf numFmtId="41" fontId="20" fillId="0" borderId="5" xfId="1" applyFont="1" applyFill="1" applyBorder="1" applyAlignment="1">
      <alignment horizontal="center" vertical="center" wrapText="1"/>
    </xf>
    <xf numFmtId="49" fontId="20" fillId="0" borderId="5" xfId="0" applyNumberFormat="1" applyFont="1" applyFill="1" applyBorder="1" applyAlignment="1">
      <alignment horizontal="left" vertical="center" wrapText="1"/>
    </xf>
    <xf numFmtId="41" fontId="20" fillId="0" borderId="5" xfId="1" applyFont="1" applyFill="1" applyBorder="1" applyAlignment="1">
      <alignment horizontal="left" vertical="center" wrapText="1"/>
    </xf>
    <xf numFmtId="0" fontId="19" fillId="11" borderId="14" xfId="0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left" vertical="center"/>
    </xf>
    <xf numFmtId="0" fontId="19" fillId="11" borderId="12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B495-2A49-444A-89A6-BFF110F70B8F}">
  <dimension ref="A1:AB64"/>
  <sheetViews>
    <sheetView workbookViewId="0">
      <pane xSplit="4" ySplit="2" topLeftCell="O27" activePane="bottomRight" state="frozen"/>
      <selection pane="topRight" activeCell="E1" sqref="E1"/>
      <selection pane="bottomLeft" activeCell="A3" sqref="A3"/>
      <selection pane="bottomRight" activeCell="S28" sqref="S28"/>
    </sheetView>
  </sheetViews>
  <sheetFormatPr defaultRowHeight="16.5"/>
  <cols>
    <col min="1" max="1" width="6.625" customWidth="1"/>
    <col min="3" max="3" width="25.5" bestFit="1" customWidth="1"/>
    <col min="4" max="4" width="13.875" customWidth="1"/>
    <col min="5" max="17" width="13.75" customWidth="1"/>
    <col min="18" max="18" width="14.625" bestFit="1" customWidth="1"/>
    <col min="20" max="20" width="13.25" customWidth="1"/>
  </cols>
  <sheetData>
    <row r="1" spans="1:26">
      <c r="A1" s="155" t="s">
        <v>0</v>
      </c>
      <c r="B1" s="156" t="s">
        <v>1</v>
      </c>
      <c r="C1" s="157" t="s">
        <v>2</v>
      </c>
      <c r="D1" s="64" t="s">
        <v>162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7" t="s">
        <v>10</v>
      </c>
      <c r="M1" s="41" t="s">
        <v>11</v>
      </c>
      <c r="N1" s="42" t="s">
        <v>12</v>
      </c>
      <c r="O1" s="42" t="s">
        <v>13</v>
      </c>
      <c r="P1" s="43" t="s">
        <v>14</v>
      </c>
      <c r="Q1" s="32" t="s">
        <v>163</v>
      </c>
    </row>
    <row r="2" spans="1:26">
      <c r="A2" s="155"/>
      <c r="B2" s="156"/>
      <c r="C2" s="157"/>
      <c r="D2" s="65" t="s">
        <v>161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38" t="s">
        <v>15</v>
      </c>
      <c r="M2" s="44" t="s">
        <v>157</v>
      </c>
      <c r="N2" s="2" t="s">
        <v>157</v>
      </c>
      <c r="O2" s="2" t="s">
        <v>157</v>
      </c>
      <c r="P2" s="45" t="s">
        <v>157</v>
      </c>
      <c r="Q2" s="33" t="s">
        <v>164</v>
      </c>
    </row>
    <row r="3" spans="1:26">
      <c r="A3" s="14" t="s">
        <v>165</v>
      </c>
      <c r="B3" s="6" t="s">
        <v>17</v>
      </c>
      <c r="C3" s="58" t="s">
        <v>18</v>
      </c>
      <c r="D3" s="66">
        <v>1330455</v>
      </c>
      <c r="E3" s="7">
        <v>111405</v>
      </c>
      <c r="F3" s="8">
        <v>111405</v>
      </c>
      <c r="G3" s="7">
        <v>111405</v>
      </c>
      <c r="H3" s="7">
        <v>111405</v>
      </c>
      <c r="I3" s="7">
        <v>111405</v>
      </c>
      <c r="J3" s="7">
        <v>111405</v>
      </c>
      <c r="K3" s="7">
        <v>111405</v>
      </c>
      <c r="L3" s="15">
        <v>111405</v>
      </c>
      <c r="M3" s="46">
        <v>111405</v>
      </c>
      <c r="N3" s="9">
        <v>111405</v>
      </c>
      <c r="O3" s="9">
        <v>111405</v>
      </c>
      <c r="P3" s="47">
        <v>111405</v>
      </c>
      <c r="Q3" s="9">
        <f>SUM(E3:P3)</f>
        <v>1336860</v>
      </c>
    </row>
    <row r="4" spans="1:26">
      <c r="A4" s="14" t="s">
        <v>166</v>
      </c>
      <c r="B4" s="10" t="s">
        <v>22</v>
      </c>
      <c r="C4" s="59" t="s">
        <v>23</v>
      </c>
      <c r="D4" s="67">
        <v>174794600</v>
      </c>
      <c r="E4" s="8">
        <v>9003000</v>
      </c>
      <c r="F4" s="8">
        <v>7426800</v>
      </c>
      <c r="G4" s="8">
        <v>8152940</v>
      </c>
      <c r="H4" s="8">
        <v>11070330</v>
      </c>
      <c r="I4" s="8">
        <v>9259700</v>
      </c>
      <c r="J4" s="8">
        <v>9125800</v>
      </c>
      <c r="K4" s="8">
        <v>7625920</v>
      </c>
      <c r="L4" s="11">
        <v>8284690</v>
      </c>
      <c r="M4" s="48">
        <v>17500000</v>
      </c>
      <c r="N4" s="16">
        <v>17500000</v>
      </c>
      <c r="O4" s="16">
        <v>17500000</v>
      </c>
      <c r="P4" s="49">
        <v>17500000</v>
      </c>
      <c r="Q4" s="35">
        <f t="shared" ref="Q4:Q40" si="0">SUM(E4:P4)</f>
        <v>139949180</v>
      </c>
      <c r="R4" s="105"/>
    </row>
    <row r="5" spans="1:26">
      <c r="A5" s="14" t="s">
        <v>20</v>
      </c>
      <c r="B5" s="10" t="s">
        <v>26</v>
      </c>
      <c r="C5" s="59" t="s">
        <v>27</v>
      </c>
      <c r="D5" s="68">
        <v>5640000</v>
      </c>
      <c r="E5" s="8">
        <v>470000</v>
      </c>
      <c r="F5" s="8">
        <v>470000</v>
      </c>
      <c r="G5" s="8">
        <v>470000</v>
      </c>
      <c r="H5" s="8">
        <v>470000</v>
      </c>
      <c r="I5" s="8">
        <v>470000</v>
      </c>
      <c r="J5" s="8">
        <v>470000</v>
      </c>
      <c r="K5" s="8">
        <v>470000</v>
      </c>
      <c r="L5" s="11">
        <v>470000</v>
      </c>
      <c r="M5" s="48">
        <v>470000</v>
      </c>
      <c r="N5" s="16">
        <v>470000</v>
      </c>
      <c r="O5" s="16">
        <v>470000</v>
      </c>
      <c r="P5" s="49">
        <v>470000</v>
      </c>
      <c r="Q5" s="16">
        <f t="shared" si="0"/>
        <v>5640000</v>
      </c>
      <c r="S5" s="85"/>
      <c r="T5" s="85"/>
      <c r="U5" s="85"/>
      <c r="V5" s="85"/>
      <c r="W5" s="85" t="s">
        <v>167</v>
      </c>
      <c r="X5" s="85"/>
      <c r="Y5" s="85"/>
      <c r="Z5" s="85"/>
    </row>
    <row r="6" spans="1:26">
      <c r="A6" s="14" t="s">
        <v>21</v>
      </c>
      <c r="B6" s="6" t="s">
        <v>29</v>
      </c>
      <c r="C6" s="58" t="s">
        <v>30</v>
      </c>
      <c r="D6" s="69">
        <v>1800000</v>
      </c>
      <c r="E6" s="7">
        <v>150000</v>
      </c>
      <c r="F6" s="7">
        <v>150000</v>
      </c>
      <c r="G6" s="7">
        <v>150000</v>
      </c>
      <c r="H6" s="7">
        <v>150000</v>
      </c>
      <c r="I6" s="7">
        <v>150000</v>
      </c>
      <c r="J6" s="7">
        <v>150000</v>
      </c>
      <c r="K6" s="8">
        <v>150000</v>
      </c>
      <c r="L6" s="11">
        <v>150000</v>
      </c>
      <c r="M6" s="48">
        <v>150000</v>
      </c>
      <c r="N6" s="16">
        <v>150000</v>
      </c>
      <c r="O6" s="16">
        <v>150000</v>
      </c>
      <c r="P6" s="49">
        <v>150000</v>
      </c>
      <c r="Q6" s="17">
        <f>SUM(E6:P6)</f>
        <v>1800000</v>
      </c>
      <c r="S6" s="86"/>
      <c r="T6" s="87"/>
      <c r="U6" s="88" t="s">
        <v>168</v>
      </c>
      <c r="V6" s="89" t="s">
        <v>169</v>
      </c>
      <c r="W6" s="90" t="s">
        <v>170</v>
      </c>
      <c r="X6" s="85"/>
      <c r="Y6" s="85"/>
      <c r="Z6" s="85"/>
    </row>
    <row r="7" spans="1:26">
      <c r="A7" s="14" t="s">
        <v>24</v>
      </c>
      <c r="B7" s="6" t="s">
        <v>33</v>
      </c>
      <c r="C7" s="58" t="s">
        <v>34</v>
      </c>
      <c r="D7" s="69">
        <v>2400000</v>
      </c>
      <c r="E7" s="7">
        <v>200000</v>
      </c>
      <c r="F7" s="7">
        <v>200000</v>
      </c>
      <c r="G7" s="7">
        <v>200000</v>
      </c>
      <c r="H7" s="7">
        <v>200000</v>
      </c>
      <c r="I7" s="7">
        <v>200000</v>
      </c>
      <c r="J7" s="7">
        <v>200000</v>
      </c>
      <c r="K7" s="8">
        <v>200000</v>
      </c>
      <c r="L7" s="11">
        <v>200000</v>
      </c>
      <c r="M7" s="48">
        <v>200000</v>
      </c>
      <c r="N7" s="16">
        <v>200000</v>
      </c>
      <c r="O7" s="16">
        <v>200000</v>
      </c>
      <c r="P7" s="49">
        <v>200000</v>
      </c>
      <c r="Q7" s="16">
        <f>SUM(E7:P7)</f>
        <v>2400000</v>
      </c>
      <c r="S7" s="158" t="s">
        <v>171</v>
      </c>
      <c r="T7" s="159"/>
      <c r="U7" s="91">
        <v>151</v>
      </c>
      <c r="V7" s="92">
        <f>Q51/1000000-V9-V10</f>
        <v>271.23077900000021</v>
      </c>
      <c r="W7" s="92">
        <v>188.09999999999997</v>
      </c>
      <c r="X7" s="85" t="s">
        <v>172</v>
      </c>
      <c r="Y7" s="85"/>
      <c r="Z7" s="85"/>
    </row>
    <row r="8" spans="1:26">
      <c r="A8" s="14" t="s">
        <v>25</v>
      </c>
      <c r="B8" s="6" t="s">
        <v>37</v>
      </c>
      <c r="C8" s="58" t="s">
        <v>38</v>
      </c>
      <c r="D8" s="69">
        <v>1638720</v>
      </c>
      <c r="E8" s="7">
        <v>141670</v>
      </c>
      <c r="F8" s="7">
        <v>141670</v>
      </c>
      <c r="G8" s="7">
        <v>141670</v>
      </c>
      <c r="H8" s="7">
        <v>141670</v>
      </c>
      <c r="I8" s="7">
        <v>141670</v>
      </c>
      <c r="J8" s="7">
        <v>141670</v>
      </c>
      <c r="K8" s="7">
        <v>141670</v>
      </c>
      <c r="L8" s="15">
        <v>141670</v>
      </c>
      <c r="M8" s="50">
        <v>141670</v>
      </c>
      <c r="N8" s="17">
        <v>141670</v>
      </c>
      <c r="O8" s="17">
        <v>141670</v>
      </c>
      <c r="P8" s="47">
        <v>141670</v>
      </c>
      <c r="Q8" s="17">
        <f t="shared" si="0"/>
        <v>1700040</v>
      </c>
      <c r="S8" s="153" t="s">
        <v>173</v>
      </c>
      <c r="T8" s="154"/>
      <c r="U8" s="93">
        <f>SUM(U9:U11)</f>
        <v>912803</v>
      </c>
      <c r="V8" s="94">
        <f>SUM(V9:V11)</f>
        <v>4287.8973399999995</v>
      </c>
      <c r="W8" s="94">
        <f>SUM(W9:W11)</f>
        <v>3031.3999999999996</v>
      </c>
      <c r="X8" s="85"/>
      <c r="Y8" s="85"/>
      <c r="Z8" s="85"/>
    </row>
    <row r="9" spans="1:26">
      <c r="A9" s="14" t="s">
        <v>28</v>
      </c>
      <c r="B9" s="10" t="s">
        <v>40</v>
      </c>
      <c r="C9" s="59" t="s">
        <v>41</v>
      </c>
      <c r="D9" s="68">
        <v>2796000</v>
      </c>
      <c r="E9" s="8">
        <v>233000</v>
      </c>
      <c r="F9" s="8">
        <v>233000</v>
      </c>
      <c r="G9" s="8">
        <v>233000</v>
      </c>
      <c r="H9" s="8">
        <v>233000</v>
      </c>
      <c r="I9" s="8">
        <v>233000</v>
      </c>
      <c r="J9" s="8">
        <v>233000</v>
      </c>
      <c r="K9" s="8">
        <v>233000</v>
      </c>
      <c r="L9" s="11">
        <v>233000</v>
      </c>
      <c r="M9" s="48">
        <v>233000</v>
      </c>
      <c r="N9" s="16">
        <v>233000</v>
      </c>
      <c r="O9" s="16">
        <v>233000</v>
      </c>
      <c r="P9" s="49">
        <v>233000</v>
      </c>
      <c r="Q9" s="16">
        <f t="shared" si="0"/>
        <v>2796000</v>
      </c>
      <c r="S9" s="95"/>
      <c r="T9" s="96" t="s">
        <v>174</v>
      </c>
      <c r="U9" s="97">
        <v>12743</v>
      </c>
      <c r="V9" s="98">
        <f>(Q4+Q18)/1000000</f>
        <v>3651.7870800000001</v>
      </c>
      <c r="W9" s="98">
        <v>2485.1</v>
      </c>
      <c r="X9" s="85" t="s">
        <v>175</v>
      </c>
      <c r="Y9" s="85"/>
      <c r="Z9" s="85"/>
    </row>
    <row r="10" spans="1:26">
      <c r="A10" s="14" t="s">
        <v>31</v>
      </c>
      <c r="B10" s="6" t="s">
        <v>43</v>
      </c>
      <c r="C10" s="58" t="s">
        <v>44</v>
      </c>
      <c r="D10" s="69">
        <v>25800000</v>
      </c>
      <c r="E10" s="7">
        <v>2150000</v>
      </c>
      <c r="F10" s="8">
        <v>2161000</v>
      </c>
      <c r="G10" s="8">
        <v>2161000</v>
      </c>
      <c r="H10" s="8">
        <v>2161000</v>
      </c>
      <c r="I10" s="8">
        <v>2161000</v>
      </c>
      <c r="J10" s="8">
        <v>2161000</v>
      </c>
      <c r="K10" s="8">
        <v>2161000</v>
      </c>
      <c r="L10" s="11">
        <v>2161000</v>
      </c>
      <c r="M10" s="48">
        <v>2161000</v>
      </c>
      <c r="N10" s="16">
        <v>2161000</v>
      </c>
      <c r="O10" s="16">
        <v>2161000</v>
      </c>
      <c r="P10" s="49">
        <v>2161000</v>
      </c>
      <c r="Q10" s="16">
        <f>SUM(E10:P10)</f>
        <v>25921000</v>
      </c>
      <c r="S10" s="95"/>
      <c r="T10" s="96" t="s">
        <v>176</v>
      </c>
      <c r="U10" s="97">
        <f>F22</f>
        <v>900000</v>
      </c>
      <c r="V10" s="98">
        <f>Q14/1000000</f>
        <v>564.47199999999998</v>
      </c>
      <c r="W10" s="98">
        <v>468.2</v>
      </c>
      <c r="X10" s="85" t="s">
        <v>177</v>
      </c>
      <c r="Y10" s="85"/>
      <c r="Z10" s="85"/>
    </row>
    <row r="11" spans="1:26">
      <c r="A11" s="14" t="s">
        <v>32</v>
      </c>
      <c r="B11" s="6" t="s">
        <v>47</v>
      </c>
      <c r="C11" s="58" t="s">
        <v>48</v>
      </c>
      <c r="D11" s="69">
        <v>1659000</v>
      </c>
      <c r="E11" s="7">
        <v>580650</v>
      </c>
      <c r="F11" s="7">
        <v>580650</v>
      </c>
      <c r="G11" s="7">
        <v>580650</v>
      </c>
      <c r="H11" s="7">
        <v>580650</v>
      </c>
      <c r="I11" s="8">
        <v>580650</v>
      </c>
      <c r="J11" s="8">
        <v>580650</v>
      </c>
      <c r="K11" s="8">
        <v>580650</v>
      </c>
      <c r="L11" s="11">
        <v>580650</v>
      </c>
      <c r="M11" s="48">
        <v>580650</v>
      </c>
      <c r="N11" s="16">
        <v>580650</v>
      </c>
      <c r="O11" s="16">
        <v>580650</v>
      </c>
      <c r="P11" s="49">
        <v>580650</v>
      </c>
      <c r="Q11" s="16">
        <f>SUM(E11:P11)</f>
        <v>6967800</v>
      </c>
      <c r="S11" s="99"/>
      <c r="T11" s="100" t="s">
        <v>178</v>
      </c>
      <c r="U11" s="101">
        <v>60</v>
      </c>
      <c r="V11" s="102">
        <f>Q53/1000000</f>
        <v>71.638260000000002</v>
      </c>
      <c r="W11" s="102">
        <v>78.099999999999994</v>
      </c>
      <c r="X11" s="85"/>
      <c r="Y11" s="85"/>
      <c r="Z11" s="85"/>
    </row>
    <row r="12" spans="1:26">
      <c r="A12" s="14" t="s">
        <v>35</v>
      </c>
      <c r="B12" s="6" t="s">
        <v>51</v>
      </c>
      <c r="C12" s="58" t="s">
        <v>52</v>
      </c>
      <c r="D12" s="69">
        <v>5664000</v>
      </c>
      <c r="E12" s="7">
        <v>450000</v>
      </c>
      <c r="F12" s="7">
        <v>450000</v>
      </c>
      <c r="G12" s="7">
        <v>450000</v>
      </c>
      <c r="H12" s="7">
        <v>450000</v>
      </c>
      <c r="I12" s="7">
        <v>450000</v>
      </c>
      <c r="J12" s="7">
        <v>450000</v>
      </c>
      <c r="K12" s="7">
        <v>450000</v>
      </c>
      <c r="L12" s="15">
        <v>450000</v>
      </c>
      <c r="M12" s="50">
        <v>450000</v>
      </c>
      <c r="N12" s="17">
        <v>450000</v>
      </c>
      <c r="O12" s="17">
        <v>450000</v>
      </c>
      <c r="P12" s="47">
        <v>450000</v>
      </c>
      <c r="Q12" s="17">
        <f t="shared" si="0"/>
        <v>5400000</v>
      </c>
      <c r="S12" s="86"/>
      <c r="T12" s="87" t="s">
        <v>179</v>
      </c>
      <c r="U12" s="103">
        <f>U7+U8</f>
        <v>912954</v>
      </c>
      <c r="V12" s="89">
        <f>V7+V8</f>
        <v>4559.128119</v>
      </c>
      <c r="W12" s="89">
        <f>W7+W8</f>
        <v>3219.4999999999995</v>
      </c>
      <c r="X12" s="85"/>
      <c r="Y12" s="85"/>
      <c r="Z12" s="85"/>
    </row>
    <row r="13" spans="1:26">
      <c r="A13" s="14" t="s">
        <v>36</v>
      </c>
      <c r="B13" s="10" t="s">
        <v>54</v>
      </c>
      <c r="C13" s="59" t="s">
        <v>55</v>
      </c>
      <c r="D13" s="68">
        <v>5400000</v>
      </c>
      <c r="E13" s="8">
        <v>450000</v>
      </c>
      <c r="F13" s="8">
        <v>450000</v>
      </c>
      <c r="G13" s="8">
        <v>450000</v>
      </c>
      <c r="H13" s="8">
        <v>450000</v>
      </c>
      <c r="I13" s="8">
        <v>450000</v>
      </c>
      <c r="J13" s="8">
        <v>450000</v>
      </c>
      <c r="K13" s="8">
        <v>450000</v>
      </c>
      <c r="L13" s="11">
        <v>450000</v>
      </c>
      <c r="M13" s="48">
        <v>450000</v>
      </c>
      <c r="N13" s="16">
        <v>450000</v>
      </c>
      <c r="O13" s="16">
        <v>450000</v>
      </c>
      <c r="P13" s="49">
        <v>450000</v>
      </c>
      <c r="Q13" s="16">
        <f t="shared" si="0"/>
        <v>5400000</v>
      </c>
    </row>
    <row r="14" spans="1:26">
      <c r="A14" s="14" t="s">
        <v>39</v>
      </c>
      <c r="B14" s="6" t="s">
        <v>57</v>
      </c>
      <c r="C14" s="58" t="s">
        <v>58</v>
      </c>
      <c r="D14" s="70">
        <v>468288000</v>
      </c>
      <c r="E14" s="7">
        <v>41679000</v>
      </c>
      <c r="F14" s="7">
        <v>43129000</v>
      </c>
      <c r="G14" s="7">
        <v>43840000</v>
      </c>
      <c r="H14" s="7">
        <v>44309000</v>
      </c>
      <c r="I14" s="8">
        <v>45633000</v>
      </c>
      <c r="J14" s="8">
        <v>50139000</v>
      </c>
      <c r="K14" s="8">
        <v>49568000</v>
      </c>
      <c r="L14" s="11">
        <v>51903000</v>
      </c>
      <c r="M14" s="48">
        <v>48568000</v>
      </c>
      <c r="N14" s="16">
        <v>48568000</v>
      </c>
      <c r="O14" s="16">
        <v>48568000</v>
      </c>
      <c r="P14" s="49">
        <v>48568000</v>
      </c>
      <c r="Q14" s="36">
        <f>SUM(E14:P14)</f>
        <v>564472000</v>
      </c>
    </row>
    <row r="15" spans="1:26">
      <c r="A15" s="14" t="s">
        <v>42</v>
      </c>
      <c r="B15" s="6" t="s">
        <v>61</v>
      </c>
      <c r="C15" s="58" t="s">
        <v>62</v>
      </c>
      <c r="D15" s="69">
        <v>5700000</v>
      </c>
      <c r="E15" s="7">
        <v>475000</v>
      </c>
      <c r="F15" s="7">
        <v>475000</v>
      </c>
      <c r="G15" s="7">
        <v>475000</v>
      </c>
      <c r="H15" s="7">
        <v>475000</v>
      </c>
      <c r="I15" s="7">
        <v>475000</v>
      </c>
      <c r="J15" s="7">
        <v>475000</v>
      </c>
      <c r="K15" s="7">
        <v>475000</v>
      </c>
      <c r="L15" s="15">
        <v>475000</v>
      </c>
      <c r="M15" s="51">
        <v>475000</v>
      </c>
      <c r="N15" s="7">
        <v>475000</v>
      </c>
      <c r="O15" s="7">
        <v>475000</v>
      </c>
      <c r="P15" s="52">
        <v>475000</v>
      </c>
      <c r="Q15" s="7">
        <f t="shared" si="0"/>
        <v>5700000</v>
      </c>
    </row>
    <row r="16" spans="1:26">
      <c r="A16" s="14" t="s">
        <v>45</v>
      </c>
      <c r="B16" s="10" t="s">
        <v>64</v>
      </c>
      <c r="C16" s="59" t="s">
        <v>65</v>
      </c>
      <c r="D16" s="68">
        <v>5400000</v>
      </c>
      <c r="E16" s="8">
        <v>450000</v>
      </c>
      <c r="F16" s="8">
        <v>450000</v>
      </c>
      <c r="G16" s="7">
        <v>450000</v>
      </c>
      <c r="H16" s="7">
        <v>450000</v>
      </c>
      <c r="I16" s="7">
        <v>450000</v>
      </c>
      <c r="J16" s="7">
        <v>450000</v>
      </c>
      <c r="K16" s="7">
        <v>450000</v>
      </c>
      <c r="L16" s="15">
        <v>450000</v>
      </c>
      <c r="M16" s="51">
        <v>450000</v>
      </c>
      <c r="N16" s="7">
        <v>450000</v>
      </c>
      <c r="O16" s="7">
        <v>450000</v>
      </c>
      <c r="P16" s="52">
        <v>450000</v>
      </c>
      <c r="Q16" s="7">
        <f>SUM(E16:P16)</f>
        <v>5400000</v>
      </c>
    </row>
    <row r="17" spans="1:17">
      <c r="A17" s="14" t="s">
        <v>46</v>
      </c>
      <c r="B17" s="10" t="s">
        <v>68</v>
      </c>
      <c r="C17" s="59" t="s">
        <v>69</v>
      </c>
      <c r="D17" s="68">
        <v>5400000</v>
      </c>
      <c r="E17" s="8">
        <v>450000</v>
      </c>
      <c r="F17" s="8">
        <v>450000</v>
      </c>
      <c r="G17" s="7">
        <v>450000</v>
      </c>
      <c r="H17" s="7">
        <v>450000</v>
      </c>
      <c r="I17" s="7">
        <v>450000</v>
      </c>
      <c r="J17" s="7">
        <v>450000</v>
      </c>
      <c r="K17" s="7">
        <v>450000</v>
      </c>
      <c r="L17" s="15">
        <v>450000</v>
      </c>
      <c r="M17" s="51">
        <v>450000</v>
      </c>
      <c r="N17" s="7">
        <v>450000</v>
      </c>
      <c r="O17" s="7">
        <v>450000</v>
      </c>
      <c r="P17" s="52">
        <v>450000</v>
      </c>
      <c r="Q17" s="7">
        <f>SUM(E17:P17)</f>
        <v>5400000</v>
      </c>
    </row>
    <row r="18" spans="1:17">
      <c r="A18" s="14" t="s">
        <v>49</v>
      </c>
      <c r="B18" s="10" t="s">
        <v>72</v>
      </c>
      <c r="C18" s="59" t="s">
        <v>73</v>
      </c>
      <c r="D18" s="67">
        <v>2310386100</v>
      </c>
      <c r="E18" s="8">
        <v>226761650</v>
      </c>
      <c r="F18" s="8">
        <v>256324650</v>
      </c>
      <c r="G18" s="8">
        <v>292042100</v>
      </c>
      <c r="H18" s="7">
        <v>323145450</v>
      </c>
      <c r="I18" s="7">
        <v>316914550</v>
      </c>
      <c r="J18" s="7">
        <v>392535250</v>
      </c>
      <c r="K18" s="7">
        <v>339365350</v>
      </c>
      <c r="L18" s="15">
        <v>334748900</v>
      </c>
      <c r="M18" s="51">
        <v>257500000</v>
      </c>
      <c r="N18" s="7">
        <v>257500000</v>
      </c>
      <c r="O18" s="7">
        <v>257500000</v>
      </c>
      <c r="P18" s="52">
        <v>257500000</v>
      </c>
      <c r="Q18" s="34">
        <f>SUM(E18:P18)</f>
        <v>3511837900</v>
      </c>
    </row>
    <row r="19" spans="1:17">
      <c r="A19" s="14" t="s">
        <v>50</v>
      </c>
      <c r="B19" s="10" t="s">
        <v>76</v>
      </c>
      <c r="C19" s="59" t="s">
        <v>77</v>
      </c>
      <c r="D19" s="68">
        <v>3960000</v>
      </c>
      <c r="E19" s="8">
        <v>340890</v>
      </c>
      <c r="F19" s="8">
        <v>340890</v>
      </c>
      <c r="G19" s="8">
        <v>340890</v>
      </c>
      <c r="H19" s="8">
        <v>340890</v>
      </c>
      <c r="I19" s="8">
        <v>340890</v>
      </c>
      <c r="J19" s="8">
        <v>340890</v>
      </c>
      <c r="K19" s="8">
        <v>340890</v>
      </c>
      <c r="L19" s="11">
        <v>340890</v>
      </c>
      <c r="M19" s="53">
        <v>340890</v>
      </c>
      <c r="N19" s="8">
        <v>340890</v>
      </c>
      <c r="O19" s="8">
        <v>340890</v>
      </c>
      <c r="P19" s="54">
        <v>340890</v>
      </c>
      <c r="Q19" s="8">
        <f t="shared" si="0"/>
        <v>4090680</v>
      </c>
    </row>
    <row r="20" spans="1:17">
      <c r="A20" s="14" t="s">
        <v>53</v>
      </c>
      <c r="B20" s="6" t="s">
        <v>79</v>
      </c>
      <c r="C20" s="58" t="s">
        <v>80</v>
      </c>
      <c r="D20" s="69">
        <v>2700000</v>
      </c>
      <c r="E20" s="7">
        <v>337500</v>
      </c>
      <c r="F20" s="7">
        <v>337500</v>
      </c>
      <c r="G20" s="7">
        <v>337500</v>
      </c>
      <c r="H20" s="7">
        <v>337500</v>
      </c>
      <c r="I20" s="7">
        <v>337500</v>
      </c>
      <c r="J20" s="7">
        <v>337500</v>
      </c>
      <c r="K20" s="7">
        <v>337500</v>
      </c>
      <c r="L20" s="15">
        <v>337500</v>
      </c>
      <c r="M20" s="51">
        <v>337500</v>
      </c>
      <c r="N20" s="7">
        <v>337500</v>
      </c>
      <c r="O20" s="7">
        <v>337500</v>
      </c>
      <c r="P20" s="52">
        <v>337500</v>
      </c>
      <c r="Q20" s="7">
        <f t="shared" si="0"/>
        <v>4050000</v>
      </c>
    </row>
    <row r="21" spans="1:17">
      <c r="A21" s="14" t="s">
        <v>56</v>
      </c>
      <c r="B21" s="10" t="s">
        <v>82</v>
      </c>
      <c r="C21" s="59" t="s">
        <v>83</v>
      </c>
      <c r="D21" s="68">
        <v>10800000</v>
      </c>
      <c r="E21" s="8">
        <v>900000</v>
      </c>
      <c r="F21" s="8">
        <v>900000</v>
      </c>
      <c r="G21" s="8">
        <v>900000</v>
      </c>
      <c r="H21" s="8">
        <v>900000</v>
      </c>
      <c r="I21" s="8">
        <v>900000</v>
      </c>
      <c r="J21" s="8">
        <v>900000</v>
      </c>
      <c r="K21" s="8">
        <v>900000</v>
      </c>
      <c r="L21" s="11">
        <v>900000</v>
      </c>
      <c r="M21" s="53">
        <v>900000</v>
      </c>
      <c r="N21" s="8">
        <v>900000</v>
      </c>
      <c r="O21" s="8">
        <v>900000</v>
      </c>
      <c r="P21" s="54">
        <v>900000</v>
      </c>
      <c r="Q21" s="8">
        <f t="shared" si="0"/>
        <v>10800000</v>
      </c>
    </row>
    <row r="22" spans="1:17">
      <c r="A22" s="14" t="s">
        <v>59</v>
      </c>
      <c r="B22" s="10" t="s">
        <v>86</v>
      </c>
      <c r="C22" s="59" t="s">
        <v>87</v>
      </c>
      <c r="D22" s="68">
        <v>10799968</v>
      </c>
      <c r="E22" s="8">
        <v>899999</v>
      </c>
      <c r="F22" s="8">
        <v>900000</v>
      </c>
      <c r="G22" s="8">
        <v>900000</v>
      </c>
      <c r="H22" s="8">
        <v>900000</v>
      </c>
      <c r="I22" s="8">
        <v>899999</v>
      </c>
      <c r="J22" s="8">
        <v>900000</v>
      </c>
      <c r="K22" s="8">
        <v>899999</v>
      </c>
      <c r="L22" s="11">
        <v>900000</v>
      </c>
      <c r="M22" s="53">
        <v>900000</v>
      </c>
      <c r="N22" s="8">
        <v>900000</v>
      </c>
      <c r="O22" s="8">
        <v>900000</v>
      </c>
      <c r="P22" s="54">
        <v>900000</v>
      </c>
      <c r="Q22" s="8">
        <f t="shared" si="0"/>
        <v>10799997</v>
      </c>
    </row>
    <row r="23" spans="1:17">
      <c r="A23" s="14" t="s">
        <v>60</v>
      </c>
      <c r="B23" s="6" t="s">
        <v>95</v>
      </c>
      <c r="C23" s="58" t="s">
        <v>96</v>
      </c>
      <c r="D23" s="69">
        <v>10800050</v>
      </c>
      <c r="E23" s="7">
        <v>900000</v>
      </c>
      <c r="F23" s="7">
        <v>900000</v>
      </c>
      <c r="G23" s="7">
        <v>900000</v>
      </c>
      <c r="H23" s="7">
        <v>900000</v>
      </c>
      <c r="I23" s="7">
        <v>900000</v>
      </c>
      <c r="J23" s="7">
        <v>900000</v>
      </c>
      <c r="K23" s="7">
        <v>900000</v>
      </c>
      <c r="L23" s="15">
        <v>900000</v>
      </c>
      <c r="M23" s="51">
        <v>900000</v>
      </c>
      <c r="N23" s="7">
        <v>900000</v>
      </c>
      <c r="O23" s="7">
        <v>900000</v>
      </c>
      <c r="P23" s="52">
        <v>900000</v>
      </c>
      <c r="Q23" s="7">
        <f t="shared" si="0"/>
        <v>10800000</v>
      </c>
    </row>
    <row r="24" spans="1:17">
      <c r="A24" s="14" t="s">
        <v>63</v>
      </c>
      <c r="B24" s="10" t="s">
        <v>98</v>
      </c>
      <c r="C24" s="59" t="s">
        <v>99</v>
      </c>
      <c r="D24" s="68">
        <v>16200000</v>
      </c>
      <c r="E24" s="8">
        <v>1350000</v>
      </c>
      <c r="F24" s="8">
        <v>1350000</v>
      </c>
      <c r="G24" s="8">
        <v>1350000</v>
      </c>
      <c r="H24" s="8">
        <v>1350000</v>
      </c>
      <c r="I24" s="8">
        <v>1350000</v>
      </c>
      <c r="J24" s="8">
        <v>1350000</v>
      </c>
      <c r="K24" s="8">
        <v>1350000</v>
      </c>
      <c r="L24" s="11">
        <v>1350000</v>
      </c>
      <c r="M24" s="53">
        <v>1350000</v>
      </c>
      <c r="N24" s="8">
        <v>1350000</v>
      </c>
      <c r="O24" s="8">
        <v>1350000</v>
      </c>
      <c r="P24" s="54">
        <v>1350000</v>
      </c>
      <c r="Q24" s="8">
        <f t="shared" si="0"/>
        <v>16200000</v>
      </c>
    </row>
    <row r="25" spans="1:17">
      <c r="A25" s="14" t="s">
        <v>66</v>
      </c>
      <c r="B25" s="6" t="s">
        <v>101</v>
      </c>
      <c r="C25" s="58" t="s">
        <v>102</v>
      </c>
      <c r="D25" s="69">
        <v>5400000</v>
      </c>
      <c r="E25" s="7">
        <v>450000</v>
      </c>
      <c r="F25" s="7">
        <v>450000</v>
      </c>
      <c r="G25" s="7">
        <v>450000</v>
      </c>
      <c r="H25" s="7">
        <v>450000</v>
      </c>
      <c r="I25" s="7">
        <v>450000</v>
      </c>
      <c r="J25" s="7">
        <v>450000</v>
      </c>
      <c r="K25" s="7">
        <v>450000</v>
      </c>
      <c r="L25" s="15">
        <v>450000</v>
      </c>
      <c r="M25" s="51">
        <v>450000</v>
      </c>
      <c r="N25" s="7">
        <v>450000</v>
      </c>
      <c r="O25" s="7">
        <v>450000</v>
      </c>
      <c r="P25" s="52">
        <v>450000</v>
      </c>
      <c r="Q25" s="7">
        <f t="shared" si="0"/>
        <v>5400000</v>
      </c>
    </row>
    <row r="26" spans="1:17">
      <c r="A26" s="14" t="s">
        <v>67</v>
      </c>
      <c r="B26" s="10" t="s">
        <v>104</v>
      </c>
      <c r="C26" s="59" t="s">
        <v>105</v>
      </c>
      <c r="D26" s="68">
        <v>5850000</v>
      </c>
      <c r="E26" s="8">
        <v>450000</v>
      </c>
      <c r="F26" s="8">
        <v>450000</v>
      </c>
      <c r="G26" s="8">
        <v>450000</v>
      </c>
      <c r="H26" s="8">
        <v>450000</v>
      </c>
      <c r="I26" s="8">
        <v>450000</v>
      </c>
      <c r="J26" s="8">
        <v>450000</v>
      </c>
      <c r="K26" s="8">
        <v>450000</v>
      </c>
      <c r="L26" s="11">
        <v>450000</v>
      </c>
      <c r="M26" s="53">
        <v>450000</v>
      </c>
      <c r="N26" s="8">
        <v>450000</v>
      </c>
      <c r="O26" s="8">
        <v>450000</v>
      </c>
      <c r="P26" s="54">
        <v>450000</v>
      </c>
      <c r="Q26" s="8">
        <f t="shared" si="0"/>
        <v>5400000</v>
      </c>
    </row>
    <row r="27" spans="1:17">
      <c r="A27" s="14" t="s">
        <v>70</v>
      </c>
      <c r="B27" s="6" t="s">
        <v>107</v>
      </c>
      <c r="C27" s="58" t="s">
        <v>108</v>
      </c>
      <c r="D27" s="69">
        <v>15422000</v>
      </c>
      <c r="E27" s="7">
        <v>1402000</v>
      </c>
      <c r="F27" s="7">
        <v>2149000</v>
      </c>
      <c r="G27" s="7">
        <v>1529000</v>
      </c>
      <c r="H27" s="7">
        <v>1529000</v>
      </c>
      <c r="I27" s="7">
        <v>1529000</v>
      </c>
      <c r="J27" s="7">
        <v>1529000</v>
      </c>
      <c r="K27" s="7">
        <v>1529000</v>
      </c>
      <c r="L27" s="15">
        <v>1529000</v>
      </c>
      <c r="M27" s="51">
        <v>1529000</v>
      </c>
      <c r="N27" s="7">
        <v>1529000</v>
      </c>
      <c r="O27" s="7">
        <v>1529000</v>
      </c>
      <c r="P27" s="52">
        <v>1529000</v>
      </c>
      <c r="Q27" s="7">
        <f t="shared" si="0"/>
        <v>18841000</v>
      </c>
    </row>
    <row r="28" spans="1:17">
      <c r="A28" s="14" t="s">
        <v>71</v>
      </c>
      <c r="B28" s="10" t="s">
        <v>110</v>
      </c>
      <c r="C28" s="59" t="s">
        <v>111</v>
      </c>
      <c r="D28" s="68">
        <v>5400000</v>
      </c>
      <c r="E28" s="8">
        <v>450000</v>
      </c>
      <c r="F28" s="8">
        <v>450000</v>
      </c>
      <c r="G28" s="8">
        <v>450000</v>
      </c>
      <c r="H28" s="8">
        <v>450000</v>
      </c>
      <c r="I28" s="8">
        <v>450000</v>
      </c>
      <c r="J28" s="8">
        <v>450000</v>
      </c>
      <c r="K28" s="8">
        <v>450000</v>
      </c>
      <c r="L28" s="11">
        <v>450000</v>
      </c>
      <c r="M28" s="53">
        <v>450000</v>
      </c>
      <c r="N28" s="8">
        <v>450000</v>
      </c>
      <c r="O28" s="8">
        <v>450000</v>
      </c>
      <c r="P28" s="54">
        <v>450000</v>
      </c>
      <c r="Q28" s="8">
        <f t="shared" si="0"/>
        <v>5400000</v>
      </c>
    </row>
    <row r="29" spans="1:17">
      <c r="A29" s="14" t="s">
        <v>74</v>
      </c>
      <c r="B29" s="6" t="s">
        <v>113</v>
      </c>
      <c r="C29" s="58" t="s">
        <v>114</v>
      </c>
      <c r="D29" s="69">
        <v>1788000</v>
      </c>
      <c r="E29" s="7">
        <v>153000</v>
      </c>
      <c r="F29" s="7">
        <v>153000</v>
      </c>
      <c r="G29" s="7">
        <v>153000</v>
      </c>
      <c r="H29" s="7">
        <v>153000</v>
      </c>
      <c r="I29" s="7">
        <v>153000</v>
      </c>
      <c r="J29" s="7">
        <v>153000</v>
      </c>
      <c r="K29" s="7">
        <v>153000</v>
      </c>
      <c r="L29" s="15">
        <v>153000</v>
      </c>
      <c r="M29" s="51">
        <v>153000</v>
      </c>
      <c r="N29" s="7">
        <v>153000</v>
      </c>
      <c r="O29" s="7">
        <v>153000</v>
      </c>
      <c r="P29" s="52">
        <v>153000</v>
      </c>
      <c r="Q29" s="7">
        <f t="shared" si="0"/>
        <v>1836000</v>
      </c>
    </row>
    <row r="30" spans="1:17">
      <c r="A30" s="14" t="s">
        <v>75</v>
      </c>
      <c r="B30" s="10" t="s">
        <v>116</v>
      </c>
      <c r="C30" s="59" t="s">
        <v>117</v>
      </c>
      <c r="D30" s="68">
        <v>5400000</v>
      </c>
      <c r="E30" s="8">
        <v>450000</v>
      </c>
      <c r="F30" s="8">
        <v>450000</v>
      </c>
      <c r="G30" s="8">
        <v>450000</v>
      </c>
      <c r="H30" s="8">
        <v>450000</v>
      </c>
      <c r="I30" s="8">
        <v>450000</v>
      </c>
      <c r="J30" s="8">
        <v>450000</v>
      </c>
      <c r="K30" s="8">
        <v>450000</v>
      </c>
      <c r="L30" s="11">
        <v>450000</v>
      </c>
      <c r="M30" s="53">
        <v>450000</v>
      </c>
      <c r="N30" s="8">
        <v>450000</v>
      </c>
      <c r="O30" s="8">
        <v>450000</v>
      </c>
      <c r="P30" s="54">
        <v>450000</v>
      </c>
      <c r="Q30" s="8">
        <f t="shared" si="0"/>
        <v>5400000</v>
      </c>
    </row>
    <row r="31" spans="1:17">
      <c r="A31" s="14" t="s">
        <v>78</v>
      </c>
      <c r="B31" s="6" t="s">
        <v>119</v>
      </c>
      <c r="C31" s="58" t="s">
        <v>120</v>
      </c>
      <c r="D31" s="69">
        <v>5400000</v>
      </c>
      <c r="E31" s="7">
        <v>450000</v>
      </c>
      <c r="F31" s="7">
        <v>450000</v>
      </c>
      <c r="G31" s="7">
        <v>450000</v>
      </c>
      <c r="H31" s="7">
        <v>450000</v>
      </c>
      <c r="I31" s="7">
        <v>450000</v>
      </c>
      <c r="J31" s="7">
        <v>450000</v>
      </c>
      <c r="K31" s="7">
        <v>450000</v>
      </c>
      <c r="L31" s="15">
        <v>450000</v>
      </c>
      <c r="M31" s="51">
        <v>450000</v>
      </c>
      <c r="N31" s="7">
        <v>450000</v>
      </c>
      <c r="O31" s="7">
        <v>450000</v>
      </c>
      <c r="P31" s="52">
        <v>450000</v>
      </c>
      <c r="Q31" s="7">
        <f t="shared" si="0"/>
        <v>5400000</v>
      </c>
    </row>
    <row r="32" spans="1:17">
      <c r="A32" s="14" t="s">
        <v>81</v>
      </c>
      <c r="B32" s="10" t="s">
        <v>121</v>
      </c>
      <c r="C32" s="59" t="s">
        <v>122</v>
      </c>
      <c r="D32" s="68">
        <v>6535500</v>
      </c>
      <c r="E32" s="8">
        <v>1117500</v>
      </c>
      <c r="F32" s="8">
        <v>1117500</v>
      </c>
      <c r="G32" s="8">
        <v>1117500</v>
      </c>
      <c r="H32" s="8">
        <v>1117500</v>
      </c>
      <c r="I32" s="8">
        <v>1117500</v>
      </c>
      <c r="J32" s="8">
        <v>1117500</v>
      </c>
      <c r="K32" s="8">
        <v>1117500</v>
      </c>
      <c r="L32" s="11">
        <v>1117500</v>
      </c>
      <c r="M32" s="53">
        <v>1117500</v>
      </c>
      <c r="N32" s="8">
        <v>1117500</v>
      </c>
      <c r="O32" s="8">
        <v>1117500</v>
      </c>
      <c r="P32" s="54">
        <v>1117500</v>
      </c>
      <c r="Q32" s="8">
        <f t="shared" si="0"/>
        <v>13410000</v>
      </c>
    </row>
    <row r="33" spans="1:19">
      <c r="A33" s="14" t="s">
        <v>84</v>
      </c>
      <c r="B33" s="10" t="s">
        <v>123</v>
      </c>
      <c r="C33" s="59" t="s">
        <v>124</v>
      </c>
      <c r="D33" s="68">
        <v>2176000</v>
      </c>
      <c r="E33" s="8">
        <v>272000</v>
      </c>
      <c r="F33" s="8">
        <v>272000</v>
      </c>
      <c r="G33" s="8">
        <v>272000</v>
      </c>
      <c r="H33" s="8">
        <v>272000</v>
      </c>
      <c r="I33" s="8">
        <v>272000</v>
      </c>
      <c r="J33" s="8">
        <v>272000</v>
      </c>
      <c r="K33" s="8">
        <v>272000</v>
      </c>
      <c r="L33" s="11">
        <v>272000</v>
      </c>
      <c r="M33" s="53">
        <v>272000</v>
      </c>
      <c r="N33" s="8">
        <v>272000</v>
      </c>
      <c r="O33" s="8">
        <v>272000</v>
      </c>
      <c r="P33" s="54">
        <v>272000</v>
      </c>
      <c r="Q33" s="8">
        <f t="shared" si="0"/>
        <v>3264000</v>
      </c>
    </row>
    <row r="34" spans="1:19">
      <c r="A34" s="14" t="s">
        <v>85</v>
      </c>
      <c r="B34" s="6" t="s">
        <v>125</v>
      </c>
      <c r="C34" s="58" t="s">
        <v>126</v>
      </c>
      <c r="D34" s="69">
        <v>4000000</v>
      </c>
      <c r="E34" s="7">
        <v>450000</v>
      </c>
      <c r="F34" s="7">
        <v>450000</v>
      </c>
      <c r="G34" s="12" t="s">
        <v>19</v>
      </c>
      <c r="H34" s="8">
        <v>900000</v>
      </c>
      <c r="I34" s="8">
        <v>450000</v>
      </c>
      <c r="J34" s="8">
        <v>450000</v>
      </c>
      <c r="K34" s="8">
        <v>450000</v>
      </c>
      <c r="L34" s="11">
        <v>450000</v>
      </c>
      <c r="M34" s="53">
        <v>450000</v>
      </c>
      <c r="N34" s="8">
        <v>450000</v>
      </c>
      <c r="O34" s="8">
        <v>450000</v>
      </c>
      <c r="P34" s="54">
        <v>450000</v>
      </c>
      <c r="Q34" s="8">
        <f>SUM(E34:P34)</f>
        <v>5400000</v>
      </c>
    </row>
    <row r="35" spans="1:19">
      <c r="A35" s="14" t="s">
        <v>88</v>
      </c>
      <c r="B35" s="18" t="s">
        <v>127</v>
      </c>
      <c r="C35" s="60" t="s">
        <v>128</v>
      </c>
      <c r="D35" s="69"/>
      <c r="E35" s="7">
        <v>450000</v>
      </c>
      <c r="F35" s="7">
        <v>450000</v>
      </c>
      <c r="G35" s="7">
        <v>450000</v>
      </c>
      <c r="H35" s="7">
        <v>450000</v>
      </c>
      <c r="I35" s="7">
        <v>450000</v>
      </c>
      <c r="J35" s="7">
        <v>450000</v>
      </c>
      <c r="K35" s="7">
        <v>450000</v>
      </c>
      <c r="L35" s="15">
        <v>450000</v>
      </c>
      <c r="M35" s="51">
        <v>450000</v>
      </c>
      <c r="N35" s="7">
        <v>450000</v>
      </c>
      <c r="O35" s="7">
        <v>450000</v>
      </c>
      <c r="P35" s="52">
        <v>450000</v>
      </c>
      <c r="Q35" s="7">
        <f t="shared" si="0"/>
        <v>5400000</v>
      </c>
      <c r="R35" s="104">
        <f>SUM(Q35:Q49)</f>
        <v>68877402</v>
      </c>
      <c r="S35" s="85" t="s">
        <v>180</v>
      </c>
    </row>
    <row r="36" spans="1:19">
      <c r="A36" s="14" t="s">
        <v>89</v>
      </c>
      <c r="B36" s="19" t="s">
        <v>129</v>
      </c>
      <c r="C36" s="61" t="s">
        <v>130</v>
      </c>
      <c r="D36" s="69"/>
      <c r="E36" s="8">
        <v>450000</v>
      </c>
      <c r="F36" s="8">
        <v>450000</v>
      </c>
      <c r="G36" s="8">
        <v>450000</v>
      </c>
      <c r="H36" s="8">
        <v>450000</v>
      </c>
      <c r="I36" s="8">
        <v>450000</v>
      </c>
      <c r="J36" s="8">
        <v>450000</v>
      </c>
      <c r="K36" s="8">
        <v>450000</v>
      </c>
      <c r="L36" s="11">
        <v>450000</v>
      </c>
      <c r="M36" s="53">
        <v>450000</v>
      </c>
      <c r="N36" s="8">
        <v>450000</v>
      </c>
      <c r="O36" s="8">
        <v>450000</v>
      </c>
      <c r="P36" s="54">
        <v>450000</v>
      </c>
      <c r="Q36" s="8">
        <f t="shared" si="0"/>
        <v>5400000</v>
      </c>
    </row>
    <row r="37" spans="1:19">
      <c r="A37" s="14" t="s">
        <v>90</v>
      </c>
      <c r="B37" s="18" t="s">
        <v>131</v>
      </c>
      <c r="C37" s="60" t="s">
        <v>132</v>
      </c>
      <c r="D37" s="69"/>
      <c r="E37" s="7">
        <v>450000</v>
      </c>
      <c r="F37" s="7">
        <v>450000</v>
      </c>
      <c r="G37" s="7">
        <v>450000</v>
      </c>
      <c r="H37" s="8">
        <v>450000</v>
      </c>
      <c r="I37" s="7">
        <v>450000</v>
      </c>
      <c r="J37" s="7">
        <v>450000</v>
      </c>
      <c r="K37" s="7">
        <v>450000</v>
      </c>
      <c r="L37" s="15">
        <v>450000</v>
      </c>
      <c r="M37" s="51">
        <v>450000</v>
      </c>
      <c r="N37" s="7">
        <v>450000</v>
      </c>
      <c r="O37" s="7">
        <v>450000</v>
      </c>
      <c r="P37" s="52">
        <v>450000</v>
      </c>
      <c r="Q37" s="7">
        <f>SUM(E37:P37)</f>
        <v>5400000</v>
      </c>
    </row>
    <row r="38" spans="1:19">
      <c r="A38" s="14" t="s">
        <v>91</v>
      </c>
      <c r="B38" s="19" t="s">
        <v>133</v>
      </c>
      <c r="C38" s="61" t="s">
        <v>134</v>
      </c>
      <c r="D38" s="69"/>
      <c r="E38" s="8">
        <v>450000</v>
      </c>
      <c r="F38" s="8">
        <v>450000</v>
      </c>
      <c r="G38" s="8">
        <v>450000</v>
      </c>
      <c r="H38" s="8">
        <v>450000</v>
      </c>
      <c r="I38" s="8">
        <v>450000</v>
      </c>
      <c r="J38" s="8">
        <v>450000</v>
      </c>
      <c r="K38" s="8">
        <v>450000</v>
      </c>
      <c r="L38" s="11">
        <v>450000</v>
      </c>
      <c r="M38" s="53">
        <v>450000</v>
      </c>
      <c r="N38" s="8">
        <v>450000</v>
      </c>
      <c r="O38" s="8">
        <v>450000</v>
      </c>
      <c r="P38" s="54">
        <v>450000</v>
      </c>
      <c r="Q38" s="8">
        <f t="shared" si="0"/>
        <v>5400000</v>
      </c>
    </row>
    <row r="39" spans="1:19">
      <c r="A39" s="14" t="s">
        <v>92</v>
      </c>
      <c r="B39" s="18" t="s">
        <v>135</v>
      </c>
      <c r="C39" s="60" t="s">
        <v>136</v>
      </c>
      <c r="D39" s="69"/>
      <c r="E39" s="7">
        <v>450000</v>
      </c>
      <c r="F39" s="7">
        <v>450000</v>
      </c>
      <c r="G39" s="7">
        <v>450000</v>
      </c>
      <c r="H39" s="7">
        <v>450000</v>
      </c>
      <c r="I39" s="7">
        <v>450000</v>
      </c>
      <c r="J39" s="7">
        <v>450000</v>
      </c>
      <c r="K39" s="7">
        <v>450000</v>
      </c>
      <c r="L39" s="15">
        <v>450000</v>
      </c>
      <c r="M39" s="51">
        <v>450000</v>
      </c>
      <c r="N39" s="7">
        <v>450000</v>
      </c>
      <c r="O39" s="7">
        <v>450000</v>
      </c>
      <c r="P39" s="52">
        <v>450000</v>
      </c>
      <c r="Q39" s="7">
        <f t="shared" si="0"/>
        <v>5400000</v>
      </c>
    </row>
    <row r="40" spans="1:19">
      <c r="A40" s="14" t="s">
        <v>93</v>
      </c>
      <c r="B40" s="19" t="s">
        <v>137</v>
      </c>
      <c r="C40" s="61" t="s">
        <v>138</v>
      </c>
      <c r="D40" s="69"/>
      <c r="E40" s="8">
        <v>450000</v>
      </c>
      <c r="F40" s="8">
        <v>450000</v>
      </c>
      <c r="G40" s="8">
        <v>450000</v>
      </c>
      <c r="H40" s="8">
        <v>450000</v>
      </c>
      <c r="I40" s="8">
        <v>450000</v>
      </c>
      <c r="J40" s="8">
        <v>450000</v>
      </c>
      <c r="K40" s="8">
        <v>450000</v>
      </c>
      <c r="L40" s="11">
        <v>450000</v>
      </c>
      <c r="M40" s="53">
        <v>450000</v>
      </c>
      <c r="N40" s="8">
        <v>450000</v>
      </c>
      <c r="O40" s="8">
        <v>450000</v>
      </c>
      <c r="P40" s="54">
        <v>450000</v>
      </c>
      <c r="Q40" s="8">
        <f t="shared" si="0"/>
        <v>5400000</v>
      </c>
    </row>
    <row r="41" spans="1:19">
      <c r="A41" s="14" t="s">
        <v>94</v>
      </c>
      <c r="B41" s="18" t="s">
        <v>139</v>
      </c>
      <c r="C41" s="60" t="s">
        <v>140</v>
      </c>
      <c r="D41" s="69"/>
      <c r="E41" s="7">
        <v>450000</v>
      </c>
      <c r="F41" s="7">
        <v>450000</v>
      </c>
      <c r="G41" s="7">
        <v>450000</v>
      </c>
      <c r="H41" s="8">
        <v>450000</v>
      </c>
      <c r="I41" s="7">
        <v>450000</v>
      </c>
      <c r="J41" s="7">
        <v>450000</v>
      </c>
      <c r="K41" s="7">
        <v>450000</v>
      </c>
      <c r="L41" s="15">
        <v>450000</v>
      </c>
      <c r="M41" s="51">
        <v>450000</v>
      </c>
      <c r="N41" s="7">
        <v>450000</v>
      </c>
      <c r="O41" s="7">
        <v>450000</v>
      </c>
      <c r="P41" s="52">
        <v>450000</v>
      </c>
      <c r="Q41" s="7">
        <f>SUM(E41:P41)</f>
        <v>5400000</v>
      </c>
    </row>
    <row r="42" spans="1:19">
      <c r="A42" s="14" t="s">
        <v>97</v>
      </c>
      <c r="B42" s="19" t="s">
        <v>141</v>
      </c>
      <c r="C42" s="61" t="s">
        <v>142</v>
      </c>
      <c r="D42" s="69"/>
      <c r="E42" s="8">
        <v>450000</v>
      </c>
      <c r="F42" s="8">
        <v>450000</v>
      </c>
      <c r="G42" s="8">
        <v>450000</v>
      </c>
      <c r="H42" s="8">
        <v>450000</v>
      </c>
      <c r="I42" s="8">
        <v>450000</v>
      </c>
      <c r="J42" s="8">
        <v>450000</v>
      </c>
      <c r="K42" s="8">
        <v>450000</v>
      </c>
      <c r="L42" s="11">
        <v>450000</v>
      </c>
      <c r="M42" s="53">
        <v>450000</v>
      </c>
      <c r="N42" s="8">
        <v>450000</v>
      </c>
      <c r="O42" s="8">
        <v>450000</v>
      </c>
      <c r="P42" s="54">
        <v>450000</v>
      </c>
      <c r="Q42" s="8">
        <f t="shared" ref="Q42:Q49" si="1">SUM(E42:P42)</f>
        <v>5400000</v>
      </c>
    </row>
    <row r="43" spans="1:19">
      <c r="A43" s="14" t="s">
        <v>100</v>
      </c>
      <c r="B43" s="18" t="s">
        <v>143</v>
      </c>
      <c r="C43" s="60" t="s">
        <v>144</v>
      </c>
      <c r="D43" s="69"/>
      <c r="E43" s="7">
        <v>450000</v>
      </c>
      <c r="F43" s="7">
        <v>450000</v>
      </c>
      <c r="G43" s="7">
        <v>450000</v>
      </c>
      <c r="H43" s="7">
        <v>450000</v>
      </c>
      <c r="I43" s="7">
        <v>450000</v>
      </c>
      <c r="J43" s="7">
        <v>450000</v>
      </c>
      <c r="K43" s="7">
        <v>450000</v>
      </c>
      <c r="L43" s="15">
        <v>450000</v>
      </c>
      <c r="M43" s="51">
        <v>450000</v>
      </c>
      <c r="N43" s="7">
        <v>450000</v>
      </c>
      <c r="O43" s="7">
        <v>450000</v>
      </c>
      <c r="P43" s="52">
        <v>450000</v>
      </c>
      <c r="Q43" s="7">
        <f t="shared" si="1"/>
        <v>5400000</v>
      </c>
    </row>
    <row r="44" spans="1:19">
      <c r="A44" s="14" t="s">
        <v>103</v>
      </c>
      <c r="B44" s="19" t="s">
        <v>143</v>
      </c>
      <c r="C44" s="61" t="s">
        <v>144</v>
      </c>
      <c r="D44" s="69"/>
      <c r="E44" s="8">
        <v>450000</v>
      </c>
      <c r="F44" s="8">
        <v>450000</v>
      </c>
      <c r="G44" s="8">
        <v>450000</v>
      </c>
      <c r="H44" s="8">
        <v>450000</v>
      </c>
      <c r="I44" s="8">
        <v>450000</v>
      </c>
      <c r="J44" s="8">
        <v>450000</v>
      </c>
      <c r="K44" s="8">
        <v>450000</v>
      </c>
      <c r="L44" s="11">
        <v>450000</v>
      </c>
      <c r="M44" s="53">
        <v>450000</v>
      </c>
      <c r="N44" s="8">
        <v>450000</v>
      </c>
      <c r="O44" s="8">
        <v>450000</v>
      </c>
      <c r="P44" s="54">
        <v>450000</v>
      </c>
      <c r="Q44" s="8">
        <f t="shared" si="1"/>
        <v>5400000</v>
      </c>
    </row>
    <row r="45" spans="1:19">
      <c r="A45" s="14" t="s">
        <v>106</v>
      </c>
      <c r="B45" s="18" t="s">
        <v>145</v>
      </c>
      <c r="C45" s="60" t="s">
        <v>146</v>
      </c>
      <c r="D45" s="69"/>
      <c r="E45" s="7">
        <v>450000</v>
      </c>
      <c r="F45" s="7">
        <v>450000</v>
      </c>
      <c r="G45" s="7">
        <v>450000</v>
      </c>
      <c r="H45" s="7">
        <v>450000</v>
      </c>
      <c r="I45" s="7">
        <v>450000</v>
      </c>
      <c r="J45" s="7">
        <v>450000</v>
      </c>
      <c r="K45" s="7">
        <v>450000</v>
      </c>
      <c r="L45" s="15">
        <v>450000</v>
      </c>
      <c r="M45" s="51">
        <v>450000</v>
      </c>
      <c r="N45" s="7">
        <v>450000</v>
      </c>
      <c r="O45" s="7">
        <v>450000</v>
      </c>
      <c r="P45" s="52">
        <v>450000</v>
      </c>
      <c r="Q45" s="7">
        <f t="shared" si="1"/>
        <v>5400000</v>
      </c>
    </row>
    <row r="46" spans="1:19">
      <c r="A46" s="14" t="s">
        <v>109</v>
      </c>
      <c r="B46" s="19" t="s">
        <v>147</v>
      </c>
      <c r="C46" s="61" t="s">
        <v>148</v>
      </c>
      <c r="D46" s="69"/>
      <c r="E46" s="12" t="s">
        <v>19</v>
      </c>
      <c r="F46" s="12" t="s">
        <v>19</v>
      </c>
      <c r="G46" s="12" t="s">
        <v>19</v>
      </c>
      <c r="H46" s="12" t="s">
        <v>19</v>
      </c>
      <c r="I46" s="12" t="s">
        <v>19</v>
      </c>
      <c r="J46" s="12" t="s">
        <v>19</v>
      </c>
      <c r="K46" s="8">
        <v>454567</v>
      </c>
      <c r="L46" s="11">
        <v>454567</v>
      </c>
      <c r="M46" s="53">
        <v>454567</v>
      </c>
      <c r="N46" s="8">
        <v>454567</v>
      </c>
      <c r="O46" s="8">
        <v>454567</v>
      </c>
      <c r="P46" s="54">
        <v>454567</v>
      </c>
      <c r="Q46" s="8">
        <f t="shared" si="1"/>
        <v>2727402</v>
      </c>
    </row>
    <row r="47" spans="1:19">
      <c r="A47" s="14" t="s">
        <v>112</v>
      </c>
      <c r="B47" s="18" t="s">
        <v>149</v>
      </c>
      <c r="C47" s="60" t="s">
        <v>150</v>
      </c>
      <c r="D47" s="69"/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5">
        <v>450000</v>
      </c>
      <c r="M47" s="51">
        <v>450000</v>
      </c>
      <c r="N47" s="7">
        <v>450000</v>
      </c>
      <c r="O47" s="7">
        <v>450000</v>
      </c>
      <c r="P47" s="52">
        <v>450000</v>
      </c>
      <c r="Q47" s="7">
        <f t="shared" si="1"/>
        <v>2250000</v>
      </c>
    </row>
    <row r="48" spans="1:19">
      <c r="A48" s="14" t="s">
        <v>115</v>
      </c>
      <c r="B48" s="19" t="s">
        <v>151</v>
      </c>
      <c r="C48" s="61" t="s">
        <v>152</v>
      </c>
      <c r="D48" s="69"/>
      <c r="E48" s="12" t="s">
        <v>19</v>
      </c>
      <c r="F48" s="12" t="s">
        <v>19</v>
      </c>
      <c r="G48" s="12" t="s">
        <v>19</v>
      </c>
      <c r="H48" s="12" t="s">
        <v>19</v>
      </c>
      <c r="I48" s="12" t="s">
        <v>19</v>
      </c>
      <c r="J48" s="12" t="s">
        <v>19</v>
      </c>
      <c r="K48" s="12" t="s">
        <v>19</v>
      </c>
      <c r="L48" s="11">
        <v>450000</v>
      </c>
      <c r="M48" s="53">
        <v>450000</v>
      </c>
      <c r="N48" s="8">
        <v>450000</v>
      </c>
      <c r="O48" s="8">
        <v>450000</v>
      </c>
      <c r="P48" s="54">
        <v>450000</v>
      </c>
      <c r="Q48" s="8">
        <f t="shared" si="1"/>
        <v>2250000</v>
      </c>
    </row>
    <row r="49" spans="1:28">
      <c r="A49" s="14" t="s">
        <v>118</v>
      </c>
      <c r="B49" s="18" t="s">
        <v>153</v>
      </c>
      <c r="C49" s="60" t="s">
        <v>154</v>
      </c>
      <c r="D49" s="69"/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5">
        <v>450000</v>
      </c>
      <c r="M49" s="51">
        <v>450000</v>
      </c>
      <c r="N49" s="7">
        <v>450000</v>
      </c>
      <c r="O49" s="7">
        <v>450000</v>
      </c>
      <c r="P49" s="52">
        <v>450000</v>
      </c>
      <c r="Q49" s="7">
        <f t="shared" si="1"/>
        <v>2250000</v>
      </c>
    </row>
    <row r="50" spans="1:28" ht="24">
      <c r="A50" s="31"/>
      <c r="B50" s="31" t="s">
        <v>158</v>
      </c>
      <c r="C50" s="62" t="s">
        <v>159</v>
      </c>
      <c r="D50" s="71">
        <v>4842000</v>
      </c>
      <c r="E50" s="12"/>
      <c r="F50" s="12"/>
      <c r="G50" s="12"/>
      <c r="H50" s="12"/>
      <c r="I50" s="12"/>
      <c r="J50" s="12"/>
      <c r="K50" s="12"/>
      <c r="L50" s="11"/>
      <c r="M50" s="53"/>
      <c r="N50" s="8"/>
      <c r="O50" s="8"/>
      <c r="P50" s="54"/>
      <c r="Q50" s="8"/>
    </row>
    <row r="51" spans="1:28" ht="17.25" thickBot="1">
      <c r="A51" s="20"/>
      <c r="B51" s="20"/>
      <c r="C51" s="63" t="s">
        <v>160</v>
      </c>
      <c r="D51" s="72">
        <v>3141570393</v>
      </c>
      <c r="E51" s="21">
        <v>299078264</v>
      </c>
      <c r="F51" s="22">
        <v>329273065</v>
      </c>
      <c r="G51" s="22">
        <v>365357655</v>
      </c>
      <c r="H51" s="22">
        <v>400747395</v>
      </c>
      <c r="I51" s="22">
        <v>393579864</v>
      </c>
      <c r="J51" s="22">
        <v>473572665</v>
      </c>
      <c r="K51" s="22">
        <v>418786451</v>
      </c>
      <c r="L51" s="39">
        <v>418513772</v>
      </c>
      <c r="M51" s="55">
        <f>SUM(M3:M49)</f>
        <v>347145182</v>
      </c>
      <c r="N51" s="56">
        <f>SUM(N3:N49)</f>
        <v>347145182</v>
      </c>
      <c r="O51" s="56">
        <f>SUM(O3:O50)</f>
        <v>347145182</v>
      </c>
      <c r="P51" s="57">
        <f>SUM(P3:P50)</f>
        <v>347145182</v>
      </c>
      <c r="Q51" s="40">
        <f>SUM(Q3:Q50)</f>
        <v>4487489859</v>
      </c>
    </row>
    <row r="52" spans="1:28" s="26" customFormat="1" ht="17.25" thickBot="1"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1:28" s="26" customFormat="1">
      <c r="A53" s="28" t="s">
        <v>16</v>
      </c>
      <c r="B53" s="28" t="s">
        <v>155</v>
      </c>
      <c r="C53" s="29" t="s">
        <v>156</v>
      </c>
      <c r="D53" s="74">
        <v>78129440</v>
      </c>
      <c r="E53" s="30">
        <v>6947020</v>
      </c>
      <c r="F53" s="30">
        <v>7634020</v>
      </c>
      <c r="G53" s="30">
        <v>5744020</v>
      </c>
      <c r="H53" s="30">
        <v>6804020</v>
      </c>
      <c r="I53" s="30">
        <v>6757700</v>
      </c>
      <c r="J53" s="30">
        <v>6774020</v>
      </c>
      <c r="K53" s="30">
        <v>5927700</v>
      </c>
      <c r="L53" s="30">
        <v>7817700</v>
      </c>
      <c r="M53" s="79">
        <v>5744020</v>
      </c>
      <c r="N53" s="80">
        <v>5744020</v>
      </c>
      <c r="O53" s="80">
        <v>5744020</v>
      </c>
      <c r="P53" s="81" t="s">
        <v>19</v>
      </c>
      <c r="Q53" s="30">
        <f t="shared" ref="Q53" si="2">SUM(E53:P53)</f>
        <v>71638260</v>
      </c>
    </row>
    <row r="54" spans="1:28" ht="17.25" thickBot="1">
      <c r="A54" s="23"/>
      <c r="B54" s="23"/>
      <c r="C54" s="73" t="s">
        <v>160</v>
      </c>
      <c r="D54" s="75">
        <v>78129440</v>
      </c>
      <c r="E54" s="24">
        <v>6947020</v>
      </c>
      <c r="F54" s="25">
        <v>7634020</v>
      </c>
      <c r="G54" s="25">
        <v>5744020</v>
      </c>
      <c r="H54" s="25">
        <v>6804020</v>
      </c>
      <c r="I54" s="25">
        <v>6757700</v>
      </c>
      <c r="J54" s="25">
        <v>6774020</v>
      </c>
      <c r="K54" s="25">
        <v>5927700</v>
      </c>
      <c r="L54" s="77">
        <f>SUM(L53)</f>
        <v>7817700</v>
      </c>
      <c r="M54" s="82">
        <f t="shared" ref="M54:Q54" si="3">SUM(M53)</f>
        <v>5744020</v>
      </c>
      <c r="N54" s="83">
        <f t="shared" si="3"/>
        <v>5744020</v>
      </c>
      <c r="O54" s="83">
        <f t="shared" si="3"/>
        <v>5744020</v>
      </c>
      <c r="P54" s="84">
        <f t="shared" si="3"/>
        <v>0</v>
      </c>
      <c r="Q54" s="78">
        <f t="shared" si="3"/>
        <v>71638260</v>
      </c>
    </row>
    <row r="55" spans="1:28" ht="17.25" thickBot="1">
      <c r="D55" s="4"/>
    </row>
    <row r="56" spans="1:28" ht="17.25" thickBot="1">
      <c r="D56" s="76">
        <v>3219699833</v>
      </c>
      <c r="Q56" s="5">
        <f>Q51+Q54</f>
        <v>4559128119</v>
      </c>
    </row>
    <row r="57" spans="1:28">
      <c r="AA57" s="85"/>
      <c r="AB57" s="85"/>
    </row>
    <row r="58" spans="1:28">
      <c r="AA58" s="85"/>
      <c r="AB58" s="85"/>
    </row>
    <row r="59" spans="1:28">
      <c r="AA59" s="85"/>
      <c r="AB59" s="85"/>
    </row>
    <row r="60" spans="1:28">
      <c r="AA60" s="85"/>
      <c r="AB60" s="85"/>
    </row>
    <row r="61" spans="1:28">
      <c r="AA61" s="85"/>
      <c r="AB61" s="85"/>
    </row>
    <row r="62" spans="1:28">
      <c r="AA62" s="85"/>
      <c r="AB62" s="85"/>
    </row>
    <row r="63" spans="1:28">
      <c r="AA63" s="85"/>
      <c r="AB63" s="85"/>
    </row>
    <row r="64" spans="1:28">
      <c r="AA64" s="85"/>
      <c r="AB64" s="85"/>
    </row>
  </sheetData>
  <mergeCells count="5">
    <mergeCell ref="S8:T8"/>
    <mergeCell ref="A1:A2"/>
    <mergeCell ref="B1:B2"/>
    <mergeCell ref="C1:C2"/>
    <mergeCell ref="S7:T7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E1EA-659A-4DF5-863E-2C4AD1449D5E}">
  <dimension ref="A1:X124"/>
  <sheetViews>
    <sheetView zoomScale="90" zoomScaleNormal="90" workbookViewId="0">
      <pane xSplit="5" ySplit="1" topLeftCell="F77" activePane="bottomRight" state="frozen"/>
      <selection pane="topRight" activeCell="E1" sqref="E1"/>
      <selection pane="bottomLeft" activeCell="A3" sqref="A3"/>
      <selection pane="bottomRight" activeCell="H92" sqref="H92"/>
    </sheetView>
  </sheetViews>
  <sheetFormatPr defaultRowHeight="12"/>
  <cols>
    <col min="1" max="1" width="6.625" style="143" customWidth="1"/>
    <col min="2" max="4" width="9" style="140"/>
    <col min="5" max="5" width="37.875" style="140" customWidth="1"/>
    <col min="6" max="6" width="9.5" style="139" customWidth="1"/>
    <col min="7" max="11" width="16" style="145" customWidth="1"/>
    <col min="12" max="18" width="13.75" style="140" customWidth="1"/>
    <col min="19" max="24" width="13.75" style="144" customWidth="1"/>
    <col min="25" max="16384" width="9" style="140"/>
  </cols>
  <sheetData>
    <row r="1" spans="1:24">
      <c r="A1" s="106" t="s">
        <v>0</v>
      </c>
      <c r="B1" s="107" t="s">
        <v>1</v>
      </c>
      <c r="C1" s="108"/>
      <c r="D1" s="108"/>
      <c r="E1" s="108" t="s">
        <v>2</v>
      </c>
      <c r="F1" s="109" t="s">
        <v>279</v>
      </c>
      <c r="G1" s="110" t="s">
        <v>280</v>
      </c>
      <c r="H1" s="110" t="s">
        <v>319</v>
      </c>
      <c r="I1" s="110" t="s">
        <v>321</v>
      </c>
      <c r="J1" s="110" t="s">
        <v>322</v>
      </c>
      <c r="K1" s="110" t="s">
        <v>320</v>
      </c>
      <c r="L1" s="107" t="s">
        <v>181</v>
      </c>
      <c r="M1" s="107" t="s">
        <v>182</v>
      </c>
      <c r="N1" s="107" t="s">
        <v>183</v>
      </c>
      <c r="O1" s="107" t="s">
        <v>184</v>
      </c>
      <c r="P1" s="107" t="s">
        <v>185</v>
      </c>
      <c r="Q1" s="107" t="s">
        <v>186</v>
      </c>
      <c r="R1" s="108" t="s">
        <v>187</v>
      </c>
      <c r="S1" s="111" t="s">
        <v>188</v>
      </c>
      <c r="T1" s="112" t="s">
        <v>189</v>
      </c>
      <c r="U1" s="112" t="s">
        <v>190</v>
      </c>
      <c r="V1" s="112" t="s">
        <v>191</v>
      </c>
      <c r="W1" s="112" t="s">
        <v>192</v>
      </c>
      <c r="X1" s="113" t="s">
        <v>193</v>
      </c>
    </row>
    <row r="2" spans="1:24">
      <c r="A2" s="114">
        <v>2</v>
      </c>
      <c r="B2" s="115" t="s">
        <v>22</v>
      </c>
      <c r="C2" s="116" t="s">
        <v>194</v>
      </c>
      <c r="D2" s="116" t="s">
        <v>195</v>
      </c>
      <c r="E2" s="117" t="s">
        <v>23</v>
      </c>
      <c r="F2" s="118" t="s">
        <v>325</v>
      </c>
      <c r="G2" s="150" t="s">
        <v>324</v>
      </c>
      <c r="H2" s="119"/>
      <c r="I2" s="119"/>
      <c r="J2" s="119"/>
      <c r="K2" s="119"/>
      <c r="L2" s="120">
        <v>9003000</v>
      </c>
      <c r="M2" s="120">
        <v>7426800</v>
      </c>
      <c r="N2" s="120">
        <v>8152940</v>
      </c>
      <c r="O2" s="120">
        <v>11070330</v>
      </c>
      <c r="P2" s="120">
        <v>9259700</v>
      </c>
      <c r="Q2" s="120">
        <v>9125800</v>
      </c>
      <c r="R2" s="121">
        <v>7625920</v>
      </c>
      <c r="S2" s="122">
        <v>8284690</v>
      </c>
      <c r="T2" s="122">
        <v>1095000</v>
      </c>
      <c r="U2" s="122"/>
      <c r="V2" s="122"/>
      <c r="W2" s="122"/>
      <c r="X2" s="122">
        <f>SUM(L2:W2)</f>
        <v>71044180</v>
      </c>
    </row>
    <row r="3" spans="1:24">
      <c r="A3" s="114">
        <v>16</v>
      </c>
      <c r="B3" s="115" t="s">
        <v>72</v>
      </c>
      <c r="C3" s="116" t="s">
        <v>194</v>
      </c>
      <c r="D3" s="116" t="s">
        <v>195</v>
      </c>
      <c r="E3" s="117" t="s">
        <v>73</v>
      </c>
      <c r="F3" s="118" t="s">
        <v>325</v>
      </c>
      <c r="G3" s="150" t="s">
        <v>324</v>
      </c>
      <c r="H3" s="119"/>
      <c r="I3" s="119"/>
      <c r="J3" s="119"/>
      <c r="K3" s="119"/>
      <c r="L3" s="120">
        <v>226761650</v>
      </c>
      <c r="M3" s="120">
        <v>256324650</v>
      </c>
      <c r="N3" s="120">
        <v>292042100</v>
      </c>
      <c r="O3" s="120">
        <v>323145450</v>
      </c>
      <c r="P3" s="120">
        <v>316914550</v>
      </c>
      <c r="Q3" s="120">
        <v>392535250</v>
      </c>
      <c r="R3" s="121">
        <v>339365350</v>
      </c>
      <c r="S3" s="122">
        <v>334748900</v>
      </c>
      <c r="T3" s="122">
        <v>257500000</v>
      </c>
      <c r="U3" s="122">
        <v>257500000</v>
      </c>
      <c r="V3" s="122">
        <v>257500000</v>
      </c>
      <c r="W3" s="122">
        <v>257500000</v>
      </c>
      <c r="X3" s="122">
        <f>SUM(L3:W3)</f>
        <v>3511837900</v>
      </c>
    </row>
    <row r="4" spans="1:24">
      <c r="A4" s="114">
        <v>12</v>
      </c>
      <c r="B4" s="115" t="s">
        <v>57</v>
      </c>
      <c r="C4" s="116" t="s">
        <v>196</v>
      </c>
      <c r="D4" s="116" t="s">
        <v>197</v>
      </c>
      <c r="E4" s="117" t="s">
        <v>58</v>
      </c>
      <c r="F4" s="118" t="s">
        <v>325</v>
      </c>
      <c r="G4" s="150" t="s">
        <v>324</v>
      </c>
      <c r="H4" s="119"/>
      <c r="I4" s="119"/>
      <c r="J4" s="119"/>
      <c r="K4" s="119"/>
      <c r="L4" s="120">
        <v>41679000</v>
      </c>
      <c r="M4" s="120">
        <v>43129000</v>
      </c>
      <c r="N4" s="120">
        <v>43840000</v>
      </c>
      <c r="O4" s="120">
        <v>44309000</v>
      </c>
      <c r="P4" s="120">
        <v>45633000</v>
      </c>
      <c r="Q4" s="120">
        <v>50139000</v>
      </c>
      <c r="R4" s="121">
        <v>49568000</v>
      </c>
      <c r="S4" s="122">
        <v>51903000</v>
      </c>
      <c r="T4" s="122"/>
      <c r="U4" s="122"/>
      <c r="V4" s="122"/>
      <c r="W4" s="122"/>
      <c r="X4" s="122">
        <f>SUM(L4:W4)</f>
        <v>370200000</v>
      </c>
    </row>
    <row r="5" spans="1:24">
      <c r="A5" s="114">
        <v>1</v>
      </c>
      <c r="B5" s="115" t="s">
        <v>155</v>
      </c>
      <c r="C5" s="116" t="s">
        <v>198</v>
      </c>
      <c r="D5" s="116" t="s">
        <v>197</v>
      </c>
      <c r="E5" s="151" t="s">
        <v>156</v>
      </c>
      <c r="F5" s="118" t="s">
        <v>325</v>
      </c>
      <c r="G5" s="150" t="s">
        <v>324</v>
      </c>
      <c r="H5" s="152"/>
      <c r="I5" s="152"/>
      <c r="J5" s="152"/>
      <c r="K5" s="152"/>
      <c r="L5" s="120">
        <v>6947020</v>
      </c>
      <c r="M5" s="120">
        <v>7634020</v>
      </c>
      <c r="N5" s="120">
        <v>5744020</v>
      </c>
      <c r="O5" s="120">
        <v>6804020</v>
      </c>
      <c r="P5" s="120">
        <v>6757700</v>
      </c>
      <c r="Q5" s="120">
        <v>6774020</v>
      </c>
      <c r="R5" s="121">
        <v>5927700</v>
      </c>
      <c r="S5" s="122">
        <v>7817700</v>
      </c>
      <c r="T5" s="127">
        <v>5744020</v>
      </c>
      <c r="U5" s="127">
        <v>5744020</v>
      </c>
      <c r="V5" s="127">
        <v>5744020</v>
      </c>
      <c r="W5" s="128" t="s">
        <v>19</v>
      </c>
      <c r="X5" s="122">
        <f>SUM(L5:W5)</f>
        <v>71638260</v>
      </c>
    </row>
    <row r="6" spans="1:24">
      <c r="A6" s="114">
        <v>1</v>
      </c>
      <c r="B6" s="115" t="s">
        <v>17</v>
      </c>
      <c r="C6" s="116" t="s">
        <v>194</v>
      </c>
      <c r="D6" s="116" t="s">
        <v>199</v>
      </c>
      <c r="E6" s="117" t="s">
        <v>18</v>
      </c>
      <c r="F6" s="118">
        <v>2015</v>
      </c>
      <c r="G6" s="119">
        <v>5000000</v>
      </c>
      <c r="H6" s="119">
        <f>G6*2</f>
        <v>10000000</v>
      </c>
      <c r="I6" s="119">
        <f>(G6+H6)/36</f>
        <v>416666.66666666669</v>
      </c>
      <c r="J6" s="119">
        <f>I6*0.7</f>
        <v>291666.66666666669</v>
      </c>
      <c r="K6" s="119">
        <f t="shared" ref="K6" si="0">(I6-J6)</f>
        <v>125000</v>
      </c>
      <c r="L6" s="120">
        <v>111405</v>
      </c>
      <c r="M6" s="120">
        <v>111405</v>
      </c>
      <c r="N6" s="120">
        <v>111405</v>
      </c>
      <c r="O6" s="120">
        <v>111405</v>
      </c>
      <c r="P6" s="120">
        <v>111405</v>
      </c>
      <c r="Q6" s="120">
        <v>111405</v>
      </c>
      <c r="R6" s="121">
        <v>111405</v>
      </c>
      <c r="S6" s="122">
        <v>111405</v>
      </c>
      <c r="T6" s="122">
        <v>111405</v>
      </c>
      <c r="U6" s="122">
        <v>111405</v>
      </c>
      <c r="V6" s="122">
        <v>111405</v>
      </c>
      <c r="W6" s="122">
        <v>111405</v>
      </c>
      <c r="X6" s="122">
        <f t="shared" ref="X6:X46" si="1">SUM(L6:W6)</f>
        <v>1336860</v>
      </c>
    </row>
    <row r="7" spans="1:24">
      <c r="A7" s="114">
        <v>3</v>
      </c>
      <c r="B7" s="115" t="s">
        <v>26</v>
      </c>
      <c r="C7" s="116" t="s">
        <v>194</v>
      </c>
      <c r="D7" s="116" t="s">
        <v>200</v>
      </c>
      <c r="E7" s="117" t="s">
        <v>27</v>
      </c>
      <c r="F7" s="118">
        <v>2015</v>
      </c>
      <c r="G7" s="119">
        <v>8000000</v>
      </c>
      <c r="H7" s="119">
        <f t="shared" ref="H7:H66" si="2">G7*2</f>
        <v>16000000</v>
      </c>
      <c r="I7" s="119">
        <f t="shared" ref="I7:I66" si="3">(G7+H7)/36</f>
        <v>666666.66666666663</v>
      </c>
      <c r="J7" s="119">
        <f t="shared" ref="J7:J66" si="4">I7*0.7</f>
        <v>466666.66666666663</v>
      </c>
      <c r="K7" s="119">
        <f t="shared" ref="K7:K66" si="5">(I7-J7)</f>
        <v>200000</v>
      </c>
      <c r="L7" s="120">
        <v>470000</v>
      </c>
      <c r="M7" s="120">
        <v>470000</v>
      </c>
      <c r="N7" s="120">
        <v>470000</v>
      </c>
      <c r="O7" s="120">
        <v>470000</v>
      </c>
      <c r="P7" s="120">
        <v>470000</v>
      </c>
      <c r="Q7" s="120">
        <v>470000</v>
      </c>
      <c r="R7" s="121">
        <v>470000</v>
      </c>
      <c r="S7" s="122">
        <v>470000</v>
      </c>
      <c r="T7" s="122">
        <v>470000</v>
      </c>
      <c r="U7" s="122">
        <v>470000</v>
      </c>
      <c r="V7" s="122">
        <v>470000</v>
      </c>
      <c r="W7" s="122">
        <v>470000</v>
      </c>
      <c r="X7" s="122">
        <f t="shared" si="1"/>
        <v>5640000</v>
      </c>
    </row>
    <row r="8" spans="1:24">
      <c r="A8" s="114">
        <v>4</v>
      </c>
      <c r="B8" s="115" t="s">
        <v>29</v>
      </c>
      <c r="C8" s="116" t="s">
        <v>194</v>
      </c>
      <c r="D8" s="116" t="s">
        <v>201</v>
      </c>
      <c r="E8" s="117" t="s">
        <v>30</v>
      </c>
      <c r="F8" s="118">
        <v>2020</v>
      </c>
      <c r="G8" s="119">
        <v>2000000</v>
      </c>
      <c r="H8" s="119">
        <f t="shared" si="2"/>
        <v>4000000</v>
      </c>
      <c r="I8" s="119">
        <f t="shared" si="3"/>
        <v>166666.66666666666</v>
      </c>
      <c r="J8" s="119">
        <f t="shared" si="4"/>
        <v>116666.66666666666</v>
      </c>
      <c r="K8" s="119">
        <f t="shared" si="5"/>
        <v>50000</v>
      </c>
      <c r="L8" s="120">
        <v>150000</v>
      </c>
      <c r="M8" s="120">
        <v>150000</v>
      </c>
      <c r="N8" s="120">
        <v>150000</v>
      </c>
      <c r="O8" s="120">
        <v>150000</v>
      </c>
      <c r="P8" s="120">
        <v>150000</v>
      </c>
      <c r="Q8" s="120">
        <v>150000</v>
      </c>
      <c r="R8" s="121">
        <v>150000</v>
      </c>
      <c r="S8" s="122">
        <v>150000</v>
      </c>
      <c r="T8" s="122">
        <v>150000</v>
      </c>
      <c r="U8" s="122">
        <v>150000</v>
      </c>
      <c r="V8" s="122">
        <v>150000</v>
      </c>
      <c r="W8" s="122">
        <v>150000</v>
      </c>
      <c r="X8" s="122">
        <f t="shared" si="1"/>
        <v>1800000</v>
      </c>
    </row>
    <row r="9" spans="1:24">
      <c r="A9" s="114">
        <v>5</v>
      </c>
      <c r="B9" s="115" t="s">
        <v>33</v>
      </c>
      <c r="C9" s="116" t="s">
        <v>194</v>
      </c>
      <c r="D9" s="116" t="s">
        <v>195</v>
      </c>
      <c r="E9" s="117" t="s">
        <v>34</v>
      </c>
      <c r="F9" s="118">
        <v>2022</v>
      </c>
      <c r="G9" s="119">
        <v>4000000</v>
      </c>
      <c r="H9" s="119">
        <f t="shared" si="2"/>
        <v>8000000</v>
      </c>
      <c r="I9" s="119">
        <f t="shared" si="3"/>
        <v>333333.33333333331</v>
      </c>
      <c r="J9" s="119">
        <f t="shared" si="4"/>
        <v>233333.33333333331</v>
      </c>
      <c r="K9" s="119">
        <f t="shared" si="5"/>
        <v>100000</v>
      </c>
      <c r="L9" s="120">
        <v>200000</v>
      </c>
      <c r="M9" s="120">
        <v>200000</v>
      </c>
      <c r="N9" s="120">
        <v>200000</v>
      </c>
      <c r="O9" s="120">
        <v>200000</v>
      </c>
      <c r="P9" s="120">
        <v>200000</v>
      </c>
      <c r="Q9" s="120">
        <v>200000</v>
      </c>
      <c r="R9" s="121">
        <v>200000</v>
      </c>
      <c r="S9" s="122">
        <v>200000</v>
      </c>
      <c r="T9" s="122">
        <v>200000</v>
      </c>
      <c r="U9" s="122">
        <v>200000</v>
      </c>
      <c r="V9" s="122">
        <v>200000</v>
      </c>
      <c r="W9" s="122">
        <v>200000</v>
      </c>
      <c r="X9" s="122">
        <f t="shared" si="1"/>
        <v>2400000</v>
      </c>
    </row>
    <row r="10" spans="1:24">
      <c r="A10" s="114">
        <v>6</v>
      </c>
      <c r="B10" s="115" t="s">
        <v>37</v>
      </c>
      <c r="C10" s="116" t="s">
        <v>194</v>
      </c>
      <c r="D10" s="116" t="s">
        <v>202</v>
      </c>
      <c r="E10" s="117" t="s">
        <v>38</v>
      </c>
      <c r="F10" s="118">
        <v>2021</v>
      </c>
      <c r="G10" s="119">
        <v>1500000</v>
      </c>
      <c r="H10" s="119">
        <f t="shared" si="2"/>
        <v>3000000</v>
      </c>
      <c r="I10" s="119">
        <f t="shared" si="3"/>
        <v>125000</v>
      </c>
      <c r="J10" s="119">
        <f t="shared" si="4"/>
        <v>87500</v>
      </c>
      <c r="K10" s="119">
        <f t="shared" si="5"/>
        <v>37500</v>
      </c>
      <c r="L10" s="120">
        <v>141670</v>
      </c>
      <c r="M10" s="120">
        <v>141670</v>
      </c>
      <c r="N10" s="120">
        <v>141670</v>
      </c>
      <c r="O10" s="120">
        <v>141670</v>
      </c>
      <c r="P10" s="120">
        <v>141670</v>
      </c>
      <c r="Q10" s="120">
        <v>141670</v>
      </c>
      <c r="R10" s="121">
        <v>141670</v>
      </c>
      <c r="S10" s="122">
        <v>141670</v>
      </c>
      <c r="T10" s="122">
        <v>141670</v>
      </c>
      <c r="U10" s="122">
        <v>141670</v>
      </c>
      <c r="V10" s="122">
        <v>141670</v>
      </c>
      <c r="W10" s="122">
        <v>141670</v>
      </c>
      <c r="X10" s="122">
        <f t="shared" si="1"/>
        <v>1700040</v>
      </c>
    </row>
    <row r="11" spans="1:24">
      <c r="A11" s="114">
        <v>7</v>
      </c>
      <c r="B11" s="115" t="s">
        <v>40</v>
      </c>
      <c r="C11" s="116" t="s">
        <v>194</v>
      </c>
      <c r="D11" s="116" t="s">
        <v>201</v>
      </c>
      <c r="E11" s="117" t="s">
        <v>41</v>
      </c>
      <c r="F11" s="118">
        <v>2015</v>
      </c>
      <c r="G11" s="119">
        <v>3000000</v>
      </c>
      <c r="H11" s="119">
        <f t="shared" si="2"/>
        <v>6000000</v>
      </c>
      <c r="I11" s="119">
        <f t="shared" si="3"/>
        <v>250000</v>
      </c>
      <c r="J11" s="119">
        <f t="shared" si="4"/>
        <v>175000</v>
      </c>
      <c r="K11" s="119">
        <f t="shared" si="5"/>
        <v>75000</v>
      </c>
      <c r="L11" s="120">
        <v>233000</v>
      </c>
      <c r="M11" s="120">
        <v>233000</v>
      </c>
      <c r="N11" s="120">
        <v>233000</v>
      </c>
      <c r="O11" s="120">
        <v>233000</v>
      </c>
      <c r="P11" s="120">
        <v>233000</v>
      </c>
      <c r="Q11" s="120">
        <v>233000</v>
      </c>
      <c r="R11" s="121">
        <v>233000</v>
      </c>
      <c r="S11" s="122">
        <v>233000</v>
      </c>
      <c r="T11" s="122">
        <v>233000</v>
      </c>
      <c r="U11" s="122">
        <v>233000</v>
      </c>
      <c r="V11" s="122">
        <v>233000</v>
      </c>
      <c r="W11" s="122">
        <v>233000</v>
      </c>
      <c r="X11" s="122">
        <f t="shared" si="1"/>
        <v>2796000</v>
      </c>
    </row>
    <row r="12" spans="1:24">
      <c r="A12" s="114">
        <v>8</v>
      </c>
      <c r="B12" s="115" t="s">
        <v>43</v>
      </c>
      <c r="C12" s="116" t="s">
        <v>194</v>
      </c>
      <c r="D12" s="116" t="s">
        <v>203</v>
      </c>
      <c r="E12" s="117" t="s">
        <v>44</v>
      </c>
      <c r="F12" s="118">
        <v>2016</v>
      </c>
      <c r="G12" s="119">
        <v>72500000</v>
      </c>
      <c r="H12" s="119">
        <f t="shared" si="2"/>
        <v>145000000</v>
      </c>
      <c r="I12" s="119">
        <f t="shared" si="3"/>
        <v>6041666.666666667</v>
      </c>
      <c r="J12" s="119">
        <f t="shared" si="4"/>
        <v>4229166.666666667</v>
      </c>
      <c r="K12" s="119">
        <f t="shared" si="5"/>
        <v>1812500</v>
      </c>
      <c r="L12" s="120">
        <v>2150000</v>
      </c>
      <c r="M12" s="120">
        <v>2161000</v>
      </c>
      <c r="N12" s="120">
        <v>2161000</v>
      </c>
      <c r="O12" s="120">
        <v>2161000</v>
      </c>
      <c r="P12" s="120">
        <v>2161000</v>
      </c>
      <c r="Q12" s="120">
        <v>2161000</v>
      </c>
      <c r="R12" s="121">
        <v>2161000</v>
      </c>
      <c r="S12" s="122">
        <v>2161000</v>
      </c>
      <c r="T12" s="122">
        <v>2161000</v>
      </c>
      <c r="U12" s="122">
        <v>2161000</v>
      </c>
      <c r="V12" s="122">
        <v>2161000</v>
      </c>
      <c r="W12" s="122">
        <v>2161000</v>
      </c>
      <c r="X12" s="122">
        <f t="shared" si="1"/>
        <v>25921000</v>
      </c>
    </row>
    <row r="13" spans="1:24">
      <c r="A13" s="114">
        <v>9</v>
      </c>
      <c r="B13" s="115" t="s">
        <v>47</v>
      </c>
      <c r="C13" s="116" t="s">
        <v>194</v>
      </c>
      <c r="D13" s="116" t="s">
        <v>205</v>
      </c>
      <c r="E13" s="117" t="s">
        <v>48</v>
      </c>
      <c r="F13" s="118">
        <v>2018</v>
      </c>
      <c r="G13" s="119">
        <v>5000000</v>
      </c>
      <c r="H13" s="119">
        <f t="shared" si="2"/>
        <v>10000000</v>
      </c>
      <c r="I13" s="119">
        <f t="shared" si="3"/>
        <v>416666.66666666669</v>
      </c>
      <c r="J13" s="123">
        <f t="shared" si="4"/>
        <v>291666.66666666669</v>
      </c>
      <c r="K13" s="119">
        <f t="shared" si="5"/>
        <v>125000</v>
      </c>
      <c r="L13" s="120">
        <v>580650</v>
      </c>
      <c r="M13" s="120">
        <v>580650</v>
      </c>
      <c r="N13" s="120">
        <v>580650</v>
      </c>
      <c r="O13" s="120">
        <v>580650</v>
      </c>
      <c r="P13" s="120">
        <v>580650</v>
      </c>
      <c r="Q13" s="120">
        <v>580650</v>
      </c>
      <c r="R13" s="121">
        <v>580650</v>
      </c>
      <c r="S13" s="122">
        <v>580650</v>
      </c>
      <c r="T13" s="122">
        <v>580650</v>
      </c>
      <c r="U13" s="122">
        <v>580650</v>
      </c>
      <c r="V13" s="122">
        <v>580650</v>
      </c>
      <c r="W13" s="122">
        <v>580650</v>
      </c>
      <c r="X13" s="122">
        <f t="shared" si="1"/>
        <v>6967800</v>
      </c>
    </row>
    <row r="14" spans="1:24">
      <c r="A14" s="114">
        <v>10</v>
      </c>
      <c r="B14" s="115" t="s">
        <v>51</v>
      </c>
      <c r="C14" s="116" t="s">
        <v>194</v>
      </c>
      <c r="D14" s="116" t="s">
        <v>204</v>
      </c>
      <c r="E14" s="117" t="s">
        <v>52</v>
      </c>
      <c r="F14" s="118">
        <v>2018</v>
      </c>
      <c r="G14" s="119">
        <v>3000000</v>
      </c>
      <c r="H14" s="119">
        <f t="shared" si="2"/>
        <v>6000000</v>
      </c>
      <c r="I14" s="119">
        <f t="shared" si="3"/>
        <v>250000</v>
      </c>
      <c r="J14" s="119">
        <f t="shared" si="4"/>
        <v>175000</v>
      </c>
      <c r="K14" s="119">
        <f t="shared" si="5"/>
        <v>75000</v>
      </c>
      <c r="L14" s="120">
        <v>450000</v>
      </c>
      <c r="M14" s="120">
        <v>450000</v>
      </c>
      <c r="N14" s="120">
        <v>450000</v>
      </c>
      <c r="O14" s="120">
        <v>450000</v>
      </c>
      <c r="P14" s="120">
        <v>450000</v>
      </c>
      <c r="Q14" s="120">
        <v>450000</v>
      </c>
      <c r="R14" s="121">
        <v>450000</v>
      </c>
      <c r="S14" s="122">
        <v>450000</v>
      </c>
      <c r="T14" s="122">
        <v>450000</v>
      </c>
      <c r="U14" s="122">
        <v>450000</v>
      </c>
      <c r="V14" s="122">
        <v>450000</v>
      </c>
      <c r="W14" s="122">
        <v>450000</v>
      </c>
      <c r="X14" s="122">
        <f t="shared" si="1"/>
        <v>5400000</v>
      </c>
    </row>
    <row r="15" spans="1:24">
      <c r="A15" s="114">
        <v>11</v>
      </c>
      <c r="B15" s="115" t="s">
        <v>54</v>
      </c>
      <c r="C15" s="116" t="s">
        <v>194</v>
      </c>
      <c r="D15" s="116" t="s">
        <v>200</v>
      </c>
      <c r="E15" s="117" t="s">
        <v>55</v>
      </c>
      <c r="F15" s="118">
        <v>2018</v>
      </c>
      <c r="G15" s="119">
        <v>5000000</v>
      </c>
      <c r="H15" s="119">
        <f t="shared" si="2"/>
        <v>10000000</v>
      </c>
      <c r="I15" s="119">
        <f t="shared" si="3"/>
        <v>416666.66666666669</v>
      </c>
      <c r="J15" s="119">
        <f t="shared" si="4"/>
        <v>291666.66666666669</v>
      </c>
      <c r="K15" s="119">
        <f t="shared" si="5"/>
        <v>125000</v>
      </c>
      <c r="L15" s="120">
        <v>450000</v>
      </c>
      <c r="M15" s="120">
        <v>450000</v>
      </c>
      <c r="N15" s="120">
        <v>450000</v>
      </c>
      <c r="O15" s="120">
        <v>450000</v>
      </c>
      <c r="P15" s="120">
        <v>450000</v>
      </c>
      <c r="Q15" s="120">
        <v>450000</v>
      </c>
      <c r="R15" s="121">
        <v>450000</v>
      </c>
      <c r="S15" s="122">
        <v>450000</v>
      </c>
      <c r="T15" s="122">
        <v>450000</v>
      </c>
      <c r="U15" s="122">
        <v>450000</v>
      </c>
      <c r="V15" s="122">
        <v>450000</v>
      </c>
      <c r="W15" s="122">
        <v>450000</v>
      </c>
      <c r="X15" s="122">
        <f t="shared" si="1"/>
        <v>5400000</v>
      </c>
    </row>
    <row r="16" spans="1:24">
      <c r="A16" s="114">
        <v>13</v>
      </c>
      <c r="B16" s="115" t="s">
        <v>61</v>
      </c>
      <c r="C16" s="116" t="s">
        <v>194</v>
      </c>
      <c r="D16" s="116" t="s">
        <v>202</v>
      </c>
      <c r="E16" s="117" t="s">
        <v>62</v>
      </c>
      <c r="F16" s="118">
        <v>2020</v>
      </c>
      <c r="G16" s="119">
        <v>3000000</v>
      </c>
      <c r="H16" s="119">
        <f t="shared" si="2"/>
        <v>6000000</v>
      </c>
      <c r="I16" s="119">
        <f t="shared" si="3"/>
        <v>250000</v>
      </c>
      <c r="J16" s="119">
        <f t="shared" si="4"/>
        <v>175000</v>
      </c>
      <c r="K16" s="119">
        <f t="shared" si="5"/>
        <v>75000</v>
      </c>
      <c r="L16" s="120">
        <v>475000</v>
      </c>
      <c r="M16" s="120">
        <v>475000</v>
      </c>
      <c r="N16" s="120">
        <v>475000</v>
      </c>
      <c r="O16" s="120">
        <v>475000</v>
      </c>
      <c r="P16" s="120">
        <v>475000</v>
      </c>
      <c r="Q16" s="120">
        <v>475000</v>
      </c>
      <c r="R16" s="121">
        <v>475000</v>
      </c>
      <c r="S16" s="122">
        <v>475000</v>
      </c>
      <c r="T16" s="122">
        <v>475000</v>
      </c>
      <c r="U16" s="122">
        <v>475000</v>
      </c>
      <c r="V16" s="122">
        <v>475000</v>
      </c>
      <c r="W16" s="122">
        <v>475000</v>
      </c>
      <c r="X16" s="122">
        <f t="shared" si="1"/>
        <v>5700000</v>
      </c>
    </row>
    <row r="17" spans="1:24">
      <c r="A17" s="114">
        <v>14</v>
      </c>
      <c r="B17" s="115" t="s">
        <v>64</v>
      </c>
      <c r="C17" s="116" t="s">
        <v>194</v>
      </c>
      <c r="D17" s="116" t="s">
        <v>204</v>
      </c>
      <c r="E17" s="117" t="s">
        <v>65</v>
      </c>
      <c r="F17" s="118">
        <v>2018</v>
      </c>
      <c r="G17" s="119">
        <v>5000000</v>
      </c>
      <c r="H17" s="119">
        <f t="shared" si="2"/>
        <v>10000000</v>
      </c>
      <c r="I17" s="119">
        <f t="shared" si="3"/>
        <v>416666.66666666669</v>
      </c>
      <c r="J17" s="119">
        <f t="shared" si="4"/>
        <v>291666.66666666669</v>
      </c>
      <c r="K17" s="119">
        <f t="shared" si="5"/>
        <v>125000</v>
      </c>
      <c r="L17" s="120">
        <v>450000</v>
      </c>
      <c r="M17" s="120">
        <v>450000</v>
      </c>
      <c r="N17" s="120">
        <v>450000</v>
      </c>
      <c r="O17" s="120">
        <v>450000</v>
      </c>
      <c r="P17" s="120">
        <v>450000</v>
      </c>
      <c r="Q17" s="120">
        <v>450000</v>
      </c>
      <c r="R17" s="121">
        <v>450000</v>
      </c>
      <c r="S17" s="122">
        <v>450000</v>
      </c>
      <c r="T17" s="122">
        <v>450000</v>
      </c>
      <c r="U17" s="122">
        <v>450000</v>
      </c>
      <c r="V17" s="122">
        <v>450000</v>
      </c>
      <c r="W17" s="122">
        <v>450000</v>
      </c>
      <c r="X17" s="122">
        <f t="shared" si="1"/>
        <v>5400000</v>
      </c>
    </row>
    <row r="18" spans="1:24">
      <c r="A18" s="114">
        <v>15</v>
      </c>
      <c r="B18" s="115" t="s">
        <v>68</v>
      </c>
      <c r="C18" s="116" t="s">
        <v>194</v>
      </c>
      <c r="D18" s="116" t="s">
        <v>195</v>
      </c>
      <c r="E18" s="117" t="s">
        <v>69</v>
      </c>
      <c r="F18" s="118">
        <v>2018</v>
      </c>
      <c r="G18" s="119">
        <v>3000000</v>
      </c>
      <c r="H18" s="119">
        <f t="shared" si="2"/>
        <v>6000000</v>
      </c>
      <c r="I18" s="119">
        <f t="shared" si="3"/>
        <v>250000</v>
      </c>
      <c r="J18" s="119">
        <f t="shared" si="4"/>
        <v>175000</v>
      </c>
      <c r="K18" s="119">
        <f t="shared" si="5"/>
        <v>75000</v>
      </c>
      <c r="L18" s="120">
        <v>450000</v>
      </c>
      <c r="M18" s="120">
        <v>450000</v>
      </c>
      <c r="N18" s="120">
        <v>450000</v>
      </c>
      <c r="O18" s="120">
        <v>450000</v>
      </c>
      <c r="P18" s="120">
        <v>450000</v>
      </c>
      <c r="Q18" s="120">
        <v>450000</v>
      </c>
      <c r="R18" s="121">
        <v>450000</v>
      </c>
      <c r="S18" s="122">
        <v>450000</v>
      </c>
      <c r="T18" s="122">
        <v>450000</v>
      </c>
      <c r="U18" s="122">
        <v>450000</v>
      </c>
      <c r="V18" s="122">
        <v>450000</v>
      </c>
      <c r="W18" s="122">
        <v>450000</v>
      </c>
      <c r="X18" s="122">
        <f t="shared" si="1"/>
        <v>5400000</v>
      </c>
    </row>
    <row r="19" spans="1:24">
      <c r="A19" s="114">
        <v>17</v>
      </c>
      <c r="B19" s="115" t="s">
        <v>76</v>
      </c>
      <c r="C19" s="116" t="s">
        <v>194</v>
      </c>
      <c r="D19" s="116" t="s">
        <v>201</v>
      </c>
      <c r="E19" s="117" t="s">
        <v>77</v>
      </c>
      <c r="F19" s="118">
        <v>2019</v>
      </c>
      <c r="G19" s="119">
        <v>6000000</v>
      </c>
      <c r="H19" s="119">
        <f t="shared" si="2"/>
        <v>12000000</v>
      </c>
      <c r="I19" s="119">
        <f t="shared" si="3"/>
        <v>500000</v>
      </c>
      <c r="J19" s="119">
        <f t="shared" si="4"/>
        <v>350000</v>
      </c>
      <c r="K19" s="119">
        <f t="shared" si="5"/>
        <v>150000</v>
      </c>
      <c r="L19" s="120">
        <v>340890</v>
      </c>
      <c r="M19" s="120">
        <v>340890</v>
      </c>
      <c r="N19" s="120">
        <v>340890</v>
      </c>
      <c r="O19" s="120">
        <v>340890</v>
      </c>
      <c r="P19" s="120">
        <v>340890</v>
      </c>
      <c r="Q19" s="120">
        <v>340890</v>
      </c>
      <c r="R19" s="121">
        <v>340890</v>
      </c>
      <c r="S19" s="122">
        <v>340890</v>
      </c>
      <c r="T19" s="122">
        <v>340890</v>
      </c>
      <c r="U19" s="122">
        <v>340890</v>
      </c>
      <c r="V19" s="122">
        <v>340890</v>
      </c>
      <c r="W19" s="122">
        <v>340890</v>
      </c>
      <c r="X19" s="122">
        <f t="shared" si="1"/>
        <v>4090680</v>
      </c>
    </row>
    <row r="20" spans="1:24">
      <c r="A20" s="114">
        <v>18</v>
      </c>
      <c r="B20" s="115" t="s">
        <v>79</v>
      </c>
      <c r="C20" s="116" t="s">
        <v>194</v>
      </c>
      <c r="D20" s="116" t="s">
        <v>206</v>
      </c>
      <c r="E20" s="117" t="s">
        <v>80</v>
      </c>
      <c r="F20" s="118">
        <v>2020</v>
      </c>
      <c r="G20" s="119">
        <v>3000000</v>
      </c>
      <c r="H20" s="119">
        <f t="shared" si="2"/>
        <v>6000000</v>
      </c>
      <c r="I20" s="119">
        <f t="shared" si="3"/>
        <v>250000</v>
      </c>
      <c r="J20" s="119">
        <f t="shared" si="4"/>
        <v>175000</v>
      </c>
      <c r="K20" s="119">
        <f t="shared" si="5"/>
        <v>75000</v>
      </c>
      <c r="L20" s="120">
        <v>337500</v>
      </c>
      <c r="M20" s="120">
        <v>337500</v>
      </c>
      <c r="N20" s="120">
        <v>337500</v>
      </c>
      <c r="O20" s="120">
        <v>337500</v>
      </c>
      <c r="P20" s="120">
        <v>337500</v>
      </c>
      <c r="Q20" s="120">
        <v>337500</v>
      </c>
      <c r="R20" s="121">
        <v>337500</v>
      </c>
      <c r="S20" s="122">
        <v>337500</v>
      </c>
      <c r="T20" s="122">
        <v>337500</v>
      </c>
      <c r="U20" s="122">
        <v>337500</v>
      </c>
      <c r="V20" s="122">
        <v>337500</v>
      </c>
      <c r="W20" s="122">
        <v>337500</v>
      </c>
      <c r="X20" s="122">
        <f t="shared" si="1"/>
        <v>4050000</v>
      </c>
    </row>
    <row r="21" spans="1:24">
      <c r="A21" s="114">
        <v>19</v>
      </c>
      <c r="B21" s="115" t="s">
        <v>82</v>
      </c>
      <c r="C21" s="116" t="s">
        <v>194</v>
      </c>
      <c r="D21" s="116" t="s">
        <v>204</v>
      </c>
      <c r="E21" s="117" t="s">
        <v>255</v>
      </c>
      <c r="F21" s="118">
        <v>2020</v>
      </c>
      <c r="G21" s="119">
        <v>3500000</v>
      </c>
      <c r="H21" s="119">
        <f t="shared" si="2"/>
        <v>7000000</v>
      </c>
      <c r="I21" s="119">
        <f t="shared" si="3"/>
        <v>291666.66666666669</v>
      </c>
      <c r="J21" s="119">
        <f t="shared" si="4"/>
        <v>204166.66666666666</v>
      </c>
      <c r="K21" s="119">
        <f t="shared" si="5"/>
        <v>87500.000000000029</v>
      </c>
      <c r="L21" s="120">
        <v>900000</v>
      </c>
      <c r="M21" s="120">
        <v>900000</v>
      </c>
      <c r="N21" s="120">
        <v>900000</v>
      </c>
      <c r="O21" s="120">
        <v>900000</v>
      </c>
      <c r="P21" s="120">
        <v>900000</v>
      </c>
      <c r="Q21" s="120">
        <v>900000</v>
      </c>
      <c r="R21" s="121">
        <v>900000</v>
      </c>
      <c r="S21" s="122">
        <v>900000</v>
      </c>
      <c r="T21" s="122">
        <v>900000</v>
      </c>
      <c r="U21" s="122">
        <v>900000</v>
      </c>
      <c r="V21" s="122">
        <v>900000</v>
      </c>
      <c r="W21" s="122">
        <v>900000</v>
      </c>
      <c r="X21" s="122">
        <f t="shared" si="1"/>
        <v>10800000</v>
      </c>
    </row>
    <row r="22" spans="1:24">
      <c r="A22" s="114">
        <v>20</v>
      </c>
      <c r="B22" s="115" t="s">
        <v>86</v>
      </c>
      <c r="C22" s="116" t="s">
        <v>194</v>
      </c>
      <c r="D22" s="116" t="s">
        <v>199</v>
      </c>
      <c r="E22" s="117" t="s">
        <v>247</v>
      </c>
      <c r="F22" s="118">
        <v>2020</v>
      </c>
      <c r="G22" s="119">
        <v>3500000</v>
      </c>
      <c r="H22" s="119">
        <f t="shared" si="2"/>
        <v>7000000</v>
      </c>
      <c r="I22" s="119">
        <f t="shared" si="3"/>
        <v>291666.66666666669</v>
      </c>
      <c r="J22" s="119">
        <f t="shared" si="4"/>
        <v>204166.66666666666</v>
      </c>
      <c r="K22" s="119">
        <f t="shared" si="5"/>
        <v>87500.000000000029</v>
      </c>
      <c r="L22" s="120">
        <v>899999</v>
      </c>
      <c r="M22" s="120">
        <v>900000</v>
      </c>
      <c r="N22" s="120">
        <v>900000</v>
      </c>
      <c r="O22" s="120">
        <v>900000</v>
      </c>
      <c r="P22" s="120">
        <v>899999</v>
      </c>
      <c r="Q22" s="120">
        <v>900000</v>
      </c>
      <c r="R22" s="121">
        <v>899999</v>
      </c>
      <c r="S22" s="122">
        <v>900000</v>
      </c>
      <c r="T22" s="122">
        <v>900000</v>
      </c>
      <c r="U22" s="122">
        <v>900000</v>
      </c>
      <c r="V22" s="122">
        <v>900000</v>
      </c>
      <c r="W22" s="122">
        <v>900000</v>
      </c>
      <c r="X22" s="122">
        <f t="shared" si="1"/>
        <v>10799997</v>
      </c>
    </row>
    <row r="23" spans="1:24">
      <c r="A23" s="114">
        <v>21</v>
      </c>
      <c r="B23" s="115" t="s">
        <v>95</v>
      </c>
      <c r="C23" s="116" t="s">
        <v>194</v>
      </c>
      <c r="D23" s="116" t="s">
        <v>202</v>
      </c>
      <c r="E23" s="117" t="s">
        <v>248</v>
      </c>
      <c r="F23" s="118">
        <v>2020</v>
      </c>
      <c r="G23" s="119">
        <v>6000000</v>
      </c>
      <c r="H23" s="119">
        <f t="shared" si="2"/>
        <v>12000000</v>
      </c>
      <c r="I23" s="119">
        <f t="shared" si="3"/>
        <v>500000</v>
      </c>
      <c r="J23" s="119">
        <f t="shared" si="4"/>
        <v>350000</v>
      </c>
      <c r="K23" s="119">
        <f t="shared" si="5"/>
        <v>150000</v>
      </c>
      <c r="L23" s="120">
        <v>900000</v>
      </c>
      <c r="M23" s="120">
        <v>900000</v>
      </c>
      <c r="N23" s="120">
        <v>900000</v>
      </c>
      <c r="O23" s="120">
        <v>900000</v>
      </c>
      <c r="P23" s="120">
        <v>900000</v>
      </c>
      <c r="Q23" s="120">
        <v>900000</v>
      </c>
      <c r="R23" s="121">
        <v>900000</v>
      </c>
      <c r="S23" s="122">
        <v>900000</v>
      </c>
      <c r="T23" s="122">
        <v>900000</v>
      </c>
      <c r="U23" s="122">
        <v>900000</v>
      </c>
      <c r="V23" s="122">
        <v>900000</v>
      </c>
      <c r="W23" s="122">
        <v>900000</v>
      </c>
      <c r="X23" s="122">
        <f t="shared" si="1"/>
        <v>10800000</v>
      </c>
    </row>
    <row r="24" spans="1:24" s="141" customFormat="1">
      <c r="A24" s="114">
        <v>22</v>
      </c>
      <c r="B24" s="115" t="s">
        <v>98</v>
      </c>
      <c r="C24" s="116" t="s">
        <v>194</v>
      </c>
      <c r="D24" s="116" t="s">
        <v>202</v>
      </c>
      <c r="E24" s="117" t="s">
        <v>246</v>
      </c>
      <c r="F24" s="118">
        <v>2020</v>
      </c>
      <c r="G24" s="119">
        <v>9000000</v>
      </c>
      <c r="H24" s="119">
        <f t="shared" si="2"/>
        <v>18000000</v>
      </c>
      <c r="I24" s="119">
        <f t="shared" si="3"/>
        <v>750000</v>
      </c>
      <c r="J24" s="119">
        <f t="shared" si="4"/>
        <v>525000</v>
      </c>
      <c r="K24" s="119">
        <f t="shared" si="5"/>
        <v>225000</v>
      </c>
      <c r="L24" s="120">
        <v>1350000</v>
      </c>
      <c r="M24" s="120">
        <v>1350000</v>
      </c>
      <c r="N24" s="120">
        <v>1350000</v>
      </c>
      <c r="O24" s="120">
        <v>1350000</v>
      </c>
      <c r="P24" s="120">
        <v>1350000</v>
      </c>
      <c r="Q24" s="120">
        <v>1350000</v>
      </c>
      <c r="R24" s="121">
        <v>1350000</v>
      </c>
      <c r="S24" s="122">
        <v>1350000</v>
      </c>
      <c r="T24" s="122">
        <v>1350000</v>
      </c>
      <c r="U24" s="122">
        <v>1350000</v>
      </c>
      <c r="V24" s="122">
        <v>1350000</v>
      </c>
      <c r="W24" s="122">
        <v>1350000</v>
      </c>
      <c r="X24" s="122">
        <f t="shared" si="1"/>
        <v>16200000</v>
      </c>
    </row>
    <row r="25" spans="1:24" s="141" customFormat="1">
      <c r="A25" s="114">
        <v>23</v>
      </c>
      <c r="B25" s="115" t="s">
        <v>101</v>
      </c>
      <c r="C25" s="116" t="s">
        <v>194</v>
      </c>
      <c r="D25" s="116" t="s">
        <v>203</v>
      </c>
      <c r="E25" s="117" t="s">
        <v>102</v>
      </c>
      <c r="F25" s="118">
        <v>2020</v>
      </c>
      <c r="G25" s="119">
        <v>2000000</v>
      </c>
      <c r="H25" s="119">
        <f t="shared" si="2"/>
        <v>4000000</v>
      </c>
      <c r="I25" s="119">
        <f t="shared" si="3"/>
        <v>166666.66666666666</v>
      </c>
      <c r="J25" s="119">
        <f t="shared" si="4"/>
        <v>116666.66666666666</v>
      </c>
      <c r="K25" s="119">
        <f t="shared" si="5"/>
        <v>50000</v>
      </c>
      <c r="L25" s="120">
        <v>450000</v>
      </c>
      <c r="M25" s="120">
        <v>450000</v>
      </c>
      <c r="N25" s="120">
        <v>450000</v>
      </c>
      <c r="O25" s="120">
        <v>450000</v>
      </c>
      <c r="P25" s="120">
        <v>450000</v>
      </c>
      <c r="Q25" s="120">
        <v>450000</v>
      </c>
      <c r="R25" s="121">
        <v>450000</v>
      </c>
      <c r="S25" s="122">
        <v>450000</v>
      </c>
      <c r="T25" s="122">
        <v>450000</v>
      </c>
      <c r="U25" s="122">
        <v>450000</v>
      </c>
      <c r="V25" s="122">
        <v>450000</v>
      </c>
      <c r="W25" s="122">
        <v>450000</v>
      </c>
      <c r="X25" s="122">
        <f t="shared" si="1"/>
        <v>5400000</v>
      </c>
    </row>
    <row r="26" spans="1:24" s="141" customFormat="1">
      <c r="A26" s="114">
        <v>24</v>
      </c>
      <c r="B26" s="115" t="s">
        <v>104</v>
      </c>
      <c r="C26" s="116" t="s">
        <v>194</v>
      </c>
      <c r="D26" s="116" t="s">
        <v>204</v>
      </c>
      <c r="E26" s="117" t="s">
        <v>105</v>
      </c>
      <c r="F26" s="118">
        <v>2021</v>
      </c>
      <c r="G26" s="119">
        <v>5000000</v>
      </c>
      <c r="H26" s="119">
        <f t="shared" si="2"/>
        <v>10000000</v>
      </c>
      <c r="I26" s="119">
        <f t="shared" si="3"/>
        <v>416666.66666666669</v>
      </c>
      <c r="J26" s="119">
        <f t="shared" si="4"/>
        <v>291666.66666666669</v>
      </c>
      <c r="K26" s="119">
        <f t="shared" si="5"/>
        <v>125000</v>
      </c>
      <c r="L26" s="120">
        <v>450000</v>
      </c>
      <c r="M26" s="120">
        <v>450000</v>
      </c>
      <c r="N26" s="120">
        <v>450000</v>
      </c>
      <c r="O26" s="120">
        <v>450000</v>
      </c>
      <c r="P26" s="120">
        <v>450000</v>
      </c>
      <c r="Q26" s="120">
        <v>450000</v>
      </c>
      <c r="R26" s="121">
        <v>450000</v>
      </c>
      <c r="S26" s="122">
        <v>450000</v>
      </c>
      <c r="T26" s="122">
        <v>450000</v>
      </c>
      <c r="U26" s="122">
        <v>450000</v>
      </c>
      <c r="V26" s="122">
        <v>450000</v>
      </c>
      <c r="W26" s="122">
        <v>450000</v>
      </c>
      <c r="X26" s="122">
        <f t="shared" si="1"/>
        <v>5400000</v>
      </c>
    </row>
    <row r="27" spans="1:24" s="141" customFormat="1">
      <c r="A27" s="114">
        <v>25</v>
      </c>
      <c r="B27" s="115" t="s">
        <v>107</v>
      </c>
      <c r="C27" s="116" t="s">
        <v>194</v>
      </c>
      <c r="D27" s="116" t="s">
        <v>197</v>
      </c>
      <c r="E27" s="117" t="s">
        <v>108</v>
      </c>
      <c r="F27" s="118">
        <v>2021</v>
      </c>
      <c r="G27" s="119">
        <v>13500000</v>
      </c>
      <c r="H27" s="119">
        <f t="shared" si="2"/>
        <v>27000000</v>
      </c>
      <c r="I27" s="119">
        <f t="shared" si="3"/>
        <v>1125000</v>
      </c>
      <c r="J27" s="119">
        <f t="shared" si="4"/>
        <v>787500</v>
      </c>
      <c r="K27" s="119">
        <f t="shared" si="5"/>
        <v>337500</v>
      </c>
      <c r="L27" s="120">
        <v>1402000</v>
      </c>
      <c r="M27" s="120">
        <v>2149000</v>
      </c>
      <c r="N27" s="120">
        <v>1529000</v>
      </c>
      <c r="O27" s="120">
        <v>1529000</v>
      </c>
      <c r="P27" s="120">
        <v>1529000</v>
      </c>
      <c r="Q27" s="120">
        <v>1529000</v>
      </c>
      <c r="R27" s="121">
        <v>1529000</v>
      </c>
      <c r="S27" s="122">
        <v>1529000</v>
      </c>
      <c r="T27" s="122">
        <v>1529000</v>
      </c>
      <c r="U27" s="122">
        <v>1529000</v>
      </c>
      <c r="V27" s="122">
        <v>1529000</v>
      </c>
      <c r="W27" s="122">
        <v>1529000</v>
      </c>
      <c r="X27" s="122">
        <f t="shared" si="1"/>
        <v>18841000</v>
      </c>
    </row>
    <row r="28" spans="1:24" s="141" customFormat="1">
      <c r="A28" s="114">
        <v>26</v>
      </c>
      <c r="B28" s="115" t="s">
        <v>110</v>
      </c>
      <c r="C28" s="116" t="s">
        <v>194</v>
      </c>
      <c r="D28" s="116" t="s">
        <v>204</v>
      </c>
      <c r="E28" s="117" t="s">
        <v>111</v>
      </c>
      <c r="F28" s="118">
        <v>2021</v>
      </c>
      <c r="G28" s="119">
        <v>4000000</v>
      </c>
      <c r="H28" s="119">
        <f t="shared" si="2"/>
        <v>8000000</v>
      </c>
      <c r="I28" s="119">
        <f t="shared" si="3"/>
        <v>333333.33333333331</v>
      </c>
      <c r="J28" s="119">
        <f t="shared" si="4"/>
        <v>233333.33333333331</v>
      </c>
      <c r="K28" s="119">
        <f t="shared" si="5"/>
        <v>100000</v>
      </c>
      <c r="L28" s="120">
        <v>450000</v>
      </c>
      <c r="M28" s="120">
        <v>450000</v>
      </c>
      <c r="N28" s="120">
        <v>450000</v>
      </c>
      <c r="O28" s="120">
        <v>450000</v>
      </c>
      <c r="P28" s="120">
        <v>450000</v>
      </c>
      <c r="Q28" s="120">
        <v>450000</v>
      </c>
      <c r="R28" s="121">
        <v>450000</v>
      </c>
      <c r="S28" s="122">
        <v>450000</v>
      </c>
      <c r="T28" s="122">
        <v>450000</v>
      </c>
      <c r="U28" s="122">
        <v>450000</v>
      </c>
      <c r="V28" s="122">
        <v>450000</v>
      </c>
      <c r="W28" s="122">
        <v>450000</v>
      </c>
      <c r="X28" s="122">
        <f t="shared" si="1"/>
        <v>5400000</v>
      </c>
    </row>
    <row r="29" spans="1:24" s="141" customFormat="1">
      <c r="A29" s="114">
        <v>27</v>
      </c>
      <c r="B29" s="115" t="s">
        <v>113</v>
      </c>
      <c r="C29" s="116" t="s">
        <v>194</v>
      </c>
      <c r="D29" s="116" t="s">
        <v>199</v>
      </c>
      <c r="E29" s="117" t="s">
        <v>114</v>
      </c>
      <c r="F29" s="118">
        <v>2015</v>
      </c>
      <c r="G29" s="119">
        <v>2000000</v>
      </c>
      <c r="H29" s="119">
        <f t="shared" si="2"/>
        <v>4000000</v>
      </c>
      <c r="I29" s="119">
        <f t="shared" si="3"/>
        <v>166666.66666666666</v>
      </c>
      <c r="J29" s="119">
        <f t="shared" si="4"/>
        <v>116666.66666666666</v>
      </c>
      <c r="K29" s="119">
        <f t="shared" si="5"/>
        <v>50000</v>
      </c>
      <c r="L29" s="120">
        <v>153000</v>
      </c>
      <c r="M29" s="120">
        <v>153000</v>
      </c>
      <c r="N29" s="120">
        <v>153000</v>
      </c>
      <c r="O29" s="120">
        <v>153000</v>
      </c>
      <c r="P29" s="120">
        <v>153000</v>
      </c>
      <c r="Q29" s="120">
        <v>153000</v>
      </c>
      <c r="R29" s="121">
        <v>153000</v>
      </c>
      <c r="S29" s="122">
        <v>153000</v>
      </c>
      <c r="T29" s="122">
        <v>153000</v>
      </c>
      <c r="U29" s="122">
        <v>153000</v>
      </c>
      <c r="V29" s="122">
        <v>153000</v>
      </c>
      <c r="W29" s="122">
        <v>153000</v>
      </c>
      <c r="X29" s="122">
        <f t="shared" si="1"/>
        <v>1836000</v>
      </c>
    </row>
    <row r="30" spans="1:24">
      <c r="A30" s="114">
        <v>29</v>
      </c>
      <c r="B30" s="115" t="s">
        <v>119</v>
      </c>
      <c r="C30" s="116" t="s">
        <v>194</v>
      </c>
      <c r="D30" s="116" t="s">
        <v>197</v>
      </c>
      <c r="E30" s="117" t="s">
        <v>120</v>
      </c>
      <c r="F30" s="118">
        <v>2021</v>
      </c>
      <c r="G30" s="119">
        <v>7500000</v>
      </c>
      <c r="H30" s="119">
        <f t="shared" si="2"/>
        <v>15000000</v>
      </c>
      <c r="I30" s="119">
        <f t="shared" si="3"/>
        <v>625000</v>
      </c>
      <c r="J30" s="119">
        <f t="shared" si="4"/>
        <v>437500</v>
      </c>
      <c r="K30" s="119">
        <f t="shared" si="5"/>
        <v>187500</v>
      </c>
      <c r="L30" s="120">
        <v>450000</v>
      </c>
      <c r="M30" s="120">
        <v>450000</v>
      </c>
      <c r="N30" s="120">
        <v>450000</v>
      </c>
      <c r="O30" s="120">
        <v>450000</v>
      </c>
      <c r="P30" s="120">
        <v>450000</v>
      </c>
      <c r="Q30" s="120">
        <v>450000</v>
      </c>
      <c r="R30" s="121">
        <v>450000</v>
      </c>
      <c r="S30" s="122">
        <v>450000</v>
      </c>
      <c r="T30" s="122">
        <v>450000</v>
      </c>
      <c r="U30" s="122">
        <v>450000</v>
      </c>
      <c r="V30" s="122">
        <v>450000</v>
      </c>
      <c r="W30" s="122">
        <v>450000</v>
      </c>
      <c r="X30" s="122">
        <f t="shared" si="1"/>
        <v>5400000</v>
      </c>
    </row>
    <row r="31" spans="1:24">
      <c r="A31" s="114">
        <v>30</v>
      </c>
      <c r="B31" s="115" t="s">
        <v>121</v>
      </c>
      <c r="C31" s="116" t="s">
        <v>194</v>
      </c>
      <c r="D31" s="116" t="s">
        <v>200</v>
      </c>
      <c r="E31" s="117" t="s">
        <v>122</v>
      </c>
      <c r="F31" s="118">
        <v>2022</v>
      </c>
      <c r="G31" s="119">
        <v>6000000</v>
      </c>
      <c r="H31" s="119">
        <f t="shared" si="2"/>
        <v>12000000</v>
      </c>
      <c r="I31" s="119">
        <f t="shared" si="3"/>
        <v>500000</v>
      </c>
      <c r="J31" s="119">
        <f t="shared" si="4"/>
        <v>350000</v>
      </c>
      <c r="K31" s="119">
        <f t="shared" si="5"/>
        <v>150000</v>
      </c>
      <c r="L31" s="120">
        <v>1117500</v>
      </c>
      <c r="M31" s="120">
        <v>1117500</v>
      </c>
      <c r="N31" s="120">
        <v>1117500</v>
      </c>
      <c r="O31" s="120">
        <v>1117500</v>
      </c>
      <c r="P31" s="120">
        <v>1117500</v>
      </c>
      <c r="Q31" s="120">
        <v>1117500</v>
      </c>
      <c r="R31" s="121">
        <v>1117500</v>
      </c>
      <c r="S31" s="122">
        <v>1117500</v>
      </c>
      <c r="T31" s="122">
        <v>1117500</v>
      </c>
      <c r="U31" s="122">
        <v>1117500</v>
      </c>
      <c r="V31" s="122">
        <v>1117500</v>
      </c>
      <c r="W31" s="122">
        <v>1117500</v>
      </c>
      <c r="X31" s="122">
        <f t="shared" si="1"/>
        <v>13410000</v>
      </c>
    </row>
    <row r="32" spans="1:24">
      <c r="A32" s="114">
        <v>31</v>
      </c>
      <c r="B32" s="115" t="s">
        <v>123</v>
      </c>
      <c r="C32" s="116" t="s">
        <v>194</v>
      </c>
      <c r="D32" s="116" t="s">
        <v>199</v>
      </c>
      <c r="E32" s="117" t="s">
        <v>124</v>
      </c>
      <c r="F32" s="118">
        <v>2021</v>
      </c>
      <c r="G32" s="119">
        <v>3000000</v>
      </c>
      <c r="H32" s="119">
        <f t="shared" si="2"/>
        <v>6000000</v>
      </c>
      <c r="I32" s="119">
        <f t="shared" si="3"/>
        <v>250000</v>
      </c>
      <c r="J32" s="119">
        <f t="shared" si="4"/>
        <v>175000</v>
      </c>
      <c r="K32" s="119">
        <f t="shared" si="5"/>
        <v>75000</v>
      </c>
      <c r="L32" s="120">
        <v>272000</v>
      </c>
      <c r="M32" s="120">
        <v>272000</v>
      </c>
      <c r="N32" s="120">
        <v>272000</v>
      </c>
      <c r="O32" s="120">
        <v>272000</v>
      </c>
      <c r="P32" s="120">
        <v>272000</v>
      </c>
      <c r="Q32" s="120">
        <v>272000</v>
      </c>
      <c r="R32" s="121">
        <v>272000</v>
      </c>
      <c r="S32" s="122">
        <v>272000</v>
      </c>
      <c r="T32" s="122">
        <v>272000</v>
      </c>
      <c r="U32" s="122">
        <v>272000</v>
      </c>
      <c r="V32" s="122">
        <v>272000</v>
      </c>
      <c r="W32" s="122">
        <v>272000</v>
      </c>
      <c r="X32" s="122">
        <f t="shared" si="1"/>
        <v>3264000</v>
      </c>
    </row>
    <row r="33" spans="1:24">
      <c r="A33" s="114">
        <v>32</v>
      </c>
      <c r="B33" s="115" t="s">
        <v>125</v>
      </c>
      <c r="C33" s="116" t="s">
        <v>194</v>
      </c>
      <c r="D33" s="116" t="s">
        <v>204</v>
      </c>
      <c r="E33" s="117" t="s">
        <v>126</v>
      </c>
      <c r="F33" s="118">
        <v>2021</v>
      </c>
      <c r="G33" s="119">
        <v>8000000</v>
      </c>
      <c r="H33" s="119">
        <f t="shared" si="2"/>
        <v>16000000</v>
      </c>
      <c r="I33" s="119">
        <f t="shared" si="3"/>
        <v>666666.66666666663</v>
      </c>
      <c r="J33" s="119">
        <f t="shared" si="4"/>
        <v>466666.66666666663</v>
      </c>
      <c r="K33" s="119">
        <f t="shared" si="5"/>
        <v>200000</v>
      </c>
      <c r="L33" s="120">
        <v>450000</v>
      </c>
      <c r="M33" s="120">
        <v>450000</v>
      </c>
      <c r="N33" s="124" t="s">
        <v>19</v>
      </c>
      <c r="O33" s="120">
        <v>900000</v>
      </c>
      <c r="P33" s="120">
        <v>450000</v>
      </c>
      <c r="Q33" s="120">
        <v>450000</v>
      </c>
      <c r="R33" s="121">
        <v>450000</v>
      </c>
      <c r="S33" s="122">
        <v>450000</v>
      </c>
      <c r="T33" s="122">
        <v>450000</v>
      </c>
      <c r="U33" s="122">
        <v>450000</v>
      </c>
      <c r="V33" s="122">
        <v>450000</v>
      </c>
      <c r="W33" s="122">
        <v>450000</v>
      </c>
      <c r="X33" s="122">
        <f t="shared" si="1"/>
        <v>5400000</v>
      </c>
    </row>
    <row r="34" spans="1:24">
      <c r="A34" s="114">
        <v>34</v>
      </c>
      <c r="B34" s="115" t="s">
        <v>129</v>
      </c>
      <c r="C34" s="116" t="s">
        <v>194</v>
      </c>
      <c r="D34" s="116" t="s">
        <v>202</v>
      </c>
      <c r="E34" s="117" t="s">
        <v>130</v>
      </c>
      <c r="F34" s="118">
        <v>2022</v>
      </c>
      <c r="G34" s="119">
        <v>5000000</v>
      </c>
      <c r="H34" s="119">
        <f t="shared" si="2"/>
        <v>10000000</v>
      </c>
      <c r="I34" s="119">
        <f t="shared" si="3"/>
        <v>416666.66666666669</v>
      </c>
      <c r="J34" s="119">
        <f t="shared" si="4"/>
        <v>291666.66666666669</v>
      </c>
      <c r="K34" s="119">
        <f t="shared" si="5"/>
        <v>125000</v>
      </c>
      <c r="L34" s="120">
        <v>450000</v>
      </c>
      <c r="M34" s="120">
        <v>450000</v>
      </c>
      <c r="N34" s="120">
        <v>450000</v>
      </c>
      <c r="O34" s="120">
        <v>450000</v>
      </c>
      <c r="P34" s="120">
        <v>450000</v>
      </c>
      <c r="Q34" s="120">
        <v>450000</v>
      </c>
      <c r="R34" s="121">
        <v>450000</v>
      </c>
      <c r="S34" s="122">
        <v>450000</v>
      </c>
      <c r="T34" s="122">
        <v>450000</v>
      </c>
      <c r="U34" s="122">
        <v>450000</v>
      </c>
      <c r="V34" s="122">
        <v>450000</v>
      </c>
      <c r="W34" s="122">
        <v>450000</v>
      </c>
      <c r="X34" s="122">
        <f t="shared" si="1"/>
        <v>5400000</v>
      </c>
    </row>
    <row r="35" spans="1:24">
      <c r="A35" s="114">
        <v>35</v>
      </c>
      <c r="B35" s="115" t="s">
        <v>131</v>
      </c>
      <c r="C35" s="116" t="s">
        <v>194</v>
      </c>
      <c r="D35" s="116" t="s">
        <v>195</v>
      </c>
      <c r="E35" s="117" t="s">
        <v>132</v>
      </c>
      <c r="F35" s="118">
        <v>2022</v>
      </c>
      <c r="G35" s="119">
        <v>7000000</v>
      </c>
      <c r="H35" s="119">
        <f t="shared" si="2"/>
        <v>14000000</v>
      </c>
      <c r="I35" s="119">
        <f t="shared" si="3"/>
        <v>583333.33333333337</v>
      </c>
      <c r="J35" s="119">
        <f t="shared" si="4"/>
        <v>408333.33333333331</v>
      </c>
      <c r="K35" s="119">
        <f t="shared" si="5"/>
        <v>175000.00000000006</v>
      </c>
      <c r="L35" s="120">
        <v>450000</v>
      </c>
      <c r="M35" s="120">
        <v>450000</v>
      </c>
      <c r="N35" s="120">
        <v>450000</v>
      </c>
      <c r="O35" s="120">
        <v>450000</v>
      </c>
      <c r="P35" s="120">
        <v>450000</v>
      </c>
      <c r="Q35" s="120">
        <v>450000</v>
      </c>
      <c r="R35" s="121">
        <v>450000</v>
      </c>
      <c r="S35" s="122">
        <v>450000</v>
      </c>
      <c r="T35" s="122">
        <v>450000</v>
      </c>
      <c r="U35" s="122">
        <v>450000</v>
      </c>
      <c r="V35" s="122">
        <v>450000</v>
      </c>
      <c r="W35" s="122">
        <v>450000</v>
      </c>
      <c r="X35" s="122">
        <f t="shared" si="1"/>
        <v>5400000</v>
      </c>
    </row>
    <row r="36" spans="1:24">
      <c r="A36" s="114">
        <v>36</v>
      </c>
      <c r="B36" s="115" t="s">
        <v>133</v>
      </c>
      <c r="C36" s="116" t="s">
        <v>194</v>
      </c>
      <c r="D36" s="116" t="s">
        <v>202</v>
      </c>
      <c r="E36" s="117" t="s">
        <v>134</v>
      </c>
      <c r="F36" s="118">
        <v>2022</v>
      </c>
      <c r="G36" s="119">
        <v>6000000</v>
      </c>
      <c r="H36" s="119">
        <f t="shared" si="2"/>
        <v>12000000</v>
      </c>
      <c r="I36" s="119">
        <f t="shared" si="3"/>
        <v>500000</v>
      </c>
      <c r="J36" s="119">
        <f t="shared" si="4"/>
        <v>350000</v>
      </c>
      <c r="K36" s="119">
        <f t="shared" si="5"/>
        <v>150000</v>
      </c>
      <c r="L36" s="120">
        <v>450000</v>
      </c>
      <c r="M36" s="120">
        <v>450000</v>
      </c>
      <c r="N36" s="120">
        <v>450000</v>
      </c>
      <c r="O36" s="120">
        <v>450000</v>
      </c>
      <c r="P36" s="120">
        <v>450000</v>
      </c>
      <c r="Q36" s="120">
        <v>450000</v>
      </c>
      <c r="R36" s="121">
        <v>450000</v>
      </c>
      <c r="S36" s="122">
        <v>450000</v>
      </c>
      <c r="T36" s="122">
        <v>450000</v>
      </c>
      <c r="U36" s="122">
        <v>450000</v>
      </c>
      <c r="V36" s="122">
        <v>450000</v>
      </c>
      <c r="W36" s="122">
        <v>450000</v>
      </c>
      <c r="X36" s="122">
        <f t="shared" si="1"/>
        <v>5400000</v>
      </c>
    </row>
    <row r="37" spans="1:24">
      <c r="A37" s="114">
        <v>37</v>
      </c>
      <c r="B37" s="115" t="s">
        <v>135</v>
      </c>
      <c r="C37" s="116" t="s">
        <v>194</v>
      </c>
      <c r="D37" s="116" t="s">
        <v>203</v>
      </c>
      <c r="E37" s="117" t="s">
        <v>136</v>
      </c>
      <c r="F37" s="118">
        <v>2022</v>
      </c>
      <c r="G37" s="119">
        <v>5000000</v>
      </c>
      <c r="H37" s="119">
        <f t="shared" si="2"/>
        <v>10000000</v>
      </c>
      <c r="I37" s="119">
        <f t="shared" si="3"/>
        <v>416666.66666666669</v>
      </c>
      <c r="J37" s="119">
        <f t="shared" si="4"/>
        <v>291666.66666666669</v>
      </c>
      <c r="K37" s="119">
        <f t="shared" si="5"/>
        <v>125000</v>
      </c>
      <c r="L37" s="120">
        <v>450000</v>
      </c>
      <c r="M37" s="120">
        <v>450000</v>
      </c>
      <c r="N37" s="120">
        <v>450000</v>
      </c>
      <c r="O37" s="120">
        <v>450000</v>
      </c>
      <c r="P37" s="120">
        <v>450000</v>
      </c>
      <c r="Q37" s="120">
        <v>450000</v>
      </c>
      <c r="R37" s="121">
        <v>450000</v>
      </c>
      <c r="S37" s="122">
        <v>450000</v>
      </c>
      <c r="T37" s="122">
        <v>450000</v>
      </c>
      <c r="U37" s="122">
        <v>450000</v>
      </c>
      <c r="V37" s="122">
        <v>450000</v>
      </c>
      <c r="W37" s="122">
        <v>450000</v>
      </c>
      <c r="X37" s="122">
        <f t="shared" si="1"/>
        <v>5400000</v>
      </c>
    </row>
    <row r="38" spans="1:24">
      <c r="A38" s="114">
        <v>38</v>
      </c>
      <c r="B38" s="115" t="s">
        <v>137</v>
      </c>
      <c r="C38" s="116" t="s">
        <v>194</v>
      </c>
      <c r="D38" s="116" t="s">
        <v>202</v>
      </c>
      <c r="E38" s="117" t="s">
        <v>138</v>
      </c>
      <c r="F38" s="118">
        <v>2022</v>
      </c>
      <c r="G38" s="119">
        <v>5000000</v>
      </c>
      <c r="H38" s="119">
        <f t="shared" si="2"/>
        <v>10000000</v>
      </c>
      <c r="I38" s="119">
        <f t="shared" si="3"/>
        <v>416666.66666666669</v>
      </c>
      <c r="J38" s="119">
        <f t="shared" si="4"/>
        <v>291666.66666666669</v>
      </c>
      <c r="K38" s="119">
        <f t="shared" si="5"/>
        <v>125000</v>
      </c>
      <c r="L38" s="120">
        <v>450000</v>
      </c>
      <c r="M38" s="120">
        <v>450000</v>
      </c>
      <c r="N38" s="120">
        <v>450000</v>
      </c>
      <c r="O38" s="120">
        <v>450000</v>
      </c>
      <c r="P38" s="120">
        <v>450000</v>
      </c>
      <c r="Q38" s="120">
        <v>450000</v>
      </c>
      <c r="R38" s="121">
        <v>450000</v>
      </c>
      <c r="S38" s="122">
        <v>450000</v>
      </c>
      <c r="T38" s="122">
        <v>450000</v>
      </c>
      <c r="U38" s="122">
        <v>450000</v>
      </c>
      <c r="V38" s="122">
        <v>450000</v>
      </c>
      <c r="W38" s="122">
        <v>450000</v>
      </c>
      <c r="X38" s="122">
        <f t="shared" si="1"/>
        <v>5400000</v>
      </c>
    </row>
    <row r="39" spans="1:24">
      <c r="A39" s="114">
        <v>39</v>
      </c>
      <c r="B39" s="115" t="s">
        <v>139</v>
      </c>
      <c r="C39" s="116" t="s">
        <v>194</v>
      </c>
      <c r="D39" s="116" t="s">
        <v>203</v>
      </c>
      <c r="E39" s="117" t="s">
        <v>140</v>
      </c>
      <c r="F39" s="118">
        <v>2022</v>
      </c>
      <c r="G39" s="119">
        <v>4000000</v>
      </c>
      <c r="H39" s="119">
        <f t="shared" si="2"/>
        <v>8000000</v>
      </c>
      <c r="I39" s="119">
        <f t="shared" si="3"/>
        <v>333333.33333333331</v>
      </c>
      <c r="J39" s="119">
        <f t="shared" si="4"/>
        <v>233333.33333333331</v>
      </c>
      <c r="K39" s="119">
        <f t="shared" si="5"/>
        <v>100000</v>
      </c>
      <c r="L39" s="120">
        <v>450000</v>
      </c>
      <c r="M39" s="120">
        <v>450000</v>
      </c>
      <c r="N39" s="120">
        <v>450000</v>
      </c>
      <c r="O39" s="120">
        <v>450000</v>
      </c>
      <c r="P39" s="120">
        <v>450000</v>
      </c>
      <c r="Q39" s="120">
        <v>450000</v>
      </c>
      <c r="R39" s="121">
        <v>450000</v>
      </c>
      <c r="S39" s="122">
        <v>450000</v>
      </c>
      <c r="T39" s="122">
        <v>450000</v>
      </c>
      <c r="U39" s="122">
        <v>450000</v>
      </c>
      <c r="V39" s="122">
        <v>450000</v>
      </c>
      <c r="W39" s="122">
        <v>450000</v>
      </c>
      <c r="X39" s="122">
        <f t="shared" si="1"/>
        <v>5400000</v>
      </c>
    </row>
    <row r="40" spans="1:24">
      <c r="A40" s="114">
        <v>40</v>
      </c>
      <c r="B40" s="115" t="s">
        <v>141</v>
      </c>
      <c r="C40" s="116" t="s">
        <v>194</v>
      </c>
      <c r="D40" s="116" t="s">
        <v>200</v>
      </c>
      <c r="E40" s="117" t="s">
        <v>142</v>
      </c>
      <c r="F40" s="118">
        <v>2022</v>
      </c>
      <c r="G40" s="119">
        <v>5000000</v>
      </c>
      <c r="H40" s="119">
        <f t="shared" si="2"/>
        <v>10000000</v>
      </c>
      <c r="I40" s="119">
        <f t="shared" si="3"/>
        <v>416666.66666666669</v>
      </c>
      <c r="J40" s="119">
        <f t="shared" si="4"/>
        <v>291666.66666666669</v>
      </c>
      <c r="K40" s="119">
        <f t="shared" si="5"/>
        <v>125000</v>
      </c>
      <c r="L40" s="120">
        <v>450000</v>
      </c>
      <c r="M40" s="120">
        <v>450000</v>
      </c>
      <c r="N40" s="120">
        <v>450000</v>
      </c>
      <c r="O40" s="120">
        <v>450000</v>
      </c>
      <c r="P40" s="120">
        <v>450000</v>
      </c>
      <c r="Q40" s="120">
        <v>450000</v>
      </c>
      <c r="R40" s="121">
        <v>450000</v>
      </c>
      <c r="S40" s="122">
        <v>450000</v>
      </c>
      <c r="T40" s="122">
        <v>450000</v>
      </c>
      <c r="U40" s="122">
        <v>450000</v>
      </c>
      <c r="V40" s="122">
        <v>450000</v>
      </c>
      <c r="W40" s="122">
        <v>450000</v>
      </c>
      <c r="X40" s="122">
        <f t="shared" si="1"/>
        <v>5400000</v>
      </c>
    </row>
    <row r="41" spans="1:24">
      <c r="A41" s="114">
        <v>41</v>
      </c>
      <c r="B41" s="125" t="s">
        <v>143</v>
      </c>
      <c r="C41" s="116" t="s">
        <v>194</v>
      </c>
      <c r="D41" s="116" t="s">
        <v>203</v>
      </c>
      <c r="E41" s="117" t="s">
        <v>242</v>
      </c>
      <c r="F41" s="118">
        <v>2022</v>
      </c>
      <c r="G41" s="119">
        <v>1500000</v>
      </c>
      <c r="H41" s="119">
        <f t="shared" si="2"/>
        <v>3000000</v>
      </c>
      <c r="I41" s="119">
        <f t="shared" si="3"/>
        <v>125000</v>
      </c>
      <c r="J41" s="119">
        <f t="shared" si="4"/>
        <v>87500</v>
      </c>
      <c r="K41" s="119">
        <f t="shared" si="5"/>
        <v>37500</v>
      </c>
      <c r="L41" s="120">
        <v>450000</v>
      </c>
      <c r="M41" s="120">
        <v>450000</v>
      </c>
      <c r="N41" s="120">
        <v>450000</v>
      </c>
      <c r="O41" s="120">
        <v>450000</v>
      </c>
      <c r="P41" s="120">
        <v>450000</v>
      </c>
      <c r="Q41" s="120">
        <v>450000</v>
      </c>
      <c r="R41" s="121">
        <v>450000</v>
      </c>
      <c r="S41" s="122">
        <v>450000</v>
      </c>
      <c r="T41" s="122">
        <v>450000</v>
      </c>
      <c r="U41" s="122">
        <v>450000</v>
      </c>
      <c r="V41" s="122">
        <v>450000</v>
      </c>
      <c r="W41" s="122">
        <v>450000</v>
      </c>
      <c r="X41" s="122">
        <f t="shared" si="1"/>
        <v>5400000</v>
      </c>
    </row>
    <row r="42" spans="1:24">
      <c r="A42" s="114">
        <v>42</v>
      </c>
      <c r="B42" s="125" t="s">
        <v>143</v>
      </c>
      <c r="C42" s="116" t="s">
        <v>194</v>
      </c>
      <c r="D42" s="116" t="s">
        <v>203</v>
      </c>
      <c r="E42" s="117" t="s">
        <v>243</v>
      </c>
      <c r="F42" s="118">
        <v>2022</v>
      </c>
      <c r="G42" s="119">
        <v>1500000</v>
      </c>
      <c r="H42" s="119">
        <f t="shared" si="2"/>
        <v>3000000</v>
      </c>
      <c r="I42" s="119">
        <f t="shared" si="3"/>
        <v>125000</v>
      </c>
      <c r="J42" s="119">
        <f t="shared" si="4"/>
        <v>87500</v>
      </c>
      <c r="K42" s="119">
        <f t="shared" si="5"/>
        <v>37500</v>
      </c>
      <c r="L42" s="120">
        <v>450000</v>
      </c>
      <c r="M42" s="120">
        <v>450000</v>
      </c>
      <c r="N42" s="120">
        <v>450000</v>
      </c>
      <c r="O42" s="120">
        <v>450000</v>
      </c>
      <c r="P42" s="120">
        <v>450000</v>
      </c>
      <c r="Q42" s="120">
        <v>450000</v>
      </c>
      <c r="R42" s="121">
        <v>450000</v>
      </c>
      <c r="S42" s="122">
        <v>450000</v>
      </c>
      <c r="T42" s="122">
        <v>450000</v>
      </c>
      <c r="U42" s="122">
        <v>450000</v>
      </c>
      <c r="V42" s="122">
        <v>450000</v>
      </c>
      <c r="W42" s="122">
        <v>450000</v>
      </c>
      <c r="X42" s="122">
        <f t="shared" si="1"/>
        <v>5400000</v>
      </c>
    </row>
    <row r="43" spans="1:24">
      <c r="A43" s="114">
        <v>43</v>
      </c>
      <c r="B43" s="115" t="s">
        <v>145</v>
      </c>
      <c r="C43" s="116" t="s">
        <v>194</v>
      </c>
      <c r="D43" s="116" t="s">
        <v>202</v>
      </c>
      <c r="E43" s="117" t="s">
        <v>146</v>
      </c>
      <c r="F43" s="118">
        <v>2022</v>
      </c>
      <c r="G43" s="119">
        <v>5000000</v>
      </c>
      <c r="H43" s="119">
        <f t="shared" si="2"/>
        <v>10000000</v>
      </c>
      <c r="I43" s="119">
        <f t="shared" si="3"/>
        <v>416666.66666666669</v>
      </c>
      <c r="J43" s="119">
        <f t="shared" si="4"/>
        <v>291666.66666666669</v>
      </c>
      <c r="K43" s="119">
        <f t="shared" si="5"/>
        <v>125000</v>
      </c>
      <c r="L43" s="120">
        <v>450000</v>
      </c>
      <c r="M43" s="120">
        <v>450000</v>
      </c>
      <c r="N43" s="120">
        <v>450000</v>
      </c>
      <c r="O43" s="120">
        <v>450000</v>
      </c>
      <c r="P43" s="120">
        <v>450000</v>
      </c>
      <c r="Q43" s="120">
        <v>450000</v>
      </c>
      <c r="R43" s="121">
        <v>450000</v>
      </c>
      <c r="S43" s="122">
        <v>450000</v>
      </c>
      <c r="T43" s="122">
        <v>450000</v>
      </c>
      <c r="U43" s="122">
        <v>450000</v>
      </c>
      <c r="V43" s="122">
        <v>450000</v>
      </c>
      <c r="W43" s="122">
        <v>450000</v>
      </c>
      <c r="X43" s="122">
        <f t="shared" si="1"/>
        <v>5400000</v>
      </c>
    </row>
    <row r="44" spans="1:24">
      <c r="A44" s="114">
        <v>45</v>
      </c>
      <c r="B44" s="115" t="s">
        <v>149</v>
      </c>
      <c r="C44" s="116" t="s">
        <v>194</v>
      </c>
      <c r="D44" s="116" t="s">
        <v>200</v>
      </c>
      <c r="E44" s="117" t="s">
        <v>150</v>
      </c>
      <c r="F44" s="118">
        <v>2022</v>
      </c>
      <c r="G44" s="119">
        <v>3000000</v>
      </c>
      <c r="H44" s="119">
        <f t="shared" si="2"/>
        <v>6000000</v>
      </c>
      <c r="I44" s="119">
        <f t="shared" si="3"/>
        <v>250000</v>
      </c>
      <c r="J44" s="119">
        <f t="shared" si="4"/>
        <v>175000</v>
      </c>
      <c r="K44" s="119">
        <f t="shared" si="5"/>
        <v>75000</v>
      </c>
      <c r="L44" s="124" t="s">
        <v>19</v>
      </c>
      <c r="M44" s="124" t="s">
        <v>19</v>
      </c>
      <c r="N44" s="124" t="s">
        <v>19</v>
      </c>
      <c r="O44" s="124" t="s">
        <v>19</v>
      </c>
      <c r="P44" s="124" t="s">
        <v>19</v>
      </c>
      <c r="Q44" s="124" t="s">
        <v>19</v>
      </c>
      <c r="R44" s="126" t="s">
        <v>19</v>
      </c>
      <c r="S44" s="122">
        <v>450000</v>
      </c>
      <c r="T44" s="122">
        <v>900000</v>
      </c>
      <c r="U44" s="122">
        <v>450000</v>
      </c>
      <c r="V44" s="122">
        <v>450000</v>
      </c>
      <c r="W44" s="122">
        <v>450000</v>
      </c>
      <c r="X44" s="122">
        <f t="shared" si="1"/>
        <v>2700000</v>
      </c>
    </row>
    <row r="45" spans="1:24">
      <c r="A45" s="114">
        <v>46</v>
      </c>
      <c r="B45" s="115" t="s">
        <v>151</v>
      </c>
      <c r="C45" s="116" t="s">
        <v>194</v>
      </c>
      <c r="D45" s="116" t="s">
        <v>195</v>
      </c>
      <c r="E45" s="117" t="s">
        <v>152</v>
      </c>
      <c r="F45" s="118">
        <v>2022</v>
      </c>
      <c r="G45" s="119">
        <v>3000000</v>
      </c>
      <c r="H45" s="119">
        <f t="shared" si="2"/>
        <v>6000000</v>
      </c>
      <c r="I45" s="119">
        <f t="shared" si="3"/>
        <v>250000</v>
      </c>
      <c r="J45" s="119">
        <f t="shared" si="4"/>
        <v>175000</v>
      </c>
      <c r="K45" s="119">
        <f t="shared" si="5"/>
        <v>75000</v>
      </c>
      <c r="L45" s="124" t="s">
        <v>19</v>
      </c>
      <c r="M45" s="124" t="s">
        <v>19</v>
      </c>
      <c r="N45" s="124" t="s">
        <v>19</v>
      </c>
      <c r="O45" s="124" t="s">
        <v>19</v>
      </c>
      <c r="P45" s="124" t="s">
        <v>19</v>
      </c>
      <c r="Q45" s="124" t="s">
        <v>19</v>
      </c>
      <c r="R45" s="126" t="s">
        <v>19</v>
      </c>
      <c r="S45" s="122">
        <v>450000</v>
      </c>
      <c r="T45" s="122">
        <v>900000</v>
      </c>
      <c r="U45" s="122">
        <v>450000</v>
      </c>
      <c r="V45" s="122">
        <v>450000</v>
      </c>
      <c r="W45" s="122">
        <v>450000</v>
      </c>
      <c r="X45" s="122">
        <f t="shared" si="1"/>
        <v>2700000</v>
      </c>
    </row>
    <row r="46" spans="1:24">
      <c r="A46" s="114">
        <v>47</v>
      </c>
      <c r="B46" s="115" t="s">
        <v>153</v>
      </c>
      <c r="C46" s="116" t="s">
        <v>194</v>
      </c>
      <c r="D46" s="116" t="s">
        <v>203</v>
      </c>
      <c r="E46" s="117" t="s">
        <v>154</v>
      </c>
      <c r="F46" s="118">
        <v>2022</v>
      </c>
      <c r="G46" s="119">
        <v>3000000</v>
      </c>
      <c r="H46" s="119">
        <f t="shared" si="2"/>
        <v>6000000</v>
      </c>
      <c r="I46" s="119">
        <f t="shared" si="3"/>
        <v>250000</v>
      </c>
      <c r="J46" s="119">
        <f t="shared" si="4"/>
        <v>175000</v>
      </c>
      <c r="K46" s="119">
        <f t="shared" si="5"/>
        <v>75000</v>
      </c>
      <c r="L46" s="124" t="s">
        <v>19</v>
      </c>
      <c r="M46" s="124" t="s">
        <v>19</v>
      </c>
      <c r="N46" s="124" t="s">
        <v>19</v>
      </c>
      <c r="O46" s="124" t="s">
        <v>19</v>
      </c>
      <c r="P46" s="124" t="s">
        <v>19</v>
      </c>
      <c r="Q46" s="124" t="s">
        <v>19</v>
      </c>
      <c r="R46" s="126" t="s">
        <v>19</v>
      </c>
      <c r="S46" s="122">
        <v>450000</v>
      </c>
      <c r="T46" s="122">
        <v>900000</v>
      </c>
      <c r="U46" s="122">
        <v>450000</v>
      </c>
      <c r="V46" s="122">
        <v>450000</v>
      </c>
      <c r="W46" s="122">
        <v>450000</v>
      </c>
      <c r="X46" s="122">
        <f t="shared" si="1"/>
        <v>2700000</v>
      </c>
    </row>
    <row r="47" spans="1:24">
      <c r="A47" s="114">
        <v>33</v>
      </c>
      <c r="B47" s="115" t="s">
        <v>127</v>
      </c>
      <c r="C47" s="146"/>
      <c r="D47" s="146"/>
      <c r="E47" s="147" t="s">
        <v>128</v>
      </c>
      <c r="F47" s="118">
        <v>2022</v>
      </c>
      <c r="G47" s="119">
        <v>3000000</v>
      </c>
      <c r="H47" s="119">
        <f>G47*2</f>
        <v>6000000</v>
      </c>
      <c r="I47" s="119">
        <f>(G47+H47)/36</f>
        <v>250000</v>
      </c>
      <c r="J47" s="119">
        <f>I47*0.7</f>
        <v>175000</v>
      </c>
      <c r="K47" s="119">
        <f>(I47-J47)</f>
        <v>75000</v>
      </c>
      <c r="L47" s="120">
        <v>450000</v>
      </c>
      <c r="M47" s="120">
        <v>450000</v>
      </c>
      <c r="N47" s="120">
        <v>450000</v>
      </c>
      <c r="O47" s="120">
        <v>450000</v>
      </c>
      <c r="P47" s="120">
        <v>450000</v>
      </c>
      <c r="Q47" s="120">
        <v>450000</v>
      </c>
      <c r="R47" s="121">
        <v>450000</v>
      </c>
      <c r="S47" s="122">
        <v>450000</v>
      </c>
      <c r="T47" s="122">
        <v>450000</v>
      </c>
      <c r="U47" s="122">
        <v>450000</v>
      </c>
      <c r="V47" s="122">
        <v>450000</v>
      </c>
      <c r="W47" s="122">
        <v>450000</v>
      </c>
      <c r="X47" s="122">
        <f>SUM(L47:W47)</f>
        <v>5400000</v>
      </c>
    </row>
    <row r="48" spans="1:24" s="141" customFormat="1">
      <c r="A48" s="114">
        <v>28</v>
      </c>
      <c r="B48" s="115" t="s">
        <v>116</v>
      </c>
      <c r="C48" s="146"/>
      <c r="D48" s="146"/>
      <c r="E48" s="147" t="s">
        <v>117</v>
      </c>
      <c r="F48" s="118" t="e">
        <v>#N/A</v>
      </c>
      <c r="G48" s="119"/>
      <c r="H48" s="119">
        <f>G48*2</f>
        <v>0</v>
      </c>
      <c r="I48" s="119">
        <f>(G48+H48)/36</f>
        <v>0</v>
      </c>
      <c r="J48" s="119">
        <f>I48*0.7</f>
        <v>0</v>
      </c>
      <c r="K48" s="119">
        <f>(I48-J48)</f>
        <v>0</v>
      </c>
      <c r="L48" s="120">
        <v>450000</v>
      </c>
      <c r="M48" s="120">
        <v>450000</v>
      </c>
      <c r="N48" s="120">
        <v>450000</v>
      </c>
      <c r="O48" s="120">
        <v>450000</v>
      </c>
      <c r="P48" s="120">
        <v>450000</v>
      </c>
      <c r="Q48" s="120">
        <v>450000</v>
      </c>
      <c r="R48" s="121">
        <v>450000</v>
      </c>
      <c r="S48" s="122">
        <v>450000</v>
      </c>
      <c r="T48" s="122">
        <v>450000</v>
      </c>
      <c r="U48" s="122">
        <v>450000</v>
      </c>
      <c r="V48" s="122">
        <v>450000</v>
      </c>
      <c r="W48" s="122">
        <v>450000</v>
      </c>
      <c r="X48" s="122">
        <f>SUM(L48:W48)</f>
        <v>5400000</v>
      </c>
    </row>
    <row r="49" spans="1:24">
      <c r="A49" s="114">
        <v>44</v>
      </c>
      <c r="B49" s="115" t="s">
        <v>147</v>
      </c>
      <c r="C49" s="146"/>
      <c r="D49" s="146"/>
      <c r="E49" s="147" t="s">
        <v>148</v>
      </c>
      <c r="F49" s="118" t="e">
        <v>#N/A</v>
      </c>
      <c r="G49" s="119"/>
      <c r="H49" s="119">
        <f>G49*2</f>
        <v>0</v>
      </c>
      <c r="I49" s="119">
        <f>(G49+H49)/36</f>
        <v>0</v>
      </c>
      <c r="J49" s="119">
        <f>I49*0.7</f>
        <v>0</v>
      </c>
      <c r="K49" s="119">
        <f>(I49-J49)</f>
        <v>0</v>
      </c>
      <c r="L49" s="124" t="s">
        <v>19</v>
      </c>
      <c r="M49" s="124" t="s">
        <v>19</v>
      </c>
      <c r="N49" s="124" t="s">
        <v>19</v>
      </c>
      <c r="O49" s="124" t="s">
        <v>19</v>
      </c>
      <c r="P49" s="124" t="s">
        <v>19</v>
      </c>
      <c r="Q49" s="124" t="s">
        <v>19</v>
      </c>
      <c r="R49" s="121">
        <v>454567</v>
      </c>
      <c r="S49" s="122">
        <v>454567</v>
      </c>
      <c r="T49" s="122">
        <v>454567</v>
      </c>
      <c r="U49" s="122">
        <v>454567</v>
      </c>
      <c r="V49" s="122">
        <v>454567</v>
      </c>
      <c r="W49" s="122">
        <v>454567</v>
      </c>
      <c r="X49" s="122">
        <f>SUM(L49:W49)</f>
        <v>2727402</v>
      </c>
    </row>
    <row r="50" spans="1:24">
      <c r="A50" s="129"/>
      <c r="B50" s="115" t="s">
        <v>264</v>
      </c>
      <c r="C50" s="116" t="s">
        <v>194</v>
      </c>
      <c r="D50" s="116" t="s">
        <v>195</v>
      </c>
      <c r="E50" s="117" t="s">
        <v>265</v>
      </c>
      <c r="F50" s="130">
        <v>2015</v>
      </c>
      <c r="G50" s="119">
        <v>8000000</v>
      </c>
      <c r="H50" s="119">
        <f t="shared" si="2"/>
        <v>16000000</v>
      </c>
      <c r="I50" s="119">
        <f t="shared" si="3"/>
        <v>666666.66666666663</v>
      </c>
      <c r="J50" s="119">
        <f t="shared" si="4"/>
        <v>466666.66666666663</v>
      </c>
      <c r="K50" s="119">
        <f t="shared" si="5"/>
        <v>200000</v>
      </c>
      <c r="L50" s="120"/>
      <c r="M50" s="120"/>
      <c r="N50" s="120"/>
      <c r="O50" s="120"/>
      <c r="P50" s="120"/>
      <c r="Q50" s="120"/>
      <c r="R50" s="121"/>
      <c r="S50" s="122"/>
      <c r="T50" s="122"/>
      <c r="U50" s="122"/>
      <c r="V50" s="122"/>
      <c r="W50" s="122"/>
      <c r="X50" s="122"/>
    </row>
    <row r="51" spans="1:24" s="141" customFormat="1">
      <c r="A51" s="129"/>
      <c r="B51" s="115" t="s">
        <v>270</v>
      </c>
      <c r="C51" s="116" t="s">
        <v>194</v>
      </c>
      <c r="D51" s="116" t="s">
        <v>206</v>
      </c>
      <c r="E51" s="117" t="s">
        <v>271</v>
      </c>
      <c r="F51" s="130">
        <v>2015</v>
      </c>
      <c r="G51" s="119">
        <v>8000000</v>
      </c>
      <c r="H51" s="119">
        <f t="shared" si="2"/>
        <v>16000000</v>
      </c>
      <c r="I51" s="119">
        <f t="shared" si="3"/>
        <v>666666.66666666663</v>
      </c>
      <c r="J51" s="119">
        <f t="shared" si="4"/>
        <v>466666.66666666663</v>
      </c>
      <c r="K51" s="119">
        <f t="shared" si="5"/>
        <v>200000</v>
      </c>
      <c r="L51" s="120"/>
      <c r="M51" s="120"/>
      <c r="N51" s="120"/>
      <c r="O51" s="120"/>
      <c r="P51" s="120"/>
      <c r="Q51" s="120"/>
      <c r="R51" s="121"/>
      <c r="S51" s="122"/>
      <c r="T51" s="122"/>
      <c r="U51" s="122"/>
      <c r="V51" s="122"/>
      <c r="W51" s="122"/>
      <c r="X51" s="122"/>
    </row>
    <row r="52" spans="1:24">
      <c r="A52" s="129"/>
      <c r="B52" s="115" t="s">
        <v>260</v>
      </c>
      <c r="C52" s="116" t="s">
        <v>194</v>
      </c>
      <c r="D52" s="116" t="s">
        <v>204</v>
      </c>
      <c r="E52" s="117" t="s">
        <v>261</v>
      </c>
      <c r="F52" s="130">
        <v>2015</v>
      </c>
      <c r="G52" s="119">
        <v>15000000</v>
      </c>
      <c r="H52" s="119">
        <f t="shared" si="2"/>
        <v>30000000</v>
      </c>
      <c r="I52" s="119">
        <f t="shared" si="3"/>
        <v>1250000</v>
      </c>
      <c r="J52" s="119">
        <f t="shared" si="4"/>
        <v>875000</v>
      </c>
      <c r="K52" s="119">
        <f t="shared" si="5"/>
        <v>375000</v>
      </c>
      <c r="L52" s="120"/>
      <c r="M52" s="120"/>
      <c r="N52" s="120"/>
      <c r="O52" s="120"/>
      <c r="P52" s="120"/>
      <c r="Q52" s="120"/>
      <c r="R52" s="121"/>
      <c r="S52" s="122"/>
      <c r="T52" s="122"/>
      <c r="U52" s="122"/>
      <c r="V52" s="122"/>
      <c r="W52" s="122"/>
      <c r="X52" s="122"/>
    </row>
    <row r="53" spans="1:24">
      <c r="A53" s="129"/>
      <c r="B53" s="115" t="s">
        <v>209</v>
      </c>
      <c r="C53" s="116" t="s">
        <v>194</v>
      </c>
      <c r="D53" s="116" t="s">
        <v>197</v>
      </c>
      <c r="E53" s="117" t="s">
        <v>210</v>
      </c>
      <c r="F53" s="118">
        <v>2014</v>
      </c>
      <c r="G53" s="119">
        <v>3000000</v>
      </c>
      <c r="H53" s="119">
        <f t="shared" si="2"/>
        <v>6000000</v>
      </c>
      <c r="I53" s="119">
        <f t="shared" si="3"/>
        <v>250000</v>
      </c>
      <c r="J53" s="119">
        <f t="shared" si="4"/>
        <v>175000</v>
      </c>
      <c r="K53" s="119">
        <f t="shared" si="5"/>
        <v>75000</v>
      </c>
      <c r="L53" s="120"/>
      <c r="M53" s="120"/>
      <c r="N53" s="120"/>
      <c r="O53" s="120"/>
      <c r="P53" s="120"/>
      <c r="Q53" s="120"/>
      <c r="R53" s="121"/>
      <c r="S53" s="122"/>
      <c r="T53" s="122"/>
      <c r="U53" s="122"/>
      <c r="V53" s="122"/>
      <c r="W53" s="122"/>
      <c r="X53" s="122"/>
    </row>
    <row r="54" spans="1:24">
      <c r="A54" s="129"/>
      <c r="B54" s="115" t="s">
        <v>256</v>
      </c>
      <c r="C54" s="116" t="s">
        <v>194</v>
      </c>
      <c r="D54" s="116" t="s">
        <v>203</v>
      </c>
      <c r="E54" s="117" t="s">
        <v>257</v>
      </c>
      <c r="F54" s="118">
        <v>2022</v>
      </c>
      <c r="G54" s="119">
        <v>2000000</v>
      </c>
      <c r="H54" s="119">
        <f t="shared" si="2"/>
        <v>4000000</v>
      </c>
      <c r="I54" s="119">
        <f t="shared" si="3"/>
        <v>166666.66666666666</v>
      </c>
      <c r="J54" s="119">
        <f t="shared" si="4"/>
        <v>116666.66666666666</v>
      </c>
      <c r="K54" s="119">
        <f t="shared" si="5"/>
        <v>50000</v>
      </c>
      <c r="L54" s="120"/>
      <c r="M54" s="120"/>
      <c r="N54" s="120"/>
      <c r="O54" s="120"/>
      <c r="P54" s="120"/>
      <c r="Q54" s="120"/>
      <c r="R54" s="121"/>
      <c r="S54" s="122"/>
      <c r="T54" s="122"/>
      <c r="U54" s="122"/>
      <c r="V54" s="122"/>
      <c r="W54" s="122"/>
      <c r="X54" s="122"/>
    </row>
    <row r="55" spans="1:24">
      <c r="A55" s="129"/>
      <c r="B55" s="115" t="s">
        <v>268</v>
      </c>
      <c r="C55" s="116" t="s">
        <v>194</v>
      </c>
      <c r="D55" s="116" t="s">
        <v>203</v>
      </c>
      <c r="E55" s="117" t="s">
        <v>269</v>
      </c>
      <c r="F55" s="118">
        <v>2015</v>
      </c>
      <c r="G55" s="119">
        <v>8000000</v>
      </c>
      <c r="H55" s="119">
        <f t="shared" si="2"/>
        <v>16000000</v>
      </c>
      <c r="I55" s="119">
        <f t="shared" si="3"/>
        <v>666666.66666666663</v>
      </c>
      <c r="J55" s="119">
        <f t="shared" si="4"/>
        <v>466666.66666666663</v>
      </c>
      <c r="K55" s="119">
        <f t="shared" si="5"/>
        <v>200000</v>
      </c>
      <c r="L55" s="120"/>
      <c r="M55" s="120"/>
      <c r="N55" s="120"/>
      <c r="O55" s="120"/>
      <c r="P55" s="120"/>
      <c r="Q55" s="120"/>
      <c r="R55" s="121"/>
      <c r="S55" s="122"/>
      <c r="T55" s="122"/>
      <c r="U55" s="122"/>
      <c r="V55" s="122"/>
      <c r="W55" s="122"/>
      <c r="X55" s="122"/>
    </row>
    <row r="56" spans="1:24">
      <c r="A56" s="129"/>
      <c r="B56" s="115" t="s">
        <v>219</v>
      </c>
      <c r="C56" s="116" t="s">
        <v>194</v>
      </c>
      <c r="D56" s="116" t="s">
        <v>199</v>
      </c>
      <c r="E56" s="117" t="s">
        <v>220</v>
      </c>
      <c r="F56" s="118">
        <v>2015</v>
      </c>
      <c r="G56" s="119">
        <v>6000000</v>
      </c>
      <c r="H56" s="119">
        <f t="shared" si="2"/>
        <v>12000000</v>
      </c>
      <c r="I56" s="119">
        <f t="shared" si="3"/>
        <v>500000</v>
      </c>
      <c r="J56" s="119">
        <f t="shared" si="4"/>
        <v>350000</v>
      </c>
      <c r="K56" s="119">
        <f t="shared" si="5"/>
        <v>150000</v>
      </c>
      <c r="L56" s="120"/>
      <c r="M56" s="120"/>
      <c r="N56" s="120"/>
      <c r="O56" s="120"/>
      <c r="P56" s="120"/>
      <c r="Q56" s="120"/>
      <c r="R56" s="121"/>
      <c r="S56" s="122"/>
      <c r="T56" s="122"/>
      <c r="U56" s="122"/>
      <c r="V56" s="122"/>
      <c r="W56" s="122"/>
      <c r="X56" s="122"/>
    </row>
    <row r="57" spans="1:24">
      <c r="A57" s="129"/>
      <c r="B57" s="115" t="s">
        <v>211</v>
      </c>
      <c r="C57" s="116" t="s">
        <v>194</v>
      </c>
      <c r="D57" s="116" t="s">
        <v>195</v>
      </c>
      <c r="E57" s="117" t="s">
        <v>212</v>
      </c>
      <c r="F57" s="118">
        <v>2021</v>
      </c>
      <c r="G57" s="119">
        <v>9000000</v>
      </c>
      <c r="H57" s="119">
        <f t="shared" si="2"/>
        <v>18000000</v>
      </c>
      <c r="I57" s="119">
        <f t="shared" si="3"/>
        <v>750000</v>
      </c>
      <c r="J57" s="119">
        <f t="shared" si="4"/>
        <v>525000</v>
      </c>
      <c r="K57" s="119">
        <f t="shared" si="5"/>
        <v>225000</v>
      </c>
      <c r="L57" s="120"/>
      <c r="M57" s="120"/>
      <c r="N57" s="120"/>
      <c r="O57" s="120"/>
      <c r="P57" s="120"/>
      <c r="Q57" s="120"/>
      <c r="R57" s="121"/>
      <c r="S57" s="122"/>
      <c r="T57" s="122"/>
      <c r="U57" s="122"/>
      <c r="V57" s="122"/>
      <c r="W57" s="122"/>
      <c r="X57" s="122"/>
    </row>
    <row r="58" spans="1:24">
      <c r="A58" s="129"/>
      <c r="B58" s="115" t="s">
        <v>262</v>
      </c>
      <c r="C58" s="116" t="s">
        <v>194</v>
      </c>
      <c r="D58" s="116" t="s">
        <v>201</v>
      </c>
      <c r="E58" s="117" t="s">
        <v>263</v>
      </c>
      <c r="F58" s="118">
        <v>2015</v>
      </c>
      <c r="G58" s="119">
        <v>15000000</v>
      </c>
      <c r="H58" s="119">
        <f t="shared" si="2"/>
        <v>30000000</v>
      </c>
      <c r="I58" s="119">
        <f t="shared" si="3"/>
        <v>1250000</v>
      </c>
      <c r="J58" s="119">
        <f t="shared" si="4"/>
        <v>875000</v>
      </c>
      <c r="K58" s="119">
        <f t="shared" si="5"/>
        <v>375000</v>
      </c>
      <c r="L58" s="120"/>
      <c r="M58" s="120"/>
      <c r="N58" s="120"/>
      <c r="O58" s="120"/>
      <c r="P58" s="120"/>
      <c r="Q58" s="120"/>
      <c r="R58" s="121"/>
      <c r="S58" s="122"/>
      <c r="T58" s="122"/>
      <c r="U58" s="122"/>
      <c r="V58" s="122"/>
      <c r="W58" s="122"/>
      <c r="X58" s="122"/>
    </row>
    <row r="59" spans="1:24">
      <c r="A59" s="129"/>
      <c r="B59" s="115" t="s">
        <v>217</v>
      </c>
      <c r="C59" s="116" t="s">
        <v>194</v>
      </c>
      <c r="D59" s="116" t="s">
        <v>206</v>
      </c>
      <c r="E59" s="117" t="s">
        <v>218</v>
      </c>
      <c r="F59" s="118">
        <v>2015</v>
      </c>
      <c r="G59" s="119">
        <v>5000000</v>
      </c>
      <c r="H59" s="119">
        <f t="shared" si="2"/>
        <v>10000000</v>
      </c>
      <c r="I59" s="119">
        <f t="shared" si="3"/>
        <v>416666.66666666669</v>
      </c>
      <c r="J59" s="119">
        <f t="shared" si="4"/>
        <v>291666.66666666669</v>
      </c>
      <c r="K59" s="119">
        <f t="shared" si="5"/>
        <v>125000</v>
      </c>
      <c r="L59" s="120"/>
      <c r="M59" s="120"/>
      <c r="N59" s="120"/>
      <c r="O59" s="120"/>
      <c r="P59" s="120"/>
      <c r="Q59" s="120"/>
      <c r="R59" s="121"/>
      <c r="S59" s="122"/>
      <c r="T59" s="122"/>
      <c r="U59" s="122"/>
      <c r="V59" s="122"/>
      <c r="W59" s="122"/>
      <c r="X59" s="122"/>
    </row>
    <row r="60" spans="1:24">
      <c r="A60" s="129"/>
      <c r="B60" s="115" t="s">
        <v>232</v>
      </c>
      <c r="C60" s="116" t="s">
        <v>194</v>
      </c>
      <c r="D60" s="116" t="s">
        <v>201</v>
      </c>
      <c r="E60" s="117" t="s">
        <v>231</v>
      </c>
      <c r="F60" s="118">
        <v>2015</v>
      </c>
      <c r="G60" s="119">
        <v>3000000</v>
      </c>
      <c r="H60" s="119">
        <f t="shared" si="2"/>
        <v>6000000</v>
      </c>
      <c r="I60" s="119">
        <f t="shared" si="3"/>
        <v>250000</v>
      </c>
      <c r="J60" s="119">
        <f t="shared" si="4"/>
        <v>175000</v>
      </c>
      <c r="K60" s="119">
        <f t="shared" si="5"/>
        <v>75000</v>
      </c>
      <c r="L60" s="120"/>
      <c r="M60" s="120"/>
      <c r="N60" s="120"/>
      <c r="O60" s="120"/>
      <c r="P60" s="120"/>
      <c r="Q60" s="120"/>
      <c r="R60" s="121"/>
      <c r="S60" s="122"/>
      <c r="T60" s="122"/>
      <c r="U60" s="122"/>
      <c r="V60" s="122"/>
      <c r="W60" s="122"/>
      <c r="X60" s="122"/>
    </row>
    <row r="61" spans="1:24">
      <c r="A61" s="129"/>
      <c r="B61" s="125" t="s">
        <v>237</v>
      </c>
      <c r="C61" s="116" t="s">
        <v>194</v>
      </c>
      <c r="D61" s="116" t="s">
        <v>201</v>
      </c>
      <c r="E61" s="117" t="s">
        <v>238</v>
      </c>
      <c r="F61" s="118">
        <v>2015</v>
      </c>
      <c r="G61" s="119">
        <v>5500000</v>
      </c>
      <c r="H61" s="119">
        <f t="shared" si="2"/>
        <v>11000000</v>
      </c>
      <c r="I61" s="119">
        <f t="shared" si="3"/>
        <v>458333.33333333331</v>
      </c>
      <c r="J61" s="119">
        <f t="shared" si="4"/>
        <v>320833.33333333331</v>
      </c>
      <c r="K61" s="119">
        <f t="shared" si="5"/>
        <v>137500</v>
      </c>
      <c r="L61" s="120"/>
      <c r="M61" s="120"/>
      <c r="N61" s="120"/>
      <c r="O61" s="120"/>
      <c r="P61" s="120"/>
      <c r="Q61" s="120"/>
      <c r="R61" s="121"/>
      <c r="S61" s="122"/>
      <c r="T61" s="122"/>
      <c r="U61" s="122"/>
      <c r="V61" s="122"/>
      <c r="W61" s="122"/>
      <c r="X61" s="122"/>
    </row>
    <row r="62" spans="1:24">
      <c r="A62" s="129"/>
      <c r="B62" s="125" t="s">
        <v>237</v>
      </c>
      <c r="C62" s="116" t="s">
        <v>194</v>
      </c>
      <c r="D62" s="116" t="s">
        <v>201</v>
      </c>
      <c r="E62" s="117" t="s">
        <v>239</v>
      </c>
      <c r="F62" s="118">
        <v>2022</v>
      </c>
      <c r="G62" s="119">
        <v>5000000</v>
      </c>
      <c r="H62" s="119">
        <f t="shared" si="2"/>
        <v>10000000</v>
      </c>
      <c r="I62" s="119">
        <f t="shared" si="3"/>
        <v>416666.66666666669</v>
      </c>
      <c r="J62" s="119">
        <f t="shared" si="4"/>
        <v>291666.66666666669</v>
      </c>
      <c r="K62" s="119">
        <f t="shared" si="5"/>
        <v>125000</v>
      </c>
      <c r="L62" s="120"/>
      <c r="M62" s="120"/>
      <c r="N62" s="120"/>
      <c r="O62" s="120"/>
      <c r="P62" s="120"/>
      <c r="Q62" s="120"/>
      <c r="R62" s="121"/>
      <c r="S62" s="122"/>
      <c r="T62" s="122"/>
      <c r="U62" s="122"/>
      <c r="V62" s="122"/>
      <c r="W62" s="122"/>
      <c r="X62" s="122"/>
    </row>
    <row r="63" spans="1:24">
      <c r="A63" s="129"/>
      <c r="B63" s="115" t="s">
        <v>215</v>
      </c>
      <c r="C63" s="116" t="s">
        <v>194</v>
      </c>
      <c r="D63" s="116" t="s">
        <v>202</v>
      </c>
      <c r="E63" s="117" t="s">
        <v>216</v>
      </c>
      <c r="F63" s="118">
        <v>2021</v>
      </c>
      <c r="G63" s="119">
        <v>1500000</v>
      </c>
      <c r="H63" s="119">
        <f t="shared" si="2"/>
        <v>3000000</v>
      </c>
      <c r="I63" s="119">
        <f t="shared" si="3"/>
        <v>125000</v>
      </c>
      <c r="J63" s="119">
        <f t="shared" si="4"/>
        <v>87500</v>
      </c>
      <c r="K63" s="119">
        <f t="shared" si="5"/>
        <v>37500</v>
      </c>
      <c r="L63" s="120"/>
      <c r="M63" s="120"/>
      <c r="N63" s="120"/>
      <c r="O63" s="120"/>
      <c r="P63" s="120"/>
      <c r="Q63" s="120"/>
      <c r="R63" s="121"/>
      <c r="S63" s="122"/>
      <c r="T63" s="122"/>
      <c r="U63" s="122"/>
      <c r="V63" s="122"/>
      <c r="W63" s="122"/>
      <c r="X63" s="122"/>
    </row>
    <row r="64" spans="1:24">
      <c r="A64" s="129"/>
      <c r="B64" s="115" t="s">
        <v>233</v>
      </c>
      <c r="C64" s="116" t="s">
        <v>194</v>
      </c>
      <c r="D64" s="116" t="s">
        <v>206</v>
      </c>
      <c r="E64" s="117" t="s">
        <v>234</v>
      </c>
      <c r="F64" s="118">
        <v>2015</v>
      </c>
      <c r="G64" s="119">
        <v>6000000</v>
      </c>
      <c r="H64" s="119">
        <f t="shared" si="2"/>
        <v>12000000</v>
      </c>
      <c r="I64" s="119">
        <f t="shared" si="3"/>
        <v>500000</v>
      </c>
      <c r="J64" s="119">
        <f t="shared" si="4"/>
        <v>350000</v>
      </c>
      <c r="K64" s="119">
        <f t="shared" si="5"/>
        <v>150000</v>
      </c>
      <c r="L64" s="120"/>
      <c r="M64" s="120"/>
      <c r="N64" s="120"/>
      <c r="O64" s="120"/>
      <c r="P64" s="120"/>
      <c r="Q64" s="120"/>
      <c r="R64" s="121"/>
      <c r="S64" s="122"/>
      <c r="T64" s="122"/>
      <c r="U64" s="122"/>
      <c r="V64" s="122"/>
      <c r="W64" s="122"/>
      <c r="X64" s="122"/>
    </row>
    <row r="65" spans="1:24" s="141" customFormat="1">
      <c r="A65" s="129"/>
      <c r="B65" s="115" t="s">
        <v>227</v>
      </c>
      <c r="C65" s="116" t="s">
        <v>194</v>
      </c>
      <c r="D65" s="116" t="s">
        <v>199</v>
      </c>
      <c r="E65" s="117" t="s">
        <v>228</v>
      </c>
      <c r="F65" s="118">
        <v>2015</v>
      </c>
      <c r="G65" s="119">
        <v>3000000</v>
      </c>
      <c r="H65" s="119">
        <f t="shared" si="2"/>
        <v>6000000</v>
      </c>
      <c r="I65" s="119">
        <f t="shared" si="3"/>
        <v>250000</v>
      </c>
      <c r="J65" s="119">
        <f t="shared" si="4"/>
        <v>175000</v>
      </c>
      <c r="K65" s="119">
        <f t="shared" si="5"/>
        <v>75000</v>
      </c>
      <c r="L65" s="120"/>
      <c r="M65" s="120"/>
      <c r="N65" s="120"/>
      <c r="O65" s="120"/>
      <c r="P65" s="120"/>
      <c r="Q65" s="120"/>
      <c r="R65" s="121"/>
      <c r="S65" s="122"/>
      <c r="T65" s="122"/>
      <c r="U65" s="122"/>
      <c r="V65" s="122"/>
      <c r="W65" s="122"/>
      <c r="X65" s="122"/>
    </row>
    <row r="66" spans="1:24">
      <c r="A66" s="129"/>
      <c r="B66" s="115" t="s">
        <v>223</v>
      </c>
      <c r="C66" s="116" t="s">
        <v>194</v>
      </c>
      <c r="D66" s="116" t="s">
        <v>199</v>
      </c>
      <c r="E66" s="117" t="s">
        <v>224</v>
      </c>
      <c r="F66" s="118">
        <v>2015</v>
      </c>
      <c r="G66" s="119">
        <v>7000000</v>
      </c>
      <c r="H66" s="119">
        <f t="shared" si="2"/>
        <v>14000000</v>
      </c>
      <c r="I66" s="119">
        <f t="shared" si="3"/>
        <v>583333.33333333337</v>
      </c>
      <c r="J66" s="119">
        <f t="shared" si="4"/>
        <v>408333.33333333331</v>
      </c>
      <c r="K66" s="119">
        <f t="shared" si="5"/>
        <v>175000.00000000006</v>
      </c>
      <c r="L66" s="120"/>
      <c r="M66" s="120"/>
      <c r="N66" s="120"/>
      <c r="O66" s="120"/>
      <c r="P66" s="120"/>
      <c r="Q66" s="120"/>
      <c r="R66" s="121"/>
      <c r="S66" s="122"/>
      <c r="T66" s="122"/>
      <c r="U66" s="122"/>
      <c r="V66" s="122"/>
      <c r="W66" s="122"/>
      <c r="X66" s="122"/>
    </row>
    <row r="67" spans="1:24" s="141" customFormat="1">
      <c r="A67" s="129"/>
      <c r="B67" s="115" t="s">
        <v>235</v>
      </c>
      <c r="C67" s="116" t="s">
        <v>194</v>
      </c>
      <c r="D67" s="116" t="s">
        <v>206</v>
      </c>
      <c r="E67" s="117" t="s">
        <v>236</v>
      </c>
      <c r="F67" s="118">
        <v>2015</v>
      </c>
      <c r="G67" s="119">
        <v>2000000</v>
      </c>
      <c r="H67" s="119">
        <f t="shared" ref="H67:H124" si="6">G67*2</f>
        <v>4000000</v>
      </c>
      <c r="I67" s="119">
        <f t="shared" ref="I67:I124" si="7">(G67+H67)/36</f>
        <v>166666.66666666666</v>
      </c>
      <c r="J67" s="119">
        <f t="shared" ref="J67:J124" si="8">I67*0.7</f>
        <v>116666.66666666666</v>
      </c>
      <c r="K67" s="119">
        <f t="shared" ref="K67:K124" si="9">(I67-J67)</f>
        <v>50000</v>
      </c>
      <c r="L67" s="120"/>
      <c r="M67" s="120"/>
      <c r="N67" s="120"/>
      <c r="O67" s="120"/>
      <c r="P67" s="120"/>
      <c r="Q67" s="120"/>
      <c r="R67" s="121"/>
      <c r="S67" s="122"/>
      <c r="T67" s="122"/>
      <c r="U67" s="122"/>
      <c r="V67" s="122"/>
      <c r="W67" s="122"/>
      <c r="X67" s="122"/>
    </row>
    <row r="68" spans="1:24">
      <c r="A68" s="129"/>
      <c r="B68" s="115" t="s">
        <v>229</v>
      </c>
      <c r="C68" s="116" t="s">
        <v>194</v>
      </c>
      <c r="D68" s="116" t="s">
        <v>204</v>
      </c>
      <c r="E68" s="117" t="s">
        <v>230</v>
      </c>
      <c r="F68" s="118">
        <v>2015</v>
      </c>
      <c r="G68" s="119">
        <v>3000000</v>
      </c>
      <c r="H68" s="119">
        <f t="shared" si="6"/>
        <v>6000000</v>
      </c>
      <c r="I68" s="119">
        <f t="shared" si="7"/>
        <v>250000</v>
      </c>
      <c r="J68" s="119">
        <f t="shared" si="8"/>
        <v>175000</v>
      </c>
      <c r="K68" s="119">
        <f t="shared" si="9"/>
        <v>75000</v>
      </c>
      <c r="L68" s="120"/>
      <c r="M68" s="120"/>
      <c r="N68" s="120"/>
      <c r="O68" s="120"/>
      <c r="P68" s="120"/>
      <c r="Q68" s="120"/>
      <c r="R68" s="121"/>
      <c r="S68" s="122"/>
      <c r="T68" s="122"/>
      <c r="U68" s="122"/>
      <c r="V68" s="122"/>
      <c r="W68" s="122"/>
      <c r="X68" s="122"/>
    </row>
    <row r="69" spans="1:24">
      <c r="A69" s="129"/>
      <c r="B69" s="115" t="s">
        <v>225</v>
      </c>
      <c r="C69" s="116" t="s">
        <v>194</v>
      </c>
      <c r="D69" s="116" t="s">
        <v>202</v>
      </c>
      <c r="E69" s="117" t="s">
        <v>226</v>
      </c>
      <c r="F69" s="118">
        <v>2015</v>
      </c>
      <c r="G69" s="119">
        <v>5000000</v>
      </c>
      <c r="H69" s="119">
        <f t="shared" si="6"/>
        <v>10000000</v>
      </c>
      <c r="I69" s="119">
        <f t="shared" si="7"/>
        <v>416666.66666666669</v>
      </c>
      <c r="J69" s="119">
        <f t="shared" si="8"/>
        <v>291666.66666666669</v>
      </c>
      <c r="K69" s="119">
        <f t="shared" si="9"/>
        <v>125000</v>
      </c>
      <c r="L69" s="120"/>
      <c r="M69" s="120"/>
      <c r="N69" s="120"/>
      <c r="O69" s="120"/>
      <c r="P69" s="120"/>
      <c r="Q69" s="120"/>
      <c r="R69" s="121"/>
      <c r="S69" s="122"/>
      <c r="T69" s="122"/>
      <c r="U69" s="122"/>
      <c r="V69" s="122"/>
      <c r="W69" s="122"/>
      <c r="X69" s="122"/>
    </row>
    <row r="70" spans="1:24">
      <c r="A70" s="129"/>
      <c r="B70" s="115" t="s">
        <v>221</v>
      </c>
      <c r="C70" s="116" t="s">
        <v>194</v>
      </c>
      <c r="D70" s="116" t="s">
        <v>199</v>
      </c>
      <c r="E70" s="117" t="s">
        <v>222</v>
      </c>
      <c r="F70" s="118">
        <v>2015</v>
      </c>
      <c r="G70" s="119">
        <v>5000000</v>
      </c>
      <c r="H70" s="119">
        <f t="shared" si="6"/>
        <v>10000000</v>
      </c>
      <c r="I70" s="119">
        <f t="shared" si="7"/>
        <v>416666.66666666669</v>
      </c>
      <c r="J70" s="119">
        <f t="shared" si="8"/>
        <v>291666.66666666669</v>
      </c>
      <c r="K70" s="119">
        <f t="shared" si="9"/>
        <v>125000</v>
      </c>
      <c r="L70" s="120"/>
      <c r="M70" s="120"/>
      <c r="N70" s="120"/>
      <c r="O70" s="120"/>
      <c r="P70" s="120"/>
      <c r="Q70" s="120"/>
      <c r="R70" s="121"/>
      <c r="S70" s="122"/>
      <c r="T70" s="122"/>
      <c r="U70" s="122"/>
      <c r="V70" s="122"/>
      <c r="W70" s="122"/>
      <c r="X70" s="122"/>
    </row>
    <row r="71" spans="1:24">
      <c r="A71" s="129"/>
      <c r="B71" s="131" t="s">
        <v>244</v>
      </c>
      <c r="C71" s="132" t="s">
        <v>194</v>
      </c>
      <c r="D71" s="132" t="s">
        <v>201</v>
      </c>
      <c r="E71" s="133" t="s">
        <v>245</v>
      </c>
      <c r="F71" s="134">
        <v>2019</v>
      </c>
      <c r="G71" s="135">
        <v>3000000</v>
      </c>
      <c r="H71" s="135">
        <f t="shared" si="6"/>
        <v>6000000</v>
      </c>
      <c r="I71" s="135">
        <f t="shared" si="7"/>
        <v>250000</v>
      </c>
      <c r="J71" s="135">
        <f t="shared" si="8"/>
        <v>175000</v>
      </c>
      <c r="K71" s="135">
        <f t="shared" si="9"/>
        <v>75000</v>
      </c>
      <c r="L71" s="120"/>
      <c r="M71" s="120"/>
      <c r="N71" s="120"/>
      <c r="O71" s="120"/>
      <c r="P71" s="120"/>
      <c r="Q71" s="120"/>
      <c r="R71" s="121"/>
      <c r="S71" s="122"/>
      <c r="T71" s="122"/>
      <c r="U71" s="122"/>
      <c r="V71" s="122"/>
      <c r="W71" s="122"/>
      <c r="X71" s="122"/>
    </row>
    <row r="72" spans="1:24">
      <c r="A72" s="136"/>
      <c r="B72" s="132" t="s">
        <v>207</v>
      </c>
      <c r="C72" s="132" t="s">
        <v>194</v>
      </c>
      <c r="D72" s="132" t="s">
        <v>206</v>
      </c>
      <c r="E72" s="133" t="s">
        <v>208</v>
      </c>
      <c r="F72" s="134">
        <v>2014</v>
      </c>
      <c r="G72" s="135">
        <v>6000000</v>
      </c>
      <c r="H72" s="135">
        <f t="shared" si="6"/>
        <v>12000000</v>
      </c>
      <c r="I72" s="135">
        <f t="shared" si="7"/>
        <v>500000</v>
      </c>
      <c r="J72" s="135">
        <f t="shared" si="8"/>
        <v>350000</v>
      </c>
      <c r="K72" s="135">
        <f t="shared" si="9"/>
        <v>150000</v>
      </c>
      <c r="L72" s="120"/>
      <c r="M72" s="120"/>
      <c r="N72" s="120"/>
      <c r="O72" s="120"/>
      <c r="P72" s="120"/>
      <c r="Q72" s="120"/>
      <c r="R72" s="121"/>
      <c r="S72" s="122"/>
      <c r="T72" s="122"/>
      <c r="U72" s="122"/>
      <c r="V72" s="122"/>
      <c r="W72" s="122"/>
      <c r="X72" s="122"/>
    </row>
    <row r="73" spans="1:24" s="141" customFormat="1">
      <c r="A73" s="136"/>
      <c r="B73" s="132" t="s">
        <v>266</v>
      </c>
      <c r="C73" s="116" t="s">
        <v>194</v>
      </c>
      <c r="D73" s="116" t="s">
        <v>204</v>
      </c>
      <c r="E73" s="133" t="s">
        <v>267</v>
      </c>
      <c r="F73" s="134">
        <v>2015</v>
      </c>
      <c r="G73" s="135">
        <v>8000000</v>
      </c>
      <c r="H73" s="135">
        <f t="shared" si="6"/>
        <v>16000000</v>
      </c>
      <c r="I73" s="135">
        <f t="shared" si="7"/>
        <v>666666.66666666663</v>
      </c>
      <c r="J73" s="135">
        <f t="shared" si="8"/>
        <v>466666.66666666663</v>
      </c>
      <c r="K73" s="135">
        <f t="shared" si="9"/>
        <v>200000</v>
      </c>
      <c r="L73" s="120"/>
      <c r="M73" s="120"/>
      <c r="N73" s="120"/>
      <c r="O73" s="120"/>
      <c r="P73" s="120"/>
      <c r="Q73" s="120"/>
      <c r="R73" s="121"/>
      <c r="S73" s="122"/>
      <c r="T73" s="122"/>
      <c r="U73" s="122"/>
      <c r="V73" s="122"/>
      <c r="W73" s="122"/>
      <c r="X73" s="122"/>
    </row>
    <row r="74" spans="1:24" s="141" customFormat="1">
      <c r="A74" s="129"/>
      <c r="B74" s="115" t="s">
        <v>240</v>
      </c>
      <c r="C74" s="116" t="s">
        <v>194</v>
      </c>
      <c r="D74" s="116" t="s">
        <v>202</v>
      </c>
      <c r="E74" s="117" t="s">
        <v>241</v>
      </c>
      <c r="F74" s="118">
        <v>2016</v>
      </c>
      <c r="G74" s="119">
        <v>12000000</v>
      </c>
      <c r="H74" s="119">
        <f t="shared" si="6"/>
        <v>24000000</v>
      </c>
      <c r="I74" s="119">
        <f t="shared" si="7"/>
        <v>1000000</v>
      </c>
      <c r="J74" s="119">
        <f t="shared" si="8"/>
        <v>700000</v>
      </c>
      <c r="K74" s="119">
        <f t="shared" si="9"/>
        <v>300000</v>
      </c>
      <c r="L74" s="120"/>
      <c r="M74" s="120"/>
      <c r="N74" s="120"/>
      <c r="O74" s="120"/>
      <c r="P74" s="120"/>
      <c r="Q74" s="120"/>
      <c r="R74" s="121"/>
      <c r="S74" s="122"/>
      <c r="T74" s="122"/>
      <c r="U74" s="122"/>
      <c r="V74" s="122"/>
      <c r="W74" s="122"/>
      <c r="X74" s="122"/>
    </row>
    <row r="75" spans="1:24">
      <c r="A75" s="129"/>
      <c r="B75" s="115" t="s">
        <v>213</v>
      </c>
      <c r="C75" s="116" t="s">
        <v>194</v>
      </c>
      <c r="D75" s="116" t="s">
        <v>197</v>
      </c>
      <c r="E75" s="117" t="s">
        <v>214</v>
      </c>
      <c r="F75" s="118">
        <v>2019</v>
      </c>
      <c r="G75" s="119">
        <v>6300000</v>
      </c>
      <c r="H75" s="119">
        <f t="shared" si="6"/>
        <v>12600000</v>
      </c>
      <c r="I75" s="119">
        <f t="shared" si="7"/>
        <v>525000</v>
      </c>
      <c r="J75" s="119">
        <f t="shared" si="8"/>
        <v>367500</v>
      </c>
      <c r="K75" s="119">
        <f t="shared" si="9"/>
        <v>157500</v>
      </c>
      <c r="L75" s="120"/>
      <c r="M75" s="120"/>
      <c r="N75" s="120"/>
      <c r="O75" s="120"/>
      <c r="P75" s="120"/>
      <c r="Q75" s="120"/>
      <c r="R75" s="121"/>
      <c r="S75" s="122"/>
      <c r="T75" s="122"/>
      <c r="U75" s="122"/>
      <c r="V75" s="122"/>
      <c r="W75" s="122"/>
      <c r="X75" s="122"/>
    </row>
    <row r="76" spans="1:24" ht="24">
      <c r="A76" s="129"/>
      <c r="B76" s="115" t="s">
        <v>249</v>
      </c>
      <c r="C76" s="116" t="s">
        <v>194</v>
      </c>
      <c r="D76" s="116" t="s">
        <v>202</v>
      </c>
      <c r="E76" s="117" t="s">
        <v>252</v>
      </c>
      <c r="F76" s="118">
        <v>2020</v>
      </c>
      <c r="G76" s="119">
        <v>13000000</v>
      </c>
      <c r="H76" s="119">
        <f t="shared" si="6"/>
        <v>26000000</v>
      </c>
      <c r="I76" s="119">
        <f t="shared" si="7"/>
        <v>1083333.3333333333</v>
      </c>
      <c r="J76" s="119">
        <f t="shared" si="8"/>
        <v>758333.33333333326</v>
      </c>
      <c r="K76" s="119">
        <f t="shared" si="9"/>
        <v>325000</v>
      </c>
      <c r="L76" s="120"/>
      <c r="M76" s="120"/>
      <c r="N76" s="120"/>
      <c r="O76" s="120"/>
      <c r="P76" s="120"/>
      <c r="Q76" s="120"/>
      <c r="R76" s="121"/>
      <c r="S76" s="122"/>
      <c r="T76" s="122"/>
      <c r="U76" s="122"/>
      <c r="V76" s="122"/>
      <c r="W76" s="122"/>
      <c r="X76" s="122"/>
    </row>
    <row r="77" spans="1:24">
      <c r="A77" s="129"/>
      <c r="B77" s="115" t="s">
        <v>250</v>
      </c>
      <c r="C77" s="116" t="s">
        <v>194</v>
      </c>
      <c r="D77" s="116" t="s">
        <v>200</v>
      </c>
      <c r="E77" s="117" t="s">
        <v>251</v>
      </c>
      <c r="F77" s="118">
        <v>2020</v>
      </c>
      <c r="G77" s="119">
        <v>6000000</v>
      </c>
      <c r="H77" s="119">
        <f t="shared" si="6"/>
        <v>12000000</v>
      </c>
      <c r="I77" s="119">
        <f t="shared" si="7"/>
        <v>500000</v>
      </c>
      <c r="J77" s="119">
        <f t="shared" si="8"/>
        <v>350000</v>
      </c>
      <c r="K77" s="119">
        <f t="shared" si="9"/>
        <v>150000</v>
      </c>
      <c r="L77" s="120"/>
      <c r="M77" s="120"/>
      <c r="N77" s="120"/>
      <c r="O77" s="120"/>
      <c r="P77" s="120"/>
      <c r="Q77" s="120"/>
      <c r="R77" s="121"/>
      <c r="S77" s="122"/>
      <c r="T77" s="122"/>
      <c r="U77" s="122"/>
      <c r="V77" s="122"/>
      <c r="W77" s="122"/>
      <c r="X77" s="122"/>
    </row>
    <row r="78" spans="1:24">
      <c r="A78" s="129"/>
      <c r="B78" s="115" t="s">
        <v>253</v>
      </c>
      <c r="C78" s="116" t="s">
        <v>194</v>
      </c>
      <c r="D78" s="116" t="s">
        <v>200</v>
      </c>
      <c r="E78" s="117" t="s">
        <v>254</v>
      </c>
      <c r="F78" s="118">
        <v>2020</v>
      </c>
      <c r="G78" s="119">
        <v>3000000</v>
      </c>
      <c r="H78" s="119">
        <f t="shared" si="6"/>
        <v>6000000</v>
      </c>
      <c r="I78" s="119">
        <f t="shared" si="7"/>
        <v>250000</v>
      </c>
      <c r="J78" s="119">
        <f t="shared" si="8"/>
        <v>175000</v>
      </c>
      <c r="K78" s="119">
        <f t="shared" si="9"/>
        <v>75000</v>
      </c>
      <c r="L78" s="120"/>
      <c r="M78" s="120"/>
      <c r="N78" s="120"/>
      <c r="O78" s="120"/>
      <c r="P78" s="120"/>
      <c r="Q78" s="120"/>
      <c r="R78" s="121"/>
      <c r="S78" s="122"/>
      <c r="T78" s="122"/>
      <c r="U78" s="122"/>
      <c r="V78" s="122"/>
      <c r="W78" s="122"/>
      <c r="X78" s="122"/>
    </row>
    <row r="79" spans="1:24" s="142" customFormat="1">
      <c r="A79" s="137"/>
      <c r="B79" s="132" t="s">
        <v>258</v>
      </c>
      <c r="C79" s="132" t="s">
        <v>194</v>
      </c>
      <c r="D79" s="132" t="s">
        <v>203</v>
      </c>
      <c r="E79" s="133" t="s">
        <v>259</v>
      </c>
      <c r="F79" s="134">
        <v>2020</v>
      </c>
      <c r="G79" s="135">
        <v>3000000</v>
      </c>
      <c r="H79" s="135">
        <f t="shared" si="6"/>
        <v>6000000</v>
      </c>
      <c r="I79" s="135">
        <f t="shared" si="7"/>
        <v>250000</v>
      </c>
      <c r="J79" s="135">
        <f t="shared" si="8"/>
        <v>175000</v>
      </c>
      <c r="K79" s="135">
        <f t="shared" si="9"/>
        <v>75000</v>
      </c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</row>
    <row r="80" spans="1:24">
      <c r="B80" s="132" t="s">
        <v>276</v>
      </c>
      <c r="C80" s="132" t="s">
        <v>274</v>
      </c>
      <c r="D80" s="132" t="s">
        <v>202</v>
      </c>
      <c r="E80" s="133" t="s">
        <v>277</v>
      </c>
      <c r="F80" s="134">
        <v>2017</v>
      </c>
      <c r="G80" s="135">
        <v>14000000</v>
      </c>
      <c r="H80" s="135">
        <f>G80*2</f>
        <v>28000000</v>
      </c>
      <c r="I80" s="135">
        <f>(G80+H80)/36</f>
        <v>1166666.6666666667</v>
      </c>
      <c r="J80" s="135">
        <f>I80*0.7</f>
        <v>816666.66666666663</v>
      </c>
      <c r="K80" s="135">
        <f>(I80-J80)</f>
        <v>350000.00000000012</v>
      </c>
    </row>
    <row r="81" spans="2:11">
      <c r="B81" s="132" t="s">
        <v>272</v>
      </c>
      <c r="C81" s="148"/>
      <c r="D81" s="148"/>
      <c r="E81" s="149" t="s">
        <v>278</v>
      </c>
      <c r="F81" s="134">
        <v>2018</v>
      </c>
      <c r="G81" s="135">
        <v>2000000</v>
      </c>
      <c r="H81" s="135">
        <f t="shared" si="6"/>
        <v>4000000</v>
      </c>
      <c r="I81" s="135">
        <f t="shared" si="7"/>
        <v>166666.66666666666</v>
      </c>
      <c r="J81" s="135">
        <f t="shared" si="8"/>
        <v>116666.66666666666</v>
      </c>
      <c r="K81" s="135">
        <f t="shared" si="9"/>
        <v>50000</v>
      </c>
    </row>
    <row r="82" spans="2:11">
      <c r="B82" s="138" t="s">
        <v>273</v>
      </c>
      <c r="C82" s="148"/>
      <c r="D82" s="148"/>
      <c r="E82" s="149" t="s">
        <v>275</v>
      </c>
      <c r="F82" s="134">
        <v>2017</v>
      </c>
      <c r="G82" s="135">
        <v>22000000</v>
      </c>
      <c r="H82" s="135">
        <f t="shared" si="6"/>
        <v>44000000</v>
      </c>
      <c r="I82" s="135">
        <f t="shared" si="7"/>
        <v>1833333.3333333333</v>
      </c>
      <c r="J82" s="135">
        <f t="shared" si="8"/>
        <v>1283333.3333333333</v>
      </c>
      <c r="K82" s="135">
        <f t="shared" si="9"/>
        <v>550000</v>
      </c>
    </row>
    <row r="83" spans="2:11">
      <c r="B83" s="138" t="s">
        <v>273</v>
      </c>
      <c r="C83" s="148"/>
      <c r="D83" s="148"/>
      <c r="E83" s="149" t="s">
        <v>275</v>
      </c>
      <c r="F83" s="134">
        <v>2018</v>
      </c>
      <c r="G83" s="135">
        <v>10500000</v>
      </c>
      <c r="H83" s="135">
        <f t="shared" si="6"/>
        <v>21000000</v>
      </c>
      <c r="I83" s="135">
        <f t="shared" si="7"/>
        <v>875000</v>
      </c>
      <c r="J83" s="135">
        <f t="shared" si="8"/>
        <v>612500</v>
      </c>
      <c r="K83" s="135">
        <f t="shared" si="9"/>
        <v>262500</v>
      </c>
    </row>
    <row r="84" spans="2:11">
      <c r="B84" s="138" t="s">
        <v>273</v>
      </c>
      <c r="C84" s="148"/>
      <c r="D84" s="148"/>
      <c r="E84" s="149" t="s">
        <v>275</v>
      </c>
      <c r="F84" s="134">
        <v>2020</v>
      </c>
      <c r="G84" s="135">
        <v>6000000</v>
      </c>
      <c r="H84" s="135">
        <f t="shared" si="6"/>
        <v>12000000</v>
      </c>
      <c r="I84" s="135">
        <f t="shared" si="7"/>
        <v>500000</v>
      </c>
      <c r="J84" s="135">
        <f t="shared" si="8"/>
        <v>350000</v>
      </c>
      <c r="K84" s="135">
        <f t="shared" si="9"/>
        <v>150000</v>
      </c>
    </row>
    <row r="85" spans="2:11">
      <c r="B85" s="138" t="s">
        <v>273</v>
      </c>
      <c r="C85" s="148"/>
      <c r="D85" s="148"/>
      <c r="E85" s="149" t="s">
        <v>275</v>
      </c>
      <c r="F85" s="134">
        <v>2021</v>
      </c>
      <c r="G85" s="135">
        <v>3000000</v>
      </c>
      <c r="H85" s="135">
        <f t="shared" si="6"/>
        <v>6000000</v>
      </c>
      <c r="I85" s="135">
        <f t="shared" si="7"/>
        <v>250000</v>
      </c>
      <c r="J85" s="135">
        <f t="shared" si="8"/>
        <v>175000</v>
      </c>
      <c r="K85" s="135">
        <f t="shared" si="9"/>
        <v>75000</v>
      </c>
    </row>
    <row r="86" spans="2:11">
      <c r="B86" s="138" t="s">
        <v>273</v>
      </c>
      <c r="C86" s="148"/>
      <c r="D86" s="148"/>
      <c r="E86" s="149" t="s">
        <v>275</v>
      </c>
      <c r="F86" s="134">
        <v>2022</v>
      </c>
      <c r="G86" s="135">
        <v>3500000</v>
      </c>
      <c r="H86" s="135">
        <f t="shared" si="6"/>
        <v>7000000</v>
      </c>
      <c r="I86" s="135">
        <f t="shared" si="7"/>
        <v>291666.66666666669</v>
      </c>
      <c r="J86" s="135">
        <f t="shared" si="8"/>
        <v>204166.66666666666</v>
      </c>
      <c r="K86" s="135">
        <f t="shared" si="9"/>
        <v>87500.000000000029</v>
      </c>
    </row>
    <row r="87" spans="2:11">
      <c r="C87" s="132" t="s">
        <v>274</v>
      </c>
      <c r="D87" s="132" t="s">
        <v>195</v>
      </c>
      <c r="E87" s="140" t="s">
        <v>281</v>
      </c>
      <c r="F87" s="139">
        <v>2021</v>
      </c>
      <c r="G87" s="145">
        <v>3000000</v>
      </c>
      <c r="H87" s="145">
        <f t="shared" si="6"/>
        <v>6000000</v>
      </c>
      <c r="I87" s="145">
        <f t="shared" si="7"/>
        <v>250000</v>
      </c>
      <c r="J87" s="145">
        <f t="shared" si="8"/>
        <v>175000</v>
      </c>
      <c r="K87" s="145">
        <f t="shared" si="9"/>
        <v>75000</v>
      </c>
    </row>
    <row r="88" spans="2:11">
      <c r="C88" s="132" t="s">
        <v>274</v>
      </c>
      <c r="D88" s="132" t="s">
        <v>195</v>
      </c>
      <c r="E88" s="140" t="s">
        <v>282</v>
      </c>
      <c r="F88" s="139">
        <v>2015</v>
      </c>
      <c r="G88" s="145">
        <v>8000000</v>
      </c>
      <c r="H88" s="145">
        <f t="shared" si="6"/>
        <v>16000000</v>
      </c>
      <c r="I88" s="145">
        <f t="shared" si="7"/>
        <v>666666.66666666663</v>
      </c>
      <c r="J88" s="145">
        <f t="shared" si="8"/>
        <v>466666.66666666663</v>
      </c>
      <c r="K88" s="145">
        <f t="shared" si="9"/>
        <v>200000</v>
      </c>
    </row>
    <row r="89" spans="2:11">
      <c r="C89" s="132" t="s">
        <v>274</v>
      </c>
      <c r="D89" s="132" t="s">
        <v>199</v>
      </c>
      <c r="E89" s="140" t="s">
        <v>283</v>
      </c>
      <c r="F89" s="139">
        <v>2015</v>
      </c>
      <c r="G89" s="145">
        <v>8000000</v>
      </c>
      <c r="H89" s="145">
        <f t="shared" si="6"/>
        <v>16000000</v>
      </c>
      <c r="I89" s="145">
        <f t="shared" si="7"/>
        <v>666666.66666666663</v>
      </c>
      <c r="J89" s="145">
        <f t="shared" si="8"/>
        <v>466666.66666666663</v>
      </c>
      <c r="K89" s="145">
        <f t="shared" si="9"/>
        <v>200000</v>
      </c>
    </row>
    <row r="90" spans="2:11">
      <c r="C90" s="132" t="s">
        <v>274</v>
      </c>
      <c r="D90" s="132" t="s">
        <v>199</v>
      </c>
      <c r="E90" s="140" t="s">
        <v>284</v>
      </c>
      <c r="F90" s="139">
        <v>2015</v>
      </c>
      <c r="G90" s="145">
        <v>8000000</v>
      </c>
      <c r="H90" s="145">
        <f t="shared" si="6"/>
        <v>16000000</v>
      </c>
      <c r="I90" s="145">
        <f t="shared" si="7"/>
        <v>666666.66666666663</v>
      </c>
      <c r="J90" s="145">
        <f t="shared" si="8"/>
        <v>466666.66666666663</v>
      </c>
      <c r="K90" s="145">
        <f t="shared" si="9"/>
        <v>200000</v>
      </c>
    </row>
    <row r="91" spans="2:11">
      <c r="C91" s="132" t="s">
        <v>274</v>
      </c>
      <c r="D91" s="132" t="s">
        <v>200</v>
      </c>
      <c r="E91" s="140" t="s">
        <v>285</v>
      </c>
      <c r="F91" s="139">
        <v>2021</v>
      </c>
      <c r="G91" s="145">
        <v>1500000</v>
      </c>
      <c r="H91" s="145">
        <f t="shared" si="6"/>
        <v>3000000</v>
      </c>
      <c r="I91" s="145">
        <f t="shared" si="7"/>
        <v>125000</v>
      </c>
      <c r="J91" s="145">
        <f t="shared" si="8"/>
        <v>87500</v>
      </c>
      <c r="K91" s="145">
        <f t="shared" si="9"/>
        <v>37500</v>
      </c>
    </row>
    <row r="92" spans="2:11">
      <c r="C92" s="132" t="s">
        <v>274</v>
      </c>
      <c r="D92" s="132" t="s">
        <v>199</v>
      </c>
      <c r="E92" s="140" t="s">
        <v>286</v>
      </c>
      <c r="F92" s="139">
        <v>2022</v>
      </c>
      <c r="G92" s="145">
        <v>3000000</v>
      </c>
      <c r="H92" s="145">
        <f t="shared" si="6"/>
        <v>6000000</v>
      </c>
      <c r="I92" s="145">
        <f t="shared" si="7"/>
        <v>250000</v>
      </c>
      <c r="J92" s="145">
        <f t="shared" si="8"/>
        <v>175000</v>
      </c>
      <c r="K92" s="145">
        <f t="shared" si="9"/>
        <v>75000</v>
      </c>
    </row>
    <row r="93" spans="2:11">
      <c r="C93" s="132" t="s">
        <v>274</v>
      </c>
      <c r="D93" s="132" t="s">
        <v>203</v>
      </c>
      <c r="E93" s="140" t="s">
        <v>287</v>
      </c>
      <c r="F93" s="139">
        <v>2021</v>
      </c>
      <c r="G93" s="145">
        <v>1500000</v>
      </c>
      <c r="H93" s="145">
        <f t="shared" si="6"/>
        <v>3000000</v>
      </c>
      <c r="I93" s="145">
        <f t="shared" si="7"/>
        <v>125000</v>
      </c>
      <c r="J93" s="145">
        <f t="shared" si="8"/>
        <v>87500</v>
      </c>
      <c r="K93" s="145">
        <f t="shared" si="9"/>
        <v>37500</v>
      </c>
    </row>
    <row r="94" spans="2:11">
      <c r="C94" s="132" t="s">
        <v>274</v>
      </c>
      <c r="D94" s="132" t="s">
        <v>203</v>
      </c>
      <c r="E94" s="140" t="s">
        <v>288</v>
      </c>
      <c r="F94" s="139">
        <v>2015</v>
      </c>
      <c r="G94" s="145">
        <v>8000000</v>
      </c>
      <c r="H94" s="145">
        <f t="shared" si="6"/>
        <v>16000000</v>
      </c>
      <c r="I94" s="145">
        <f t="shared" si="7"/>
        <v>666666.66666666663</v>
      </c>
      <c r="J94" s="145">
        <f t="shared" si="8"/>
        <v>466666.66666666663</v>
      </c>
      <c r="K94" s="145">
        <f t="shared" si="9"/>
        <v>200000</v>
      </c>
    </row>
    <row r="95" spans="2:11">
      <c r="C95" s="132" t="s">
        <v>274</v>
      </c>
      <c r="D95" s="132" t="s">
        <v>203</v>
      </c>
      <c r="E95" s="140" t="s">
        <v>289</v>
      </c>
      <c r="F95" s="139">
        <v>2015</v>
      </c>
      <c r="G95" s="145">
        <v>8000000</v>
      </c>
      <c r="H95" s="145">
        <f t="shared" si="6"/>
        <v>16000000</v>
      </c>
      <c r="I95" s="145">
        <f t="shared" si="7"/>
        <v>666666.66666666663</v>
      </c>
      <c r="J95" s="145">
        <f t="shared" si="8"/>
        <v>466666.66666666663</v>
      </c>
      <c r="K95" s="145">
        <f t="shared" si="9"/>
        <v>200000</v>
      </c>
    </row>
    <row r="96" spans="2:11">
      <c r="C96" s="132" t="s">
        <v>274</v>
      </c>
      <c r="D96" s="132" t="s">
        <v>202</v>
      </c>
      <c r="E96" s="140" t="s">
        <v>290</v>
      </c>
      <c r="F96" s="139">
        <v>2015</v>
      </c>
      <c r="G96" s="145">
        <v>8000000</v>
      </c>
      <c r="H96" s="145">
        <f t="shared" si="6"/>
        <v>16000000</v>
      </c>
      <c r="I96" s="145">
        <f t="shared" si="7"/>
        <v>666666.66666666663</v>
      </c>
      <c r="J96" s="145">
        <f t="shared" si="8"/>
        <v>466666.66666666663</v>
      </c>
      <c r="K96" s="145">
        <f t="shared" si="9"/>
        <v>200000</v>
      </c>
    </row>
    <row r="97" spans="3:11">
      <c r="C97" s="132" t="s">
        <v>274</v>
      </c>
      <c r="D97" s="132" t="s">
        <v>202</v>
      </c>
      <c r="E97" s="140" t="s">
        <v>291</v>
      </c>
      <c r="F97" s="139">
        <v>2015</v>
      </c>
      <c r="G97" s="145">
        <v>8000000</v>
      </c>
      <c r="H97" s="145">
        <f t="shared" si="6"/>
        <v>16000000</v>
      </c>
      <c r="I97" s="145">
        <f t="shared" si="7"/>
        <v>666666.66666666663</v>
      </c>
      <c r="J97" s="145">
        <f t="shared" si="8"/>
        <v>466666.66666666663</v>
      </c>
      <c r="K97" s="145">
        <f t="shared" si="9"/>
        <v>200000</v>
      </c>
    </row>
    <row r="98" spans="3:11">
      <c r="C98" s="132" t="s">
        <v>274</v>
      </c>
      <c r="D98" s="132" t="s">
        <v>201</v>
      </c>
      <c r="E98" s="140" t="s">
        <v>292</v>
      </c>
      <c r="F98" s="139">
        <v>2015</v>
      </c>
      <c r="G98" s="145">
        <v>8000000</v>
      </c>
      <c r="H98" s="145">
        <f t="shared" si="6"/>
        <v>16000000</v>
      </c>
      <c r="I98" s="145">
        <f t="shared" si="7"/>
        <v>666666.66666666663</v>
      </c>
      <c r="J98" s="145">
        <f t="shared" si="8"/>
        <v>466666.66666666663</v>
      </c>
      <c r="K98" s="145">
        <f t="shared" si="9"/>
        <v>200000</v>
      </c>
    </row>
    <row r="99" spans="3:11">
      <c r="C99" s="132" t="s">
        <v>274</v>
      </c>
      <c r="D99" s="132" t="s">
        <v>201</v>
      </c>
      <c r="E99" s="140" t="s">
        <v>293</v>
      </c>
      <c r="F99" s="139">
        <v>2020</v>
      </c>
      <c r="G99" s="145">
        <v>1500000</v>
      </c>
      <c r="H99" s="145">
        <f t="shared" si="6"/>
        <v>3000000</v>
      </c>
      <c r="I99" s="145">
        <f t="shared" si="7"/>
        <v>125000</v>
      </c>
      <c r="J99" s="145">
        <f t="shared" si="8"/>
        <v>87500</v>
      </c>
      <c r="K99" s="145">
        <f t="shared" si="9"/>
        <v>37500</v>
      </c>
    </row>
    <row r="100" spans="3:11">
      <c r="C100" s="132" t="s">
        <v>274</v>
      </c>
      <c r="D100" s="132" t="s">
        <v>203</v>
      </c>
      <c r="E100" s="140" t="s">
        <v>294</v>
      </c>
      <c r="F100" s="139">
        <v>2021</v>
      </c>
      <c r="G100" s="145">
        <v>1500000</v>
      </c>
      <c r="H100" s="145">
        <f t="shared" si="6"/>
        <v>3000000</v>
      </c>
      <c r="I100" s="145">
        <f t="shared" si="7"/>
        <v>125000</v>
      </c>
      <c r="J100" s="145">
        <f t="shared" si="8"/>
        <v>87500</v>
      </c>
      <c r="K100" s="145">
        <f t="shared" si="9"/>
        <v>37500</v>
      </c>
    </row>
    <row r="101" spans="3:11">
      <c r="C101" s="132" t="s">
        <v>274</v>
      </c>
      <c r="D101" s="132" t="s">
        <v>195</v>
      </c>
      <c r="E101" s="140" t="s">
        <v>295</v>
      </c>
      <c r="F101" s="139">
        <v>2021</v>
      </c>
      <c r="G101" s="145">
        <v>1500000</v>
      </c>
      <c r="H101" s="145">
        <f t="shared" si="6"/>
        <v>3000000</v>
      </c>
      <c r="I101" s="145">
        <f t="shared" si="7"/>
        <v>125000</v>
      </c>
      <c r="J101" s="145">
        <f t="shared" si="8"/>
        <v>87500</v>
      </c>
      <c r="K101" s="145">
        <f t="shared" si="9"/>
        <v>37500</v>
      </c>
    </row>
    <row r="102" spans="3:11">
      <c r="C102" s="132" t="s">
        <v>274</v>
      </c>
      <c r="D102" s="132" t="s">
        <v>199</v>
      </c>
      <c r="E102" s="140" t="s">
        <v>296</v>
      </c>
      <c r="F102" s="139">
        <v>2015</v>
      </c>
      <c r="G102" s="145">
        <v>8000000</v>
      </c>
      <c r="H102" s="145">
        <f t="shared" si="6"/>
        <v>16000000</v>
      </c>
      <c r="I102" s="145">
        <f t="shared" si="7"/>
        <v>666666.66666666663</v>
      </c>
      <c r="J102" s="145">
        <f t="shared" si="8"/>
        <v>466666.66666666663</v>
      </c>
      <c r="K102" s="145">
        <f t="shared" si="9"/>
        <v>200000</v>
      </c>
    </row>
    <row r="103" spans="3:11">
      <c r="C103" s="132" t="s">
        <v>274</v>
      </c>
      <c r="D103" s="132" t="s">
        <v>199</v>
      </c>
      <c r="E103" s="140" t="s">
        <v>297</v>
      </c>
      <c r="F103" s="139">
        <v>2015</v>
      </c>
      <c r="G103" s="145">
        <v>8000000</v>
      </c>
      <c r="H103" s="145">
        <f t="shared" si="6"/>
        <v>16000000</v>
      </c>
      <c r="I103" s="145">
        <f t="shared" si="7"/>
        <v>666666.66666666663</v>
      </c>
      <c r="J103" s="145">
        <f t="shared" si="8"/>
        <v>466666.66666666663</v>
      </c>
      <c r="K103" s="145">
        <f t="shared" si="9"/>
        <v>200000</v>
      </c>
    </row>
    <row r="104" spans="3:11">
      <c r="C104" s="132" t="s">
        <v>274</v>
      </c>
      <c r="D104" s="132" t="s">
        <v>203</v>
      </c>
      <c r="E104" s="140" t="s">
        <v>298</v>
      </c>
      <c r="F104" s="139">
        <v>2021</v>
      </c>
      <c r="G104" s="145">
        <v>1500000</v>
      </c>
      <c r="H104" s="145">
        <f t="shared" si="6"/>
        <v>3000000</v>
      </c>
      <c r="I104" s="145">
        <f t="shared" si="7"/>
        <v>125000</v>
      </c>
      <c r="J104" s="145">
        <f t="shared" si="8"/>
        <v>87500</v>
      </c>
      <c r="K104" s="145">
        <f t="shared" si="9"/>
        <v>37500</v>
      </c>
    </row>
    <row r="105" spans="3:11">
      <c r="C105" s="132" t="s">
        <v>274</v>
      </c>
      <c r="D105" s="132" t="s">
        <v>203</v>
      </c>
      <c r="E105" s="140" t="s">
        <v>299</v>
      </c>
      <c r="F105" s="139">
        <v>2021</v>
      </c>
      <c r="G105" s="145">
        <v>1500000</v>
      </c>
      <c r="H105" s="145">
        <f t="shared" si="6"/>
        <v>3000000</v>
      </c>
      <c r="I105" s="145">
        <f t="shared" si="7"/>
        <v>125000</v>
      </c>
      <c r="J105" s="145">
        <f t="shared" si="8"/>
        <v>87500</v>
      </c>
      <c r="K105" s="145">
        <f t="shared" si="9"/>
        <v>37500</v>
      </c>
    </row>
    <row r="106" spans="3:11">
      <c r="C106" s="132" t="s">
        <v>274</v>
      </c>
      <c r="D106" s="132" t="s">
        <v>203</v>
      </c>
      <c r="E106" s="140" t="s">
        <v>300</v>
      </c>
      <c r="F106" s="139">
        <v>2015</v>
      </c>
      <c r="G106" s="145">
        <v>8000000</v>
      </c>
      <c r="H106" s="145">
        <f t="shared" si="6"/>
        <v>16000000</v>
      </c>
      <c r="I106" s="145">
        <f t="shared" si="7"/>
        <v>666666.66666666663</v>
      </c>
      <c r="J106" s="145">
        <f t="shared" si="8"/>
        <v>466666.66666666663</v>
      </c>
      <c r="K106" s="145">
        <f t="shared" si="9"/>
        <v>200000</v>
      </c>
    </row>
    <row r="107" spans="3:11">
      <c r="C107" s="132" t="s">
        <v>274</v>
      </c>
      <c r="D107" s="132" t="s">
        <v>203</v>
      </c>
      <c r="E107" s="140" t="s">
        <v>301</v>
      </c>
      <c r="F107" s="139">
        <v>2021</v>
      </c>
      <c r="G107" s="145">
        <v>1500000</v>
      </c>
      <c r="H107" s="145">
        <f t="shared" si="6"/>
        <v>3000000</v>
      </c>
      <c r="I107" s="145">
        <f t="shared" si="7"/>
        <v>125000</v>
      </c>
      <c r="J107" s="145">
        <f t="shared" si="8"/>
        <v>87500</v>
      </c>
      <c r="K107" s="145">
        <f t="shared" si="9"/>
        <v>37500</v>
      </c>
    </row>
    <row r="108" spans="3:11">
      <c r="C108" s="132" t="s">
        <v>274</v>
      </c>
      <c r="D108" s="132" t="s">
        <v>202</v>
      </c>
      <c r="E108" s="140" t="s">
        <v>302</v>
      </c>
      <c r="F108" s="139">
        <v>2015</v>
      </c>
      <c r="G108" s="145">
        <v>8000000</v>
      </c>
      <c r="H108" s="145">
        <f t="shared" si="6"/>
        <v>16000000</v>
      </c>
      <c r="I108" s="145">
        <f t="shared" si="7"/>
        <v>666666.66666666663</v>
      </c>
      <c r="J108" s="145">
        <f t="shared" si="8"/>
        <v>466666.66666666663</v>
      </c>
      <c r="K108" s="145">
        <f t="shared" si="9"/>
        <v>200000</v>
      </c>
    </row>
    <row r="109" spans="3:11">
      <c r="C109" s="132" t="s">
        <v>274</v>
      </c>
      <c r="D109" s="132" t="s">
        <v>323</v>
      </c>
      <c r="E109" s="140" t="s">
        <v>303</v>
      </c>
      <c r="F109" s="139">
        <v>2015</v>
      </c>
      <c r="G109" s="145">
        <v>8000000</v>
      </c>
      <c r="H109" s="145">
        <f t="shared" si="6"/>
        <v>16000000</v>
      </c>
      <c r="I109" s="145">
        <f t="shared" si="7"/>
        <v>666666.66666666663</v>
      </c>
      <c r="J109" s="145">
        <f t="shared" si="8"/>
        <v>466666.66666666663</v>
      </c>
      <c r="K109" s="145">
        <f t="shared" si="9"/>
        <v>200000</v>
      </c>
    </row>
    <row r="110" spans="3:11">
      <c r="C110" s="132" t="s">
        <v>274</v>
      </c>
      <c r="D110" s="132" t="s">
        <v>202</v>
      </c>
      <c r="E110" s="140" t="s">
        <v>304</v>
      </c>
      <c r="F110" s="139">
        <v>2015</v>
      </c>
      <c r="G110" s="145">
        <v>8000000</v>
      </c>
      <c r="H110" s="145">
        <f t="shared" si="6"/>
        <v>16000000</v>
      </c>
      <c r="I110" s="145">
        <f t="shared" si="7"/>
        <v>666666.66666666663</v>
      </c>
      <c r="J110" s="145">
        <f t="shared" si="8"/>
        <v>466666.66666666663</v>
      </c>
      <c r="K110" s="145">
        <f t="shared" si="9"/>
        <v>200000</v>
      </c>
    </row>
    <row r="111" spans="3:11">
      <c r="C111" s="132" t="s">
        <v>274</v>
      </c>
      <c r="D111" s="132" t="s">
        <v>202</v>
      </c>
      <c r="E111" s="140" t="s">
        <v>305</v>
      </c>
      <c r="F111" s="139">
        <v>2018</v>
      </c>
      <c r="G111" s="145">
        <v>3000000</v>
      </c>
      <c r="H111" s="145">
        <f t="shared" si="6"/>
        <v>6000000</v>
      </c>
      <c r="I111" s="145">
        <f t="shared" si="7"/>
        <v>250000</v>
      </c>
      <c r="J111" s="145">
        <f t="shared" si="8"/>
        <v>175000</v>
      </c>
      <c r="K111" s="145">
        <f t="shared" si="9"/>
        <v>75000</v>
      </c>
    </row>
    <row r="112" spans="3:11">
      <c r="C112" s="132" t="s">
        <v>274</v>
      </c>
      <c r="D112" s="132" t="s">
        <v>202</v>
      </c>
      <c r="E112" s="140" t="s">
        <v>306</v>
      </c>
      <c r="F112" s="139">
        <v>2015</v>
      </c>
      <c r="G112" s="145">
        <v>8000000</v>
      </c>
      <c r="H112" s="145">
        <f t="shared" si="6"/>
        <v>16000000</v>
      </c>
      <c r="I112" s="145">
        <f t="shared" si="7"/>
        <v>666666.66666666663</v>
      </c>
      <c r="J112" s="145">
        <f t="shared" si="8"/>
        <v>466666.66666666663</v>
      </c>
      <c r="K112" s="145">
        <f t="shared" si="9"/>
        <v>200000</v>
      </c>
    </row>
    <row r="113" spans="3:11">
      <c r="C113" s="132" t="s">
        <v>274</v>
      </c>
      <c r="D113" s="132" t="s">
        <v>202</v>
      </c>
      <c r="E113" s="140" t="s">
        <v>307</v>
      </c>
      <c r="F113" s="139">
        <v>2022</v>
      </c>
      <c r="G113" s="145">
        <v>3000000</v>
      </c>
      <c r="H113" s="145">
        <f t="shared" si="6"/>
        <v>6000000</v>
      </c>
      <c r="I113" s="145">
        <f t="shared" si="7"/>
        <v>250000</v>
      </c>
      <c r="J113" s="145">
        <f t="shared" si="8"/>
        <v>175000</v>
      </c>
      <c r="K113" s="145">
        <f t="shared" si="9"/>
        <v>75000</v>
      </c>
    </row>
    <row r="114" spans="3:11">
      <c r="C114" s="132" t="s">
        <v>274</v>
      </c>
      <c r="D114" s="132" t="s">
        <v>202</v>
      </c>
      <c r="E114" s="140" t="s">
        <v>308</v>
      </c>
      <c r="F114" s="139">
        <v>2021</v>
      </c>
      <c r="G114" s="145">
        <v>1500000</v>
      </c>
      <c r="H114" s="145">
        <f t="shared" si="6"/>
        <v>3000000</v>
      </c>
      <c r="I114" s="145">
        <f t="shared" si="7"/>
        <v>125000</v>
      </c>
      <c r="J114" s="145">
        <f t="shared" si="8"/>
        <v>87500</v>
      </c>
      <c r="K114" s="145">
        <f t="shared" si="9"/>
        <v>37500</v>
      </c>
    </row>
    <row r="115" spans="3:11">
      <c r="E115" s="140" t="s">
        <v>309</v>
      </c>
      <c r="F115" s="139">
        <v>2015</v>
      </c>
      <c r="G115" s="145">
        <v>8000000</v>
      </c>
      <c r="H115" s="145">
        <f t="shared" si="6"/>
        <v>16000000</v>
      </c>
      <c r="I115" s="145">
        <f t="shared" si="7"/>
        <v>666666.66666666663</v>
      </c>
      <c r="J115" s="145">
        <f t="shared" si="8"/>
        <v>466666.66666666663</v>
      </c>
      <c r="K115" s="145">
        <f t="shared" si="9"/>
        <v>200000</v>
      </c>
    </row>
    <row r="116" spans="3:11">
      <c r="E116" s="140" t="s">
        <v>310</v>
      </c>
      <c r="F116" s="139">
        <v>2015</v>
      </c>
      <c r="G116" s="145">
        <v>3000000</v>
      </c>
      <c r="H116" s="145">
        <f t="shared" si="6"/>
        <v>6000000</v>
      </c>
      <c r="I116" s="145">
        <f t="shared" si="7"/>
        <v>250000</v>
      </c>
      <c r="J116" s="145">
        <f t="shared" si="8"/>
        <v>175000</v>
      </c>
      <c r="K116" s="145">
        <f t="shared" si="9"/>
        <v>75000</v>
      </c>
    </row>
    <row r="117" spans="3:11">
      <c r="E117" s="140" t="s">
        <v>311</v>
      </c>
      <c r="F117" s="139">
        <v>2015</v>
      </c>
      <c r="G117" s="145">
        <v>3000000</v>
      </c>
      <c r="H117" s="145">
        <f t="shared" si="6"/>
        <v>6000000</v>
      </c>
      <c r="I117" s="145">
        <f t="shared" si="7"/>
        <v>250000</v>
      </c>
      <c r="J117" s="145">
        <f t="shared" si="8"/>
        <v>175000</v>
      </c>
      <c r="K117" s="145">
        <f t="shared" si="9"/>
        <v>75000</v>
      </c>
    </row>
    <row r="118" spans="3:11">
      <c r="E118" s="140" t="s">
        <v>312</v>
      </c>
      <c r="F118" s="139">
        <v>2015</v>
      </c>
      <c r="G118" s="145">
        <v>3000000</v>
      </c>
      <c r="H118" s="145">
        <f t="shared" si="6"/>
        <v>6000000</v>
      </c>
      <c r="I118" s="145">
        <f t="shared" si="7"/>
        <v>250000</v>
      </c>
      <c r="J118" s="145">
        <f t="shared" si="8"/>
        <v>175000</v>
      </c>
      <c r="K118" s="145">
        <f t="shared" si="9"/>
        <v>75000</v>
      </c>
    </row>
    <row r="119" spans="3:11">
      <c r="E119" s="140" t="s">
        <v>313</v>
      </c>
      <c r="F119" s="139">
        <v>2015</v>
      </c>
      <c r="G119" s="145">
        <v>3000000</v>
      </c>
      <c r="H119" s="145">
        <f t="shared" si="6"/>
        <v>6000000</v>
      </c>
      <c r="I119" s="145">
        <f t="shared" si="7"/>
        <v>250000</v>
      </c>
      <c r="J119" s="145">
        <f t="shared" si="8"/>
        <v>175000</v>
      </c>
      <c r="K119" s="145">
        <f t="shared" si="9"/>
        <v>75000</v>
      </c>
    </row>
    <row r="120" spans="3:11">
      <c r="E120" s="140" t="s">
        <v>314</v>
      </c>
      <c r="F120" s="139">
        <v>2015</v>
      </c>
      <c r="G120" s="145">
        <v>3000000</v>
      </c>
      <c r="H120" s="145">
        <f t="shared" si="6"/>
        <v>6000000</v>
      </c>
      <c r="I120" s="145">
        <f t="shared" si="7"/>
        <v>250000</v>
      </c>
      <c r="J120" s="145">
        <f t="shared" si="8"/>
        <v>175000</v>
      </c>
      <c r="K120" s="145">
        <f t="shared" si="9"/>
        <v>75000</v>
      </c>
    </row>
    <row r="121" spans="3:11">
      <c r="E121" s="140" t="s">
        <v>315</v>
      </c>
      <c r="F121" s="139">
        <v>2021</v>
      </c>
      <c r="G121" s="145">
        <v>1500000</v>
      </c>
      <c r="H121" s="145">
        <f t="shared" si="6"/>
        <v>3000000</v>
      </c>
      <c r="I121" s="145">
        <f t="shared" si="7"/>
        <v>125000</v>
      </c>
      <c r="J121" s="145">
        <f t="shared" si="8"/>
        <v>87500</v>
      </c>
      <c r="K121" s="145">
        <f t="shared" si="9"/>
        <v>37500</v>
      </c>
    </row>
    <row r="122" spans="3:11">
      <c r="E122" s="140" t="s">
        <v>316</v>
      </c>
      <c r="F122" s="139">
        <v>2021</v>
      </c>
      <c r="G122" s="145">
        <v>1500000</v>
      </c>
      <c r="H122" s="145">
        <f t="shared" si="6"/>
        <v>3000000</v>
      </c>
      <c r="I122" s="145">
        <f t="shared" si="7"/>
        <v>125000</v>
      </c>
      <c r="J122" s="145">
        <f t="shared" si="8"/>
        <v>87500</v>
      </c>
      <c r="K122" s="145">
        <f t="shared" si="9"/>
        <v>37500</v>
      </c>
    </row>
    <row r="123" spans="3:11">
      <c r="E123" s="140" t="s">
        <v>317</v>
      </c>
      <c r="F123" s="139">
        <v>2022</v>
      </c>
      <c r="G123" s="145">
        <v>1500000</v>
      </c>
      <c r="H123" s="145">
        <f t="shared" si="6"/>
        <v>3000000</v>
      </c>
      <c r="I123" s="145">
        <f t="shared" si="7"/>
        <v>125000</v>
      </c>
      <c r="J123" s="145">
        <f t="shared" si="8"/>
        <v>87500</v>
      </c>
      <c r="K123" s="145">
        <f t="shared" si="9"/>
        <v>37500</v>
      </c>
    </row>
    <row r="124" spans="3:11">
      <c r="E124" s="140" t="s">
        <v>318</v>
      </c>
      <c r="F124" s="139">
        <v>2022</v>
      </c>
      <c r="G124" s="145">
        <v>1500000</v>
      </c>
      <c r="H124" s="145">
        <f t="shared" si="6"/>
        <v>3000000</v>
      </c>
      <c r="I124" s="145">
        <f t="shared" si="7"/>
        <v>125000</v>
      </c>
      <c r="J124" s="145">
        <f t="shared" si="8"/>
        <v>87500</v>
      </c>
      <c r="K124" s="145">
        <f t="shared" si="9"/>
        <v>37500</v>
      </c>
    </row>
  </sheetData>
  <autoFilter ref="A1:X124" xr:uid="{4E726097-6871-4CA1-AF4D-F90B43FCD8B9}"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3FBD-0421-46B4-B01C-5FC987F2C82A}">
  <dimension ref="A1:X118"/>
  <sheetViews>
    <sheetView tabSelected="1" zoomScale="90" zoomScaleNormal="90" workbookViewId="0">
      <pane xSplit="5" ySplit="1" topLeftCell="L2" activePane="bottomRight" state="frozen"/>
      <selection pane="topRight" activeCell="E1" sqref="E1"/>
      <selection pane="bottomLeft" activeCell="A3" sqref="A3"/>
      <selection pane="bottomRight" activeCell="S34" sqref="S34"/>
    </sheetView>
  </sheetViews>
  <sheetFormatPr defaultRowHeight="12"/>
  <cols>
    <col min="1" max="1" width="6.625" style="143" customWidth="1"/>
    <col min="2" max="4" width="9" style="140"/>
    <col min="5" max="5" width="37.875" style="140" customWidth="1"/>
    <col min="6" max="6" width="9.5" style="139" customWidth="1"/>
    <col min="7" max="11" width="16" style="145" customWidth="1"/>
    <col min="12" max="18" width="13.75" style="140" customWidth="1"/>
    <col min="19" max="24" width="13.75" style="144" customWidth="1"/>
    <col min="25" max="16384" width="9" style="140"/>
  </cols>
  <sheetData>
    <row r="1" spans="1:24">
      <c r="A1" s="106" t="s">
        <v>0</v>
      </c>
      <c r="B1" s="107" t="s">
        <v>1</v>
      </c>
      <c r="C1" s="108"/>
      <c r="D1" s="108"/>
      <c r="E1" s="108" t="s">
        <v>2</v>
      </c>
      <c r="F1" s="109" t="s">
        <v>279</v>
      </c>
      <c r="G1" s="110" t="s">
        <v>280</v>
      </c>
      <c r="H1" s="110" t="s">
        <v>319</v>
      </c>
      <c r="I1" s="110" t="s">
        <v>321</v>
      </c>
      <c r="J1" s="110" t="s">
        <v>322</v>
      </c>
      <c r="K1" s="110" t="s">
        <v>320</v>
      </c>
      <c r="L1" s="107" t="s">
        <v>181</v>
      </c>
      <c r="M1" s="107" t="s">
        <v>182</v>
      </c>
      <c r="N1" s="107" t="s">
        <v>183</v>
      </c>
      <c r="O1" s="107" t="s">
        <v>184</v>
      </c>
      <c r="P1" s="107" t="s">
        <v>185</v>
      </c>
      <c r="Q1" s="107" t="s">
        <v>186</v>
      </c>
      <c r="R1" s="108" t="s">
        <v>187</v>
      </c>
      <c r="S1" s="111" t="s">
        <v>188</v>
      </c>
      <c r="T1" s="112" t="s">
        <v>189</v>
      </c>
      <c r="U1" s="112" t="s">
        <v>190</v>
      </c>
      <c r="V1" s="112" t="s">
        <v>191</v>
      </c>
      <c r="W1" s="112" t="s">
        <v>192</v>
      </c>
      <c r="X1" s="113" t="s">
        <v>193</v>
      </c>
    </row>
    <row r="2" spans="1:24">
      <c r="A2" s="114">
        <v>2</v>
      </c>
      <c r="B2" s="115" t="s">
        <v>22</v>
      </c>
      <c r="C2" s="116" t="s">
        <v>194</v>
      </c>
      <c r="D2" s="116" t="s">
        <v>195</v>
      </c>
      <c r="E2" s="117" t="s">
        <v>23</v>
      </c>
      <c r="F2" s="118" t="s">
        <v>325</v>
      </c>
      <c r="G2" s="150" t="s">
        <v>324</v>
      </c>
      <c r="H2" s="119"/>
      <c r="I2" s="119"/>
      <c r="J2" s="119"/>
      <c r="K2" s="119"/>
      <c r="L2" s="120">
        <v>9003000</v>
      </c>
      <c r="M2" s="120">
        <v>7426800</v>
      </c>
      <c r="N2" s="120">
        <v>8152940</v>
      </c>
      <c r="O2" s="120">
        <v>11070330</v>
      </c>
      <c r="P2" s="120">
        <v>9259700</v>
      </c>
      <c r="Q2" s="120">
        <v>9125800</v>
      </c>
      <c r="R2" s="121">
        <v>7625920</v>
      </c>
      <c r="S2" s="122">
        <v>8284690</v>
      </c>
      <c r="T2" s="122">
        <v>1095000</v>
      </c>
      <c r="U2" s="122"/>
      <c r="V2" s="122"/>
      <c r="W2" s="122"/>
      <c r="X2" s="122">
        <f>SUM(L2:W2)</f>
        <v>71044180</v>
      </c>
    </row>
    <row r="3" spans="1:24">
      <c r="A3" s="114">
        <v>16</v>
      </c>
      <c r="B3" s="115" t="s">
        <v>72</v>
      </c>
      <c r="C3" s="116" t="s">
        <v>194</v>
      </c>
      <c r="D3" s="116" t="s">
        <v>195</v>
      </c>
      <c r="E3" s="117" t="s">
        <v>73</v>
      </c>
      <c r="F3" s="118" t="s">
        <v>325</v>
      </c>
      <c r="G3" s="150" t="s">
        <v>324</v>
      </c>
      <c r="H3" s="119"/>
      <c r="I3" s="119"/>
      <c r="J3" s="119"/>
      <c r="K3" s="119"/>
      <c r="L3" s="120">
        <v>226761650</v>
      </c>
      <c r="M3" s="120">
        <v>256324650</v>
      </c>
      <c r="N3" s="120">
        <v>292042100</v>
      </c>
      <c r="O3" s="120">
        <v>323145450</v>
      </c>
      <c r="P3" s="120">
        <v>316914550</v>
      </c>
      <c r="Q3" s="120">
        <v>392535250</v>
      </c>
      <c r="R3" s="121">
        <v>339365350</v>
      </c>
      <c r="S3" s="122">
        <v>334748900</v>
      </c>
      <c r="T3" s="122">
        <v>257500000</v>
      </c>
      <c r="U3" s="122">
        <v>257500000</v>
      </c>
      <c r="V3" s="122">
        <v>257500000</v>
      </c>
      <c r="W3" s="122">
        <v>257500000</v>
      </c>
      <c r="X3" s="122">
        <f>SUM(L3:W3)</f>
        <v>3511837900</v>
      </c>
    </row>
    <row r="4" spans="1:24">
      <c r="A4" s="114">
        <v>12</v>
      </c>
      <c r="B4" s="115" t="s">
        <v>57</v>
      </c>
      <c r="C4" s="116" t="s">
        <v>196</v>
      </c>
      <c r="D4" s="116" t="s">
        <v>197</v>
      </c>
      <c r="E4" s="117" t="s">
        <v>58</v>
      </c>
      <c r="F4" s="118" t="s">
        <v>325</v>
      </c>
      <c r="G4" s="150" t="s">
        <v>324</v>
      </c>
      <c r="H4" s="119"/>
      <c r="I4" s="119"/>
      <c r="J4" s="119"/>
      <c r="K4" s="119"/>
      <c r="L4" s="120">
        <v>41679000</v>
      </c>
      <c r="M4" s="120">
        <v>43129000</v>
      </c>
      <c r="N4" s="120">
        <v>43840000</v>
      </c>
      <c r="O4" s="120">
        <v>44309000</v>
      </c>
      <c r="P4" s="120">
        <v>45633000</v>
      </c>
      <c r="Q4" s="120">
        <v>50139000</v>
      </c>
      <c r="R4" s="121">
        <v>49568000</v>
      </c>
      <c r="S4" s="122">
        <v>51903000</v>
      </c>
      <c r="T4" s="122"/>
      <c r="U4" s="122"/>
      <c r="V4" s="122"/>
      <c r="W4" s="122"/>
      <c r="X4" s="122">
        <f>SUM(L4:W4)</f>
        <v>370200000</v>
      </c>
    </row>
    <row r="5" spans="1:24">
      <c r="A5" s="114">
        <v>1</v>
      </c>
      <c r="B5" s="115" t="s">
        <v>155</v>
      </c>
      <c r="C5" s="116" t="s">
        <v>198</v>
      </c>
      <c r="D5" s="116" t="s">
        <v>197</v>
      </c>
      <c r="E5" s="151" t="s">
        <v>156</v>
      </c>
      <c r="F5" s="118" t="s">
        <v>325</v>
      </c>
      <c r="G5" s="150" t="s">
        <v>324</v>
      </c>
      <c r="H5" s="152"/>
      <c r="I5" s="152"/>
      <c r="J5" s="152"/>
      <c r="K5" s="152"/>
      <c r="L5" s="120">
        <v>6947020</v>
      </c>
      <c r="M5" s="120">
        <v>7634020</v>
      </c>
      <c r="N5" s="120">
        <v>5744020</v>
      </c>
      <c r="O5" s="120">
        <v>6804020</v>
      </c>
      <c r="P5" s="120">
        <v>6757700</v>
      </c>
      <c r="Q5" s="120">
        <v>6774020</v>
      </c>
      <c r="R5" s="121">
        <v>5927700</v>
      </c>
      <c r="S5" s="122">
        <v>7817700</v>
      </c>
      <c r="T5" s="127">
        <v>5744020</v>
      </c>
      <c r="U5" s="127">
        <v>5744020</v>
      </c>
      <c r="V5" s="127">
        <v>5744020</v>
      </c>
      <c r="W5" s="128" t="s">
        <v>19</v>
      </c>
      <c r="X5" s="122">
        <f>SUM(L5:W5)</f>
        <v>71638260</v>
      </c>
    </row>
    <row r="6" spans="1:24">
      <c r="A6" s="114">
        <v>1</v>
      </c>
      <c r="B6" s="115" t="s">
        <v>17</v>
      </c>
      <c r="C6" s="116" t="s">
        <v>194</v>
      </c>
      <c r="D6" s="116" t="s">
        <v>199</v>
      </c>
      <c r="E6" s="117" t="s">
        <v>18</v>
      </c>
      <c r="F6" s="118">
        <v>2015</v>
      </c>
      <c r="G6" s="119">
        <v>5000000</v>
      </c>
      <c r="H6" s="119">
        <f>G6*2</f>
        <v>10000000</v>
      </c>
      <c r="I6" s="119">
        <f>(G6+H6)/36</f>
        <v>416666.66666666669</v>
      </c>
      <c r="J6" s="119">
        <f>I6*0.7</f>
        <v>291666.66666666669</v>
      </c>
      <c r="K6" s="119">
        <f t="shared" ref="K6:K69" si="0">(I6-J6)</f>
        <v>125000</v>
      </c>
      <c r="L6" s="120">
        <v>111405</v>
      </c>
      <c r="M6" s="120">
        <v>111405</v>
      </c>
      <c r="N6" s="120">
        <v>111405</v>
      </c>
      <c r="O6" s="120">
        <v>111405</v>
      </c>
      <c r="P6" s="120">
        <v>111405</v>
      </c>
      <c r="Q6" s="120">
        <v>111405</v>
      </c>
      <c r="R6" s="121">
        <v>111405</v>
      </c>
      <c r="S6" s="122">
        <v>111405</v>
      </c>
      <c r="T6" s="122">
        <v>111405</v>
      </c>
      <c r="U6" s="122">
        <v>111405</v>
      </c>
      <c r="V6" s="122">
        <v>111405</v>
      </c>
      <c r="W6" s="122">
        <v>111405</v>
      </c>
      <c r="X6" s="122">
        <f t="shared" ref="X6:X45" si="1">SUM(L6:W6)</f>
        <v>1336860</v>
      </c>
    </row>
    <row r="7" spans="1:24">
      <c r="A7" s="114">
        <v>3</v>
      </c>
      <c r="B7" s="115" t="s">
        <v>26</v>
      </c>
      <c r="C7" s="116" t="s">
        <v>194</v>
      </c>
      <c r="D7" s="116" t="s">
        <v>200</v>
      </c>
      <c r="E7" s="117" t="s">
        <v>27</v>
      </c>
      <c r="F7" s="118">
        <v>2015</v>
      </c>
      <c r="G7" s="119">
        <v>8000000</v>
      </c>
      <c r="H7" s="119">
        <f t="shared" ref="H7:H70" si="2">G7*2</f>
        <v>16000000</v>
      </c>
      <c r="I7" s="119">
        <f t="shared" ref="I7:I70" si="3">(G7+H7)/36</f>
        <v>666666.66666666663</v>
      </c>
      <c r="J7" s="119">
        <f t="shared" ref="J7:J70" si="4">I7*0.7</f>
        <v>466666.66666666663</v>
      </c>
      <c r="K7" s="119">
        <f t="shared" si="0"/>
        <v>200000</v>
      </c>
      <c r="L7" s="120">
        <v>470000</v>
      </c>
      <c r="M7" s="120">
        <v>470000</v>
      </c>
      <c r="N7" s="120">
        <v>470000</v>
      </c>
      <c r="O7" s="120">
        <v>470000</v>
      </c>
      <c r="P7" s="120">
        <v>470000</v>
      </c>
      <c r="Q7" s="120">
        <v>470000</v>
      </c>
      <c r="R7" s="121">
        <v>470000</v>
      </c>
      <c r="S7" s="122">
        <v>470000</v>
      </c>
      <c r="T7" s="122">
        <v>470000</v>
      </c>
      <c r="U7" s="122">
        <v>470000</v>
      </c>
      <c r="V7" s="122">
        <v>470000</v>
      </c>
      <c r="W7" s="122">
        <v>470000</v>
      </c>
      <c r="X7" s="122">
        <f t="shared" si="1"/>
        <v>5640000</v>
      </c>
    </row>
    <row r="8" spans="1:24">
      <c r="A8" s="114">
        <v>4</v>
      </c>
      <c r="B8" s="115" t="s">
        <v>29</v>
      </c>
      <c r="C8" s="116" t="s">
        <v>194</v>
      </c>
      <c r="D8" s="116" t="s">
        <v>201</v>
      </c>
      <c r="E8" s="117" t="s">
        <v>30</v>
      </c>
      <c r="F8" s="118">
        <v>2020</v>
      </c>
      <c r="G8" s="119">
        <v>2000000</v>
      </c>
      <c r="H8" s="119">
        <f t="shared" si="2"/>
        <v>4000000</v>
      </c>
      <c r="I8" s="119">
        <f t="shared" si="3"/>
        <v>166666.66666666666</v>
      </c>
      <c r="J8" s="119">
        <f t="shared" si="4"/>
        <v>116666.66666666666</v>
      </c>
      <c r="K8" s="119">
        <f t="shared" si="0"/>
        <v>50000</v>
      </c>
      <c r="L8" s="120">
        <v>150000</v>
      </c>
      <c r="M8" s="120">
        <v>150000</v>
      </c>
      <c r="N8" s="120">
        <v>150000</v>
      </c>
      <c r="O8" s="120">
        <v>150000</v>
      </c>
      <c r="P8" s="120">
        <v>150000</v>
      </c>
      <c r="Q8" s="120">
        <v>150000</v>
      </c>
      <c r="R8" s="121">
        <v>150000</v>
      </c>
      <c r="S8" s="122">
        <v>150000</v>
      </c>
      <c r="T8" s="122">
        <v>150000</v>
      </c>
      <c r="U8" s="122">
        <v>150000</v>
      </c>
      <c r="V8" s="122">
        <v>150000</v>
      </c>
      <c r="W8" s="122">
        <v>150000</v>
      </c>
      <c r="X8" s="122">
        <f t="shared" si="1"/>
        <v>1800000</v>
      </c>
    </row>
    <row r="9" spans="1:24">
      <c r="A9" s="114">
        <v>5</v>
      </c>
      <c r="B9" s="115" t="s">
        <v>33</v>
      </c>
      <c r="C9" s="116" t="s">
        <v>194</v>
      </c>
      <c r="D9" s="116" t="s">
        <v>195</v>
      </c>
      <c r="E9" s="117" t="s">
        <v>34</v>
      </c>
      <c r="F9" s="118">
        <v>2022</v>
      </c>
      <c r="G9" s="119">
        <v>4000000</v>
      </c>
      <c r="H9" s="119">
        <f t="shared" si="2"/>
        <v>8000000</v>
      </c>
      <c r="I9" s="119">
        <f t="shared" si="3"/>
        <v>333333.33333333331</v>
      </c>
      <c r="J9" s="119">
        <f t="shared" si="4"/>
        <v>233333.33333333331</v>
      </c>
      <c r="K9" s="119">
        <f t="shared" si="0"/>
        <v>100000</v>
      </c>
      <c r="L9" s="120">
        <v>200000</v>
      </c>
      <c r="M9" s="120">
        <v>200000</v>
      </c>
      <c r="N9" s="120">
        <v>200000</v>
      </c>
      <c r="O9" s="120">
        <v>200000</v>
      </c>
      <c r="P9" s="120">
        <v>200000</v>
      </c>
      <c r="Q9" s="120">
        <v>200000</v>
      </c>
      <c r="R9" s="121">
        <v>200000</v>
      </c>
      <c r="S9" s="122">
        <v>200000</v>
      </c>
      <c r="T9" s="122">
        <v>200000</v>
      </c>
      <c r="U9" s="122">
        <v>200000</v>
      </c>
      <c r="V9" s="122">
        <v>200000</v>
      </c>
      <c r="W9" s="122">
        <v>200000</v>
      </c>
      <c r="X9" s="122">
        <f t="shared" si="1"/>
        <v>2400000</v>
      </c>
    </row>
    <row r="10" spans="1:24">
      <c r="A10" s="114">
        <v>6</v>
      </c>
      <c r="B10" s="115" t="s">
        <v>37</v>
      </c>
      <c r="C10" s="116" t="s">
        <v>194</v>
      </c>
      <c r="D10" s="116" t="s">
        <v>202</v>
      </c>
      <c r="E10" s="117" t="s">
        <v>38</v>
      </c>
      <c r="F10" s="118">
        <v>2021</v>
      </c>
      <c r="G10" s="119">
        <v>1500000</v>
      </c>
      <c r="H10" s="119">
        <f t="shared" si="2"/>
        <v>3000000</v>
      </c>
      <c r="I10" s="119">
        <f t="shared" si="3"/>
        <v>125000</v>
      </c>
      <c r="J10" s="119">
        <f t="shared" si="4"/>
        <v>87500</v>
      </c>
      <c r="K10" s="119">
        <f t="shared" si="0"/>
        <v>37500</v>
      </c>
      <c r="L10" s="120">
        <v>141670</v>
      </c>
      <c r="M10" s="120">
        <v>141670</v>
      </c>
      <c r="N10" s="120">
        <v>141670</v>
      </c>
      <c r="O10" s="120">
        <v>141670</v>
      </c>
      <c r="P10" s="120">
        <v>141670</v>
      </c>
      <c r="Q10" s="120">
        <v>141670</v>
      </c>
      <c r="R10" s="121">
        <v>141670</v>
      </c>
      <c r="S10" s="122">
        <v>141670</v>
      </c>
      <c r="T10" s="122">
        <v>141670</v>
      </c>
      <c r="U10" s="122">
        <v>141670</v>
      </c>
      <c r="V10" s="122">
        <v>141670</v>
      </c>
      <c r="W10" s="122">
        <v>141670</v>
      </c>
      <c r="X10" s="122">
        <f t="shared" si="1"/>
        <v>1700040</v>
      </c>
    </row>
    <row r="11" spans="1:24">
      <c r="A11" s="114">
        <v>7</v>
      </c>
      <c r="B11" s="115" t="s">
        <v>40</v>
      </c>
      <c r="C11" s="116" t="s">
        <v>194</v>
      </c>
      <c r="D11" s="116" t="s">
        <v>201</v>
      </c>
      <c r="E11" s="117" t="s">
        <v>41</v>
      </c>
      <c r="F11" s="118">
        <v>2015</v>
      </c>
      <c r="G11" s="119">
        <v>3000000</v>
      </c>
      <c r="H11" s="119">
        <f t="shared" si="2"/>
        <v>6000000</v>
      </c>
      <c r="I11" s="119">
        <f t="shared" si="3"/>
        <v>250000</v>
      </c>
      <c r="J11" s="119">
        <f t="shared" si="4"/>
        <v>175000</v>
      </c>
      <c r="K11" s="119">
        <f t="shared" si="0"/>
        <v>75000</v>
      </c>
      <c r="L11" s="120">
        <v>233000</v>
      </c>
      <c r="M11" s="120">
        <v>233000</v>
      </c>
      <c r="N11" s="120">
        <v>233000</v>
      </c>
      <c r="O11" s="120">
        <v>233000</v>
      </c>
      <c r="P11" s="120">
        <v>233000</v>
      </c>
      <c r="Q11" s="120">
        <v>233000</v>
      </c>
      <c r="R11" s="121">
        <v>233000</v>
      </c>
      <c r="S11" s="122">
        <v>233000</v>
      </c>
      <c r="T11" s="122">
        <v>233000</v>
      </c>
      <c r="U11" s="122">
        <v>233000</v>
      </c>
      <c r="V11" s="122">
        <v>233000</v>
      </c>
      <c r="W11" s="122">
        <v>233000</v>
      </c>
      <c r="X11" s="122">
        <f t="shared" si="1"/>
        <v>2796000</v>
      </c>
    </row>
    <row r="12" spans="1:24">
      <c r="A12" s="114">
        <v>8</v>
      </c>
      <c r="B12" s="115" t="s">
        <v>43</v>
      </c>
      <c r="C12" s="116" t="s">
        <v>194</v>
      </c>
      <c r="D12" s="116" t="s">
        <v>203</v>
      </c>
      <c r="E12" s="117" t="s">
        <v>44</v>
      </c>
      <c r="F12" s="118">
        <v>2016</v>
      </c>
      <c r="G12" s="119">
        <v>72500000</v>
      </c>
      <c r="H12" s="119">
        <f t="shared" si="2"/>
        <v>145000000</v>
      </c>
      <c r="I12" s="119">
        <f t="shared" si="3"/>
        <v>6041666.666666667</v>
      </c>
      <c r="J12" s="119">
        <f t="shared" si="4"/>
        <v>4229166.666666667</v>
      </c>
      <c r="K12" s="119">
        <f t="shared" si="0"/>
        <v>1812500</v>
      </c>
      <c r="L12" s="120">
        <v>2150000</v>
      </c>
      <c r="M12" s="120">
        <v>2161000</v>
      </c>
      <c r="N12" s="120">
        <v>2161000</v>
      </c>
      <c r="O12" s="120">
        <v>2161000</v>
      </c>
      <c r="P12" s="120">
        <v>2161000</v>
      </c>
      <c r="Q12" s="120">
        <v>2161000</v>
      </c>
      <c r="R12" s="121">
        <v>2161000</v>
      </c>
      <c r="S12" s="122">
        <v>2161000</v>
      </c>
      <c r="T12" s="122">
        <v>2161000</v>
      </c>
      <c r="U12" s="122">
        <v>2161000</v>
      </c>
      <c r="V12" s="122">
        <v>2161000</v>
      </c>
      <c r="W12" s="122">
        <v>2161000</v>
      </c>
      <c r="X12" s="122">
        <f t="shared" si="1"/>
        <v>25921000</v>
      </c>
    </row>
    <row r="13" spans="1:24">
      <c r="A13" s="114">
        <v>9</v>
      </c>
      <c r="B13" s="115" t="s">
        <v>47</v>
      </c>
      <c r="C13" s="116" t="s">
        <v>194</v>
      </c>
      <c r="D13" s="116" t="s">
        <v>205</v>
      </c>
      <c r="E13" s="117" t="s">
        <v>48</v>
      </c>
      <c r="F13" s="118">
        <v>2018</v>
      </c>
      <c r="G13" s="119">
        <v>5000000</v>
      </c>
      <c r="H13" s="119">
        <f t="shared" si="2"/>
        <v>10000000</v>
      </c>
      <c r="I13" s="119">
        <f t="shared" si="3"/>
        <v>416666.66666666669</v>
      </c>
      <c r="J13" s="123">
        <f t="shared" si="4"/>
        <v>291666.66666666669</v>
      </c>
      <c r="K13" s="119">
        <f t="shared" si="0"/>
        <v>125000</v>
      </c>
      <c r="L13" s="120">
        <v>580650</v>
      </c>
      <c r="M13" s="120">
        <v>580650</v>
      </c>
      <c r="N13" s="120">
        <v>580650</v>
      </c>
      <c r="O13" s="120">
        <v>580650</v>
      </c>
      <c r="P13" s="120">
        <v>580650</v>
      </c>
      <c r="Q13" s="120">
        <v>580650</v>
      </c>
      <c r="R13" s="121">
        <v>580650</v>
      </c>
      <c r="S13" s="122">
        <v>580650</v>
      </c>
      <c r="T13" s="122">
        <v>580650</v>
      </c>
      <c r="U13" s="122">
        <v>580650</v>
      </c>
      <c r="V13" s="122">
        <v>580650</v>
      </c>
      <c r="W13" s="122">
        <v>580650</v>
      </c>
      <c r="X13" s="122">
        <f t="shared" si="1"/>
        <v>6967800</v>
      </c>
    </row>
    <row r="14" spans="1:24">
      <c r="A14" s="114">
        <v>10</v>
      </c>
      <c r="B14" s="115" t="s">
        <v>51</v>
      </c>
      <c r="C14" s="116" t="s">
        <v>194</v>
      </c>
      <c r="D14" s="116" t="s">
        <v>204</v>
      </c>
      <c r="E14" s="117" t="s">
        <v>52</v>
      </c>
      <c r="F14" s="118">
        <v>2018</v>
      </c>
      <c r="G14" s="119">
        <v>3000000</v>
      </c>
      <c r="H14" s="119">
        <f t="shared" si="2"/>
        <v>6000000</v>
      </c>
      <c r="I14" s="119">
        <f t="shared" si="3"/>
        <v>250000</v>
      </c>
      <c r="J14" s="119">
        <f t="shared" si="4"/>
        <v>175000</v>
      </c>
      <c r="K14" s="119">
        <f t="shared" si="0"/>
        <v>75000</v>
      </c>
      <c r="L14" s="120">
        <v>450000</v>
      </c>
      <c r="M14" s="120">
        <v>450000</v>
      </c>
      <c r="N14" s="120">
        <v>450000</v>
      </c>
      <c r="O14" s="120">
        <v>450000</v>
      </c>
      <c r="P14" s="120">
        <v>450000</v>
      </c>
      <c r="Q14" s="120">
        <v>450000</v>
      </c>
      <c r="R14" s="121">
        <v>450000</v>
      </c>
      <c r="S14" s="122">
        <v>450000</v>
      </c>
      <c r="T14" s="122">
        <v>450000</v>
      </c>
      <c r="U14" s="122">
        <v>450000</v>
      </c>
      <c r="V14" s="122">
        <v>450000</v>
      </c>
      <c r="W14" s="122">
        <v>450000</v>
      </c>
      <c r="X14" s="122">
        <f t="shared" si="1"/>
        <v>5400000</v>
      </c>
    </row>
    <row r="15" spans="1:24">
      <c r="A15" s="114">
        <v>11</v>
      </c>
      <c r="B15" s="115" t="s">
        <v>54</v>
      </c>
      <c r="C15" s="116" t="s">
        <v>194</v>
      </c>
      <c r="D15" s="116" t="s">
        <v>200</v>
      </c>
      <c r="E15" s="117" t="s">
        <v>55</v>
      </c>
      <c r="F15" s="118">
        <v>2018</v>
      </c>
      <c r="G15" s="119">
        <v>5000000</v>
      </c>
      <c r="H15" s="119">
        <f t="shared" si="2"/>
        <v>10000000</v>
      </c>
      <c r="I15" s="119">
        <f t="shared" si="3"/>
        <v>416666.66666666669</v>
      </c>
      <c r="J15" s="119">
        <f t="shared" si="4"/>
        <v>291666.66666666669</v>
      </c>
      <c r="K15" s="119">
        <f t="shared" si="0"/>
        <v>125000</v>
      </c>
      <c r="L15" s="120">
        <v>450000</v>
      </c>
      <c r="M15" s="120">
        <v>450000</v>
      </c>
      <c r="N15" s="120">
        <v>450000</v>
      </c>
      <c r="O15" s="120">
        <v>450000</v>
      </c>
      <c r="P15" s="120">
        <v>450000</v>
      </c>
      <c r="Q15" s="120">
        <v>450000</v>
      </c>
      <c r="R15" s="121">
        <v>450000</v>
      </c>
      <c r="S15" s="122">
        <v>450000</v>
      </c>
      <c r="T15" s="122">
        <v>450000</v>
      </c>
      <c r="U15" s="122">
        <v>450000</v>
      </c>
      <c r="V15" s="122">
        <v>450000</v>
      </c>
      <c r="W15" s="122">
        <v>450000</v>
      </c>
      <c r="X15" s="122">
        <f t="shared" si="1"/>
        <v>5400000</v>
      </c>
    </row>
    <row r="16" spans="1:24">
      <c r="A16" s="114">
        <v>13</v>
      </c>
      <c r="B16" s="115" t="s">
        <v>61</v>
      </c>
      <c r="C16" s="116" t="s">
        <v>194</v>
      </c>
      <c r="D16" s="116" t="s">
        <v>202</v>
      </c>
      <c r="E16" s="117" t="s">
        <v>62</v>
      </c>
      <c r="F16" s="118">
        <v>2020</v>
      </c>
      <c r="G16" s="119">
        <v>3000000</v>
      </c>
      <c r="H16" s="119">
        <f t="shared" si="2"/>
        <v>6000000</v>
      </c>
      <c r="I16" s="119">
        <f t="shared" si="3"/>
        <v>250000</v>
      </c>
      <c r="J16" s="119">
        <f t="shared" si="4"/>
        <v>175000</v>
      </c>
      <c r="K16" s="119">
        <f t="shared" si="0"/>
        <v>75000</v>
      </c>
      <c r="L16" s="120">
        <v>475000</v>
      </c>
      <c r="M16" s="120">
        <v>475000</v>
      </c>
      <c r="N16" s="120">
        <v>475000</v>
      </c>
      <c r="O16" s="120">
        <v>475000</v>
      </c>
      <c r="P16" s="120">
        <v>475000</v>
      </c>
      <c r="Q16" s="120">
        <v>475000</v>
      </c>
      <c r="R16" s="121">
        <v>475000</v>
      </c>
      <c r="S16" s="122">
        <v>475000</v>
      </c>
      <c r="T16" s="122">
        <v>475000</v>
      </c>
      <c r="U16" s="122">
        <v>475000</v>
      </c>
      <c r="V16" s="122">
        <v>475000</v>
      </c>
      <c r="W16" s="122">
        <v>475000</v>
      </c>
      <c r="X16" s="122">
        <f t="shared" si="1"/>
        <v>5700000</v>
      </c>
    </row>
    <row r="17" spans="1:24">
      <c r="A17" s="114">
        <v>14</v>
      </c>
      <c r="B17" s="115" t="s">
        <v>64</v>
      </c>
      <c r="C17" s="116" t="s">
        <v>194</v>
      </c>
      <c r="D17" s="116" t="s">
        <v>204</v>
      </c>
      <c r="E17" s="117" t="s">
        <v>65</v>
      </c>
      <c r="F17" s="118">
        <v>2018</v>
      </c>
      <c r="G17" s="119">
        <v>5000000</v>
      </c>
      <c r="H17" s="119">
        <f t="shared" si="2"/>
        <v>10000000</v>
      </c>
      <c r="I17" s="119">
        <f t="shared" si="3"/>
        <v>416666.66666666669</v>
      </c>
      <c r="J17" s="119">
        <f t="shared" si="4"/>
        <v>291666.66666666669</v>
      </c>
      <c r="K17" s="119">
        <f t="shared" si="0"/>
        <v>125000</v>
      </c>
      <c r="L17" s="120">
        <v>450000</v>
      </c>
      <c r="M17" s="120">
        <v>450000</v>
      </c>
      <c r="N17" s="120">
        <v>450000</v>
      </c>
      <c r="O17" s="120">
        <v>450000</v>
      </c>
      <c r="P17" s="120">
        <v>450000</v>
      </c>
      <c r="Q17" s="120">
        <v>450000</v>
      </c>
      <c r="R17" s="121">
        <v>450000</v>
      </c>
      <c r="S17" s="122">
        <v>450000</v>
      </c>
      <c r="T17" s="122">
        <v>450000</v>
      </c>
      <c r="U17" s="122">
        <v>450000</v>
      </c>
      <c r="V17" s="122">
        <v>450000</v>
      </c>
      <c r="W17" s="122">
        <v>450000</v>
      </c>
      <c r="X17" s="122">
        <f t="shared" si="1"/>
        <v>5400000</v>
      </c>
    </row>
    <row r="18" spans="1:24">
      <c r="A18" s="114">
        <v>15</v>
      </c>
      <c r="B18" s="115" t="s">
        <v>68</v>
      </c>
      <c r="C18" s="116" t="s">
        <v>194</v>
      </c>
      <c r="D18" s="116" t="s">
        <v>195</v>
      </c>
      <c r="E18" s="117" t="s">
        <v>69</v>
      </c>
      <c r="F18" s="118">
        <v>2018</v>
      </c>
      <c r="G18" s="119">
        <v>3000000</v>
      </c>
      <c r="H18" s="119">
        <f t="shared" si="2"/>
        <v>6000000</v>
      </c>
      <c r="I18" s="119">
        <f t="shared" si="3"/>
        <v>250000</v>
      </c>
      <c r="J18" s="119">
        <f t="shared" si="4"/>
        <v>175000</v>
      </c>
      <c r="K18" s="119">
        <f t="shared" si="0"/>
        <v>75000</v>
      </c>
      <c r="L18" s="120">
        <v>450000</v>
      </c>
      <c r="M18" s="120">
        <v>450000</v>
      </c>
      <c r="N18" s="120">
        <v>450000</v>
      </c>
      <c r="O18" s="120">
        <v>450000</v>
      </c>
      <c r="P18" s="120">
        <v>450000</v>
      </c>
      <c r="Q18" s="120">
        <v>450000</v>
      </c>
      <c r="R18" s="121">
        <v>450000</v>
      </c>
      <c r="S18" s="122">
        <v>450000</v>
      </c>
      <c r="T18" s="122">
        <v>450000</v>
      </c>
      <c r="U18" s="122">
        <v>450000</v>
      </c>
      <c r="V18" s="122">
        <v>450000</v>
      </c>
      <c r="W18" s="122">
        <v>450000</v>
      </c>
      <c r="X18" s="122">
        <f t="shared" si="1"/>
        <v>5400000</v>
      </c>
    </row>
    <row r="19" spans="1:24">
      <c r="A19" s="114">
        <v>17</v>
      </c>
      <c r="B19" s="115" t="s">
        <v>76</v>
      </c>
      <c r="C19" s="116" t="s">
        <v>194</v>
      </c>
      <c r="D19" s="116" t="s">
        <v>201</v>
      </c>
      <c r="E19" s="117" t="s">
        <v>77</v>
      </c>
      <c r="F19" s="118">
        <v>2019</v>
      </c>
      <c r="G19" s="119">
        <v>6000000</v>
      </c>
      <c r="H19" s="119">
        <f t="shared" si="2"/>
        <v>12000000</v>
      </c>
      <c r="I19" s="119">
        <f t="shared" si="3"/>
        <v>500000</v>
      </c>
      <c r="J19" s="119">
        <f t="shared" si="4"/>
        <v>350000</v>
      </c>
      <c r="K19" s="119">
        <f t="shared" si="0"/>
        <v>150000</v>
      </c>
      <c r="L19" s="120">
        <v>340890</v>
      </c>
      <c r="M19" s="120">
        <v>340890</v>
      </c>
      <c r="N19" s="120">
        <v>340890</v>
      </c>
      <c r="O19" s="120">
        <v>340890</v>
      </c>
      <c r="P19" s="120">
        <v>340890</v>
      </c>
      <c r="Q19" s="120">
        <v>340890</v>
      </c>
      <c r="R19" s="121">
        <v>340890</v>
      </c>
      <c r="S19" s="122">
        <v>340890</v>
      </c>
      <c r="T19" s="122">
        <v>340890</v>
      </c>
      <c r="U19" s="122">
        <v>340890</v>
      </c>
      <c r="V19" s="122">
        <v>340890</v>
      </c>
      <c r="W19" s="122">
        <v>340890</v>
      </c>
      <c r="X19" s="122">
        <f t="shared" si="1"/>
        <v>4090680</v>
      </c>
    </row>
    <row r="20" spans="1:24">
      <c r="A20" s="114">
        <v>18</v>
      </c>
      <c r="B20" s="115" t="s">
        <v>79</v>
      </c>
      <c r="C20" s="116" t="s">
        <v>194</v>
      </c>
      <c r="D20" s="116" t="s">
        <v>206</v>
      </c>
      <c r="E20" s="117" t="s">
        <v>80</v>
      </c>
      <c r="F20" s="118">
        <v>2020</v>
      </c>
      <c r="G20" s="119">
        <v>3000000</v>
      </c>
      <c r="H20" s="119">
        <f t="shared" si="2"/>
        <v>6000000</v>
      </c>
      <c r="I20" s="119">
        <f t="shared" si="3"/>
        <v>250000</v>
      </c>
      <c r="J20" s="119">
        <f t="shared" si="4"/>
        <v>175000</v>
      </c>
      <c r="K20" s="119">
        <f t="shared" si="0"/>
        <v>75000</v>
      </c>
      <c r="L20" s="120">
        <v>337500</v>
      </c>
      <c r="M20" s="120">
        <v>337500</v>
      </c>
      <c r="N20" s="120">
        <v>337500</v>
      </c>
      <c r="O20" s="120">
        <v>337500</v>
      </c>
      <c r="P20" s="120">
        <v>337500</v>
      </c>
      <c r="Q20" s="120">
        <v>337500</v>
      </c>
      <c r="R20" s="121">
        <v>337500</v>
      </c>
      <c r="S20" s="122">
        <v>337500</v>
      </c>
      <c r="T20" s="122">
        <v>337500</v>
      </c>
      <c r="U20" s="122">
        <v>337500</v>
      </c>
      <c r="V20" s="122">
        <v>337500</v>
      </c>
      <c r="W20" s="122">
        <v>337500</v>
      </c>
      <c r="X20" s="122">
        <f t="shared" si="1"/>
        <v>4050000</v>
      </c>
    </row>
    <row r="21" spans="1:24">
      <c r="A21" s="114">
        <v>19</v>
      </c>
      <c r="B21" s="115" t="s">
        <v>82</v>
      </c>
      <c r="C21" s="116" t="s">
        <v>194</v>
      </c>
      <c r="D21" s="116" t="s">
        <v>204</v>
      </c>
      <c r="E21" s="117" t="s">
        <v>326</v>
      </c>
      <c r="F21" s="118">
        <v>2020</v>
      </c>
      <c r="G21" s="119">
        <v>3500000</v>
      </c>
      <c r="H21" s="119">
        <f t="shared" si="2"/>
        <v>7000000</v>
      </c>
      <c r="I21" s="119">
        <f t="shared" si="3"/>
        <v>291666.66666666669</v>
      </c>
      <c r="J21" s="119">
        <f t="shared" si="4"/>
        <v>204166.66666666666</v>
      </c>
      <c r="K21" s="119">
        <f t="shared" si="0"/>
        <v>87500.000000000029</v>
      </c>
      <c r="L21" s="120">
        <v>900000</v>
      </c>
      <c r="M21" s="120">
        <v>900000</v>
      </c>
      <c r="N21" s="120">
        <v>900000</v>
      </c>
      <c r="O21" s="120">
        <v>900000</v>
      </c>
      <c r="P21" s="120">
        <v>900000</v>
      </c>
      <c r="Q21" s="120">
        <v>900000</v>
      </c>
      <c r="R21" s="121">
        <v>900000</v>
      </c>
      <c r="S21" s="122">
        <v>900000</v>
      </c>
      <c r="T21" s="122">
        <v>900000</v>
      </c>
      <c r="U21" s="122">
        <v>900000</v>
      </c>
      <c r="V21" s="122">
        <v>900000</v>
      </c>
      <c r="W21" s="122">
        <v>900000</v>
      </c>
      <c r="X21" s="122">
        <f t="shared" si="1"/>
        <v>10800000</v>
      </c>
    </row>
    <row r="22" spans="1:24">
      <c r="A22" s="114">
        <v>20</v>
      </c>
      <c r="B22" s="115" t="s">
        <v>86</v>
      </c>
      <c r="C22" s="116" t="s">
        <v>194</v>
      </c>
      <c r="D22" s="116" t="s">
        <v>199</v>
      </c>
      <c r="E22" s="117" t="s">
        <v>327</v>
      </c>
      <c r="F22" s="118">
        <v>2020</v>
      </c>
      <c r="G22" s="119">
        <v>3500000</v>
      </c>
      <c r="H22" s="119">
        <f t="shared" si="2"/>
        <v>7000000</v>
      </c>
      <c r="I22" s="119">
        <f t="shared" si="3"/>
        <v>291666.66666666669</v>
      </c>
      <c r="J22" s="119">
        <f t="shared" si="4"/>
        <v>204166.66666666666</v>
      </c>
      <c r="K22" s="119">
        <f t="shared" si="0"/>
        <v>87500.000000000029</v>
      </c>
      <c r="L22" s="120">
        <v>899999</v>
      </c>
      <c r="M22" s="120">
        <v>900000</v>
      </c>
      <c r="N22" s="120">
        <v>900000</v>
      </c>
      <c r="O22" s="120">
        <v>900000</v>
      </c>
      <c r="P22" s="120">
        <v>899999</v>
      </c>
      <c r="Q22" s="120">
        <v>900000</v>
      </c>
      <c r="R22" s="121">
        <v>899999</v>
      </c>
      <c r="S22" s="122">
        <v>900000</v>
      </c>
      <c r="T22" s="122">
        <v>900000</v>
      </c>
      <c r="U22" s="122">
        <v>900000</v>
      </c>
      <c r="V22" s="122">
        <v>900000</v>
      </c>
      <c r="W22" s="122">
        <v>900000</v>
      </c>
      <c r="X22" s="122">
        <f t="shared" si="1"/>
        <v>10799997</v>
      </c>
    </row>
    <row r="23" spans="1:24">
      <c r="A23" s="114">
        <v>21</v>
      </c>
      <c r="B23" s="115" t="s">
        <v>95</v>
      </c>
      <c r="C23" s="116" t="s">
        <v>194</v>
      </c>
      <c r="D23" s="116" t="s">
        <v>202</v>
      </c>
      <c r="E23" s="117" t="s">
        <v>328</v>
      </c>
      <c r="F23" s="118">
        <v>2020</v>
      </c>
      <c r="G23" s="119">
        <v>6000000</v>
      </c>
      <c r="H23" s="119">
        <f t="shared" si="2"/>
        <v>12000000</v>
      </c>
      <c r="I23" s="119">
        <f t="shared" si="3"/>
        <v>500000</v>
      </c>
      <c r="J23" s="119">
        <f t="shared" si="4"/>
        <v>350000</v>
      </c>
      <c r="K23" s="119">
        <f t="shared" si="0"/>
        <v>150000</v>
      </c>
      <c r="L23" s="120">
        <v>900000</v>
      </c>
      <c r="M23" s="120">
        <v>900000</v>
      </c>
      <c r="N23" s="120">
        <v>900000</v>
      </c>
      <c r="O23" s="120">
        <v>900000</v>
      </c>
      <c r="P23" s="120">
        <v>900000</v>
      </c>
      <c r="Q23" s="120">
        <v>900000</v>
      </c>
      <c r="R23" s="121">
        <v>900000</v>
      </c>
      <c r="S23" s="122">
        <v>900000</v>
      </c>
      <c r="T23" s="122">
        <v>900000</v>
      </c>
      <c r="U23" s="122">
        <v>900000</v>
      </c>
      <c r="V23" s="122">
        <v>900000</v>
      </c>
      <c r="W23" s="122">
        <v>900000</v>
      </c>
      <c r="X23" s="122">
        <f t="shared" si="1"/>
        <v>10800000</v>
      </c>
    </row>
    <row r="24" spans="1:24" s="141" customFormat="1">
      <c r="A24" s="114">
        <v>22</v>
      </c>
      <c r="B24" s="115" t="s">
        <v>98</v>
      </c>
      <c r="C24" s="116" t="s">
        <v>194</v>
      </c>
      <c r="D24" s="116" t="s">
        <v>202</v>
      </c>
      <c r="E24" s="117" t="s">
        <v>329</v>
      </c>
      <c r="F24" s="118">
        <v>2020</v>
      </c>
      <c r="G24" s="119">
        <v>9000000</v>
      </c>
      <c r="H24" s="119">
        <f t="shared" si="2"/>
        <v>18000000</v>
      </c>
      <c r="I24" s="119">
        <f t="shared" si="3"/>
        <v>750000</v>
      </c>
      <c r="J24" s="119">
        <f t="shared" si="4"/>
        <v>525000</v>
      </c>
      <c r="K24" s="119">
        <f t="shared" si="0"/>
        <v>225000</v>
      </c>
      <c r="L24" s="120">
        <v>1350000</v>
      </c>
      <c r="M24" s="120">
        <v>1350000</v>
      </c>
      <c r="N24" s="120">
        <v>1350000</v>
      </c>
      <c r="O24" s="120">
        <v>1350000</v>
      </c>
      <c r="P24" s="120">
        <v>1350000</v>
      </c>
      <c r="Q24" s="120">
        <v>1350000</v>
      </c>
      <c r="R24" s="121">
        <v>1350000</v>
      </c>
      <c r="S24" s="122">
        <v>1350000</v>
      </c>
      <c r="T24" s="122">
        <v>1350000</v>
      </c>
      <c r="U24" s="122">
        <v>1350000</v>
      </c>
      <c r="V24" s="122">
        <v>1350000</v>
      </c>
      <c r="W24" s="122">
        <v>1350000</v>
      </c>
      <c r="X24" s="122">
        <f t="shared" si="1"/>
        <v>16200000</v>
      </c>
    </row>
    <row r="25" spans="1:24" s="141" customFormat="1">
      <c r="A25" s="114">
        <v>23</v>
      </c>
      <c r="B25" s="115" t="s">
        <v>101</v>
      </c>
      <c r="C25" s="116" t="s">
        <v>194</v>
      </c>
      <c r="D25" s="116" t="s">
        <v>203</v>
      </c>
      <c r="E25" s="117" t="s">
        <v>102</v>
      </c>
      <c r="F25" s="118">
        <v>2020</v>
      </c>
      <c r="G25" s="119">
        <v>2000000</v>
      </c>
      <c r="H25" s="119">
        <f t="shared" si="2"/>
        <v>4000000</v>
      </c>
      <c r="I25" s="119">
        <f t="shared" si="3"/>
        <v>166666.66666666666</v>
      </c>
      <c r="J25" s="119">
        <f t="shared" si="4"/>
        <v>116666.66666666666</v>
      </c>
      <c r="K25" s="119">
        <f t="shared" si="0"/>
        <v>50000</v>
      </c>
      <c r="L25" s="120">
        <v>450000</v>
      </c>
      <c r="M25" s="120">
        <v>450000</v>
      </c>
      <c r="N25" s="120">
        <v>450000</v>
      </c>
      <c r="O25" s="120">
        <v>450000</v>
      </c>
      <c r="P25" s="120">
        <v>450000</v>
      </c>
      <c r="Q25" s="120">
        <v>450000</v>
      </c>
      <c r="R25" s="121">
        <v>450000</v>
      </c>
      <c r="S25" s="122">
        <v>450000</v>
      </c>
      <c r="T25" s="122">
        <v>450000</v>
      </c>
      <c r="U25" s="122">
        <v>450000</v>
      </c>
      <c r="V25" s="122">
        <v>450000</v>
      </c>
      <c r="W25" s="122">
        <v>450000</v>
      </c>
      <c r="X25" s="122">
        <f t="shared" si="1"/>
        <v>5400000</v>
      </c>
    </row>
    <row r="26" spans="1:24" s="141" customFormat="1">
      <c r="A26" s="114">
        <v>24</v>
      </c>
      <c r="B26" s="115" t="s">
        <v>104</v>
      </c>
      <c r="C26" s="116" t="s">
        <v>194</v>
      </c>
      <c r="D26" s="116" t="s">
        <v>204</v>
      </c>
      <c r="E26" s="117" t="s">
        <v>105</v>
      </c>
      <c r="F26" s="118">
        <v>2021</v>
      </c>
      <c r="G26" s="119">
        <v>5000000</v>
      </c>
      <c r="H26" s="119">
        <f t="shared" si="2"/>
        <v>10000000</v>
      </c>
      <c r="I26" s="119">
        <f t="shared" si="3"/>
        <v>416666.66666666669</v>
      </c>
      <c r="J26" s="119">
        <f t="shared" si="4"/>
        <v>291666.66666666669</v>
      </c>
      <c r="K26" s="119">
        <f t="shared" si="0"/>
        <v>125000</v>
      </c>
      <c r="L26" s="120">
        <v>450000</v>
      </c>
      <c r="M26" s="120">
        <v>450000</v>
      </c>
      <c r="N26" s="120">
        <v>450000</v>
      </c>
      <c r="O26" s="120">
        <v>450000</v>
      </c>
      <c r="P26" s="120">
        <v>450000</v>
      </c>
      <c r="Q26" s="120">
        <v>450000</v>
      </c>
      <c r="R26" s="121">
        <v>450000</v>
      </c>
      <c r="S26" s="122">
        <v>450000</v>
      </c>
      <c r="T26" s="122">
        <v>450000</v>
      </c>
      <c r="U26" s="122">
        <v>450000</v>
      </c>
      <c r="V26" s="122">
        <v>450000</v>
      </c>
      <c r="W26" s="122">
        <v>450000</v>
      </c>
      <c r="X26" s="122">
        <f t="shared" si="1"/>
        <v>5400000</v>
      </c>
    </row>
    <row r="27" spans="1:24" s="141" customFormat="1">
      <c r="A27" s="114">
        <v>25</v>
      </c>
      <c r="B27" s="115" t="s">
        <v>107</v>
      </c>
      <c r="C27" s="116" t="s">
        <v>194</v>
      </c>
      <c r="D27" s="116" t="s">
        <v>197</v>
      </c>
      <c r="E27" s="117" t="s">
        <v>108</v>
      </c>
      <c r="F27" s="118">
        <v>2021</v>
      </c>
      <c r="G27" s="119">
        <v>13500000</v>
      </c>
      <c r="H27" s="119">
        <f t="shared" si="2"/>
        <v>27000000</v>
      </c>
      <c r="I27" s="119">
        <f t="shared" si="3"/>
        <v>1125000</v>
      </c>
      <c r="J27" s="119">
        <f t="shared" si="4"/>
        <v>787500</v>
      </c>
      <c r="K27" s="119">
        <f t="shared" si="0"/>
        <v>337500</v>
      </c>
      <c r="L27" s="120">
        <v>1402000</v>
      </c>
      <c r="M27" s="120">
        <v>2149000</v>
      </c>
      <c r="N27" s="120">
        <v>1529000</v>
      </c>
      <c r="O27" s="120">
        <v>1529000</v>
      </c>
      <c r="P27" s="120">
        <v>1529000</v>
      </c>
      <c r="Q27" s="120">
        <v>1529000</v>
      </c>
      <c r="R27" s="121">
        <v>1529000</v>
      </c>
      <c r="S27" s="122">
        <v>1529000</v>
      </c>
      <c r="T27" s="122">
        <v>1529000</v>
      </c>
      <c r="U27" s="122">
        <v>1529000</v>
      </c>
      <c r="V27" s="122">
        <v>1529000</v>
      </c>
      <c r="W27" s="122">
        <v>1529000</v>
      </c>
      <c r="X27" s="122">
        <f t="shared" si="1"/>
        <v>18841000</v>
      </c>
    </row>
    <row r="28" spans="1:24" s="141" customFormat="1">
      <c r="A28" s="114">
        <v>26</v>
      </c>
      <c r="B28" s="115" t="s">
        <v>110</v>
      </c>
      <c r="C28" s="116" t="s">
        <v>194</v>
      </c>
      <c r="D28" s="116" t="s">
        <v>204</v>
      </c>
      <c r="E28" s="117" t="s">
        <v>111</v>
      </c>
      <c r="F28" s="118">
        <v>2021</v>
      </c>
      <c r="G28" s="119">
        <v>4000000</v>
      </c>
      <c r="H28" s="119">
        <f t="shared" si="2"/>
        <v>8000000</v>
      </c>
      <c r="I28" s="119">
        <f t="shared" si="3"/>
        <v>333333.33333333331</v>
      </c>
      <c r="J28" s="119">
        <f t="shared" si="4"/>
        <v>233333.33333333331</v>
      </c>
      <c r="K28" s="119">
        <f t="shared" si="0"/>
        <v>100000</v>
      </c>
      <c r="L28" s="120">
        <v>450000</v>
      </c>
      <c r="M28" s="120">
        <v>450000</v>
      </c>
      <c r="N28" s="120">
        <v>450000</v>
      </c>
      <c r="O28" s="120">
        <v>450000</v>
      </c>
      <c r="P28" s="120">
        <v>450000</v>
      </c>
      <c r="Q28" s="120">
        <v>450000</v>
      </c>
      <c r="R28" s="121">
        <v>450000</v>
      </c>
      <c r="S28" s="122">
        <v>450000</v>
      </c>
      <c r="T28" s="122">
        <v>450000</v>
      </c>
      <c r="U28" s="122">
        <v>450000</v>
      </c>
      <c r="V28" s="122">
        <v>450000</v>
      </c>
      <c r="W28" s="122">
        <v>450000</v>
      </c>
      <c r="X28" s="122">
        <f t="shared" si="1"/>
        <v>5400000</v>
      </c>
    </row>
    <row r="29" spans="1:24" s="141" customFormat="1">
      <c r="A29" s="114">
        <v>27</v>
      </c>
      <c r="B29" s="115" t="s">
        <v>113</v>
      </c>
      <c r="C29" s="116" t="s">
        <v>194</v>
      </c>
      <c r="D29" s="116" t="s">
        <v>199</v>
      </c>
      <c r="E29" s="117" t="s">
        <v>114</v>
      </c>
      <c r="F29" s="118">
        <v>2015</v>
      </c>
      <c r="G29" s="119">
        <v>2000000</v>
      </c>
      <c r="H29" s="119">
        <f t="shared" si="2"/>
        <v>4000000</v>
      </c>
      <c r="I29" s="119">
        <f t="shared" si="3"/>
        <v>166666.66666666666</v>
      </c>
      <c r="J29" s="119">
        <f t="shared" si="4"/>
        <v>116666.66666666666</v>
      </c>
      <c r="K29" s="119">
        <f t="shared" si="0"/>
        <v>50000</v>
      </c>
      <c r="L29" s="120">
        <v>153000</v>
      </c>
      <c r="M29" s="120">
        <v>153000</v>
      </c>
      <c r="N29" s="120">
        <v>153000</v>
      </c>
      <c r="O29" s="120">
        <v>153000</v>
      </c>
      <c r="P29" s="120">
        <v>153000</v>
      </c>
      <c r="Q29" s="120">
        <v>153000</v>
      </c>
      <c r="R29" s="121">
        <v>153000</v>
      </c>
      <c r="S29" s="122">
        <v>153000</v>
      </c>
      <c r="T29" s="122">
        <v>153000</v>
      </c>
      <c r="U29" s="122">
        <v>153000</v>
      </c>
      <c r="V29" s="122">
        <v>153000</v>
      </c>
      <c r="W29" s="122">
        <v>153000</v>
      </c>
      <c r="X29" s="122">
        <f t="shared" si="1"/>
        <v>1836000</v>
      </c>
    </row>
    <row r="30" spans="1:24">
      <c r="A30" s="114">
        <v>29</v>
      </c>
      <c r="B30" s="115" t="s">
        <v>119</v>
      </c>
      <c r="C30" s="116" t="s">
        <v>194</v>
      </c>
      <c r="D30" s="116" t="s">
        <v>197</v>
      </c>
      <c r="E30" s="117" t="s">
        <v>120</v>
      </c>
      <c r="F30" s="118">
        <v>2021</v>
      </c>
      <c r="G30" s="119">
        <v>7500000</v>
      </c>
      <c r="H30" s="119">
        <f t="shared" si="2"/>
        <v>15000000</v>
      </c>
      <c r="I30" s="119">
        <f t="shared" si="3"/>
        <v>625000</v>
      </c>
      <c r="J30" s="119">
        <f t="shared" si="4"/>
        <v>437500</v>
      </c>
      <c r="K30" s="119">
        <f t="shared" si="0"/>
        <v>187500</v>
      </c>
      <c r="L30" s="120">
        <v>450000</v>
      </c>
      <c r="M30" s="120">
        <v>450000</v>
      </c>
      <c r="N30" s="120">
        <v>450000</v>
      </c>
      <c r="O30" s="120">
        <v>450000</v>
      </c>
      <c r="P30" s="120">
        <v>450000</v>
      </c>
      <c r="Q30" s="120">
        <v>450000</v>
      </c>
      <c r="R30" s="121">
        <v>450000</v>
      </c>
      <c r="S30" s="122">
        <v>450000</v>
      </c>
      <c r="T30" s="122">
        <v>450000</v>
      </c>
      <c r="U30" s="122">
        <v>450000</v>
      </c>
      <c r="V30" s="122">
        <v>450000</v>
      </c>
      <c r="W30" s="122">
        <v>450000</v>
      </c>
      <c r="X30" s="122">
        <f t="shared" si="1"/>
        <v>5400000</v>
      </c>
    </row>
    <row r="31" spans="1:24">
      <c r="A31" s="114">
        <v>30</v>
      </c>
      <c r="B31" s="115" t="s">
        <v>121</v>
      </c>
      <c r="C31" s="116" t="s">
        <v>194</v>
      </c>
      <c r="D31" s="116" t="s">
        <v>200</v>
      </c>
      <c r="E31" s="117" t="s">
        <v>122</v>
      </c>
      <c r="F31" s="118">
        <v>2022</v>
      </c>
      <c r="G31" s="119">
        <v>6000000</v>
      </c>
      <c r="H31" s="119">
        <f t="shared" si="2"/>
        <v>12000000</v>
      </c>
      <c r="I31" s="119">
        <f t="shared" si="3"/>
        <v>500000</v>
      </c>
      <c r="J31" s="119">
        <f t="shared" si="4"/>
        <v>350000</v>
      </c>
      <c r="K31" s="119">
        <f t="shared" si="0"/>
        <v>150000</v>
      </c>
      <c r="L31" s="120">
        <v>1117500</v>
      </c>
      <c r="M31" s="120">
        <v>1117500</v>
      </c>
      <c r="N31" s="120">
        <v>1117500</v>
      </c>
      <c r="O31" s="120">
        <v>1117500</v>
      </c>
      <c r="P31" s="120">
        <v>1117500</v>
      </c>
      <c r="Q31" s="120">
        <v>1117500</v>
      </c>
      <c r="R31" s="121">
        <v>1117500</v>
      </c>
      <c r="S31" s="122">
        <v>1117500</v>
      </c>
      <c r="T31" s="122">
        <v>1117500</v>
      </c>
      <c r="U31" s="122">
        <v>1117500</v>
      </c>
      <c r="V31" s="122">
        <v>1117500</v>
      </c>
      <c r="W31" s="122">
        <v>1117500</v>
      </c>
      <c r="X31" s="122">
        <f t="shared" si="1"/>
        <v>13410000</v>
      </c>
    </row>
    <row r="32" spans="1:24">
      <c r="A32" s="114">
        <v>31</v>
      </c>
      <c r="B32" s="115" t="s">
        <v>123</v>
      </c>
      <c r="C32" s="116" t="s">
        <v>194</v>
      </c>
      <c r="D32" s="116" t="s">
        <v>199</v>
      </c>
      <c r="E32" s="117" t="s">
        <v>124</v>
      </c>
      <c r="F32" s="118">
        <v>2021</v>
      </c>
      <c r="G32" s="119">
        <v>3000000</v>
      </c>
      <c r="H32" s="119">
        <f t="shared" si="2"/>
        <v>6000000</v>
      </c>
      <c r="I32" s="119">
        <f t="shared" si="3"/>
        <v>250000</v>
      </c>
      <c r="J32" s="119">
        <f t="shared" si="4"/>
        <v>175000</v>
      </c>
      <c r="K32" s="119">
        <f t="shared" si="0"/>
        <v>75000</v>
      </c>
      <c r="L32" s="120">
        <v>272000</v>
      </c>
      <c r="M32" s="120">
        <v>272000</v>
      </c>
      <c r="N32" s="120">
        <v>272000</v>
      </c>
      <c r="O32" s="120">
        <v>272000</v>
      </c>
      <c r="P32" s="120">
        <v>272000</v>
      </c>
      <c r="Q32" s="120">
        <v>272000</v>
      </c>
      <c r="R32" s="121">
        <v>272000</v>
      </c>
      <c r="S32" s="122">
        <v>272000</v>
      </c>
      <c r="T32" s="122">
        <v>272000</v>
      </c>
      <c r="U32" s="122">
        <v>272000</v>
      </c>
      <c r="V32" s="122">
        <v>272000</v>
      </c>
      <c r="W32" s="122">
        <v>272000</v>
      </c>
      <c r="X32" s="122">
        <f t="shared" si="1"/>
        <v>3264000</v>
      </c>
    </row>
    <row r="33" spans="1:24">
      <c r="A33" s="114">
        <v>32</v>
      </c>
      <c r="B33" s="115" t="s">
        <v>125</v>
      </c>
      <c r="C33" s="116" t="s">
        <v>194</v>
      </c>
      <c r="D33" s="116" t="s">
        <v>204</v>
      </c>
      <c r="E33" s="117" t="s">
        <v>126</v>
      </c>
      <c r="F33" s="118">
        <v>2021</v>
      </c>
      <c r="G33" s="119">
        <v>8000000</v>
      </c>
      <c r="H33" s="119">
        <f t="shared" si="2"/>
        <v>16000000</v>
      </c>
      <c r="I33" s="119">
        <f t="shared" si="3"/>
        <v>666666.66666666663</v>
      </c>
      <c r="J33" s="119">
        <f t="shared" si="4"/>
        <v>466666.66666666663</v>
      </c>
      <c r="K33" s="119">
        <f t="shared" si="0"/>
        <v>200000</v>
      </c>
      <c r="L33" s="120">
        <v>450000</v>
      </c>
      <c r="M33" s="120">
        <v>450000</v>
      </c>
      <c r="N33" s="124" t="s">
        <v>19</v>
      </c>
      <c r="O33" s="120">
        <v>900000</v>
      </c>
      <c r="P33" s="120">
        <v>450000</v>
      </c>
      <c r="Q33" s="120">
        <v>450000</v>
      </c>
      <c r="R33" s="121">
        <v>450000</v>
      </c>
      <c r="S33" s="122">
        <v>450000</v>
      </c>
      <c r="T33" s="122">
        <v>450000</v>
      </c>
      <c r="U33" s="122">
        <v>450000</v>
      </c>
      <c r="V33" s="122">
        <v>450000</v>
      </c>
      <c r="W33" s="122">
        <v>450000</v>
      </c>
      <c r="X33" s="122">
        <f t="shared" si="1"/>
        <v>5400000</v>
      </c>
    </row>
    <row r="34" spans="1:24">
      <c r="A34" s="114">
        <v>34</v>
      </c>
      <c r="B34" s="115" t="s">
        <v>129</v>
      </c>
      <c r="C34" s="116" t="s">
        <v>194</v>
      </c>
      <c r="D34" s="116" t="s">
        <v>202</v>
      </c>
      <c r="E34" s="117" t="s">
        <v>130</v>
      </c>
      <c r="F34" s="118">
        <v>2022</v>
      </c>
      <c r="G34" s="119">
        <v>5000000</v>
      </c>
      <c r="H34" s="119">
        <f t="shared" si="2"/>
        <v>10000000</v>
      </c>
      <c r="I34" s="119">
        <f t="shared" si="3"/>
        <v>416666.66666666669</v>
      </c>
      <c r="J34" s="119">
        <f t="shared" si="4"/>
        <v>291666.66666666669</v>
      </c>
      <c r="K34" s="119">
        <f t="shared" si="0"/>
        <v>125000</v>
      </c>
      <c r="L34" s="120">
        <v>450000</v>
      </c>
      <c r="M34" s="120">
        <v>450000</v>
      </c>
      <c r="N34" s="120">
        <v>450000</v>
      </c>
      <c r="O34" s="120">
        <v>450000</v>
      </c>
      <c r="P34" s="120">
        <v>450000</v>
      </c>
      <c r="Q34" s="120">
        <v>450000</v>
      </c>
      <c r="R34" s="121">
        <v>450000</v>
      </c>
      <c r="S34" s="122">
        <v>450000</v>
      </c>
      <c r="T34" s="122">
        <v>450000</v>
      </c>
      <c r="U34" s="122">
        <v>450000</v>
      </c>
      <c r="V34" s="122">
        <v>450000</v>
      </c>
      <c r="W34" s="122">
        <v>450000</v>
      </c>
      <c r="X34" s="122">
        <f t="shared" si="1"/>
        <v>5400000</v>
      </c>
    </row>
    <row r="35" spans="1:24">
      <c r="A35" s="114">
        <v>35</v>
      </c>
      <c r="B35" s="115" t="s">
        <v>131</v>
      </c>
      <c r="C35" s="116" t="s">
        <v>194</v>
      </c>
      <c r="D35" s="116" t="s">
        <v>195</v>
      </c>
      <c r="E35" s="117" t="s">
        <v>132</v>
      </c>
      <c r="F35" s="118">
        <v>2022</v>
      </c>
      <c r="G35" s="119">
        <v>7000000</v>
      </c>
      <c r="H35" s="119">
        <f t="shared" si="2"/>
        <v>14000000</v>
      </c>
      <c r="I35" s="119">
        <f t="shared" si="3"/>
        <v>583333.33333333337</v>
      </c>
      <c r="J35" s="119">
        <f t="shared" si="4"/>
        <v>408333.33333333331</v>
      </c>
      <c r="K35" s="119">
        <f t="shared" si="0"/>
        <v>175000.00000000006</v>
      </c>
      <c r="L35" s="120">
        <v>450000</v>
      </c>
      <c r="M35" s="120">
        <v>450000</v>
      </c>
      <c r="N35" s="120">
        <v>450000</v>
      </c>
      <c r="O35" s="120">
        <v>450000</v>
      </c>
      <c r="P35" s="120">
        <v>450000</v>
      </c>
      <c r="Q35" s="120">
        <v>450000</v>
      </c>
      <c r="R35" s="121">
        <v>450000</v>
      </c>
      <c r="S35" s="122">
        <v>450000</v>
      </c>
      <c r="T35" s="122">
        <v>450000</v>
      </c>
      <c r="U35" s="122">
        <v>450000</v>
      </c>
      <c r="V35" s="122">
        <v>450000</v>
      </c>
      <c r="W35" s="122">
        <v>450000</v>
      </c>
      <c r="X35" s="122">
        <f t="shared" si="1"/>
        <v>5400000</v>
      </c>
    </row>
    <row r="36" spans="1:24">
      <c r="A36" s="114">
        <v>36</v>
      </c>
      <c r="B36" s="115" t="s">
        <v>133</v>
      </c>
      <c r="C36" s="116" t="s">
        <v>194</v>
      </c>
      <c r="D36" s="116" t="s">
        <v>202</v>
      </c>
      <c r="E36" s="117" t="s">
        <v>134</v>
      </c>
      <c r="F36" s="118">
        <v>2022</v>
      </c>
      <c r="G36" s="119">
        <v>6000000</v>
      </c>
      <c r="H36" s="119">
        <f t="shared" si="2"/>
        <v>12000000</v>
      </c>
      <c r="I36" s="119">
        <f t="shared" si="3"/>
        <v>500000</v>
      </c>
      <c r="J36" s="119">
        <f t="shared" si="4"/>
        <v>350000</v>
      </c>
      <c r="K36" s="119">
        <f t="shared" si="0"/>
        <v>150000</v>
      </c>
      <c r="L36" s="120">
        <v>450000</v>
      </c>
      <c r="M36" s="120">
        <v>450000</v>
      </c>
      <c r="N36" s="120">
        <v>450000</v>
      </c>
      <c r="O36" s="120">
        <v>450000</v>
      </c>
      <c r="P36" s="120">
        <v>450000</v>
      </c>
      <c r="Q36" s="120">
        <v>450000</v>
      </c>
      <c r="R36" s="121">
        <v>450000</v>
      </c>
      <c r="S36" s="122">
        <v>450000</v>
      </c>
      <c r="T36" s="122">
        <v>450000</v>
      </c>
      <c r="U36" s="122">
        <v>450000</v>
      </c>
      <c r="V36" s="122">
        <v>450000</v>
      </c>
      <c r="W36" s="122">
        <v>450000</v>
      </c>
      <c r="X36" s="122">
        <f t="shared" si="1"/>
        <v>5400000</v>
      </c>
    </row>
    <row r="37" spans="1:24">
      <c r="A37" s="114">
        <v>37</v>
      </c>
      <c r="B37" s="115" t="s">
        <v>135</v>
      </c>
      <c r="C37" s="116" t="s">
        <v>194</v>
      </c>
      <c r="D37" s="116" t="s">
        <v>203</v>
      </c>
      <c r="E37" s="117" t="s">
        <v>136</v>
      </c>
      <c r="F37" s="118">
        <v>2022</v>
      </c>
      <c r="G37" s="119">
        <v>5000000</v>
      </c>
      <c r="H37" s="119">
        <f t="shared" si="2"/>
        <v>10000000</v>
      </c>
      <c r="I37" s="119">
        <f t="shared" si="3"/>
        <v>416666.66666666669</v>
      </c>
      <c r="J37" s="119">
        <f t="shared" si="4"/>
        <v>291666.66666666669</v>
      </c>
      <c r="K37" s="119">
        <f t="shared" si="0"/>
        <v>125000</v>
      </c>
      <c r="L37" s="120">
        <v>450000</v>
      </c>
      <c r="M37" s="120">
        <v>450000</v>
      </c>
      <c r="N37" s="120">
        <v>450000</v>
      </c>
      <c r="O37" s="120">
        <v>450000</v>
      </c>
      <c r="P37" s="120">
        <v>450000</v>
      </c>
      <c r="Q37" s="120">
        <v>450000</v>
      </c>
      <c r="R37" s="121">
        <v>450000</v>
      </c>
      <c r="S37" s="122">
        <v>450000</v>
      </c>
      <c r="T37" s="122">
        <v>450000</v>
      </c>
      <c r="U37" s="122">
        <v>450000</v>
      </c>
      <c r="V37" s="122">
        <v>450000</v>
      </c>
      <c r="W37" s="122">
        <v>450000</v>
      </c>
      <c r="X37" s="122">
        <f t="shared" si="1"/>
        <v>5400000</v>
      </c>
    </row>
    <row r="38" spans="1:24">
      <c r="A38" s="114">
        <v>38</v>
      </c>
      <c r="B38" s="115" t="s">
        <v>137</v>
      </c>
      <c r="C38" s="116" t="s">
        <v>194</v>
      </c>
      <c r="D38" s="116" t="s">
        <v>202</v>
      </c>
      <c r="E38" s="117" t="s">
        <v>138</v>
      </c>
      <c r="F38" s="118">
        <v>2022</v>
      </c>
      <c r="G38" s="119">
        <v>5000000</v>
      </c>
      <c r="H38" s="119">
        <f t="shared" si="2"/>
        <v>10000000</v>
      </c>
      <c r="I38" s="119">
        <f t="shared" si="3"/>
        <v>416666.66666666669</v>
      </c>
      <c r="J38" s="119">
        <f t="shared" si="4"/>
        <v>291666.66666666669</v>
      </c>
      <c r="K38" s="119">
        <f t="shared" si="0"/>
        <v>125000</v>
      </c>
      <c r="L38" s="120">
        <v>450000</v>
      </c>
      <c r="M38" s="120">
        <v>450000</v>
      </c>
      <c r="N38" s="120">
        <v>450000</v>
      </c>
      <c r="O38" s="120">
        <v>450000</v>
      </c>
      <c r="P38" s="120">
        <v>450000</v>
      </c>
      <c r="Q38" s="120">
        <v>450000</v>
      </c>
      <c r="R38" s="121">
        <v>450000</v>
      </c>
      <c r="S38" s="122">
        <v>450000</v>
      </c>
      <c r="T38" s="122">
        <v>450000</v>
      </c>
      <c r="U38" s="122">
        <v>450000</v>
      </c>
      <c r="V38" s="122">
        <v>450000</v>
      </c>
      <c r="W38" s="122">
        <v>450000</v>
      </c>
      <c r="X38" s="122">
        <f t="shared" si="1"/>
        <v>5400000</v>
      </c>
    </row>
    <row r="39" spans="1:24">
      <c r="A39" s="114">
        <v>39</v>
      </c>
      <c r="B39" s="115" t="s">
        <v>139</v>
      </c>
      <c r="C39" s="116" t="s">
        <v>194</v>
      </c>
      <c r="D39" s="116" t="s">
        <v>203</v>
      </c>
      <c r="E39" s="117" t="s">
        <v>140</v>
      </c>
      <c r="F39" s="118">
        <v>2022</v>
      </c>
      <c r="G39" s="119">
        <v>4000000</v>
      </c>
      <c r="H39" s="119">
        <f t="shared" si="2"/>
        <v>8000000</v>
      </c>
      <c r="I39" s="119">
        <f t="shared" si="3"/>
        <v>333333.33333333331</v>
      </c>
      <c r="J39" s="119">
        <f t="shared" si="4"/>
        <v>233333.33333333331</v>
      </c>
      <c r="K39" s="119">
        <f t="shared" si="0"/>
        <v>100000</v>
      </c>
      <c r="L39" s="120">
        <v>450000</v>
      </c>
      <c r="M39" s="120">
        <v>450000</v>
      </c>
      <c r="N39" s="120">
        <v>450000</v>
      </c>
      <c r="O39" s="120">
        <v>450000</v>
      </c>
      <c r="P39" s="120">
        <v>450000</v>
      </c>
      <c r="Q39" s="120">
        <v>450000</v>
      </c>
      <c r="R39" s="121">
        <v>450000</v>
      </c>
      <c r="S39" s="122">
        <v>450000</v>
      </c>
      <c r="T39" s="122">
        <v>450000</v>
      </c>
      <c r="U39" s="122">
        <v>450000</v>
      </c>
      <c r="V39" s="122">
        <v>450000</v>
      </c>
      <c r="W39" s="122">
        <v>450000</v>
      </c>
      <c r="X39" s="122">
        <f t="shared" si="1"/>
        <v>5400000</v>
      </c>
    </row>
    <row r="40" spans="1:24">
      <c r="A40" s="114">
        <v>40</v>
      </c>
      <c r="B40" s="115" t="s">
        <v>141</v>
      </c>
      <c r="C40" s="116" t="s">
        <v>194</v>
      </c>
      <c r="D40" s="116" t="s">
        <v>200</v>
      </c>
      <c r="E40" s="117" t="s">
        <v>142</v>
      </c>
      <c r="F40" s="118">
        <v>2022</v>
      </c>
      <c r="G40" s="119">
        <v>5000000</v>
      </c>
      <c r="H40" s="119">
        <f t="shared" si="2"/>
        <v>10000000</v>
      </c>
      <c r="I40" s="119">
        <f t="shared" si="3"/>
        <v>416666.66666666669</v>
      </c>
      <c r="J40" s="119">
        <f t="shared" si="4"/>
        <v>291666.66666666669</v>
      </c>
      <c r="K40" s="119">
        <f t="shared" si="0"/>
        <v>125000</v>
      </c>
      <c r="L40" s="120">
        <v>450000</v>
      </c>
      <c r="M40" s="120">
        <v>450000</v>
      </c>
      <c r="N40" s="120">
        <v>450000</v>
      </c>
      <c r="O40" s="120">
        <v>450000</v>
      </c>
      <c r="P40" s="120">
        <v>450000</v>
      </c>
      <c r="Q40" s="120">
        <v>450000</v>
      </c>
      <c r="R40" s="121">
        <v>450000</v>
      </c>
      <c r="S40" s="122">
        <v>450000</v>
      </c>
      <c r="T40" s="122">
        <v>450000</v>
      </c>
      <c r="U40" s="122">
        <v>450000</v>
      </c>
      <c r="V40" s="122">
        <v>450000</v>
      </c>
      <c r="W40" s="122">
        <v>450000</v>
      </c>
      <c r="X40" s="122">
        <f t="shared" si="1"/>
        <v>5400000</v>
      </c>
    </row>
    <row r="41" spans="1:24">
      <c r="A41" s="114">
        <v>41</v>
      </c>
      <c r="B41" s="125" t="s">
        <v>143</v>
      </c>
      <c r="C41" s="116" t="s">
        <v>194</v>
      </c>
      <c r="D41" s="116" t="s">
        <v>203</v>
      </c>
      <c r="E41" s="117" t="s">
        <v>242</v>
      </c>
      <c r="F41" s="118">
        <v>2022</v>
      </c>
      <c r="G41" s="119">
        <v>3000000</v>
      </c>
      <c r="H41" s="119">
        <f t="shared" si="2"/>
        <v>6000000</v>
      </c>
      <c r="I41" s="119">
        <f t="shared" si="3"/>
        <v>250000</v>
      </c>
      <c r="J41" s="119">
        <f t="shared" si="4"/>
        <v>175000</v>
      </c>
      <c r="K41" s="119">
        <f t="shared" si="0"/>
        <v>75000</v>
      </c>
      <c r="L41" s="120">
        <v>900000</v>
      </c>
      <c r="M41" s="120">
        <v>900000</v>
      </c>
      <c r="N41" s="120">
        <v>900000</v>
      </c>
      <c r="O41" s="120">
        <v>900000</v>
      </c>
      <c r="P41" s="120">
        <v>900000</v>
      </c>
      <c r="Q41" s="120">
        <v>900000</v>
      </c>
      <c r="R41" s="121">
        <v>900000</v>
      </c>
      <c r="S41" s="122">
        <v>900000</v>
      </c>
      <c r="T41" s="122">
        <v>900000</v>
      </c>
      <c r="U41" s="122">
        <v>900000</v>
      </c>
      <c r="V41" s="122">
        <v>900000</v>
      </c>
      <c r="W41" s="122">
        <v>900000</v>
      </c>
      <c r="X41" s="122">
        <f t="shared" si="1"/>
        <v>10800000</v>
      </c>
    </row>
    <row r="42" spans="1:24">
      <c r="A42" s="114">
        <v>43</v>
      </c>
      <c r="B42" s="115" t="s">
        <v>145</v>
      </c>
      <c r="C42" s="116" t="s">
        <v>194</v>
      </c>
      <c r="D42" s="116" t="s">
        <v>202</v>
      </c>
      <c r="E42" s="117" t="s">
        <v>146</v>
      </c>
      <c r="F42" s="118">
        <v>2022</v>
      </c>
      <c r="G42" s="119">
        <v>5000000</v>
      </c>
      <c r="H42" s="119">
        <f t="shared" si="2"/>
        <v>10000000</v>
      </c>
      <c r="I42" s="119">
        <f t="shared" si="3"/>
        <v>416666.66666666669</v>
      </c>
      <c r="J42" s="119">
        <f t="shared" si="4"/>
        <v>291666.66666666669</v>
      </c>
      <c r="K42" s="119">
        <f t="shared" si="0"/>
        <v>125000</v>
      </c>
      <c r="L42" s="120">
        <v>450000</v>
      </c>
      <c r="M42" s="120">
        <v>450000</v>
      </c>
      <c r="N42" s="120">
        <v>450000</v>
      </c>
      <c r="O42" s="120">
        <v>450000</v>
      </c>
      <c r="P42" s="120">
        <v>450000</v>
      </c>
      <c r="Q42" s="120">
        <v>450000</v>
      </c>
      <c r="R42" s="121">
        <v>450000</v>
      </c>
      <c r="S42" s="122">
        <v>450000</v>
      </c>
      <c r="T42" s="122">
        <v>450000</v>
      </c>
      <c r="U42" s="122">
        <v>450000</v>
      </c>
      <c r="V42" s="122">
        <v>450000</v>
      </c>
      <c r="W42" s="122">
        <v>450000</v>
      </c>
      <c r="X42" s="122">
        <f t="shared" si="1"/>
        <v>5400000</v>
      </c>
    </row>
    <row r="43" spans="1:24">
      <c r="A43" s="114">
        <v>45</v>
      </c>
      <c r="B43" s="115" t="s">
        <v>149</v>
      </c>
      <c r="C43" s="116" t="s">
        <v>194</v>
      </c>
      <c r="D43" s="116" t="s">
        <v>200</v>
      </c>
      <c r="E43" s="117" t="s">
        <v>150</v>
      </c>
      <c r="F43" s="118">
        <v>2022</v>
      </c>
      <c r="G43" s="119">
        <v>3000000</v>
      </c>
      <c r="H43" s="119">
        <f t="shared" si="2"/>
        <v>6000000</v>
      </c>
      <c r="I43" s="119">
        <f t="shared" si="3"/>
        <v>250000</v>
      </c>
      <c r="J43" s="119">
        <f t="shared" si="4"/>
        <v>175000</v>
      </c>
      <c r="K43" s="119">
        <f t="shared" si="0"/>
        <v>75000</v>
      </c>
      <c r="L43" s="124" t="s">
        <v>19</v>
      </c>
      <c r="M43" s="124" t="s">
        <v>19</v>
      </c>
      <c r="N43" s="124" t="s">
        <v>19</v>
      </c>
      <c r="O43" s="124" t="s">
        <v>19</v>
      </c>
      <c r="P43" s="124" t="s">
        <v>19</v>
      </c>
      <c r="Q43" s="124" t="s">
        <v>19</v>
      </c>
      <c r="R43" s="126" t="s">
        <v>19</v>
      </c>
      <c r="S43" s="122">
        <v>450000</v>
      </c>
      <c r="T43" s="122">
        <v>900000</v>
      </c>
      <c r="U43" s="122">
        <v>450000</v>
      </c>
      <c r="V43" s="122">
        <v>450000</v>
      </c>
      <c r="W43" s="122">
        <v>450000</v>
      </c>
      <c r="X43" s="122">
        <f t="shared" si="1"/>
        <v>2700000</v>
      </c>
    </row>
    <row r="44" spans="1:24">
      <c r="A44" s="114">
        <v>46</v>
      </c>
      <c r="B44" s="115" t="s">
        <v>151</v>
      </c>
      <c r="C44" s="116" t="s">
        <v>194</v>
      </c>
      <c r="D44" s="116" t="s">
        <v>195</v>
      </c>
      <c r="E44" s="117" t="s">
        <v>152</v>
      </c>
      <c r="F44" s="118">
        <v>2022</v>
      </c>
      <c r="G44" s="119">
        <v>3000000</v>
      </c>
      <c r="H44" s="119">
        <f t="shared" si="2"/>
        <v>6000000</v>
      </c>
      <c r="I44" s="119">
        <f t="shared" si="3"/>
        <v>250000</v>
      </c>
      <c r="J44" s="119">
        <f t="shared" si="4"/>
        <v>175000</v>
      </c>
      <c r="K44" s="119">
        <f t="shared" si="0"/>
        <v>75000</v>
      </c>
      <c r="L44" s="124" t="s">
        <v>19</v>
      </c>
      <c r="M44" s="124" t="s">
        <v>19</v>
      </c>
      <c r="N44" s="124" t="s">
        <v>19</v>
      </c>
      <c r="O44" s="124" t="s">
        <v>19</v>
      </c>
      <c r="P44" s="124" t="s">
        <v>19</v>
      </c>
      <c r="Q44" s="124" t="s">
        <v>19</v>
      </c>
      <c r="R44" s="126" t="s">
        <v>19</v>
      </c>
      <c r="S44" s="122">
        <v>450000</v>
      </c>
      <c r="T44" s="122">
        <v>900000</v>
      </c>
      <c r="U44" s="122">
        <v>450000</v>
      </c>
      <c r="V44" s="122">
        <v>450000</v>
      </c>
      <c r="W44" s="122">
        <v>450000</v>
      </c>
      <c r="X44" s="122">
        <f t="shared" si="1"/>
        <v>2700000</v>
      </c>
    </row>
    <row r="45" spans="1:24">
      <c r="A45" s="114">
        <v>47</v>
      </c>
      <c r="B45" s="115" t="s">
        <v>153</v>
      </c>
      <c r="C45" s="116" t="s">
        <v>194</v>
      </c>
      <c r="D45" s="116" t="s">
        <v>203</v>
      </c>
      <c r="E45" s="117" t="s">
        <v>154</v>
      </c>
      <c r="F45" s="118">
        <v>2022</v>
      </c>
      <c r="G45" s="119">
        <v>3000000</v>
      </c>
      <c r="H45" s="119">
        <f t="shared" si="2"/>
        <v>6000000</v>
      </c>
      <c r="I45" s="119">
        <f t="shared" si="3"/>
        <v>250000</v>
      </c>
      <c r="J45" s="119">
        <f t="shared" si="4"/>
        <v>175000</v>
      </c>
      <c r="K45" s="119">
        <f t="shared" si="0"/>
        <v>75000</v>
      </c>
      <c r="L45" s="124" t="s">
        <v>19</v>
      </c>
      <c r="M45" s="124" t="s">
        <v>19</v>
      </c>
      <c r="N45" s="124" t="s">
        <v>19</v>
      </c>
      <c r="O45" s="124" t="s">
        <v>19</v>
      </c>
      <c r="P45" s="124" t="s">
        <v>19</v>
      </c>
      <c r="Q45" s="124" t="s">
        <v>19</v>
      </c>
      <c r="R45" s="126" t="s">
        <v>19</v>
      </c>
      <c r="S45" s="122">
        <v>450000</v>
      </c>
      <c r="T45" s="122">
        <v>900000</v>
      </c>
      <c r="U45" s="122">
        <v>450000</v>
      </c>
      <c r="V45" s="122">
        <v>450000</v>
      </c>
      <c r="W45" s="122">
        <v>450000</v>
      </c>
      <c r="X45" s="122">
        <f t="shared" si="1"/>
        <v>2700000</v>
      </c>
    </row>
    <row r="46" spans="1:24">
      <c r="A46" s="114">
        <v>33</v>
      </c>
      <c r="B46" s="115" t="s">
        <v>127</v>
      </c>
      <c r="C46" s="146"/>
      <c r="D46" s="146"/>
      <c r="E46" s="147" t="s">
        <v>128</v>
      </c>
      <c r="F46" s="118">
        <v>2022</v>
      </c>
      <c r="G46" s="119">
        <v>3000000</v>
      </c>
      <c r="H46" s="119">
        <f>G46*2</f>
        <v>6000000</v>
      </c>
      <c r="I46" s="119">
        <f>(G46+H46)/36</f>
        <v>250000</v>
      </c>
      <c r="J46" s="119">
        <f>I46*0.7</f>
        <v>175000</v>
      </c>
      <c r="K46" s="119">
        <f>(I46-J46)</f>
        <v>75000</v>
      </c>
      <c r="L46" s="120">
        <v>450000</v>
      </c>
      <c r="M46" s="120">
        <v>450000</v>
      </c>
      <c r="N46" s="120">
        <v>450000</v>
      </c>
      <c r="O46" s="120">
        <v>450000</v>
      </c>
      <c r="P46" s="120">
        <v>450000</v>
      </c>
      <c r="Q46" s="120">
        <v>450000</v>
      </c>
      <c r="R46" s="121">
        <v>450000</v>
      </c>
      <c r="S46" s="122">
        <v>450000</v>
      </c>
      <c r="T46" s="122">
        <v>450000</v>
      </c>
      <c r="U46" s="122">
        <v>450000</v>
      </c>
      <c r="V46" s="122">
        <v>450000</v>
      </c>
      <c r="W46" s="122">
        <v>450000</v>
      </c>
      <c r="X46" s="122">
        <f>SUM(L46:W46)</f>
        <v>5400000</v>
      </c>
    </row>
    <row r="47" spans="1:24" s="141" customFormat="1">
      <c r="A47" s="114">
        <v>28</v>
      </c>
      <c r="B47" s="115" t="s">
        <v>116</v>
      </c>
      <c r="C47" s="146"/>
      <c r="D47" s="146"/>
      <c r="E47" s="147" t="s">
        <v>117</v>
      </c>
      <c r="F47" s="118" t="s">
        <v>332</v>
      </c>
      <c r="G47" s="119"/>
      <c r="H47" s="119">
        <f>G47*2</f>
        <v>0</v>
      </c>
      <c r="I47" s="119">
        <f>(G47+H47)/36</f>
        <v>0</v>
      </c>
      <c r="J47" s="119">
        <f>I47*0.7</f>
        <v>0</v>
      </c>
      <c r="K47" s="119">
        <f>(I47-J47)</f>
        <v>0</v>
      </c>
      <c r="L47" s="120">
        <v>450000</v>
      </c>
      <c r="M47" s="120">
        <v>450000</v>
      </c>
      <c r="N47" s="120">
        <v>450000</v>
      </c>
      <c r="O47" s="120">
        <v>450000</v>
      </c>
      <c r="P47" s="120">
        <v>450000</v>
      </c>
      <c r="Q47" s="120">
        <v>450000</v>
      </c>
      <c r="R47" s="121">
        <v>450000</v>
      </c>
      <c r="S47" s="122">
        <v>450000</v>
      </c>
      <c r="T47" s="122">
        <v>450000</v>
      </c>
      <c r="U47" s="122">
        <v>450000</v>
      </c>
      <c r="V47" s="122">
        <v>450000</v>
      </c>
      <c r="W47" s="122">
        <v>450000</v>
      </c>
      <c r="X47" s="122">
        <f>SUM(L47:W47)</f>
        <v>5400000</v>
      </c>
    </row>
    <row r="48" spans="1:24">
      <c r="A48" s="114">
        <v>44</v>
      </c>
      <c r="B48" s="115" t="s">
        <v>147</v>
      </c>
      <c r="C48" s="146"/>
      <c r="D48" s="146"/>
      <c r="E48" s="147" t="s">
        <v>148</v>
      </c>
      <c r="F48" s="118" t="s">
        <v>333</v>
      </c>
      <c r="G48" s="119"/>
      <c r="H48" s="119">
        <f>G48*2</f>
        <v>0</v>
      </c>
      <c r="I48" s="119">
        <f>(G48+H48)/36</f>
        <v>0</v>
      </c>
      <c r="J48" s="119">
        <f>I48*0.7</f>
        <v>0</v>
      </c>
      <c r="K48" s="119">
        <f>(I48-J48)</f>
        <v>0</v>
      </c>
      <c r="L48" s="124" t="s">
        <v>19</v>
      </c>
      <c r="M48" s="124" t="s">
        <v>19</v>
      </c>
      <c r="N48" s="124" t="s">
        <v>19</v>
      </c>
      <c r="O48" s="124" t="s">
        <v>19</v>
      </c>
      <c r="P48" s="124" t="s">
        <v>19</v>
      </c>
      <c r="Q48" s="124" t="s">
        <v>19</v>
      </c>
      <c r="R48" s="121">
        <v>454567</v>
      </c>
      <c r="S48" s="122">
        <v>454567</v>
      </c>
      <c r="T48" s="122">
        <v>454567</v>
      </c>
      <c r="U48" s="122">
        <v>454567</v>
      </c>
      <c r="V48" s="122">
        <v>454567</v>
      </c>
      <c r="W48" s="122">
        <v>454567</v>
      </c>
      <c r="X48" s="122">
        <f>SUM(L48:W48)</f>
        <v>2727402</v>
      </c>
    </row>
    <row r="49" spans="1:24">
      <c r="B49" s="132" t="s">
        <v>272</v>
      </c>
      <c r="C49" s="148"/>
      <c r="D49" s="148"/>
      <c r="E49" s="149" t="s">
        <v>334</v>
      </c>
      <c r="F49" s="134">
        <v>2018</v>
      </c>
      <c r="G49" s="135">
        <v>2000000</v>
      </c>
      <c r="H49" s="135">
        <f>G49*2</f>
        <v>4000000</v>
      </c>
      <c r="I49" s="135">
        <f>(G49+H49)/36</f>
        <v>166666.66666666666</v>
      </c>
      <c r="J49" s="135">
        <f>I49*0.7</f>
        <v>116666.66666666666</v>
      </c>
      <c r="K49" s="135">
        <f>(I49-J49)</f>
        <v>50000</v>
      </c>
    </row>
    <row r="50" spans="1:24">
      <c r="B50" s="138" t="s">
        <v>273</v>
      </c>
      <c r="C50" s="148"/>
      <c r="D50" s="148"/>
      <c r="E50" s="149" t="s">
        <v>275</v>
      </c>
      <c r="F50" s="134" t="s">
        <v>335</v>
      </c>
      <c r="G50" s="135">
        <v>45000000</v>
      </c>
      <c r="H50" s="135">
        <f>G50*2</f>
        <v>90000000</v>
      </c>
      <c r="I50" s="135">
        <f>(G50+H50)/36</f>
        <v>3750000</v>
      </c>
      <c r="J50" s="135">
        <f>I50*0.7</f>
        <v>2625000</v>
      </c>
      <c r="K50" s="135">
        <f>(I50-J50)</f>
        <v>1125000</v>
      </c>
    </row>
    <row r="51" spans="1:24">
      <c r="A51" s="129"/>
      <c r="B51" s="115" t="s">
        <v>264</v>
      </c>
      <c r="C51" s="116" t="s">
        <v>194</v>
      </c>
      <c r="D51" s="116" t="s">
        <v>195</v>
      </c>
      <c r="E51" s="117" t="s">
        <v>265</v>
      </c>
      <c r="F51" s="130">
        <v>2015</v>
      </c>
      <c r="G51" s="119">
        <v>8000000</v>
      </c>
      <c r="H51" s="119">
        <f t="shared" si="2"/>
        <v>16000000</v>
      </c>
      <c r="I51" s="119">
        <f t="shared" si="3"/>
        <v>666666.66666666663</v>
      </c>
      <c r="J51" s="119">
        <f t="shared" si="4"/>
        <v>466666.66666666663</v>
      </c>
      <c r="K51" s="119">
        <f t="shared" si="0"/>
        <v>200000</v>
      </c>
      <c r="L51" s="120"/>
      <c r="M51" s="120"/>
      <c r="N51" s="120"/>
      <c r="O51" s="120"/>
      <c r="P51" s="120"/>
      <c r="Q51" s="120"/>
      <c r="R51" s="121"/>
      <c r="S51" s="122"/>
      <c r="T51" s="122"/>
      <c r="U51" s="122"/>
      <c r="V51" s="122"/>
      <c r="W51" s="122"/>
      <c r="X51" s="122"/>
    </row>
    <row r="52" spans="1:24" s="141" customFormat="1">
      <c r="A52" s="129"/>
      <c r="B52" s="115" t="s">
        <v>270</v>
      </c>
      <c r="C52" s="116" t="s">
        <v>194</v>
      </c>
      <c r="D52" s="116" t="s">
        <v>206</v>
      </c>
      <c r="E52" s="117" t="s">
        <v>271</v>
      </c>
      <c r="F52" s="130">
        <v>2015</v>
      </c>
      <c r="G52" s="119">
        <v>8000000</v>
      </c>
      <c r="H52" s="119">
        <f t="shared" si="2"/>
        <v>16000000</v>
      </c>
      <c r="I52" s="119">
        <f t="shared" si="3"/>
        <v>666666.66666666663</v>
      </c>
      <c r="J52" s="119">
        <f t="shared" si="4"/>
        <v>466666.66666666663</v>
      </c>
      <c r="K52" s="119">
        <f t="shared" si="0"/>
        <v>200000</v>
      </c>
      <c r="L52" s="120"/>
      <c r="M52" s="120"/>
      <c r="N52" s="120"/>
      <c r="O52" s="120"/>
      <c r="P52" s="120"/>
      <c r="Q52" s="120"/>
      <c r="R52" s="121"/>
      <c r="S52" s="122"/>
      <c r="T52" s="122"/>
      <c r="U52" s="122"/>
      <c r="V52" s="122"/>
      <c r="W52" s="122"/>
      <c r="X52" s="122"/>
    </row>
    <row r="53" spans="1:24">
      <c r="A53" s="129"/>
      <c r="B53" s="115" t="s">
        <v>260</v>
      </c>
      <c r="C53" s="116" t="s">
        <v>194</v>
      </c>
      <c r="D53" s="116" t="s">
        <v>204</v>
      </c>
      <c r="E53" s="117" t="s">
        <v>261</v>
      </c>
      <c r="F53" s="130">
        <v>2015</v>
      </c>
      <c r="G53" s="119">
        <v>15000000</v>
      </c>
      <c r="H53" s="119">
        <f t="shared" si="2"/>
        <v>30000000</v>
      </c>
      <c r="I53" s="119">
        <f t="shared" si="3"/>
        <v>1250000</v>
      </c>
      <c r="J53" s="119">
        <f t="shared" si="4"/>
        <v>875000</v>
      </c>
      <c r="K53" s="119">
        <f t="shared" si="0"/>
        <v>375000</v>
      </c>
      <c r="L53" s="120"/>
      <c r="M53" s="120"/>
      <c r="N53" s="120"/>
      <c r="O53" s="120"/>
      <c r="P53" s="120"/>
      <c r="Q53" s="120"/>
      <c r="R53" s="121"/>
      <c r="S53" s="122"/>
      <c r="T53" s="122"/>
      <c r="U53" s="122"/>
      <c r="V53" s="122"/>
      <c r="W53" s="122"/>
      <c r="X53" s="122"/>
    </row>
    <row r="54" spans="1:24">
      <c r="A54" s="129"/>
      <c r="B54" s="115" t="s">
        <v>209</v>
      </c>
      <c r="C54" s="116" t="s">
        <v>194</v>
      </c>
      <c r="D54" s="116" t="s">
        <v>197</v>
      </c>
      <c r="E54" s="117" t="s">
        <v>210</v>
      </c>
      <c r="F54" s="118">
        <v>2014</v>
      </c>
      <c r="G54" s="119">
        <v>3000000</v>
      </c>
      <c r="H54" s="119">
        <f t="shared" si="2"/>
        <v>6000000</v>
      </c>
      <c r="I54" s="119">
        <f t="shared" si="3"/>
        <v>250000</v>
      </c>
      <c r="J54" s="119">
        <f t="shared" si="4"/>
        <v>175000</v>
      </c>
      <c r="K54" s="119">
        <f t="shared" si="0"/>
        <v>75000</v>
      </c>
      <c r="L54" s="120"/>
      <c r="M54" s="120"/>
      <c r="N54" s="120"/>
      <c r="O54" s="120"/>
      <c r="P54" s="120"/>
      <c r="Q54" s="120"/>
      <c r="R54" s="121"/>
      <c r="S54" s="122"/>
      <c r="T54" s="122"/>
      <c r="U54" s="122"/>
      <c r="V54" s="122"/>
      <c r="W54" s="122"/>
      <c r="X54" s="122"/>
    </row>
    <row r="55" spans="1:24">
      <c r="A55" s="129"/>
      <c r="B55" s="115" t="s">
        <v>256</v>
      </c>
      <c r="C55" s="116" t="s">
        <v>194</v>
      </c>
      <c r="D55" s="116" t="s">
        <v>203</v>
      </c>
      <c r="E55" s="117" t="s">
        <v>257</v>
      </c>
      <c r="F55" s="118">
        <v>2022</v>
      </c>
      <c r="G55" s="119">
        <v>2000000</v>
      </c>
      <c r="H55" s="119">
        <f t="shared" si="2"/>
        <v>4000000</v>
      </c>
      <c r="I55" s="119">
        <f t="shared" si="3"/>
        <v>166666.66666666666</v>
      </c>
      <c r="J55" s="119">
        <f t="shared" si="4"/>
        <v>116666.66666666666</v>
      </c>
      <c r="K55" s="119">
        <f t="shared" si="0"/>
        <v>50000</v>
      </c>
      <c r="L55" s="120"/>
      <c r="M55" s="120"/>
      <c r="N55" s="120"/>
      <c r="O55" s="120"/>
      <c r="P55" s="120"/>
      <c r="Q55" s="120"/>
      <c r="R55" s="121"/>
      <c r="S55" s="122"/>
      <c r="T55" s="122"/>
      <c r="U55" s="122"/>
      <c r="V55" s="122"/>
      <c r="W55" s="122"/>
      <c r="X55" s="122"/>
    </row>
    <row r="56" spans="1:24">
      <c r="A56" s="129"/>
      <c r="B56" s="115" t="s">
        <v>268</v>
      </c>
      <c r="C56" s="116" t="s">
        <v>194</v>
      </c>
      <c r="D56" s="116" t="s">
        <v>203</v>
      </c>
      <c r="E56" s="117" t="s">
        <v>269</v>
      </c>
      <c r="F56" s="118">
        <v>2015</v>
      </c>
      <c r="G56" s="119">
        <v>8000000</v>
      </c>
      <c r="H56" s="119">
        <f t="shared" si="2"/>
        <v>16000000</v>
      </c>
      <c r="I56" s="119">
        <f t="shared" si="3"/>
        <v>666666.66666666663</v>
      </c>
      <c r="J56" s="119">
        <f t="shared" si="4"/>
        <v>466666.66666666663</v>
      </c>
      <c r="K56" s="119">
        <f t="shared" si="0"/>
        <v>200000</v>
      </c>
      <c r="L56" s="120"/>
      <c r="M56" s="120"/>
      <c r="N56" s="120"/>
      <c r="O56" s="120"/>
      <c r="P56" s="120"/>
      <c r="Q56" s="120"/>
      <c r="R56" s="121"/>
      <c r="S56" s="122"/>
      <c r="T56" s="122"/>
      <c r="U56" s="122"/>
      <c r="V56" s="122"/>
      <c r="W56" s="122"/>
      <c r="X56" s="122"/>
    </row>
    <row r="57" spans="1:24">
      <c r="A57" s="129"/>
      <c r="B57" s="115" t="s">
        <v>219</v>
      </c>
      <c r="C57" s="116" t="s">
        <v>194</v>
      </c>
      <c r="D57" s="116" t="s">
        <v>199</v>
      </c>
      <c r="E57" s="117" t="s">
        <v>220</v>
      </c>
      <c r="F57" s="118">
        <v>2015</v>
      </c>
      <c r="G57" s="119">
        <v>6000000</v>
      </c>
      <c r="H57" s="119">
        <f t="shared" si="2"/>
        <v>12000000</v>
      </c>
      <c r="I57" s="119">
        <f t="shared" si="3"/>
        <v>500000</v>
      </c>
      <c r="J57" s="119">
        <f t="shared" si="4"/>
        <v>350000</v>
      </c>
      <c r="K57" s="119">
        <f t="shared" si="0"/>
        <v>150000</v>
      </c>
      <c r="L57" s="120"/>
      <c r="M57" s="120"/>
      <c r="N57" s="120"/>
      <c r="O57" s="120"/>
      <c r="P57" s="120"/>
      <c r="Q57" s="120"/>
      <c r="R57" s="121"/>
      <c r="S57" s="122"/>
      <c r="T57" s="122"/>
      <c r="U57" s="122"/>
      <c r="V57" s="122"/>
      <c r="W57" s="122"/>
      <c r="X57" s="122"/>
    </row>
    <row r="58" spans="1:24">
      <c r="A58" s="129"/>
      <c r="B58" s="115" t="s">
        <v>211</v>
      </c>
      <c r="C58" s="116" t="s">
        <v>194</v>
      </c>
      <c r="D58" s="116" t="s">
        <v>195</v>
      </c>
      <c r="E58" s="117" t="s">
        <v>212</v>
      </c>
      <c r="F58" s="118">
        <v>2021</v>
      </c>
      <c r="G58" s="119">
        <v>9000000</v>
      </c>
      <c r="H58" s="119">
        <f t="shared" si="2"/>
        <v>18000000</v>
      </c>
      <c r="I58" s="119">
        <f t="shared" si="3"/>
        <v>750000</v>
      </c>
      <c r="J58" s="119">
        <f t="shared" si="4"/>
        <v>525000</v>
      </c>
      <c r="K58" s="119">
        <f t="shared" si="0"/>
        <v>225000</v>
      </c>
      <c r="L58" s="120"/>
      <c r="M58" s="120"/>
      <c r="N58" s="120"/>
      <c r="O58" s="120"/>
      <c r="P58" s="120"/>
      <c r="Q58" s="120"/>
      <c r="R58" s="121"/>
      <c r="S58" s="122"/>
      <c r="T58" s="122"/>
      <c r="U58" s="122"/>
      <c r="V58" s="122"/>
      <c r="W58" s="122"/>
      <c r="X58" s="122"/>
    </row>
    <row r="59" spans="1:24">
      <c r="A59" s="129"/>
      <c r="B59" s="115" t="s">
        <v>262</v>
      </c>
      <c r="C59" s="116" t="s">
        <v>194</v>
      </c>
      <c r="D59" s="116" t="s">
        <v>201</v>
      </c>
      <c r="E59" s="117" t="s">
        <v>263</v>
      </c>
      <c r="F59" s="118">
        <v>2015</v>
      </c>
      <c r="G59" s="119">
        <v>15000000</v>
      </c>
      <c r="H59" s="119">
        <f t="shared" si="2"/>
        <v>30000000</v>
      </c>
      <c r="I59" s="119">
        <f t="shared" si="3"/>
        <v>1250000</v>
      </c>
      <c r="J59" s="119">
        <f t="shared" si="4"/>
        <v>875000</v>
      </c>
      <c r="K59" s="119">
        <f t="shared" si="0"/>
        <v>375000</v>
      </c>
      <c r="L59" s="120"/>
      <c r="M59" s="120"/>
      <c r="N59" s="120"/>
      <c r="O59" s="120"/>
      <c r="P59" s="120"/>
      <c r="Q59" s="120"/>
      <c r="R59" s="121"/>
      <c r="S59" s="122"/>
      <c r="T59" s="122"/>
      <c r="U59" s="122"/>
      <c r="V59" s="122"/>
      <c r="W59" s="122"/>
      <c r="X59" s="122"/>
    </row>
    <row r="60" spans="1:24">
      <c r="A60" s="129"/>
      <c r="B60" s="115" t="s">
        <v>217</v>
      </c>
      <c r="C60" s="116" t="s">
        <v>194</v>
      </c>
      <c r="D60" s="116" t="s">
        <v>206</v>
      </c>
      <c r="E60" s="117" t="s">
        <v>218</v>
      </c>
      <c r="F60" s="118">
        <v>2015</v>
      </c>
      <c r="G60" s="119">
        <v>5000000</v>
      </c>
      <c r="H60" s="119">
        <f t="shared" si="2"/>
        <v>10000000</v>
      </c>
      <c r="I60" s="119">
        <f t="shared" si="3"/>
        <v>416666.66666666669</v>
      </c>
      <c r="J60" s="119">
        <f t="shared" si="4"/>
        <v>291666.66666666669</v>
      </c>
      <c r="K60" s="119">
        <f t="shared" si="0"/>
        <v>125000</v>
      </c>
      <c r="L60" s="120"/>
      <c r="M60" s="120"/>
      <c r="N60" s="120"/>
      <c r="O60" s="120"/>
      <c r="P60" s="120"/>
      <c r="Q60" s="120"/>
      <c r="R60" s="121"/>
      <c r="S60" s="122"/>
      <c r="T60" s="122"/>
      <c r="U60" s="122"/>
      <c r="V60" s="122"/>
      <c r="W60" s="122"/>
      <c r="X60" s="122"/>
    </row>
    <row r="61" spans="1:24">
      <c r="A61" s="129"/>
      <c r="B61" s="115" t="s">
        <v>232</v>
      </c>
      <c r="C61" s="116" t="s">
        <v>194</v>
      </c>
      <c r="D61" s="116" t="s">
        <v>201</v>
      </c>
      <c r="E61" s="117" t="s">
        <v>231</v>
      </c>
      <c r="F61" s="118">
        <v>2015</v>
      </c>
      <c r="G61" s="119">
        <v>3000000</v>
      </c>
      <c r="H61" s="119">
        <f t="shared" si="2"/>
        <v>6000000</v>
      </c>
      <c r="I61" s="119">
        <f t="shared" si="3"/>
        <v>250000</v>
      </c>
      <c r="J61" s="119">
        <f t="shared" si="4"/>
        <v>175000</v>
      </c>
      <c r="K61" s="119">
        <f t="shared" si="0"/>
        <v>75000</v>
      </c>
      <c r="L61" s="120"/>
      <c r="M61" s="120"/>
      <c r="N61" s="120"/>
      <c r="O61" s="120"/>
      <c r="P61" s="120"/>
      <c r="Q61" s="120"/>
      <c r="R61" s="121"/>
      <c r="S61" s="122"/>
      <c r="T61" s="122"/>
      <c r="U61" s="122"/>
      <c r="V61" s="122"/>
      <c r="W61" s="122"/>
      <c r="X61" s="122"/>
    </row>
    <row r="62" spans="1:24">
      <c r="A62" s="129"/>
      <c r="B62" s="125" t="s">
        <v>237</v>
      </c>
      <c r="C62" s="116" t="s">
        <v>194</v>
      </c>
      <c r="D62" s="116" t="s">
        <v>201</v>
      </c>
      <c r="E62" s="117" t="s">
        <v>238</v>
      </c>
      <c r="F62" s="118">
        <v>2015</v>
      </c>
      <c r="G62" s="119">
        <v>10500000</v>
      </c>
      <c r="H62" s="119">
        <f t="shared" si="2"/>
        <v>21000000</v>
      </c>
      <c r="I62" s="119">
        <f t="shared" si="3"/>
        <v>875000</v>
      </c>
      <c r="J62" s="119">
        <f t="shared" si="4"/>
        <v>612500</v>
      </c>
      <c r="K62" s="119">
        <f t="shared" si="0"/>
        <v>262500</v>
      </c>
      <c r="L62" s="120"/>
      <c r="M62" s="120"/>
      <c r="N62" s="120"/>
      <c r="O62" s="120"/>
      <c r="P62" s="120"/>
      <c r="Q62" s="120"/>
      <c r="R62" s="121"/>
      <c r="S62" s="122"/>
      <c r="T62" s="122"/>
      <c r="U62" s="122"/>
      <c r="V62" s="122"/>
      <c r="W62" s="122"/>
      <c r="X62" s="122"/>
    </row>
    <row r="63" spans="1:24">
      <c r="A63" s="129"/>
      <c r="B63" s="115" t="s">
        <v>215</v>
      </c>
      <c r="C63" s="116" t="s">
        <v>194</v>
      </c>
      <c r="D63" s="116" t="s">
        <v>202</v>
      </c>
      <c r="E63" s="117" t="s">
        <v>216</v>
      </c>
      <c r="F63" s="118">
        <v>2021</v>
      </c>
      <c r="G63" s="119">
        <v>1500000</v>
      </c>
      <c r="H63" s="119">
        <f t="shared" si="2"/>
        <v>3000000</v>
      </c>
      <c r="I63" s="119">
        <f t="shared" si="3"/>
        <v>125000</v>
      </c>
      <c r="J63" s="119">
        <f t="shared" si="4"/>
        <v>87500</v>
      </c>
      <c r="K63" s="119">
        <f t="shared" si="0"/>
        <v>37500</v>
      </c>
      <c r="L63" s="120"/>
      <c r="M63" s="120"/>
      <c r="N63" s="120"/>
      <c r="O63" s="120"/>
      <c r="P63" s="120"/>
      <c r="Q63" s="120"/>
      <c r="R63" s="121"/>
      <c r="S63" s="122"/>
      <c r="T63" s="122"/>
      <c r="U63" s="122"/>
      <c r="V63" s="122"/>
      <c r="W63" s="122"/>
      <c r="X63" s="122"/>
    </row>
    <row r="64" spans="1:24">
      <c r="A64" s="129"/>
      <c r="B64" s="115" t="s">
        <v>233</v>
      </c>
      <c r="C64" s="116" t="s">
        <v>194</v>
      </c>
      <c r="D64" s="116" t="s">
        <v>206</v>
      </c>
      <c r="E64" s="117" t="s">
        <v>234</v>
      </c>
      <c r="F64" s="118">
        <v>2015</v>
      </c>
      <c r="G64" s="119">
        <v>6000000</v>
      </c>
      <c r="H64" s="119">
        <f t="shared" si="2"/>
        <v>12000000</v>
      </c>
      <c r="I64" s="119">
        <f t="shared" si="3"/>
        <v>500000</v>
      </c>
      <c r="J64" s="119">
        <f t="shared" si="4"/>
        <v>350000</v>
      </c>
      <c r="K64" s="119">
        <f t="shared" si="0"/>
        <v>150000</v>
      </c>
      <c r="L64" s="120"/>
      <c r="M64" s="120"/>
      <c r="N64" s="120"/>
      <c r="O64" s="120"/>
      <c r="P64" s="120"/>
      <c r="Q64" s="120"/>
      <c r="R64" s="121"/>
      <c r="S64" s="122"/>
      <c r="T64" s="122"/>
      <c r="U64" s="122"/>
      <c r="V64" s="122"/>
      <c r="W64" s="122"/>
      <c r="X64" s="122"/>
    </row>
    <row r="65" spans="1:24" s="141" customFormat="1">
      <c r="A65" s="129"/>
      <c r="B65" s="115" t="s">
        <v>227</v>
      </c>
      <c r="C65" s="116" t="s">
        <v>194</v>
      </c>
      <c r="D65" s="116" t="s">
        <v>199</v>
      </c>
      <c r="E65" s="117" t="s">
        <v>228</v>
      </c>
      <c r="F65" s="118">
        <v>2015</v>
      </c>
      <c r="G65" s="119">
        <v>3000000</v>
      </c>
      <c r="H65" s="119">
        <f t="shared" si="2"/>
        <v>6000000</v>
      </c>
      <c r="I65" s="119">
        <f t="shared" si="3"/>
        <v>250000</v>
      </c>
      <c r="J65" s="119">
        <f t="shared" si="4"/>
        <v>175000</v>
      </c>
      <c r="K65" s="119">
        <f t="shared" si="0"/>
        <v>75000</v>
      </c>
      <c r="L65" s="120"/>
      <c r="M65" s="120"/>
      <c r="N65" s="120"/>
      <c r="O65" s="120"/>
      <c r="P65" s="120"/>
      <c r="Q65" s="120"/>
      <c r="R65" s="121"/>
      <c r="S65" s="122"/>
      <c r="T65" s="122"/>
      <c r="U65" s="122"/>
      <c r="V65" s="122"/>
      <c r="W65" s="122"/>
      <c r="X65" s="122"/>
    </row>
    <row r="66" spans="1:24">
      <c r="A66" s="129"/>
      <c r="B66" s="115" t="s">
        <v>223</v>
      </c>
      <c r="C66" s="116" t="s">
        <v>194</v>
      </c>
      <c r="D66" s="116" t="s">
        <v>199</v>
      </c>
      <c r="E66" s="117" t="s">
        <v>224</v>
      </c>
      <c r="F66" s="118">
        <v>2015</v>
      </c>
      <c r="G66" s="119">
        <v>7000000</v>
      </c>
      <c r="H66" s="119">
        <f t="shared" si="2"/>
        <v>14000000</v>
      </c>
      <c r="I66" s="119">
        <f t="shared" si="3"/>
        <v>583333.33333333337</v>
      </c>
      <c r="J66" s="119">
        <f t="shared" si="4"/>
        <v>408333.33333333331</v>
      </c>
      <c r="K66" s="119">
        <f t="shared" si="0"/>
        <v>175000.00000000006</v>
      </c>
      <c r="L66" s="120"/>
      <c r="M66" s="120"/>
      <c r="N66" s="120"/>
      <c r="O66" s="120"/>
      <c r="P66" s="120"/>
      <c r="Q66" s="120"/>
      <c r="R66" s="121"/>
      <c r="S66" s="122"/>
      <c r="T66" s="122"/>
      <c r="U66" s="122"/>
      <c r="V66" s="122"/>
      <c r="W66" s="122"/>
      <c r="X66" s="122"/>
    </row>
    <row r="67" spans="1:24" s="141" customFormat="1">
      <c r="A67" s="129"/>
      <c r="B67" s="115" t="s">
        <v>235</v>
      </c>
      <c r="C67" s="116" t="s">
        <v>194</v>
      </c>
      <c r="D67" s="116" t="s">
        <v>206</v>
      </c>
      <c r="E67" s="117" t="s">
        <v>236</v>
      </c>
      <c r="F67" s="118">
        <v>2015</v>
      </c>
      <c r="G67" s="119">
        <v>2000000</v>
      </c>
      <c r="H67" s="119">
        <f t="shared" si="2"/>
        <v>4000000</v>
      </c>
      <c r="I67" s="119">
        <f t="shared" si="3"/>
        <v>166666.66666666666</v>
      </c>
      <c r="J67" s="119">
        <f t="shared" si="4"/>
        <v>116666.66666666666</v>
      </c>
      <c r="K67" s="119">
        <f t="shared" si="0"/>
        <v>50000</v>
      </c>
      <c r="L67" s="120"/>
      <c r="M67" s="120"/>
      <c r="N67" s="120"/>
      <c r="O67" s="120"/>
      <c r="P67" s="120"/>
      <c r="Q67" s="120"/>
      <c r="R67" s="121"/>
      <c r="S67" s="122"/>
      <c r="T67" s="122"/>
      <c r="U67" s="122"/>
      <c r="V67" s="122"/>
      <c r="W67" s="122"/>
      <c r="X67" s="122"/>
    </row>
    <row r="68" spans="1:24">
      <c r="A68" s="129"/>
      <c r="B68" s="115" t="s">
        <v>229</v>
      </c>
      <c r="C68" s="116" t="s">
        <v>194</v>
      </c>
      <c r="D68" s="116" t="s">
        <v>204</v>
      </c>
      <c r="E68" s="117" t="s">
        <v>230</v>
      </c>
      <c r="F68" s="118">
        <v>2015</v>
      </c>
      <c r="G68" s="119">
        <v>3000000</v>
      </c>
      <c r="H68" s="119">
        <f t="shared" si="2"/>
        <v>6000000</v>
      </c>
      <c r="I68" s="119">
        <f t="shared" si="3"/>
        <v>250000</v>
      </c>
      <c r="J68" s="119">
        <f t="shared" si="4"/>
        <v>175000</v>
      </c>
      <c r="K68" s="119">
        <f t="shared" si="0"/>
        <v>75000</v>
      </c>
      <c r="L68" s="120"/>
      <c r="M68" s="120"/>
      <c r="N68" s="120"/>
      <c r="O68" s="120"/>
      <c r="P68" s="120"/>
      <c r="Q68" s="120"/>
      <c r="R68" s="121"/>
      <c r="S68" s="122"/>
      <c r="T68" s="122"/>
      <c r="U68" s="122"/>
      <c r="V68" s="122"/>
      <c r="W68" s="122"/>
      <c r="X68" s="122"/>
    </row>
    <row r="69" spans="1:24">
      <c r="A69" s="129"/>
      <c r="B69" s="115" t="s">
        <v>225</v>
      </c>
      <c r="C69" s="116" t="s">
        <v>194</v>
      </c>
      <c r="D69" s="116" t="s">
        <v>202</v>
      </c>
      <c r="E69" s="117" t="s">
        <v>226</v>
      </c>
      <c r="F69" s="118">
        <v>2015</v>
      </c>
      <c r="G69" s="119">
        <v>5000000</v>
      </c>
      <c r="H69" s="119">
        <f t="shared" si="2"/>
        <v>10000000</v>
      </c>
      <c r="I69" s="119">
        <f t="shared" si="3"/>
        <v>416666.66666666669</v>
      </c>
      <c r="J69" s="119">
        <f t="shared" si="4"/>
        <v>291666.66666666669</v>
      </c>
      <c r="K69" s="119">
        <f t="shared" si="0"/>
        <v>125000</v>
      </c>
      <c r="L69" s="120"/>
      <c r="M69" s="120"/>
      <c r="N69" s="120"/>
      <c r="O69" s="120"/>
      <c r="P69" s="120"/>
      <c r="Q69" s="120"/>
      <c r="R69" s="121"/>
      <c r="S69" s="122"/>
      <c r="T69" s="122"/>
      <c r="U69" s="122"/>
      <c r="V69" s="122"/>
      <c r="W69" s="122"/>
      <c r="X69" s="122"/>
    </row>
    <row r="70" spans="1:24">
      <c r="A70" s="129"/>
      <c r="B70" s="115" t="s">
        <v>221</v>
      </c>
      <c r="C70" s="116" t="s">
        <v>194</v>
      </c>
      <c r="D70" s="116" t="s">
        <v>199</v>
      </c>
      <c r="E70" s="117" t="s">
        <v>222</v>
      </c>
      <c r="F70" s="118">
        <v>2015</v>
      </c>
      <c r="G70" s="119">
        <v>5000000</v>
      </c>
      <c r="H70" s="119">
        <f t="shared" si="2"/>
        <v>10000000</v>
      </c>
      <c r="I70" s="119">
        <f t="shared" si="3"/>
        <v>416666.66666666669</v>
      </c>
      <c r="J70" s="119">
        <f t="shared" si="4"/>
        <v>291666.66666666669</v>
      </c>
      <c r="K70" s="119">
        <f t="shared" ref="K70:K118" si="5">(I70-J70)</f>
        <v>125000</v>
      </c>
      <c r="L70" s="120"/>
      <c r="M70" s="120"/>
      <c r="N70" s="120"/>
      <c r="O70" s="120"/>
      <c r="P70" s="120"/>
      <c r="Q70" s="120"/>
      <c r="R70" s="121"/>
      <c r="S70" s="122"/>
      <c r="T70" s="122"/>
      <c r="U70" s="122"/>
      <c r="V70" s="122"/>
      <c r="W70" s="122"/>
      <c r="X70" s="122"/>
    </row>
    <row r="71" spans="1:24">
      <c r="A71" s="129"/>
      <c r="B71" s="131" t="s">
        <v>244</v>
      </c>
      <c r="C71" s="132" t="s">
        <v>194</v>
      </c>
      <c r="D71" s="132" t="s">
        <v>201</v>
      </c>
      <c r="E71" s="133" t="s">
        <v>245</v>
      </c>
      <c r="F71" s="134">
        <v>2019</v>
      </c>
      <c r="G71" s="135">
        <v>3000000</v>
      </c>
      <c r="H71" s="135">
        <f t="shared" ref="H71:H118" si="6">G71*2</f>
        <v>6000000</v>
      </c>
      <c r="I71" s="135">
        <f t="shared" ref="I71:I118" si="7">(G71+H71)/36</f>
        <v>250000</v>
      </c>
      <c r="J71" s="135">
        <f t="shared" ref="J71:J118" si="8">I71*0.7</f>
        <v>175000</v>
      </c>
      <c r="K71" s="135">
        <f t="shared" si="5"/>
        <v>75000</v>
      </c>
      <c r="L71" s="120"/>
      <c r="M71" s="120"/>
      <c r="N71" s="120"/>
      <c r="O71" s="120"/>
      <c r="P71" s="120"/>
      <c r="Q71" s="120"/>
      <c r="R71" s="121"/>
      <c r="S71" s="122"/>
      <c r="T71" s="122"/>
      <c r="U71" s="122"/>
      <c r="V71" s="122"/>
      <c r="W71" s="122"/>
      <c r="X71" s="122"/>
    </row>
    <row r="72" spans="1:24">
      <c r="A72" s="136"/>
      <c r="B72" s="132" t="s">
        <v>207</v>
      </c>
      <c r="C72" s="132" t="s">
        <v>194</v>
      </c>
      <c r="D72" s="132" t="s">
        <v>206</v>
      </c>
      <c r="E72" s="133" t="s">
        <v>208</v>
      </c>
      <c r="F72" s="134">
        <v>2014</v>
      </c>
      <c r="G72" s="135">
        <v>6000000</v>
      </c>
      <c r="H72" s="135">
        <f t="shared" si="6"/>
        <v>12000000</v>
      </c>
      <c r="I72" s="135">
        <f t="shared" si="7"/>
        <v>500000</v>
      </c>
      <c r="J72" s="135">
        <f t="shared" si="8"/>
        <v>350000</v>
      </c>
      <c r="K72" s="135">
        <f t="shared" si="5"/>
        <v>150000</v>
      </c>
      <c r="L72" s="120"/>
      <c r="M72" s="120"/>
      <c r="N72" s="120"/>
      <c r="O72" s="120"/>
      <c r="P72" s="120"/>
      <c r="Q72" s="120"/>
      <c r="R72" s="121"/>
      <c r="S72" s="122"/>
      <c r="T72" s="122"/>
      <c r="U72" s="122"/>
      <c r="V72" s="122"/>
      <c r="W72" s="122"/>
      <c r="X72" s="122"/>
    </row>
    <row r="73" spans="1:24" s="141" customFormat="1">
      <c r="A73" s="136"/>
      <c r="B73" s="132" t="s">
        <v>266</v>
      </c>
      <c r="C73" s="116" t="s">
        <v>194</v>
      </c>
      <c r="D73" s="116" t="s">
        <v>204</v>
      </c>
      <c r="E73" s="133" t="s">
        <v>267</v>
      </c>
      <c r="F73" s="134">
        <v>2015</v>
      </c>
      <c r="G73" s="135">
        <v>8000000</v>
      </c>
      <c r="H73" s="135">
        <f t="shared" si="6"/>
        <v>16000000</v>
      </c>
      <c r="I73" s="135">
        <f t="shared" si="7"/>
        <v>666666.66666666663</v>
      </c>
      <c r="J73" s="135">
        <f t="shared" si="8"/>
        <v>466666.66666666663</v>
      </c>
      <c r="K73" s="135">
        <f t="shared" si="5"/>
        <v>200000</v>
      </c>
      <c r="L73" s="120"/>
      <c r="M73" s="120"/>
      <c r="N73" s="120"/>
      <c r="O73" s="120"/>
      <c r="P73" s="120"/>
      <c r="Q73" s="120"/>
      <c r="R73" s="121"/>
      <c r="S73" s="122"/>
      <c r="T73" s="122"/>
      <c r="U73" s="122"/>
      <c r="V73" s="122"/>
      <c r="W73" s="122"/>
      <c r="X73" s="122"/>
    </row>
    <row r="74" spans="1:24" s="141" customFormat="1">
      <c r="A74" s="129"/>
      <c r="B74" s="115" t="s">
        <v>240</v>
      </c>
      <c r="C74" s="116" t="s">
        <v>194</v>
      </c>
      <c r="D74" s="116" t="s">
        <v>202</v>
      </c>
      <c r="E74" s="117" t="s">
        <v>241</v>
      </c>
      <c r="F74" s="118">
        <v>2016</v>
      </c>
      <c r="G74" s="119">
        <v>12000000</v>
      </c>
      <c r="H74" s="119">
        <f t="shared" si="6"/>
        <v>24000000</v>
      </c>
      <c r="I74" s="119">
        <f t="shared" si="7"/>
        <v>1000000</v>
      </c>
      <c r="J74" s="119">
        <f t="shared" si="8"/>
        <v>700000</v>
      </c>
      <c r="K74" s="119">
        <f t="shared" si="5"/>
        <v>300000</v>
      </c>
      <c r="L74" s="120"/>
      <c r="M74" s="120"/>
      <c r="N74" s="120"/>
      <c r="O74" s="120"/>
      <c r="P74" s="120"/>
      <c r="Q74" s="120"/>
      <c r="R74" s="121"/>
      <c r="S74" s="122"/>
      <c r="T74" s="122"/>
      <c r="U74" s="122"/>
      <c r="V74" s="122"/>
      <c r="W74" s="122"/>
      <c r="X74" s="122"/>
    </row>
    <row r="75" spans="1:24">
      <c r="A75" s="129"/>
      <c r="B75" s="115" t="s">
        <v>213</v>
      </c>
      <c r="C75" s="116" t="s">
        <v>194</v>
      </c>
      <c r="D75" s="116" t="s">
        <v>197</v>
      </c>
      <c r="E75" s="117" t="s">
        <v>214</v>
      </c>
      <c r="F75" s="118">
        <v>2019</v>
      </c>
      <c r="G75" s="119">
        <v>6300000</v>
      </c>
      <c r="H75" s="119">
        <f t="shared" si="6"/>
        <v>12600000</v>
      </c>
      <c r="I75" s="119">
        <f t="shared" si="7"/>
        <v>525000</v>
      </c>
      <c r="J75" s="119">
        <f t="shared" si="8"/>
        <v>367500</v>
      </c>
      <c r="K75" s="119">
        <f t="shared" si="5"/>
        <v>157500</v>
      </c>
      <c r="L75" s="120"/>
      <c r="M75" s="120"/>
      <c r="N75" s="120"/>
      <c r="O75" s="120"/>
      <c r="P75" s="120"/>
      <c r="Q75" s="120"/>
      <c r="R75" s="121"/>
      <c r="S75" s="122"/>
      <c r="T75" s="122"/>
      <c r="U75" s="122"/>
      <c r="V75" s="122"/>
      <c r="W75" s="122"/>
      <c r="X75" s="122"/>
    </row>
    <row r="76" spans="1:24">
      <c r="A76" s="129"/>
      <c r="B76" s="115" t="s">
        <v>249</v>
      </c>
      <c r="C76" s="116" t="s">
        <v>194</v>
      </c>
      <c r="D76" s="116" t="s">
        <v>202</v>
      </c>
      <c r="E76" s="117" t="s">
        <v>330</v>
      </c>
      <c r="F76" s="118">
        <v>2020</v>
      </c>
      <c r="G76" s="119">
        <v>13000000</v>
      </c>
      <c r="H76" s="119">
        <f t="shared" si="6"/>
        <v>26000000</v>
      </c>
      <c r="I76" s="119">
        <f t="shared" si="7"/>
        <v>1083333.3333333333</v>
      </c>
      <c r="J76" s="119">
        <f t="shared" si="8"/>
        <v>758333.33333333326</v>
      </c>
      <c r="K76" s="119">
        <f t="shared" si="5"/>
        <v>325000</v>
      </c>
      <c r="L76" s="120"/>
      <c r="M76" s="120"/>
      <c r="N76" s="120"/>
      <c r="O76" s="120"/>
      <c r="P76" s="120"/>
      <c r="Q76" s="120"/>
      <c r="R76" s="121"/>
      <c r="S76" s="122"/>
      <c r="T76" s="122"/>
      <c r="U76" s="122"/>
      <c r="V76" s="122"/>
      <c r="W76" s="122"/>
      <c r="X76" s="122"/>
    </row>
    <row r="77" spans="1:24">
      <c r="A77" s="129"/>
      <c r="B77" s="115" t="s">
        <v>250</v>
      </c>
      <c r="C77" s="116" t="s">
        <v>194</v>
      </c>
      <c r="D77" s="116" t="s">
        <v>200</v>
      </c>
      <c r="E77" s="117" t="s">
        <v>331</v>
      </c>
      <c r="F77" s="118">
        <v>2020</v>
      </c>
      <c r="G77" s="119">
        <v>6000000</v>
      </c>
      <c r="H77" s="119">
        <f t="shared" si="6"/>
        <v>12000000</v>
      </c>
      <c r="I77" s="119">
        <f t="shared" si="7"/>
        <v>500000</v>
      </c>
      <c r="J77" s="119">
        <f t="shared" si="8"/>
        <v>350000</v>
      </c>
      <c r="K77" s="119">
        <f t="shared" si="5"/>
        <v>150000</v>
      </c>
      <c r="L77" s="120"/>
      <c r="M77" s="120"/>
      <c r="N77" s="120"/>
      <c r="O77" s="120"/>
      <c r="P77" s="120"/>
      <c r="Q77" s="120"/>
      <c r="R77" s="121"/>
      <c r="S77" s="122"/>
      <c r="T77" s="122"/>
      <c r="U77" s="122"/>
      <c r="V77" s="122"/>
      <c r="W77" s="122"/>
      <c r="X77" s="122"/>
    </row>
    <row r="78" spans="1:24">
      <c r="A78" s="129"/>
      <c r="B78" s="115" t="s">
        <v>253</v>
      </c>
      <c r="C78" s="116" t="s">
        <v>194</v>
      </c>
      <c r="D78" s="116" t="s">
        <v>200</v>
      </c>
      <c r="E78" s="117" t="s">
        <v>254</v>
      </c>
      <c r="F78" s="118">
        <v>2020</v>
      </c>
      <c r="G78" s="119">
        <v>3000000</v>
      </c>
      <c r="H78" s="119">
        <f t="shared" si="6"/>
        <v>6000000</v>
      </c>
      <c r="I78" s="119">
        <f t="shared" si="7"/>
        <v>250000</v>
      </c>
      <c r="J78" s="119">
        <f t="shared" si="8"/>
        <v>175000</v>
      </c>
      <c r="K78" s="119">
        <f t="shared" si="5"/>
        <v>75000</v>
      </c>
      <c r="L78" s="120"/>
      <c r="M78" s="120"/>
      <c r="N78" s="120"/>
      <c r="O78" s="120"/>
      <c r="P78" s="120"/>
      <c r="Q78" s="120"/>
      <c r="R78" s="121"/>
      <c r="S78" s="122"/>
      <c r="T78" s="122"/>
      <c r="U78" s="122"/>
      <c r="V78" s="122"/>
      <c r="W78" s="122"/>
      <c r="X78" s="122"/>
    </row>
    <row r="79" spans="1:24" s="142" customFormat="1">
      <c r="A79" s="137"/>
      <c r="B79" s="132" t="s">
        <v>258</v>
      </c>
      <c r="C79" s="132" t="s">
        <v>194</v>
      </c>
      <c r="D79" s="132" t="s">
        <v>203</v>
      </c>
      <c r="E79" s="133" t="s">
        <v>259</v>
      </c>
      <c r="F79" s="134">
        <v>2020</v>
      </c>
      <c r="G79" s="135">
        <v>3000000</v>
      </c>
      <c r="H79" s="135">
        <f t="shared" si="6"/>
        <v>6000000</v>
      </c>
      <c r="I79" s="135">
        <f t="shared" si="7"/>
        <v>250000</v>
      </c>
      <c r="J79" s="135">
        <f t="shared" si="8"/>
        <v>175000</v>
      </c>
      <c r="K79" s="135">
        <f t="shared" si="5"/>
        <v>75000</v>
      </c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</row>
    <row r="80" spans="1:24">
      <c r="B80" s="132" t="s">
        <v>276</v>
      </c>
      <c r="C80" s="132" t="s">
        <v>274</v>
      </c>
      <c r="D80" s="132" t="s">
        <v>202</v>
      </c>
      <c r="E80" s="133" t="s">
        <v>277</v>
      </c>
      <c r="F80" s="134">
        <v>2017</v>
      </c>
      <c r="G80" s="135">
        <v>14000000</v>
      </c>
      <c r="H80" s="135">
        <f>G80*2</f>
        <v>28000000</v>
      </c>
      <c r="I80" s="135">
        <f>(G80+H80)/36</f>
        <v>1166666.6666666667</v>
      </c>
      <c r="J80" s="135">
        <f>I80*0.7</f>
        <v>816666.66666666663</v>
      </c>
      <c r="K80" s="135">
        <f>(I80-J80)</f>
        <v>350000.00000000012</v>
      </c>
    </row>
    <row r="81" spans="3:11">
      <c r="C81" s="132" t="s">
        <v>274</v>
      </c>
      <c r="D81" s="132" t="s">
        <v>195</v>
      </c>
      <c r="E81" s="140" t="s">
        <v>281</v>
      </c>
      <c r="F81" s="139">
        <v>2021</v>
      </c>
      <c r="G81" s="145">
        <v>3000000</v>
      </c>
      <c r="H81" s="145">
        <f t="shared" si="6"/>
        <v>6000000</v>
      </c>
      <c r="I81" s="145">
        <f t="shared" si="7"/>
        <v>250000</v>
      </c>
      <c r="J81" s="145">
        <f t="shared" si="8"/>
        <v>175000</v>
      </c>
      <c r="K81" s="145">
        <f t="shared" si="5"/>
        <v>75000</v>
      </c>
    </row>
    <row r="82" spans="3:11">
      <c r="C82" s="132" t="s">
        <v>274</v>
      </c>
      <c r="D82" s="132" t="s">
        <v>195</v>
      </c>
      <c r="E82" s="140" t="s">
        <v>282</v>
      </c>
      <c r="F82" s="139">
        <v>2015</v>
      </c>
      <c r="G82" s="145">
        <v>8000000</v>
      </c>
      <c r="H82" s="145">
        <f t="shared" si="6"/>
        <v>16000000</v>
      </c>
      <c r="I82" s="145">
        <f t="shared" si="7"/>
        <v>666666.66666666663</v>
      </c>
      <c r="J82" s="145">
        <f t="shared" si="8"/>
        <v>466666.66666666663</v>
      </c>
      <c r="K82" s="145">
        <f t="shared" si="5"/>
        <v>200000</v>
      </c>
    </row>
    <row r="83" spans="3:11">
      <c r="C83" s="132" t="s">
        <v>274</v>
      </c>
      <c r="D83" s="132" t="s">
        <v>199</v>
      </c>
      <c r="E83" s="140" t="s">
        <v>283</v>
      </c>
      <c r="F83" s="139">
        <v>2015</v>
      </c>
      <c r="G83" s="145">
        <v>8000000</v>
      </c>
      <c r="H83" s="145">
        <f t="shared" si="6"/>
        <v>16000000</v>
      </c>
      <c r="I83" s="145">
        <f t="shared" si="7"/>
        <v>666666.66666666663</v>
      </c>
      <c r="J83" s="145">
        <f t="shared" si="8"/>
        <v>466666.66666666663</v>
      </c>
      <c r="K83" s="145">
        <f t="shared" si="5"/>
        <v>200000</v>
      </c>
    </row>
    <row r="84" spans="3:11">
      <c r="C84" s="132" t="s">
        <v>274</v>
      </c>
      <c r="D84" s="132" t="s">
        <v>199</v>
      </c>
      <c r="E84" s="140" t="s">
        <v>284</v>
      </c>
      <c r="F84" s="139">
        <v>2015</v>
      </c>
      <c r="G84" s="145">
        <v>8000000</v>
      </c>
      <c r="H84" s="145">
        <f t="shared" si="6"/>
        <v>16000000</v>
      </c>
      <c r="I84" s="145">
        <f t="shared" si="7"/>
        <v>666666.66666666663</v>
      </c>
      <c r="J84" s="145">
        <f t="shared" si="8"/>
        <v>466666.66666666663</v>
      </c>
      <c r="K84" s="145">
        <f t="shared" si="5"/>
        <v>200000</v>
      </c>
    </row>
    <row r="85" spans="3:11">
      <c r="C85" s="132" t="s">
        <v>274</v>
      </c>
      <c r="D85" s="132" t="s">
        <v>200</v>
      </c>
      <c r="E85" s="140" t="s">
        <v>285</v>
      </c>
      <c r="F85" s="139">
        <v>2021</v>
      </c>
      <c r="G85" s="145">
        <v>1500000</v>
      </c>
      <c r="H85" s="145">
        <f t="shared" si="6"/>
        <v>3000000</v>
      </c>
      <c r="I85" s="145">
        <f t="shared" si="7"/>
        <v>125000</v>
      </c>
      <c r="J85" s="145">
        <f t="shared" si="8"/>
        <v>87500</v>
      </c>
      <c r="K85" s="145">
        <f t="shared" si="5"/>
        <v>37500</v>
      </c>
    </row>
    <row r="86" spans="3:11">
      <c r="C86" s="132" t="s">
        <v>274</v>
      </c>
      <c r="D86" s="132" t="s">
        <v>199</v>
      </c>
      <c r="E86" s="140" t="s">
        <v>286</v>
      </c>
      <c r="F86" s="139">
        <v>2022</v>
      </c>
      <c r="G86" s="145">
        <v>3000000</v>
      </c>
      <c r="H86" s="145">
        <f t="shared" si="6"/>
        <v>6000000</v>
      </c>
      <c r="I86" s="145">
        <f t="shared" si="7"/>
        <v>250000</v>
      </c>
      <c r="J86" s="145">
        <f t="shared" si="8"/>
        <v>175000</v>
      </c>
      <c r="K86" s="145">
        <f t="shared" si="5"/>
        <v>75000</v>
      </c>
    </row>
    <row r="87" spans="3:11">
      <c r="C87" s="132" t="s">
        <v>274</v>
      </c>
      <c r="D87" s="132" t="s">
        <v>203</v>
      </c>
      <c r="E87" s="140" t="s">
        <v>287</v>
      </c>
      <c r="F87" s="139">
        <v>2021</v>
      </c>
      <c r="G87" s="145">
        <v>1500000</v>
      </c>
      <c r="H87" s="145">
        <f t="shared" si="6"/>
        <v>3000000</v>
      </c>
      <c r="I87" s="145">
        <f t="shared" si="7"/>
        <v>125000</v>
      </c>
      <c r="J87" s="145">
        <f t="shared" si="8"/>
        <v>87500</v>
      </c>
      <c r="K87" s="145">
        <f t="shared" si="5"/>
        <v>37500</v>
      </c>
    </row>
    <row r="88" spans="3:11">
      <c r="C88" s="132" t="s">
        <v>274</v>
      </c>
      <c r="D88" s="132" t="s">
        <v>203</v>
      </c>
      <c r="E88" s="140" t="s">
        <v>288</v>
      </c>
      <c r="F88" s="139">
        <v>2015</v>
      </c>
      <c r="G88" s="145">
        <v>8000000</v>
      </c>
      <c r="H88" s="145">
        <f t="shared" si="6"/>
        <v>16000000</v>
      </c>
      <c r="I88" s="145">
        <f t="shared" si="7"/>
        <v>666666.66666666663</v>
      </c>
      <c r="J88" s="145">
        <f t="shared" si="8"/>
        <v>466666.66666666663</v>
      </c>
      <c r="K88" s="145">
        <f t="shared" si="5"/>
        <v>200000</v>
      </c>
    </row>
    <row r="89" spans="3:11">
      <c r="C89" s="132" t="s">
        <v>274</v>
      </c>
      <c r="D89" s="132" t="s">
        <v>203</v>
      </c>
      <c r="E89" s="140" t="s">
        <v>289</v>
      </c>
      <c r="F89" s="139">
        <v>2015</v>
      </c>
      <c r="G89" s="145">
        <v>8000000</v>
      </c>
      <c r="H89" s="145">
        <f t="shared" si="6"/>
        <v>16000000</v>
      </c>
      <c r="I89" s="145">
        <f t="shared" si="7"/>
        <v>666666.66666666663</v>
      </c>
      <c r="J89" s="145">
        <f t="shared" si="8"/>
        <v>466666.66666666663</v>
      </c>
      <c r="K89" s="145">
        <f t="shared" si="5"/>
        <v>200000</v>
      </c>
    </row>
    <row r="90" spans="3:11">
      <c r="C90" s="132" t="s">
        <v>274</v>
      </c>
      <c r="D90" s="132" t="s">
        <v>202</v>
      </c>
      <c r="E90" s="140" t="s">
        <v>290</v>
      </c>
      <c r="F90" s="139">
        <v>2015</v>
      </c>
      <c r="G90" s="145">
        <v>8000000</v>
      </c>
      <c r="H90" s="145">
        <f t="shared" si="6"/>
        <v>16000000</v>
      </c>
      <c r="I90" s="145">
        <f t="shared" si="7"/>
        <v>666666.66666666663</v>
      </c>
      <c r="J90" s="145">
        <f t="shared" si="8"/>
        <v>466666.66666666663</v>
      </c>
      <c r="K90" s="145">
        <f t="shared" si="5"/>
        <v>200000</v>
      </c>
    </row>
    <row r="91" spans="3:11">
      <c r="C91" s="132" t="s">
        <v>274</v>
      </c>
      <c r="D91" s="132" t="s">
        <v>202</v>
      </c>
      <c r="E91" s="140" t="s">
        <v>291</v>
      </c>
      <c r="F91" s="139">
        <v>2015</v>
      </c>
      <c r="G91" s="145">
        <v>8000000</v>
      </c>
      <c r="H91" s="145">
        <f t="shared" si="6"/>
        <v>16000000</v>
      </c>
      <c r="I91" s="145">
        <f t="shared" si="7"/>
        <v>666666.66666666663</v>
      </c>
      <c r="J91" s="145">
        <f t="shared" si="8"/>
        <v>466666.66666666663</v>
      </c>
      <c r="K91" s="145">
        <f t="shared" si="5"/>
        <v>200000</v>
      </c>
    </row>
    <row r="92" spans="3:11">
      <c r="C92" s="132" t="s">
        <v>274</v>
      </c>
      <c r="D92" s="132" t="s">
        <v>201</v>
      </c>
      <c r="E92" s="140" t="s">
        <v>292</v>
      </c>
      <c r="F92" s="139">
        <v>2015</v>
      </c>
      <c r="G92" s="145">
        <v>8000000</v>
      </c>
      <c r="H92" s="145">
        <f t="shared" si="6"/>
        <v>16000000</v>
      </c>
      <c r="I92" s="145">
        <f t="shared" si="7"/>
        <v>666666.66666666663</v>
      </c>
      <c r="J92" s="145">
        <f t="shared" si="8"/>
        <v>466666.66666666663</v>
      </c>
      <c r="K92" s="145">
        <f t="shared" si="5"/>
        <v>200000</v>
      </c>
    </row>
    <row r="93" spans="3:11">
      <c r="C93" s="132" t="s">
        <v>274</v>
      </c>
      <c r="D93" s="132" t="s">
        <v>201</v>
      </c>
      <c r="E93" s="140" t="s">
        <v>293</v>
      </c>
      <c r="F93" s="139">
        <v>2020</v>
      </c>
      <c r="G93" s="145">
        <v>1500000</v>
      </c>
      <c r="H93" s="145">
        <f t="shared" si="6"/>
        <v>3000000</v>
      </c>
      <c r="I93" s="145">
        <f t="shared" si="7"/>
        <v>125000</v>
      </c>
      <c r="J93" s="145">
        <f t="shared" si="8"/>
        <v>87500</v>
      </c>
      <c r="K93" s="145">
        <f t="shared" si="5"/>
        <v>37500</v>
      </c>
    </row>
    <row r="94" spans="3:11">
      <c r="C94" s="132" t="s">
        <v>274</v>
      </c>
      <c r="D94" s="132" t="s">
        <v>203</v>
      </c>
      <c r="E94" s="140" t="s">
        <v>294</v>
      </c>
      <c r="F94" s="139">
        <v>2021</v>
      </c>
      <c r="G94" s="145">
        <v>1500000</v>
      </c>
      <c r="H94" s="145">
        <f t="shared" si="6"/>
        <v>3000000</v>
      </c>
      <c r="I94" s="145">
        <f t="shared" si="7"/>
        <v>125000</v>
      </c>
      <c r="J94" s="145">
        <f t="shared" si="8"/>
        <v>87500</v>
      </c>
      <c r="K94" s="145">
        <f t="shared" si="5"/>
        <v>37500</v>
      </c>
    </row>
    <row r="95" spans="3:11">
      <c r="C95" s="132" t="s">
        <v>274</v>
      </c>
      <c r="D95" s="132" t="s">
        <v>195</v>
      </c>
      <c r="E95" s="140" t="s">
        <v>295</v>
      </c>
      <c r="F95" s="139">
        <v>2021</v>
      </c>
      <c r="G95" s="145">
        <v>1500000</v>
      </c>
      <c r="H95" s="145">
        <f t="shared" si="6"/>
        <v>3000000</v>
      </c>
      <c r="I95" s="145">
        <f t="shared" si="7"/>
        <v>125000</v>
      </c>
      <c r="J95" s="145">
        <f t="shared" si="8"/>
        <v>87500</v>
      </c>
      <c r="K95" s="145">
        <f t="shared" si="5"/>
        <v>37500</v>
      </c>
    </row>
    <row r="96" spans="3:11">
      <c r="C96" s="132" t="s">
        <v>274</v>
      </c>
      <c r="D96" s="132" t="s">
        <v>199</v>
      </c>
      <c r="E96" s="140" t="s">
        <v>296</v>
      </c>
      <c r="F96" s="139">
        <v>2015</v>
      </c>
      <c r="G96" s="145">
        <v>8000000</v>
      </c>
      <c r="H96" s="145">
        <f t="shared" si="6"/>
        <v>16000000</v>
      </c>
      <c r="I96" s="145">
        <f t="shared" si="7"/>
        <v>666666.66666666663</v>
      </c>
      <c r="J96" s="145">
        <f t="shared" si="8"/>
        <v>466666.66666666663</v>
      </c>
      <c r="K96" s="145">
        <f t="shared" si="5"/>
        <v>200000</v>
      </c>
    </row>
    <row r="97" spans="3:11">
      <c r="C97" s="132" t="s">
        <v>274</v>
      </c>
      <c r="D97" s="132" t="s">
        <v>199</v>
      </c>
      <c r="E97" s="140" t="s">
        <v>297</v>
      </c>
      <c r="F97" s="139">
        <v>2015</v>
      </c>
      <c r="G97" s="145">
        <v>8000000</v>
      </c>
      <c r="H97" s="145">
        <f t="shared" si="6"/>
        <v>16000000</v>
      </c>
      <c r="I97" s="145">
        <f t="shared" si="7"/>
        <v>666666.66666666663</v>
      </c>
      <c r="J97" s="145">
        <f t="shared" si="8"/>
        <v>466666.66666666663</v>
      </c>
      <c r="K97" s="145">
        <f t="shared" si="5"/>
        <v>200000</v>
      </c>
    </row>
    <row r="98" spans="3:11">
      <c r="C98" s="132" t="s">
        <v>274</v>
      </c>
      <c r="D98" s="132" t="s">
        <v>203</v>
      </c>
      <c r="E98" s="140" t="s">
        <v>298</v>
      </c>
      <c r="F98" s="139">
        <v>2021</v>
      </c>
      <c r="G98" s="145">
        <v>1500000</v>
      </c>
      <c r="H98" s="145">
        <f t="shared" si="6"/>
        <v>3000000</v>
      </c>
      <c r="I98" s="145">
        <f t="shared" si="7"/>
        <v>125000</v>
      </c>
      <c r="J98" s="145">
        <f t="shared" si="8"/>
        <v>87500</v>
      </c>
      <c r="K98" s="145">
        <f t="shared" si="5"/>
        <v>37500</v>
      </c>
    </row>
    <row r="99" spans="3:11">
      <c r="C99" s="132" t="s">
        <v>274</v>
      </c>
      <c r="D99" s="132" t="s">
        <v>203</v>
      </c>
      <c r="E99" s="140" t="s">
        <v>299</v>
      </c>
      <c r="F99" s="139">
        <v>2021</v>
      </c>
      <c r="G99" s="145">
        <v>1500000</v>
      </c>
      <c r="H99" s="145">
        <f t="shared" si="6"/>
        <v>3000000</v>
      </c>
      <c r="I99" s="145">
        <f t="shared" si="7"/>
        <v>125000</v>
      </c>
      <c r="J99" s="145">
        <f t="shared" si="8"/>
        <v>87500</v>
      </c>
      <c r="K99" s="145">
        <f t="shared" si="5"/>
        <v>37500</v>
      </c>
    </row>
    <row r="100" spans="3:11">
      <c r="C100" s="132" t="s">
        <v>274</v>
      </c>
      <c r="D100" s="132" t="s">
        <v>203</v>
      </c>
      <c r="E100" s="140" t="s">
        <v>300</v>
      </c>
      <c r="F100" s="139">
        <v>2015</v>
      </c>
      <c r="G100" s="145">
        <v>8000000</v>
      </c>
      <c r="H100" s="145">
        <f t="shared" si="6"/>
        <v>16000000</v>
      </c>
      <c r="I100" s="145">
        <f t="shared" si="7"/>
        <v>666666.66666666663</v>
      </c>
      <c r="J100" s="145">
        <f t="shared" si="8"/>
        <v>466666.66666666663</v>
      </c>
      <c r="K100" s="145">
        <f t="shared" si="5"/>
        <v>200000</v>
      </c>
    </row>
    <row r="101" spans="3:11">
      <c r="C101" s="132" t="s">
        <v>274</v>
      </c>
      <c r="D101" s="132" t="s">
        <v>203</v>
      </c>
      <c r="E101" s="140" t="s">
        <v>301</v>
      </c>
      <c r="F101" s="139">
        <v>2021</v>
      </c>
      <c r="G101" s="145">
        <v>1500000</v>
      </c>
      <c r="H101" s="145">
        <f t="shared" si="6"/>
        <v>3000000</v>
      </c>
      <c r="I101" s="145">
        <f t="shared" si="7"/>
        <v>125000</v>
      </c>
      <c r="J101" s="145">
        <f t="shared" si="8"/>
        <v>87500</v>
      </c>
      <c r="K101" s="145">
        <f t="shared" si="5"/>
        <v>37500</v>
      </c>
    </row>
    <row r="102" spans="3:11">
      <c r="C102" s="132" t="s">
        <v>274</v>
      </c>
      <c r="D102" s="132" t="s">
        <v>202</v>
      </c>
      <c r="E102" s="140" t="s">
        <v>302</v>
      </c>
      <c r="F102" s="139">
        <v>2015</v>
      </c>
      <c r="G102" s="145">
        <v>8000000</v>
      </c>
      <c r="H102" s="145">
        <f t="shared" si="6"/>
        <v>16000000</v>
      </c>
      <c r="I102" s="145">
        <f t="shared" si="7"/>
        <v>666666.66666666663</v>
      </c>
      <c r="J102" s="145">
        <f t="shared" si="8"/>
        <v>466666.66666666663</v>
      </c>
      <c r="K102" s="145">
        <f t="shared" si="5"/>
        <v>200000</v>
      </c>
    </row>
    <row r="103" spans="3:11">
      <c r="C103" s="132" t="s">
        <v>274</v>
      </c>
      <c r="D103" s="132" t="s">
        <v>323</v>
      </c>
      <c r="E103" s="140" t="s">
        <v>303</v>
      </c>
      <c r="F103" s="139">
        <v>2015</v>
      </c>
      <c r="G103" s="145">
        <v>8000000</v>
      </c>
      <c r="H103" s="145">
        <f t="shared" si="6"/>
        <v>16000000</v>
      </c>
      <c r="I103" s="145">
        <f t="shared" si="7"/>
        <v>666666.66666666663</v>
      </c>
      <c r="J103" s="145">
        <f t="shared" si="8"/>
        <v>466666.66666666663</v>
      </c>
      <c r="K103" s="145">
        <f t="shared" si="5"/>
        <v>200000</v>
      </c>
    </row>
    <row r="104" spans="3:11">
      <c r="C104" s="132" t="s">
        <v>274</v>
      </c>
      <c r="D104" s="132" t="s">
        <v>202</v>
      </c>
      <c r="E104" s="140" t="s">
        <v>304</v>
      </c>
      <c r="F104" s="139">
        <v>2015</v>
      </c>
      <c r="G104" s="145">
        <v>8000000</v>
      </c>
      <c r="H104" s="145">
        <f t="shared" si="6"/>
        <v>16000000</v>
      </c>
      <c r="I104" s="145">
        <f t="shared" si="7"/>
        <v>666666.66666666663</v>
      </c>
      <c r="J104" s="145">
        <f t="shared" si="8"/>
        <v>466666.66666666663</v>
      </c>
      <c r="K104" s="145">
        <f t="shared" si="5"/>
        <v>200000</v>
      </c>
    </row>
    <row r="105" spans="3:11">
      <c r="C105" s="132" t="s">
        <v>274</v>
      </c>
      <c r="D105" s="132" t="s">
        <v>202</v>
      </c>
      <c r="E105" s="140" t="s">
        <v>305</v>
      </c>
      <c r="F105" s="139">
        <v>2018</v>
      </c>
      <c r="G105" s="145">
        <v>3000000</v>
      </c>
      <c r="H105" s="145">
        <f t="shared" si="6"/>
        <v>6000000</v>
      </c>
      <c r="I105" s="145">
        <f t="shared" si="7"/>
        <v>250000</v>
      </c>
      <c r="J105" s="145">
        <f t="shared" si="8"/>
        <v>175000</v>
      </c>
      <c r="K105" s="145">
        <f t="shared" si="5"/>
        <v>75000</v>
      </c>
    </row>
    <row r="106" spans="3:11">
      <c r="C106" s="132" t="s">
        <v>274</v>
      </c>
      <c r="D106" s="132" t="s">
        <v>202</v>
      </c>
      <c r="E106" s="140" t="s">
        <v>306</v>
      </c>
      <c r="F106" s="139">
        <v>2015</v>
      </c>
      <c r="G106" s="145">
        <v>8000000</v>
      </c>
      <c r="H106" s="145">
        <f t="shared" si="6"/>
        <v>16000000</v>
      </c>
      <c r="I106" s="145">
        <f t="shared" si="7"/>
        <v>666666.66666666663</v>
      </c>
      <c r="J106" s="145">
        <f t="shared" si="8"/>
        <v>466666.66666666663</v>
      </c>
      <c r="K106" s="145">
        <f t="shared" si="5"/>
        <v>200000</v>
      </c>
    </row>
    <row r="107" spans="3:11">
      <c r="C107" s="132" t="s">
        <v>274</v>
      </c>
      <c r="D107" s="132" t="s">
        <v>202</v>
      </c>
      <c r="E107" s="140" t="s">
        <v>307</v>
      </c>
      <c r="F107" s="139">
        <v>2022</v>
      </c>
      <c r="G107" s="145">
        <v>3000000</v>
      </c>
      <c r="H107" s="145">
        <f t="shared" si="6"/>
        <v>6000000</v>
      </c>
      <c r="I107" s="145">
        <f t="shared" si="7"/>
        <v>250000</v>
      </c>
      <c r="J107" s="145">
        <f t="shared" si="8"/>
        <v>175000</v>
      </c>
      <c r="K107" s="145">
        <f t="shared" si="5"/>
        <v>75000</v>
      </c>
    </row>
    <row r="108" spans="3:11">
      <c r="C108" s="132" t="s">
        <v>274</v>
      </c>
      <c r="D108" s="132" t="s">
        <v>202</v>
      </c>
      <c r="E108" s="140" t="s">
        <v>308</v>
      </c>
      <c r="F108" s="139">
        <v>2021</v>
      </c>
      <c r="G108" s="145">
        <v>1500000</v>
      </c>
      <c r="H108" s="145">
        <f t="shared" si="6"/>
        <v>3000000</v>
      </c>
      <c r="I108" s="145">
        <f t="shared" si="7"/>
        <v>125000</v>
      </c>
      <c r="J108" s="145">
        <f t="shared" si="8"/>
        <v>87500</v>
      </c>
      <c r="K108" s="145">
        <f t="shared" si="5"/>
        <v>37500</v>
      </c>
    </row>
    <row r="109" spans="3:11">
      <c r="E109" s="140" t="s">
        <v>309</v>
      </c>
      <c r="F109" s="139">
        <v>2015</v>
      </c>
      <c r="G109" s="145">
        <v>8000000</v>
      </c>
      <c r="H109" s="145">
        <f t="shared" si="6"/>
        <v>16000000</v>
      </c>
      <c r="I109" s="145">
        <f t="shared" si="7"/>
        <v>666666.66666666663</v>
      </c>
      <c r="J109" s="145">
        <f t="shared" si="8"/>
        <v>466666.66666666663</v>
      </c>
      <c r="K109" s="145">
        <f t="shared" si="5"/>
        <v>200000</v>
      </c>
    </row>
    <row r="110" spans="3:11">
      <c r="E110" s="140" t="s">
        <v>310</v>
      </c>
      <c r="F110" s="139">
        <v>2015</v>
      </c>
      <c r="G110" s="145">
        <v>3000000</v>
      </c>
      <c r="H110" s="145">
        <f t="shared" si="6"/>
        <v>6000000</v>
      </c>
      <c r="I110" s="145">
        <f t="shared" si="7"/>
        <v>250000</v>
      </c>
      <c r="J110" s="145">
        <f t="shared" si="8"/>
        <v>175000</v>
      </c>
      <c r="K110" s="145">
        <f t="shared" si="5"/>
        <v>75000</v>
      </c>
    </row>
    <row r="111" spans="3:11">
      <c r="E111" s="140" t="s">
        <v>311</v>
      </c>
      <c r="F111" s="139">
        <v>2015</v>
      </c>
      <c r="G111" s="145">
        <v>3000000</v>
      </c>
      <c r="H111" s="145">
        <f t="shared" si="6"/>
        <v>6000000</v>
      </c>
      <c r="I111" s="145">
        <f t="shared" si="7"/>
        <v>250000</v>
      </c>
      <c r="J111" s="145">
        <f t="shared" si="8"/>
        <v>175000</v>
      </c>
      <c r="K111" s="145">
        <f t="shared" si="5"/>
        <v>75000</v>
      </c>
    </row>
    <row r="112" spans="3:11">
      <c r="E112" s="140" t="s">
        <v>312</v>
      </c>
      <c r="F112" s="139">
        <v>2015</v>
      </c>
      <c r="G112" s="145">
        <v>3000000</v>
      </c>
      <c r="H112" s="145">
        <f t="shared" si="6"/>
        <v>6000000</v>
      </c>
      <c r="I112" s="145">
        <f t="shared" si="7"/>
        <v>250000</v>
      </c>
      <c r="J112" s="145">
        <f t="shared" si="8"/>
        <v>175000</v>
      </c>
      <c r="K112" s="145">
        <f t="shared" si="5"/>
        <v>75000</v>
      </c>
    </row>
    <row r="113" spans="5:11">
      <c r="E113" s="140" t="s">
        <v>313</v>
      </c>
      <c r="F113" s="139">
        <v>2015</v>
      </c>
      <c r="G113" s="145">
        <v>3000000</v>
      </c>
      <c r="H113" s="145">
        <f t="shared" si="6"/>
        <v>6000000</v>
      </c>
      <c r="I113" s="145">
        <f t="shared" si="7"/>
        <v>250000</v>
      </c>
      <c r="J113" s="145">
        <f t="shared" si="8"/>
        <v>175000</v>
      </c>
      <c r="K113" s="145">
        <f t="shared" si="5"/>
        <v>75000</v>
      </c>
    </row>
    <row r="114" spans="5:11">
      <c r="E114" s="140" t="s">
        <v>314</v>
      </c>
      <c r="F114" s="139">
        <v>2015</v>
      </c>
      <c r="G114" s="145">
        <v>3000000</v>
      </c>
      <c r="H114" s="145">
        <f t="shared" si="6"/>
        <v>6000000</v>
      </c>
      <c r="I114" s="145">
        <f t="shared" si="7"/>
        <v>250000</v>
      </c>
      <c r="J114" s="145">
        <f t="shared" si="8"/>
        <v>175000</v>
      </c>
      <c r="K114" s="145">
        <f t="shared" si="5"/>
        <v>75000</v>
      </c>
    </row>
    <row r="115" spans="5:11">
      <c r="E115" s="140" t="s">
        <v>315</v>
      </c>
      <c r="F115" s="139">
        <v>2021</v>
      </c>
      <c r="G115" s="145">
        <v>1500000</v>
      </c>
      <c r="H115" s="145">
        <f t="shared" si="6"/>
        <v>3000000</v>
      </c>
      <c r="I115" s="145">
        <f t="shared" si="7"/>
        <v>125000</v>
      </c>
      <c r="J115" s="145">
        <f t="shared" si="8"/>
        <v>87500</v>
      </c>
      <c r="K115" s="145">
        <f t="shared" si="5"/>
        <v>37500</v>
      </c>
    </row>
    <row r="116" spans="5:11">
      <c r="E116" s="140" t="s">
        <v>316</v>
      </c>
      <c r="F116" s="139">
        <v>2021</v>
      </c>
      <c r="G116" s="145">
        <v>1500000</v>
      </c>
      <c r="H116" s="145">
        <f t="shared" si="6"/>
        <v>3000000</v>
      </c>
      <c r="I116" s="145">
        <f t="shared" si="7"/>
        <v>125000</v>
      </c>
      <c r="J116" s="145">
        <f t="shared" si="8"/>
        <v>87500</v>
      </c>
      <c r="K116" s="145">
        <f t="shared" si="5"/>
        <v>37500</v>
      </c>
    </row>
    <row r="117" spans="5:11">
      <c r="E117" s="140" t="s">
        <v>317</v>
      </c>
      <c r="F117" s="139">
        <v>2022</v>
      </c>
      <c r="G117" s="145">
        <v>1500000</v>
      </c>
      <c r="H117" s="145">
        <f t="shared" si="6"/>
        <v>3000000</v>
      </c>
      <c r="I117" s="145">
        <f t="shared" si="7"/>
        <v>125000</v>
      </c>
      <c r="J117" s="145">
        <f t="shared" si="8"/>
        <v>87500</v>
      </c>
      <c r="K117" s="145">
        <f t="shared" si="5"/>
        <v>37500</v>
      </c>
    </row>
    <row r="118" spans="5:11">
      <c r="E118" s="140" t="s">
        <v>318</v>
      </c>
      <c r="F118" s="139">
        <v>2022</v>
      </c>
      <c r="G118" s="145">
        <v>1500000</v>
      </c>
      <c r="H118" s="145">
        <f t="shared" si="6"/>
        <v>3000000</v>
      </c>
      <c r="I118" s="145">
        <f t="shared" si="7"/>
        <v>125000</v>
      </c>
      <c r="J118" s="145">
        <f t="shared" si="8"/>
        <v>87500</v>
      </c>
      <c r="K118" s="145">
        <f t="shared" si="5"/>
        <v>37500</v>
      </c>
    </row>
  </sheetData>
  <autoFilter ref="A1:X118" xr:uid="{4E726097-6871-4CA1-AF4D-F90B43FCD8B9}"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담당추정</vt:lpstr>
      <vt:lpstr>COC요청_atG등록기준</vt:lpstr>
      <vt:lpstr>COC요청_atG등록기준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Ucjh</cp:lastModifiedBy>
  <dcterms:created xsi:type="dcterms:W3CDTF">2022-09-23T05:27:38Z</dcterms:created>
  <dcterms:modified xsi:type="dcterms:W3CDTF">2022-10-04T05:03:56Z</dcterms:modified>
</cp:coreProperties>
</file>