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DC6F43F-FEAA-46C2-94A6-BC7FBCC7AE4C}" xr6:coauthVersionLast="36" xr6:coauthVersionMax="36" xr10:uidLastSave="{00000000-0000-0000-0000-000000000000}"/>
  <bookViews>
    <workbookView xWindow="0" yWindow="0" windowWidth="23040" windowHeight="8976" xr2:uid="{0A790E55-E51F-4220-9E7A-7D2DEC4897B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6" i="1"/>
  <c r="F14" i="1"/>
  <c r="C28" i="2"/>
  <c r="B28" i="2"/>
  <c r="E27" i="2"/>
  <c r="C27" i="2"/>
  <c r="C29" i="2" s="1"/>
  <c r="B22" i="2"/>
  <c r="H21" i="2"/>
  <c r="D28" i="2" s="1"/>
  <c r="G21" i="2"/>
  <c r="E28" i="2" s="1"/>
  <c r="E29" i="2" s="1"/>
  <c r="F21" i="2"/>
  <c r="D20" i="2"/>
  <c r="E20" i="2" s="1"/>
  <c r="D15" i="2"/>
  <c r="C15" i="2"/>
  <c r="B15" i="2"/>
  <c r="F14" i="2"/>
  <c r="E14" i="2"/>
  <c r="F13" i="2"/>
  <c r="F15" i="2" s="1"/>
  <c r="E13" i="2"/>
  <c r="E15" i="2" s="1"/>
  <c r="B8" i="2"/>
  <c r="F7" i="2"/>
  <c r="F8" i="2" s="1"/>
  <c r="E7" i="2"/>
  <c r="G6" i="2"/>
  <c r="F6" i="2"/>
  <c r="E6" i="2"/>
  <c r="E14" i="1"/>
  <c r="C15" i="1"/>
  <c r="G8" i="1"/>
  <c r="E15" i="1" s="1"/>
  <c r="F8" i="1"/>
  <c r="B15" i="1" s="1"/>
  <c r="D7" i="1"/>
  <c r="E7" i="1" s="1"/>
  <c r="B9" i="1"/>
  <c r="F20" i="2" l="1"/>
  <c r="G13" i="2"/>
  <c r="G22" i="2"/>
  <c r="I21" i="2"/>
  <c r="H6" i="2"/>
  <c r="I6" i="2" s="1"/>
  <c r="G7" i="2"/>
  <c r="G8" i="2" s="1"/>
  <c r="E16" i="1"/>
  <c r="C14" i="1"/>
  <c r="C16" i="1" s="1"/>
  <c r="F7" i="1"/>
  <c r="B14" i="1" s="1"/>
  <c r="B16" i="1" s="1"/>
  <c r="H8" i="1"/>
  <c r="F9" i="1" l="1"/>
  <c r="H8" i="2"/>
  <c r="I8" i="2" s="1"/>
  <c r="I13" i="2"/>
  <c r="G15" i="2"/>
  <c r="I15" i="2" s="1"/>
  <c r="H7" i="2"/>
  <c r="I7" i="2" s="1"/>
  <c r="B27" i="2"/>
  <c r="B29" i="2" s="1"/>
  <c r="H20" i="2"/>
  <c r="F22" i="2"/>
  <c r="H13" i="2"/>
  <c r="H15" i="2" s="1"/>
  <c r="I8" i="1"/>
  <c r="D15" i="1"/>
  <c r="H7" i="1"/>
  <c r="D14" i="1" s="1"/>
  <c r="D16" i="1" s="1"/>
  <c r="H9" i="1"/>
  <c r="G9" i="1"/>
  <c r="H22" i="2" l="1"/>
  <c r="I22" i="2" s="1"/>
  <c r="I20" i="2"/>
  <c r="D27" i="2"/>
  <c r="D29" i="2" s="1"/>
  <c r="I9" i="1"/>
  <c r="I7" i="1"/>
</calcChain>
</file>

<file path=xl/sharedStrings.xml><?xml version="1.0" encoding="utf-8"?>
<sst xmlns="http://schemas.openxmlformats.org/spreadsheetml/2006/main" count="106" uniqueCount="33">
  <si>
    <t>수량</t>
    <phoneticPr fontId="3" type="noConversion"/>
  </si>
  <si>
    <t>합계</t>
    <phoneticPr fontId="3" type="noConversion"/>
  </si>
  <si>
    <t>Vendor</t>
    <phoneticPr fontId="3" type="noConversion"/>
  </si>
  <si>
    <t>구분</t>
    <phoneticPr fontId="3" type="noConversion"/>
  </si>
  <si>
    <t>택배</t>
    <phoneticPr fontId="3" type="noConversion"/>
  </si>
  <si>
    <t>합 계</t>
    <phoneticPr fontId="3" type="noConversion"/>
  </si>
  <si>
    <t>-</t>
    <phoneticPr fontId="3" type="noConversion"/>
  </si>
  <si>
    <t>S&amp;I</t>
    <phoneticPr fontId="3" type="noConversion"/>
  </si>
  <si>
    <t>S&amp;I Fee</t>
    <phoneticPr fontId="3" type="noConversion"/>
  </si>
  <si>
    <t>Vendor Fee</t>
    <phoneticPr fontId="3" type="noConversion"/>
  </si>
  <si>
    <t>※Note</t>
    <phoneticPr fontId="3" type="noConversion"/>
  </si>
  <si>
    <t>금액배분</t>
    <phoneticPr fontId="3" type="noConversion"/>
  </si>
  <si>
    <t>이용료</t>
    <phoneticPr fontId="3" type="noConversion"/>
  </si>
  <si>
    <t>Cost</t>
    <phoneticPr fontId="3" type="noConversion"/>
  </si>
  <si>
    <t>■무인택배 서비스  운영단가(Pricing Model)</t>
    <phoneticPr fontId="3" type="noConversion"/>
  </si>
  <si>
    <t>(단위: 원, VAT 별도)</t>
    <phoneticPr fontId="3" type="noConversion"/>
  </si>
  <si>
    <t>영업이익</t>
    <phoneticPr fontId="3" type="noConversion"/>
  </si>
  <si>
    <t>비 고</t>
    <phoneticPr fontId="3" type="noConversion"/>
  </si>
  <si>
    <t>1안) S&amp;I Turn-Key 매출</t>
    <phoneticPr fontId="3" type="noConversion"/>
  </si>
  <si>
    <t>2안) 우편요금 매출</t>
    <phoneticPr fontId="3" type="noConversion"/>
  </si>
  <si>
    <t xml:space="preserve">S&amp;I 매출 인식이 안될경우
관리 책임등에 대한 이슈 </t>
    <phoneticPr fontId="3" type="noConversion"/>
  </si>
  <si>
    <t>2-1안) 우편요금 정액요금 반영</t>
    <phoneticPr fontId="3" type="noConversion"/>
  </si>
  <si>
    <t>우편</t>
    <phoneticPr fontId="3" type="noConversion"/>
  </si>
  <si>
    <t xml:space="preserve"> - 택배 Fee 배분기준 적용</t>
    <phoneticPr fontId="3" type="noConversion"/>
  </si>
  <si>
    <t xml:space="preserve"> - 우편요금 정액 요금제 적용</t>
    <phoneticPr fontId="3" type="noConversion"/>
  </si>
  <si>
    <t>우 편</t>
    <phoneticPr fontId="3" type="noConversion"/>
  </si>
  <si>
    <t>택 배</t>
    <phoneticPr fontId="3" type="noConversion"/>
  </si>
  <si>
    <t>Fee</t>
    <phoneticPr fontId="3" type="noConversion"/>
  </si>
  <si>
    <t>매출</t>
    <phoneticPr fontId="3" type="noConversion"/>
  </si>
  <si>
    <t xml:space="preserve"> 2. 택배 Case별 배분기준 반영( S&amp;I 70%,Vendor 30%)</t>
    <phoneticPr fontId="3" type="noConversion"/>
  </si>
  <si>
    <t>1. 우편 Vendor Fee 60만원 반영, S&amp;I 42,000원 반영(S&amp;I Fee 7%)</t>
    <phoneticPr fontId="3" type="noConversion"/>
  </si>
  <si>
    <t xml:space="preserve"> 2. 택배 Fee 배분기준 Vendor 300원, S&amp;I 700원 By Case</t>
    <phoneticPr fontId="3" type="noConversion"/>
  </si>
  <si>
    <t xml:space="preserve"> - Vendor 정액 60만원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</si>
</sst>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u val="singleAccounting"/>
      <sz val="11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2"/>
      <charset val="129"/>
      <scheme val="minor"/>
    </font>
    <font>
      <b/>
      <u/>
      <sz val="14"/>
      <color theme="0"/>
      <name val="맑은 고딕"/>
      <family val="2"/>
      <scheme val="minor"/>
    </font>
    <font>
      <b/>
      <sz val="10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2"/>
      <scheme val="minor"/>
    </font>
    <font>
      <sz val="1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1" xfId="1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1" fontId="0" fillId="0" borderId="0" xfId="1" applyFont="1" applyAlignment="1">
      <alignment horizontal="left" vertical="center"/>
    </xf>
    <xf numFmtId="41" fontId="5" fillId="0" borderId="0" xfId="1" applyFont="1">
      <alignment vertical="center"/>
    </xf>
    <xf numFmtId="0" fontId="6" fillId="0" borderId="0" xfId="0" applyFont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41" fontId="0" fillId="5" borderId="1" xfId="1" quotePrefix="1" applyFont="1" applyFill="1" applyBorder="1" applyAlignment="1">
      <alignment horizontal="center" vertical="center"/>
    </xf>
    <xf numFmtId="176" fontId="0" fillId="0" borderId="1" xfId="2" applyNumberFormat="1" applyFont="1" applyBorder="1">
      <alignment vertical="center"/>
    </xf>
    <xf numFmtId="0" fontId="7" fillId="4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7" fillId="5" borderId="0" xfId="0" applyFont="1" applyFill="1" applyBorder="1" applyAlignment="1">
      <alignment horizontal="center" vertical="center" wrapText="1"/>
    </xf>
    <xf numFmtId="0" fontId="9" fillId="5" borderId="0" xfId="0" applyFont="1" applyFill="1">
      <alignment vertical="center"/>
    </xf>
    <xf numFmtId="0" fontId="8" fillId="0" borderId="0" xfId="0" applyFont="1" applyBorder="1" applyAlignment="1">
      <alignment horizontal="right" indent="1"/>
    </xf>
    <xf numFmtId="41" fontId="11" fillId="0" borderId="1" xfId="1" applyFont="1" applyBorder="1">
      <alignment vertical="center"/>
    </xf>
    <xf numFmtId="41" fontId="11" fillId="5" borderId="1" xfId="1" applyFont="1" applyFill="1" applyBorder="1">
      <alignment vertical="center"/>
    </xf>
    <xf numFmtId="176" fontId="11" fillId="0" borderId="1" xfId="2" quotePrefix="1" applyNumberFormat="1" applyFont="1" applyBorder="1" applyAlignment="1">
      <alignment horizontal="center" vertical="center"/>
    </xf>
    <xf numFmtId="41" fontId="11" fillId="0" borderId="1" xfId="1" applyFont="1" applyBorder="1" applyAlignment="1">
      <alignment vertical="center" wrapText="1"/>
    </xf>
    <xf numFmtId="41" fontId="10" fillId="0" borderId="1" xfId="1" applyFont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41" fontId="12" fillId="0" borderId="1" xfId="1" applyFont="1" applyBorder="1">
      <alignment vertical="center"/>
    </xf>
    <xf numFmtId="41" fontId="12" fillId="2" borderId="1" xfId="1" applyFont="1" applyFill="1" applyBorder="1">
      <alignment vertical="center"/>
    </xf>
    <xf numFmtId="41" fontId="0" fillId="0" borderId="1" xfId="1" applyFont="1" applyBorder="1" applyAlignment="1">
      <alignment horizontal="center" vertical="center"/>
    </xf>
    <xf numFmtId="41" fontId="13" fillId="0" borderId="1" xfId="1" applyFont="1" applyBorder="1">
      <alignment vertical="center"/>
    </xf>
    <xf numFmtId="41" fontId="14" fillId="0" borderId="0" xfId="1" applyFont="1">
      <alignment vertical="center"/>
    </xf>
    <xf numFmtId="41" fontId="14" fillId="0" borderId="1" xfId="1" applyFont="1" applyBorder="1">
      <alignment vertical="center"/>
    </xf>
    <xf numFmtId="41" fontId="2" fillId="3" borderId="1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176" fontId="14" fillId="0" borderId="1" xfId="2" applyNumberFormat="1" applyFont="1" applyBorder="1">
      <alignment vertical="center"/>
    </xf>
    <xf numFmtId="41" fontId="8" fillId="3" borderId="1" xfId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F7A9-96A5-4772-80E4-1AE1A8850996}">
  <dimension ref="A1:J20"/>
  <sheetViews>
    <sheetView tabSelected="1" zoomScale="130" zoomScaleNormal="130" workbookViewId="0">
      <selection activeCell="H11" sqref="H11"/>
    </sheetView>
  </sheetViews>
  <sheetFormatPr defaultRowHeight="17.399999999999999" x14ac:dyDescent="0.4"/>
  <cols>
    <col min="2" max="2" width="10.3984375" customWidth="1"/>
    <col min="3" max="3" width="14.09765625" customWidth="1"/>
    <col min="4" max="4" width="13.296875" customWidth="1"/>
    <col min="5" max="5" width="10.296875" customWidth="1"/>
    <col min="6" max="6" width="12.796875" bestFit="1" customWidth="1"/>
    <col min="7" max="7" width="10.296875" customWidth="1"/>
    <col min="8" max="8" width="13.69921875" customWidth="1"/>
    <col min="9" max="9" width="9.296875" hidden="1" customWidth="1"/>
    <col min="10" max="10" width="25.19921875" customWidth="1"/>
  </cols>
  <sheetData>
    <row r="1" spans="1:10" ht="32.4" customHeight="1" x14ac:dyDescent="0.4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18" customFormat="1" ht="19.2" customHeight="1" x14ac:dyDescent="0.4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s="1" customFormat="1" x14ac:dyDescent="0.4"/>
    <row r="4" spans="1:10" s="1" customFormat="1" x14ac:dyDescent="0.35">
      <c r="A4" s="16" t="s">
        <v>21</v>
      </c>
      <c r="H4" s="19" t="s">
        <v>15</v>
      </c>
      <c r="I4" s="19"/>
      <c r="J4" s="19"/>
    </row>
    <row r="5" spans="1:10" s="1" customFormat="1" x14ac:dyDescent="0.4">
      <c r="A5" s="6" t="s">
        <v>3</v>
      </c>
      <c r="B5" s="6" t="s">
        <v>0</v>
      </c>
      <c r="C5" s="6" t="s">
        <v>13</v>
      </c>
      <c r="D5" s="6"/>
      <c r="E5" s="6"/>
      <c r="F5" s="6" t="s">
        <v>11</v>
      </c>
      <c r="G5" s="6"/>
      <c r="H5" s="6" t="s">
        <v>1</v>
      </c>
      <c r="I5" s="6" t="s">
        <v>16</v>
      </c>
      <c r="J5" s="6" t="s">
        <v>17</v>
      </c>
    </row>
    <row r="6" spans="1:10" s="1" customFormat="1" x14ac:dyDescent="0.4">
      <c r="A6" s="6"/>
      <c r="B6" s="6"/>
      <c r="C6" s="7" t="s">
        <v>12</v>
      </c>
      <c r="D6" s="8" t="s">
        <v>9</v>
      </c>
      <c r="E6" s="8" t="s">
        <v>8</v>
      </c>
      <c r="F6" s="8" t="s">
        <v>2</v>
      </c>
      <c r="G6" s="8" t="s">
        <v>7</v>
      </c>
      <c r="H6" s="6"/>
      <c r="I6" s="6"/>
      <c r="J6" s="6"/>
    </row>
    <row r="7" spans="1:10" s="1" customFormat="1" x14ac:dyDescent="0.4">
      <c r="A7" s="2" t="s">
        <v>25</v>
      </c>
      <c r="B7" s="3">
        <v>600</v>
      </c>
      <c r="C7" s="4">
        <v>1500</v>
      </c>
      <c r="D7" s="3">
        <f>B7*1000</f>
        <v>600000</v>
      </c>
      <c r="E7" s="3">
        <f>D7*7%</f>
        <v>42000.000000000007</v>
      </c>
      <c r="F7" s="3">
        <f>(B7*C7)+D7</f>
        <v>1500000</v>
      </c>
      <c r="G7" s="3">
        <v>42000</v>
      </c>
      <c r="H7" s="3">
        <f>F7+G7</f>
        <v>1542000</v>
      </c>
      <c r="I7" s="14">
        <f>G7/H7</f>
        <v>2.7237354085603113E-2</v>
      </c>
      <c r="J7" s="29" t="s">
        <v>32</v>
      </c>
    </row>
    <row r="8" spans="1:10" s="1" customFormat="1" x14ac:dyDescent="0.4">
      <c r="A8" s="25" t="s">
        <v>26</v>
      </c>
      <c r="B8" s="26">
        <v>300</v>
      </c>
      <c r="C8" s="27">
        <v>5000</v>
      </c>
      <c r="D8" s="26">
        <v>300</v>
      </c>
      <c r="E8" s="3">
        <v>700</v>
      </c>
      <c r="F8" s="26">
        <f>B8*D8+(B8*C8)</f>
        <v>1590000</v>
      </c>
      <c r="G8" s="26">
        <f>B8*E8</f>
        <v>210000</v>
      </c>
      <c r="H8" s="3">
        <f>F8+G8</f>
        <v>1800000</v>
      </c>
      <c r="I8" s="14">
        <f>G8/H8</f>
        <v>0.11666666666666667</v>
      </c>
      <c r="J8" s="29" t="s">
        <v>23</v>
      </c>
    </row>
    <row r="9" spans="1:10" s="1" customFormat="1" x14ac:dyDescent="0.4">
      <c r="A9" s="28" t="s">
        <v>5</v>
      </c>
      <c r="B9" s="3">
        <f>SUM(B7:B8)</f>
        <v>900</v>
      </c>
      <c r="C9" s="4"/>
      <c r="D9" s="3"/>
      <c r="E9" s="3"/>
      <c r="F9" s="3">
        <f t="shared" ref="F9:H9" si="0">SUM(F7:F8)</f>
        <v>3090000</v>
      </c>
      <c r="G9" s="3">
        <f t="shared" si="0"/>
        <v>252000</v>
      </c>
      <c r="H9" s="3">
        <f t="shared" si="0"/>
        <v>3342000</v>
      </c>
      <c r="I9" s="14">
        <f>G9/H9</f>
        <v>7.5403949730700179E-2</v>
      </c>
      <c r="J9" s="29"/>
    </row>
    <row r="10" spans="1:10" s="1" customFormat="1" x14ac:dyDescent="0.4"/>
    <row r="11" spans="1:10" s="1" customFormat="1" x14ac:dyDescent="0.4"/>
    <row r="12" spans="1:10" s="1" customFormat="1" x14ac:dyDescent="0.4">
      <c r="A12" s="32" t="s">
        <v>3</v>
      </c>
      <c r="B12" s="32" t="s">
        <v>2</v>
      </c>
      <c r="C12" s="32"/>
      <c r="D12" s="32" t="s">
        <v>7</v>
      </c>
      <c r="E12" s="32"/>
      <c r="F12" s="32"/>
    </row>
    <row r="13" spans="1:10" s="1" customFormat="1" x14ac:dyDescent="0.4">
      <c r="A13" s="32"/>
      <c r="B13" s="33" t="s">
        <v>28</v>
      </c>
      <c r="C13" s="33" t="s">
        <v>27</v>
      </c>
      <c r="D13" s="33" t="s">
        <v>28</v>
      </c>
      <c r="E13" s="33" t="s">
        <v>27</v>
      </c>
      <c r="F13" s="35" t="s">
        <v>16</v>
      </c>
    </row>
    <row r="14" spans="1:10" s="30" customFormat="1" ht="15.6" x14ac:dyDescent="0.4">
      <c r="A14" s="31" t="s">
        <v>22</v>
      </c>
      <c r="B14" s="31">
        <f>F7</f>
        <v>1500000</v>
      </c>
      <c r="C14" s="31">
        <f>D7</f>
        <v>600000</v>
      </c>
      <c r="D14" s="31">
        <f>H7</f>
        <v>1542000</v>
      </c>
      <c r="E14" s="31">
        <f>G7</f>
        <v>42000</v>
      </c>
      <c r="F14" s="34">
        <f>E14/D14</f>
        <v>2.7237354085603113E-2</v>
      </c>
    </row>
    <row r="15" spans="1:10" s="30" customFormat="1" ht="15.6" x14ac:dyDescent="0.4">
      <c r="A15" s="31" t="s">
        <v>4</v>
      </c>
      <c r="B15" s="31">
        <f>F8</f>
        <v>1590000</v>
      </c>
      <c r="C15" s="31">
        <f>B8*D8</f>
        <v>90000</v>
      </c>
      <c r="D15" s="31">
        <f>H8</f>
        <v>1800000</v>
      </c>
      <c r="E15" s="31">
        <f>G8</f>
        <v>210000</v>
      </c>
      <c r="F15" s="34">
        <f t="shared" ref="F15:F16" si="1">E15/D15</f>
        <v>0.11666666666666667</v>
      </c>
    </row>
    <row r="16" spans="1:10" s="30" customFormat="1" ht="15.6" x14ac:dyDescent="0.4">
      <c r="A16" s="31" t="s">
        <v>5</v>
      </c>
      <c r="B16" s="31">
        <f>SUM(B14:B15)</f>
        <v>3090000</v>
      </c>
      <c r="C16" s="31">
        <f t="shared" ref="C16:E16" si="2">SUM(C14:C15)</f>
        <v>690000</v>
      </c>
      <c r="D16" s="31">
        <f t="shared" si="2"/>
        <v>3342000</v>
      </c>
      <c r="E16" s="31">
        <f t="shared" si="2"/>
        <v>252000</v>
      </c>
      <c r="F16" s="34">
        <f t="shared" si="1"/>
        <v>7.5403949730700179E-2</v>
      </c>
    </row>
    <row r="17" spans="1:10" s="1" customFormat="1" x14ac:dyDescent="0.4"/>
    <row r="18" spans="1:10" ht="19.8" x14ac:dyDescent="0.4">
      <c r="A18" s="10" t="s">
        <v>10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4">
      <c r="A19" s="9" t="s">
        <v>30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4">
      <c r="A20" t="s">
        <v>31</v>
      </c>
    </row>
  </sheetData>
  <mergeCells count="12">
    <mergeCell ref="A12:A13"/>
    <mergeCell ref="B12:C12"/>
    <mergeCell ref="D12:F12"/>
    <mergeCell ref="H4:J4"/>
    <mergeCell ref="A5:A6"/>
    <mergeCell ref="B5:B6"/>
    <mergeCell ref="C5:E5"/>
    <mergeCell ref="F5:G5"/>
    <mergeCell ref="H5:H6"/>
    <mergeCell ref="I5:I6"/>
    <mergeCell ref="J5:J6"/>
    <mergeCell ref="A1:J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8920-0029-43FB-B867-149EF1045DC9}">
  <dimension ref="A1:J33"/>
  <sheetViews>
    <sheetView zoomScale="130" zoomScaleNormal="130" workbookViewId="0">
      <selection activeCell="A3" sqref="A3:XFD5"/>
    </sheetView>
  </sheetViews>
  <sheetFormatPr defaultRowHeight="17.399999999999999" x14ac:dyDescent="0.4"/>
  <cols>
    <col min="2" max="2" width="10.3984375" customWidth="1"/>
    <col min="3" max="3" width="14.09765625" customWidth="1"/>
    <col min="4" max="4" width="13.296875" customWidth="1"/>
    <col min="5" max="5" width="10.296875" customWidth="1"/>
    <col min="6" max="6" width="12.796875" bestFit="1" customWidth="1"/>
    <col min="7" max="7" width="10.296875" customWidth="1"/>
    <col min="8" max="8" width="13.69921875" customWidth="1"/>
    <col min="9" max="9" width="9.296875" customWidth="1"/>
    <col min="10" max="10" width="25.19921875" customWidth="1"/>
  </cols>
  <sheetData>
    <row r="1" spans="1:10" ht="32.4" customHeight="1" x14ac:dyDescent="0.4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18" customFormat="1" ht="19.2" customHeight="1" x14ac:dyDescent="0.4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ht="22.2" customHeight="1" x14ac:dyDescent="0.35">
      <c r="A3" s="16" t="s">
        <v>18</v>
      </c>
      <c r="B3" s="11"/>
      <c r="C3" s="11"/>
      <c r="D3" s="11"/>
      <c r="E3" s="11"/>
      <c r="F3" s="11"/>
      <c r="G3" s="11"/>
      <c r="H3" s="19" t="s">
        <v>15</v>
      </c>
      <c r="I3" s="19"/>
      <c r="J3" s="19"/>
    </row>
    <row r="4" spans="1:10" ht="17.399999999999999" customHeight="1" x14ac:dyDescent="0.4">
      <c r="A4" s="6" t="s">
        <v>3</v>
      </c>
      <c r="B4" s="6" t="s">
        <v>0</v>
      </c>
      <c r="C4" s="6" t="s">
        <v>13</v>
      </c>
      <c r="D4" s="6"/>
      <c r="E4" s="6"/>
      <c r="F4" s="6" t="s">
        <v>11</v>
      </c>
      <c r="G4" s="6"/>
      <c r="H4" s="6" t="s">
        <v>1</v>
      </c>
      <c r="I4" s="6" t="s">
        <v>16</v>
      </c>
      <c r="J4" s="6" t="s">
        <v>17</v>
      </c>
    </row>
    <row r="5" spans="1:10" x14ac:dyDescent="0.4">
      <c r="A5" s="6"/>
      <c r="B5" s="6"/>
      <c r="C5" s="7" t="s">
        <v>12</v>
      </c>
      <c r="D5" s="8" t="s">
        <v>9</v>
      </c>
      <c r="E5" s="8" t="s">
        <v>8</v>
      </c>
      <c r="F5" s="8" t="s">
        <v>2</v>
      </c>
      <c r="G5" s="8" t="s">
        <v>7</v>
      </c>
      <c r="H5" s="6"/>
      <c r="I5" s="6"/>
      <c r="J5" s="6"/>
    </row>
    <row r="6" spans="1:10" s="1" customFormat="1" x14ac:dyDescent="0.4">
      <c r="A6" s="2" t="s">
        <v>25</v>
      </c>
      <c r="B6" s="3">
        <v>200</v>
      </c>
      <c r="C6" s="4">
        <v>1500</v>
      </c>
      <c r="D6" s="3">
        <v>1000</v>
      </c>
      <c r="E6" s="3">
        <f>(C6+D6)*7%</f>
        <v>175.00000000000003</v>
      </c>
      <c r="F6" s="3">
        <f>B6*(C6+D6)</f>
        <v>500000</v>
      </c>
      <c r="G6" s="3">
        <f>F6*7%</f>
        <v>35000</v>
      </c>
      <c r="H6" s="3">
        <f>F6+G6</f>
        <v>535000</v>
      </c>
      <c r="I6" s="14">
        <f>G6/H6</f>
        <v>6.5420560747663545E-2</v>
      </c>
      <c r="J6" s="3"/>
    </row>
    <row r="7" spans="1:10" s="1" customFormat="1" x14ac:dyDescent="0.4">
      <c r="A7" s="28" t="s">
        <v>26</v>
      </c>
      <c r="B7" s="3">
        <v>400</v>
      </c>
      <c r="C7" s="4">
        <v>3500</v>
      </c>
      <c r="D7" s="3">
        <v>1000</v>
      </c>
      <c r="E7" s="3">
        <f>(C7+D7)*7%</f>
        <v>315.00000000000006</v>
      </c>
      <c r="F7" s="3">
        <f>B7*(C7+D7)</f>
        <v>1800000</v>
      </c>
      <c r="G7" s="3">
        <f>F7*10%</f>
        <v>180000</v>
      </c>
      <c r="H7" s="3">
        <f>F7+G7</f>
        <v>1980000</v>
      </c>
      <c r="I7" s="14">
        <f>G7/H7</f>
        <v>9.0909090909090912E-2</v>
      </c>
      <c r="J7" s="3"/>
    </row>
    <row r="8" spans="1:10" s="1" customFormat="1" x14ac:dyDescent="0.4">
      <c r="A8" s="28" t="s">
        <v>5</v>
      </c>
      <c r="B8" s="3">
        <f>SUM(B6:B7)</f>
        <v>600</v>
      </c>
      <c r="C8" s="13" t="s">
        <v>6</v>
      </c>
      <c r="D8" s="5" t="s">
        <v>6</v>
      </c>
      <c r="E8" s="5" t="s">
        <v>6</v>
      </c>
      <c r="F8" s="5">
        <f>SUM(F6:F7)</f>
        <v>2300000</v>
      </c>
      <c r="G8" s="5">
        <f>SUM(G6:G7)</f>
        <v>215000</v>
      </c>
      <c r="H8" s="3">
        <f t="shared" ref="H8" si="0">F8+G8</f>
        <v>2515000</v>
      </c>
      <c r="I8" s="14">
        <f>G8/H8</f>
        <v>8.5487077534791248E-2</v>
      </c>
      <c r="J8" s="3"/>
    </row>
    <row r="9" spans="1:10" s="1" customFormat="1" x14ac:dyDescent="0.4"/>
    <row r="10" spans="1:10" s="1" customFormat="1" x14ac:dyDescent="0.35">
      <c r="A10" s="16" t="s">
        <v>19</v>
      </c>
      <c r="H10" s="19" t="s">
        <v>15</v>
      </c>
      <c r="I10" s="19"/>
      <c r="J10" s="19"/>
    </row>
    <row r="11" spans="1:10" s="1" customFormat="1" x14ac:dyDescent="0.4">
      <c r="A11" s="6" t="s">
        <v>3</v>
      </c>
      <c r="B11" s="6" t="s">
        <v>0</v>
      </c>
      <c r="C11" s="6" t="s">
        <v>13</v>
      </c>
      <c r="D11" s="6"/>
      <c r="E11" s="6"/>
      <c r="F11" s="6" t="s">
        <v>11</v>
      </c>
      <c r="G11" s="6"/>
      <c r="H11" s="6" t="s">
        <v>1</v>
      </c>
      <c r="I11" s="6" t="s">
        <v>16</v>
      </c>
      <c r="J11" s="6" t="s">
        <v>17</v>
      </c>
    </row>
    <row r="12" spans="1:10" s="1" customFormat="1" x14ac:dyDescent="0.4">
      <c r="A12" s="6"/>
      <c r="B12" s="6"/>
      <c r="C12" s="7" t="s">
        <v>12</v>
      </c>
      <c r="D12" s="8" t="s">
        <v>9</v>
      </c>
      <c r="E12" s="8" t="s">
        <v>8</v>
      </c>
      <c r="F12" s="8" t="s">
        <v>2</v>
      </c>
      <c r="G12" s="8" t="s">
        <v>7</v>
      </c>
      <c r="H12" s="6"/>
      <c r="I12" s="6"/>
      <c r="J12" s="6"/>
    </row>
    <row r="13" spans="1:10" s="1" customFormat="1" x14ac:dyDescent="0.4">
      <c r="A13" s="2" t="s">
        <v>25</v>
      </c>
      <c r="B13" s="3">
        <v>600</v>
      </c>
      <c r="C13" s="12">
        <v>1500</v>
      </c>
      <c r="D13" s="3">
        <v>1000</v>
      </c>
      <c r="E13" s="3">
        <f>(C13+D13)*7%</f>
        <v>175.00000000000003</v>
      </c>
      <c r="F13" s="3">
        <f>B13*(C13+D13)</f>
        <v>1500000</v>
      </c>
      <c r="G13" s="3">
        <f>F13*7%</f>
        <v>105000.00000000001</v>
      </c>
      <c r="H13" s="3">
        <f>F13+G13</f>
        <v>1605000</v>
      </c>
      <c r="I13" s="14">
        <f>G13/H13</f>
        <v>6.5420560747663559E-2</v>
      </c>
      <c r="J13" s="3"/>
    </row>
    <row r="14" spans="1:10" s="1" customFormat="1" ht="34.799999999999997" x14ac:dyDescent="0.4">
      <c r="A14" s="24" t="s">
        <v>26</v>
      </c>
      <c r="B14" s="20">
        <v>300</v>
      </c>
      <c r="C14" s="21">
        <v>3500</v>
      </c>
      <c r="D14" s="20">
        <v>1000</v>
      </c>
      <c r="E14" s="20">
        <f>(C14+D14)*7%</f>
        <v>315.00000000000006</v>
      </c>
      <c r="F14" s="20">
        <f>B14*(C14+D14)</f>
        <v>1350000</v>
      </c>
      <c r="G14" s="20"/>
      <c r="H14" s="20"/>
      <c r="I14" s="22" t="s">
        <v>6</v>
      </c>
      <c r="J14" s="23" t="s">
        <v>20</v>
      </c>
    </row>
    <row r="15" spans="1:10" s="1" customFormat="1" x14ac:dyDescent="0.4">
      <c r="A15" s="28" t="s">
        <v>5</v>
      </c>
      <c r="B15" s="3">
        <f>B13</f>
        <v>600</v>
      </c>
      <c r="C15" s="3">
        <f t="shared" ref="C15:H15" si="1">C13</f>
        <v>1500</v>
      </c>
      <c r="D15" s="3">
        <f t="shared" si="1"/>
        <v>1000</v>
      </c>
      <c r="E15" s="3">
        <f t="shared" si="1"/>
        <v>175.00000000000003</v>
      </c>
      <c r="F15" s="3">
        <f t="shared" si="1"/>
        <v>1500000</v>
      </c>
      <c r="G15" s="3">
        <f t="shared" si="1"/>
        <v>105000.00000000001</v>
      </c>
      <c r="H15" s="3">
        <f t="shared" si="1"/>
        <v>1605000</v>
      </c>
      <c r="I15" s="14">
        <f>G15/H15</f>
        <v>6.5420560747663559E-2</v>
      </c>
      <c r="J15" s="3"/>
    </row>
    <row r="16" spans="1:10" s="1" customFormat="1" x14ac:dyDescent="0.4"/>
    <row r="17" spans="1:10" s="1" customFormat="1" x14ac:dyDescent="0.35">
      <c r="A17" s="16" t="s">
        <v>21</v>
      </c>
      <c r="H17" s="19" t="s">
        <v>15</v>
      </c>
      <c r="I17" s="19"/>
      <c r="J17" s="19"/>
    </row>
    <row r="18" spans="1:10" s="1" customFormat="1" x14ac:dyDescent="0.4">
      <c r="A18" s="6" t="s">
        <v>3</v>
      </c>
      <c r="B18" s="6" t="s">
        <v>0</v>
      </c>
      <c r="C18" s="6" t="s">
        <v>13</v>
      </c>
      <c r="D18" s="6"/>
      <c r="E18" s="6"/>
      <c r="F18" s="6" t="s">
        <v>11</v>
      </c>
      <c r="G18" s="6"/>
      <c r="H18" s="6" t="s">
        <v>1</v>
      </c>
      <c r="I18" s="6" t="s">
        <v>16</v>
      </c>
      <c r="J18" s="6" t="s">
        <v>17</v>
      </c>
    </row>
    <row r="19" spans="1:10" s="1" customFormat="1" x14ac:dyDescent="0.4">
      <c r="A19" s="6"/>
      <c r="B19" s="6"/>
      <c r="C19" s="7" t="s">
        <v>12</v>
      </c>
      <c r="D19" s="8" t="s">
        <v>9</v>
      </c>
      <c r="E19" s="8" t="s">
        <v>8</v>
      </c>
      <c r="F19" s="8" t="s">
        <v>2</v>
      </c>
      <c r="G19" s="8" t="s">
        <v>7</v>
      </c>
      <c r="H19" s="6"/>
      <c r="I19" s="6"/>
      <c r="J19" s="6"/>
    </row>
    <row r="20" spans="1:10" s="1" customFormat="1" x14ac:dyDescent="0.4">
      <c r="A20" s="2" t="s">
        <v>25</v>
      </c>
      <c r="B20" s="3">
        <v>600</v>
      </c>
      <c r="C20" s="4">
        <v>1500</v>
      </c>
      <c r="D20" s="3">
        <f>B20*1000</f>
        <v>600000</v>
      </c>
      <c r="E20" s="3">
        <f>D20*7%</f>
        <v>42000.000000000007</v>
      </c>
      <c r="F20" s="3">
        <f>(B20*C20)+D20</f>
        <v>1500000</v>
      </c>
      <c r="G20" s="3">
        <v>42000</v>
      </c>
      <c r="H20" s="3">
        <f>F20+G20</f>
        <v>1542000</v>
      </c>
      <c r="I20" s="14">
        <f>G20/H20</f>
        <v>2.7237354085603113E-2</v>
      </c>
      <c r="J20" s="29" t="s">
        <v>24</v>
      </c>
    </row>
    <row r="21" spans="1:10" s="1" customFormat="1" x14ac:dyDescent="0.4">
      <c r="A21" s="25" t="s">
        <v>26</v>
      </c>
      <c r="B21" s="26">
        <v>300</v>
      </c>
      <c r="C21" s="27">
        <v>5000</v>
      </c>
      <c r="D21" s="26">
        <v>300</v>
      </c>
      <c r="E21" s="3">
        <v>700</v>
      </c>
      <c r="F21" s="26">
        <f>B21*D21+(B21*C21)</f>
        <v>1590000</v>
      </c>
      <c r="G21" s="26">
        <f>B21*E21</f>
        <v>210000</v>
      </c>
      <c r="H21" s="3">
        <f>F21+G21</f>
        <v>1800000</v>
      </c>
      <c r="I21" s="14">
        <f>G21/H21</f>
        <v>0.11666666666666667</v>
      </c>
      <c r="J21" s="29" t="s">
        <v>23</v>
      </c>
    </row>
    <row r="22" spans="1:10" s="1" customFormat="1" x14ac:dyDescent="0.4">
      <c r="A22" s="28" t="s">
        <v>5</v>
      </c>
      <c r="B22" s="3">
        <f>SUM(B20:B21)</f>
        <v>900</v>
      </c>
      <c r="C22" s="4"/>
      <c r="D22" s="3"/>
      <c r="E22" s="3"/>
      <c r="F22" s="3">
        <f t="shared" ref="F22:H22" si="2">SUM(F20:F21)</f>
        <v>3090000</v>
      </c>
      <c r="G22" s="3">
        <f t="shared" si="2"/>
        <v>252000</v>
      </c>
      <c r="H22" s="3">
        <f t="shared" si="2"/>
        <v>3342000</v>
      </c>
      <c r="I22" s="14">
        <f>G22/H22</f>
        <v>7.5403949730700179E-2</v>
      </c>
      <c r="J22" s="29"/>
    </row>
    <row r="23" spans="1:10" s="1" customFormat="1" x14ac:dyDescent="0.4"/>
    <row r="24" spans="1:10" s="1" customFormat="1" x14ac:dyDescent="0.4"/>
    <row r="25" spans="1:10" s="1" customFormat="1" x14ac:dyDescent="0.4">
      <c r="A25" s="32" t="s">
        <v>3</v>
      </c>
      <c r="B25" s="32" t="s">
        <v>2</v>
      </c>
      <c r="C25" s="32"/>
      <c r="D25" s="32" t="s">
        <v>7</v>
      </c>
      <c r="E25" s="32"/>
    </row>
    <row r="26" spans="1:10" s="1" customFormat="1" x14ac:dyDescent="0.4">
      <c r="A26" s="32"/>
      <c r="B26" s="33" t="s">
        <v>28</v>
      </c>
      <c r="C26" s="33" t="s">
        <v>27</v>
      </c>
      <c r="D26" s="33" t="s">
        <v>28</v>
      </c>
      <c r="E26" s="33" t="s">
        <v>27</v>
      </c>
    </row>
    <row r="27" spans="1:10" s="30" customFormat="1" ht="15.6" x14ac:dyDescent="0.4">
      <c r="A27" s="31" t="s">
        <v>22</v>
      </c>
      <c r="B27" s="31">
        <f>F20</f>
        <v>1500000</v>
      </c>
      <c r="C27" s="31">
        <f>D20</f>
        <v>600000</v>
      </c>
      <c r="D27" s="31">
        <f>H20</f>
        <v>1542000</v>
      </c>
      <c r="E27" s="31">
        <f>G20</f>
        <v>42000</v>
      </c>
    </row>
    <row r="28" spans="1:10" s="30" customFormat="1" ht="15.6" x14ac:dyDescent="0.4">
      <c r="A28" s="31" t="s">
        <v>4</v>
      </c>
      <c r="B28" s="31">
        <f>F21</f>
        <v>1590000</v>
      </c>
      <c r="C28" s="31">
        <f>B21*D21</f>
        <v>90000</v>
      </c>
      <c r="D28" s="31">
        <f>H21</f>
        <v>1800000</v>
      </c>
      <c r="E28" s="31">
        <f>G21</f>
        <v>210000</v>
      </c>
    </row>
    <row r="29" spans="1:10" s="30" customFormat="1" ht="15.6" x14ac:dyDescent="0.4">
      <c r="A29" s="31" t="s">
        <v>5</v>
      </c>
      <c r="B29" s="31">
        <f>SUM(B27:B28)</f>
        <v>3090000</v>
      </c>
      <c r="C29" s="31">
        <f t="shared" ref="C29:E29" si="3">SUM(C27:C28)</f>
        <v>690000</v>
      </c>
      <c r="D29" s="31">
        <f t="shared" si="3"/>
        <v>3342000</v>
      </c>
      <c r="E29" s="31">
        <f t="shared" si="3"/>
        <v>252000</v>
      </c>
    </row>
    <row r="30" spans="1:10" s="1" customFormat="1" x14ac:dyDescent="0.4"/>
    <row r="31" spans="1:10" ht="19.8" x14ac:dyDescent="0.4">
      <c r="A31" s="10" t="s">
        <v>10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4">
      <c r="A32" s="9" t="s">
        <v>30</v>
      </c>
      <c r="B32" s="1"/>
      <c r="C32" s="1"/>
      <c r="D32" s="1"/>
      <c r="E32" s="1"/>
      <c r="F32" s="1"/>
      <c r="G32" s="1"/>
      <c r="H32" s="1"/>
      <c r="I32" s="1"/>
      <c r="J32" s="1"/>
    </row>
    <row r="33" spans="1:1" x14ac:dyDescent="0.4">
      <c r="A33" t="s">
        <v>29</v>
      </c>
    </row>
  </sheetData>
  <mergeCells count="28">
    <mergeCell ref="A25:A26"/>
    <mergeCell ref="B25:C25"/>
    <mergeCell ref="D25:E25"/>
    <mergeCell ref="H17:J17"/>
    <mergeCell ref="A18:A19"/>
    <mergeCell ref="B18:B19"/>
    <mergeCell ref="C18:E18"/>
    <mergeCell ref="F18:G18"/>
    <mergeCell ref="H18:H19"/>
    <mergeCell ref="I18:I19"/>
    <mergeCell ref="J18:J19"/>
    <mergeCell ref="H10:J10"/>
    <mergeCell ref="A11:A12"/>
    <mergeCell ref="B11:B12"/>
    <mergeCell ref="C11:E11"/>
    <mergeCell ref="F11:G11"/>
    <mergeCell ref="H11:H12"/>
    <mergeCell ref="I11:I12"/>
    <mergeCell ref="J11:J12"/>
    <mergeCell ref="A1:J1"/>
    <mergeCell ref="H3:J3"/>
    <mergeCell ref="A4:A5"/>
    <mergeCell ref="B4:B5"/>
    <mergeCell ref="C4:E4"/>
    <mergeCell ref="F4:G4"/>
    <mergeCell ref="H4:H5"/>
    <mergeCell ref="I4:I5"/>
    <mergeCell ref="J4:J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2022-11-09T04:13:00Z</dcterms:created>
  <dcterms:modified xsi:type="dcterms:W3CDTF">2022-11-09T08:33:11Z</dcterms:modified>
</cp:coreProperties>
</file>