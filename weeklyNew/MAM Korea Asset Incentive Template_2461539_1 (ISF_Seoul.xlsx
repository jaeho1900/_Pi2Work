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_기획팀\___________________________________________사장님 자료\________임원평가\"/>
    </mc:Choice>
  </mc:AlternateContent>
  <bookViews>
    <workbookView xWindow="28695" yWindow="-105" windowWidth="51825" windowHeight="21225" tabRatio="744"/>
  </bookViews>
  <sheets>
    <sheet name="Template (2)" sheetId="56" r:id="rId1"/>
    <sheet name="Template" sheetId="54" r:id="rId2"/>
    <sheet name="Sheet1" sheetId="55" r:id="rId3"/>
  </sheets>
  <externalReferences>
    <externalReference r:id="rId4"/>
  </externalReferences>
  <definedNames>
    <definedName name="a" localSheetId="1">OFFSET(NoBlankCell,,,COUNTA(NoBlankCell)-COUNTBLANK(NoBlankCell))</definedName>
    <definedName name="a" localSheetId="0">OFFSET([0]!NoBlankCell,,,COUNTA([0]!NoBlankCell)-COUNTBLANK([0]!NoBlankCell))</definedName>
    <definedName name="a">OFFSET(NoBlankCell,,,COUNTA(NoBlankCell)-COUNTBLANK(NoBlankCell))</definedName>
    <definedName name="CalcMethod">'[1]7.2 Exit LTI Design - Model B'!$G$7</definedName>
    <definedName name="ChartFormattingSelection">'[1]7.1 Exit LTI Design - Model A'!$G$8</definedName>
    <definedName name="DBRange" localSheetId="1">OFFSET(NoBlankCell,,,COUNTA(NoBlankCell)-COUNTBLANK(NoBlankCell))</definedName>
    <definedName name="DBRange" localSheetId="0">OFFSET([0]!NoBlankCell,,,COUNTA([0]!NoBlankCell)-COUNTBLANK([0]!NoBlankCell))</definedName>
    <definedName name="DBRange">OFFSET(NoBlankCell,,,COUNTA(NoBlankCell)-COUNTBLANK(NoBlankCell))</definedName>
    <definedName name="ExecNames">OFFSET('[1]3. Data Collection'!$C$22,0,0,COUNTA('[1]3. Data Collection'!$C$22:$C$31),1)</definedName>
    <definedName name="FX">'[1]3. Data Collection'!$D$12</definedName>
    <definedName name="LTI_Participant">'[1]6.2 LTI Scenario Modeling'!$A$6</definedName>
    <definedName name="LTIDesign">'[1]2. Scenario Selection'!$F$35</definedName>
    <definedName name="ModelSelection" localSheetId="1">'[1]7. Exit LTI Design Intro'!#REF!</definedName>
    <definedName name="ModelSelection" localSheetId="0">'[1]7. Exit LTI Design Intro'!#REF!</definedName>
    <definedName name="ModelSelection">'[1]7. Exit LTI Design Intro'!#REF!</definedName>
    <definedName name="NoBlankCell">'[1]3. Data Collection'!$U$22:$U$31</definedName>
    <definedName name="ParticipantTerms_SelectedExec">'[1]9. Participant Term Sheet'!$D$8</definedName>
    <definedName name="_xlnm.Print_Area" localSheetId="1">Template!$A$1:$I$32</definedName>
    <definedName name="_xlnm.Print_Area" localSheetId="0">'Template (2)'!$A$1:$O$32</definedName>
    <definedName name="RoleList">OFFSET('[1]3. Data Collection'!$D$22,0,0,COUNTA('[1]3. Data Collection'!$D$22:$D$31),1)</definedName>
    <definedName name="STI_Modelling" localSheetId="1">'[1]5.1 STI Design - Targets'!#REF!</definedName>
    <definedName name="STI_Modelling" localSheetId="0">'[1]5.1 STI Design - Targets'!#REF!</definedName>
    <definedName name="STI_Modelling">'[1]5.1 STI Design - Targets'!#REF!</definedName>
    <definedName name="STI_Participant">'[1]5.3 STI Scenario Modeling'!$B$5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7" i="56" l="1"/>
  <c r="O16" i="56"/>
  <c r="O19" i="56" s="1"/>
  <c r="O21" i="56" s="1"/>
  <c r="C16" i="56"/>
  <c r="D6" i="56"/>
  <c r="I17" i="54" l="1"/>
  <c r="I16" i="54"/>
  <c r="C16" i="54"/>
  <c r="D6" i="54"/>
  <c r="I19" i="54" l="1"/>
  <c r="I21" i="54" s="1"/>
</calcChain>
</file>

<file path=xl/comments1.xml><?xml version="1.0" encoding="utf-8"?>
<comments xmlns="http://schemas.openxmlformats.org/spreadsheetml/2006/main">
  <authors>
    <author>Ronnie Kim (MIRA)</author>
  </authors>
  <commentList>
    <comment ref="M11" authorId="0" shapeId="0">
      <text>
        <r>
          <rPr>
            <b/>
            <sz val="9"/>
            <color indexed="81"/>
            <rFont val="Tahoma"/>
            <family val="2"/>
          </rPr>
          <t>Ronnie Kim (MIRA):</t>
        </r>
        <r>
          <rPr>
            <sz val="9"/>
            <color indexed="81"/>
            <rFont val="Tahoma"/>
            <family val="2"/>
          </rPr>
          <t xml:space="preserve">
Pls input target EBIDTA, target OPEX, growth %</t>
        </r>
      </text>
    </comment>
    <comment ref="O17" authorId="0" shapeId="0">
      <text>
        <r>
          <rPr>
            <b/>
            <sz val="9"/>
            <color indexed="81"/>
            <rFont val="돋움"/>
            <family val="3"/>
            <charset val="129"/>
          </rPr>
          <t>사망사고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- 50% </t>
        </r>
        <r>
          <rPr>
            <b/>
            <sz val="9"/>
            <color indexed="81"/>
            <rFont val="돋움"/>
            <family val="3"/>
            <charset val="129"/>
          </rPr>
          <t>삭감
사망사고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- No incentive payment
</t>
        </r>
        <r>
          <rPr>
            <b/>
            <sz val="9"/>
            <color indexed="81"/>
            <rFont val="돋움"/>
            <family val="3"/>
            <charset val="129"/>
          </rPr>
          <t>사망사고건수에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산식삽입</t>
        </r>
      </text>
    </comment>
  </commentList>
</comments>
</file>

<file path=xl/comments2.xml><?xml version="1.0" encoding="utf-8"?>
<comments xmlns="http://schemas.openxmlformats.org/spreadsheetml/2006/main">
  <authors>
    <author>Ronnie Kim (MIRA)</author>
  </authors>
  <commentList>
    <comment ref="G11" authorId="0" shapeId="0">
      <text>
        <r>
          <rPr>
            <b/>
            <sz val="9"/>
            <color indexed="81"/>
            <rFont val="Tahoma"/>
            <family val="2"/>
          </rPr>
          <t>Ronnie Kim (MIRA):</t>
        </r>
        <r>
          <rPr>
            <sz val="9"/>
            <color indexed="81"/>
            <rFont val="Tahoma"/>
            <family val="2"/>
          </rPr>
          <t xml:space="preserve">
Pls input target EBIDTA, target OPEX, growth %</t>
        </r>
      </text>
    </comment>
    <comment ref="I17" authorId="0" shapeId="0">
      <text>
        <r>
          <rPr>
            <b/>
            <sz val="9"/>
            <color indexed="81"/>
            <rFont val="돋움"/>
            <family val="3"/>
            <charset val="129"/>
          </rPr>
          <t>사망사고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- 50% </t>
        </r>
        <r>
          <rPr>
            <b/>
            <sz val="9"/>
            <color indexed="81"/>
            <rFont val="돋움"/>
            <family val="3"/>
            <charset val="129"/>
          </rPr>
          <t>삭감
사망사고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- No incentive payment
</t>
        </r>
        <r>
          <rPr>
            <b/>
            <sz val="9"/>
            <color indexed="81"/>
            <rFont val="돋움"/>
            <family val="3"/>
            <charset val="129"/>
          </rPr>
          <t>사망사고건수에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산식삽입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2" description="Connection to the 'Table2' query in the workbook." type="5" refreshedVersion="6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<sst xmlns="http://schemas.openxmlformats.org/spreadsheetml/2006/main" count="150" uniqueCount="78">
  <si>
    <t>Item</t>
    <phoneticPr fontId="2" type="noConversion"/>
  </si>
  <si>
    <t>Rating</t>
    <phoneticPr fontId="2" type="noConversion"/>
  </si>
  <si>
    <t>Outstanding</t>
    <phoneticPr fontId="2" type="noConversion"/>
  </si>
  <si>
    <t>Exceed expectation</t>
    <phoneticPr fontId="2" type="noConversion"/>
  </si>
  <si>
    <t>Meet expectation</t>
    <phoneticPr fontId="2" type="noConversion"/>
  </si>
  <si>
    <t>Developing</t>
    <phoneticPr fontId="2" type="noConversion"/>
  </si>
  <si>
    <t>Unsatisfactory</t>
    <phoneticPr fontId="2" type="noConversion"/>
  </si>
  <si>
    <t>Mean</t>
    <phoneticPr fontId="2" type="noConversion"/>
  </si>
  <si>
    <t>Remark</t>
    <phoneticPr fontId="2" type="noConversion"/>
  </si>
  <si>
    <t>MKIF</t>
    <phoneticPr fontId="2" type="noConversion"/>
  </si>
  <si>
    <t>%</t>
    <phoneticPr fontId="2" type="noConversion"/>
  </si>
  <si>
    <t># of fatality incident</t>
    <phoneticPr fontId="2" type="noConversion"/>
  </si>
  <si>
    <t>Explanation</t>
    <phoneticPr fontId="2" type="noConversion"/>
  </si>
  <si>
    <t>Explanation(KR)</t>
    <phoneticPr fontId="2" type="noConversion"/>
  </si>
  <si>
    <t>-Improvement on internal control, payment process
-Clear outsourcing process including bidding process
-Any valuable update on internal control and business operations for right governance setup</t>
    <phoneticPr fontId="2" type="noConversion"/>
  </si>
  <si>
    <t>0 to 1</t>
    <phoneticPr fontId="2" type="noConversion"/>
  </si>
  <si>
    <r>
      <rPr>
        <sz val="10"/>
        <color theme="1"/>
        <rFont val="돋움"/>
        <family val="2"/>
        <charset val="129"/>
      </rPr>
      <t>연초</t>
    </r>
    <r>
      <rPr>
        <sz val="10"/>
        <color theme="1"/>
        <rFont val="Arial"/>
        <family val="2"/>
      </rPr>
      <t xml:space="preserve"> budgeting</t>
    </r>
    <r>
      <rPr>
        <sz val="10"/>
        <color theme="1"/>
        <rFont val="돋움"/>
        <family val="2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작성</t>
    </r>
    <phoneticPr fontId="2" type="noConversion"/>
  </si>
  <si>
    <t>Opportunity/Initiatives
( cap: 20% of calculated incentives)</t>
    <phoneticPr fontId="2" type="noConversion"/>
  </si>
  <si>
    <t>Asset Name:</t>
    <phoneticPr fontId="2" type="noConversion"/>
  </si>
  <si>
    <t>Employee Name:</t>
    <phoneticPr fontId="2" type="noConversion"/>
  </si>
  <si>
    <t>-Number of fatality incidents (1 incident : 50%, more than 2 incidents: 0)
-Number of fatality incident can be a circuit breaker of the incentive for the year</t>
    <phoneticPr fontId="2" type="noConversion"/>
  </si>
  <si>
    <t>Final Grade</t>
    <phoneticPr fontId="2" type="noConversion"/>
  </si>
  <si>
    <t>Grade</t>
    <phoneticPr fontId="2" type="noConversion"/>
  </si>
  <si>
    <t>5</t>
  </si>
  <si>
    <r>
      <t>-</t>
    </r>
    <r>
      <rPr>
        <sz val="9"/>
        <color theme="1"/>
        <rFont val="Arial Unicode MS"/>
        <family val="2"/>
        <charset val="129"/>
      </rPr>
      <t>지난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Arial Unicode MS"/>
        <family val="2"/>
        <charset val="129"/>
      </rPr>
      <t>년간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Arial Unicode MS"/>
        <family val="2"/>
        <charset val="129"/>
      </rPr>
      <t>작업장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Arial Unicode MS"/>
        <family val="2"/>
        <charset val="129"/>
      </rPr>
      <t>사망사고건수</t>
    </r>
    <r>
      <rPr>
        <sz val="9"/>
        <color theme="1"/>
        <rFont val="Arial"/>
        <family val="2"/>
      </rPr>
      <t xml:space="preserve">
-</t>
    </r>
    <r>
      <rPr>
        <sz val="9"/>
        <color theme="1"/>
        <rFont val="Arial Unicode MS"/>
        <family val="2"/>
        <charset val="129"/>
      </rPr>
      <t>사망사고가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2"/>
        <charset val="129"/>
      </rPr>
      <t>있을시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2"/>
        <charset val="129"/>
      </rPr>
      <t>전체</t>
    </r>
    <r>
      <rPr>
        <sz val="9"/>
        <color theme="1"/>
        <rFont val="Arial"/>
        <family val="2"/>
      </rPr>
      <t xml:space="preserve"> incentive</t>
    </r>
    <r>
      <rPr>
        <sz val="9"/>
        <color theme="1"/>
        <rFont val="돋움"/>
        <family val="2"/>
        <charset val="129"/>
      </rPr>
      <t>가</t>
    </r>
    <r>
      <rPr>
        <sz val="9"/>
        <color theme="1"/>
        <rFont val="Arial"/>
        <family val="2"/>
      </rPr>
      <t xml:space="preserve"> 0</t>
    </r>
    <r>
      <rPr>
        <sz val="9"/>
        <color theme="1"/>
        <rFont val="돋움"/>
        <family val="2"/>
        <charset val="129"/>
      </rPr>
      <t>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2"/>
        <charset val="129"/>
      </rPr>
      <t>될수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2"/>
        <charset val="129"/>
      </rPr>
      <t>있음</t>
    </r>
    <phoneticPr fontId="2" type="noConversion"/>
  </si>
  <si>
    <r>
      <t xml:space="preserve">- </t>
    </r>
    <r>
      <rPr>
        <sz val="9"/>
        <color theme="1"/>
        <rFont val="돋움"/>
        <family val="3"/>
        <charset val="129"/>
      </rPr>
      <t>통상적인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업무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외</t>
    </r>
    <r>
      <rPr>
        <sz val="9"/>
        <color theme="1"/>
        <rFont val="Arial"/>
        <family val="2"/>
      </rPr>
      <t xml:space="preserve"> key agenda</t>
    </r>
    <r>
      <rPr>
        <sz val="9"/>
        <color theme="1"/>
        <rFont val="돋움"/>
        <family val="3"/>
        <charset val="129"/>
      </rPr>
      <t>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발견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실행
</t>
    </r>
    <r>
      <rPr>
        <sz val="9"/>
        <color theme="1"/>
        <rFont val="Arial"/>
        <family val="2"/>
      </rPr>
      <t xml:space="preserve">   ex) </t>
    </r>
    <r>
      <rPr>
        <sz val="9"/>
        <color theme="1"/>
        <rFont val="돋움"/>
        <family val="3"/>
        <charset val="129"/>
      </rPr>
      <t>신규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사업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기회의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발견
</t>
    </r>
    <r>
      <rPr>
        <sz val="9"/>
        <color theme="1"/>
        <rFont val="Arial"/>
        <family val="2"/>
      </rPr>
      <t xml:space="preserve">- </t>
    </r>
    <r>
      <rPr>
        <sz val="9"/>
        <color theme="1"/>
        <rFont val="돋움"/>
        <family val="3"/>
        <charset val="129"/>
      </rPr>
      <t>통상적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업무의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획기적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개선점의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발견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실행
</t>
    </r>
    <r>
      <rPr>
        <sz val="9"/>
        <color theme="1"/>
        <rFont val="Arial"/>
        <family val="2"/>
      </rPr>
      <t xml:space="preserve">   ex) LED </t>
    </r>
    <r>
      <rPr>
        <sz val="9"/>
        <color theme="1"/>
        <rFont val="돋움"/>
        <family val="3"/>
        <charset val="129"/>
      </rPr>
      <t>교체를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통한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비용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절감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돋움"/>
        <family val="3"/>
        <charset val="129"/>
      </rPr>
      <t>경부고속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접속도로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신설</t>
    </r>
    <r>
      <rPr>
        <sz val="9"/>
        <color theme="1"/>
        <rFont val="Arial"/>
        <family val="2"/>
      </rPr>
      <t xml:space="preserve">, O&amp;M </t>
    </r>
    <r>
      <rPr>
        <sz val="9"/>
        <color theme="1"/>
        <rFont val="돋움"/>
        <family val="3"/>
        <charset val="129"/>
      </rPr>
      <t>설비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개선을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통한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비용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절감</t>
    </r>
    <r>
      <rPr>
        <sz val="9"/>
        <color theme="1"/>
        <rFont val="Arial"/>
        <family val="2"/>
      </rPr>
      <t>(</t>
    </r>
    <r>
      <rPr>
        <sz val="9"/>
        <color theme="1"/>
        <rFont val="돋움"/>
        <family val="3"/>
        <charset val="129"/>
      </rPr>
      <t>설비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특허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취득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등</t>
    </r>
    <r>
      <rPr>
        <sz val="9"/>
        <color theme="1"/>
        <rFont val="Arial"/>
        <family val="2"/>
      </rPr>
      <t xml:space="preserve">), 
      </t>
    </r>
    <r>
      <rPr>
        <sz val="9"/>
        <color theme="1"/>
        <rFont val="돋움"/>
        <family val="3"/>
        <charset val="129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지역민원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해결을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위한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혁신적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아이디어</t>
    </r>
    <r>
      <rPr>
        <sz val="9"/>
        <color theme="1"/>
        <rFont val="Arial"/>
        <family val="2"/>
      </rPr>
      <t xml:space="preserve"> </t>
    </r>
    <phoneticPr fontId="2" type="noConversion"/>
  </si>
  <si>
    <r>
      <t>Performance is exceptional and significantly exceeds requirements. (</t>
    </r>
    <r>
      <rPr>
        <sz val="9"/>
        <color theme="1"/>
        <rFont val="돋움"/>
        <family val="3"/>
        <charset val="129"/>
      </rPr>
      <t>동일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직급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상위</t>
    </r>
    <r>
      <rPr>
        <sz val="9"/>
        <color theme="1"/>
        <rFont val="Arial"/>
        <family val="2"/>
      </rPr>
      <t xml:space="preserve"> 5%</t>
    </r>
    <r>
      <rPr>
        <sz val="9"/>
        <color theme="1"/>
        <rFont val="돋움"/>
        <family val="3"/>
        <charset val="129"/>
      </rPr>
      <t>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최우수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등급</t>
    </r>
    <r>
      <rPr>
        <sz val="9"/>
        <color theme="1"/>
        <rFont val="Arial"/>
        <family val="2"/>
      </rPr>
      <t>)</t>
    </r>
    <phoneticPr fontId="2" type="noConversion"/>
  </si>
  <si>
    <r>
      <t>Performance consistently exceeds requirements (</t>
    </r>
    <r>
      <rPr>
        <sz val="9"/>
        <color theme="1"/>
        <rFont val="돋움"/>
        <family val="3"/>
        <charset val="129"/>
      </rPr>
      <t>동일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직급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상위</t>
    </r>
    <r>
      <rPr>
        <sz val="9"/>
        <color theme="1"/>
        <rFont val="Arial"/>
        <family val="2"/>
      </rPr>
      <t xml:space="preserve"> 5 - 20% </t>
    </r>
    <r>
      <rPr>
        <sz val="9"/>
        <color theme="1"/>
        <rFont val="돋움"/>
        <family val="3"/>
        <charset val="129"/>
      </rPr>
      <t>이내의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우수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등급</t>
    </r>
    <r>
      <rPr>
        <sz val="9"/>
        <color theme="1"/>
        <rFont val="Arial"/>
        <family val="2"/>
      </rPr>
      <t>)</t>
    </r>
    <phoneticPr fontId="2" type="noConversion"/>
  </si>
  <si>
    <r>
      <t>Performance consistently meets all requirements (</t>
    </r>
    <r>
      <rPr>
        <sz val="9"/>
        <color theme="1"/>
        <rFont val="돋움"/>
        <family val="3"/>
        <charset val="129"/>
      </rPr>
      <t>동일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직급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상위</t>
    </r>
    <r>
      <rPr>
        <sz val="9"/>
        <color theme="1"/>
        <rFont val="Arial"/>
        <family val="2"/>
      </rPr>
      <t xml:space="preserve">  20% - 40% </t>
    </r>
    <r>
      <rPr>
        <sz val="9"/>
        <color theme="1"/>
        <rFont val="돋움"/>
        <family val="3"/>
        <charset val="129"/>
      </rPr>
      <t>이내의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우수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등급</t>
    </r>
    <r>
      <rPr>
        <sz val="9"/>
        <color theme="1"/>
        <rFont val="Arial"/>
        <family val="2"/>
      </rPr>
      <t>)</t>
    </r>
    <phoneticPr fontId="2" type="noConversion"/>
  </si>
  <si>
    <r>
      <t>Performance falls short of some requirements (</t>
    </r>
    <r>
      <rPr>
        <sz val="9"/>
        <color theme="1"/>
        <rFont val="돋움"/>
        <family val="3"/>
        <charset val="129"/>
      </rPr>
      <t>동일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직급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상위</t>
    </r>
    <r>
      <rPr>
        <sz val="9"/>
        <color theme="1"/>
        <rFont val="Arial"/>
        <family val="2"/>
      </rPr>
      <t xml:space="preserve"> 40% - 60%)</t>
    </r>
    <phoneticPr fontId="2" type="noConversion"/>
  </si>
  <si>
    <r>
      <t>Performance falls significantly short of the requirements expected (</t>
    </r>
    <r>
      <rPr>
        <sz val="9"/>
        <color theme="1"/>
        <rFont val="돋움"/>
        <family val="3"/>
        <charset val="129"/>
      </rPr>
      <t>하위</t>
    </r>
    <r>
      <rPr>
        <sz val="9"/>
        <color theme="1"/>
        <rFont val="Arial"/>
        <family val="2"/>
      </rPr>
      <t xml:space="preserve"> 40%)</t>
    </r>
    <phoneticPr fontId="2" type="noConversion"/>
  </si>
  <si>
    <t>Final Incentive Amount(KRW)</t>
    <phoneticPr fontId="2" type="noConversion"/>
  </si>
  <si>
    <t>-Identifying new business or expansion opportunities other than normal business operations
-Identifying key simplification or cost saving opportunities and drives
-Innovative but practical ideas to adopt /share as best practice for other companies</t>
  </si>
  <si>
    <t>-People mgmt, motivating  &amp; developing organization
-Preventive actions and solving issues threating the asset company 
-Relationship management with gov't, lender, shareholder, community, media</t>
    <phoneticPr fontId="2" type="noConversion"/>
  </si>
  <si>
    <r>
      <t>-</t>
    </r>
    <r>
      <rPr>
        <sz val="9"/>
        <rFont val="Arial Unicode MS"/>
        <family val="2"/>
        <charset val="129"/>
      </rPr>
      <t>조직관리</t>
    </r>
    <r>
      <rPr>
        <sz val="9"/>
        <rFont val="Arial"/>
        <family val="2"/>
      </rPr>
      <t xml:space="preserve">, </t>
    </r>
    <r>
      <rPr>
        <sz val="9"/>
        <rFont val="Arial Unicode MS"/>
        <family val="2"/>
        <charset val="129"/>
      </rPr>
      <t xml:space="preserve">인력개발
</t>
    </r>
    <r>
      <rPr>
        <sz val="9"/>
        <rFont val="Arial"/>
        <family val="2"/>
      </rPr>
      <t>-</t>
    </r>
    <r>
      <rPr>
        <sz val="9"/>
        <rFont val="Arial Unicode MS"/>
        <family val="2"/>
        <charset val="129"/>
      </rPr>
      <t>잠재적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위험요소에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대한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선제적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반응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문제해결</t>
    </r>
    <r>
      <rPr>
        <sz val="9"/>
        <rFont val="Arial"/>
        <family val="2"/>
      </rPr>
      <t xml:space="preserve">
-</t>
    </r>
    <r>
      <rPr>
        <sz val="9"/>
        <rFont val="Arial Unicode MS"/>
        <family val="2"/>
        <charset val="129"/>
      </rPr>
      <t>대관 / 대주 / 주주사 / 민원 / 언론 대응</t>
    </r>
    <phoneticPr fontId="2" type="noConversion"/>
  </si>
  <si>
    <t>-Operational KPI</t>
    <phoneticPr fontId="2" type="noConversion"/>
  </si>
  <si>
    <t>-EBITDA</t>
    <phoneticPr fontId="2" type="noConversion"/>
  </si>
  <si>
    <t>- EBITDA</t>
    <phoneticPr fontId="2" type="noConversion"/>
  </si>
  <si>
    <t>-Net cash flow</t>
    <phoneticPr fontId="2" type="noConversion"/>
  </si>
  <si>
    <r>
      <t xml:space="preserve">- </t>
    </r>
    <r>
      <rPr>
        <b/>
        <i/>
        <sz val="9"/>
        <color rgb="FFFF0000"/>
        <rFont val="Arial Unicode MS"/>
        <family val="2"/>
        <charset val="129"/>
      </rPr>
      <t>각 사별 주요 운영 지표</t>
    </r>
    <phoneticPr fontId="2" type="noConversion"/>
  </si>
  <si>
    <t>With qualitative review comments</t>
    <phoneticPr fontId="2" type="noConversion"/>
  </si>
  <si>
    <t>Asset management discretion</t>
    <phoneticPr fontId="2" type="noConversion"/>
  </si>
  <si>
    <t>-LTIFR trending for past 12 months
-WHS policy setup &amp; update by BOD
-Quarterly WHS reporting to the BOD(including outsourcing companies such as LTIFR, trainings, etc)
-WHS performance management evaluation mechanism
-Initiatives to improve company's EHS standard &amp; operations
-On-time incident reporting to BOD and MIRA?
-Met regulatory requirements on WHS &amp; Environmental?
-Reportable Environmental Incidents(including issues raised by government or litigation)</t>
    <phoneticPr fontId="2" type="noConversion"/>
  </si>
  <si>
    <t>2022 Goal (by Employee &amp; Macquarie)</t>
    <phoneticPr fontId="2" type="noConversion"/>
  </si>
  <si>
    <t>2022 Appraisal (by Macquarie)</t>
    <phoneticPr fontId="2" type="noConversion"/>
  </si>
  <si>
    <t>2022 Appraisal Rating (by Macquarie)
from 1 to 5</t>
    <phoneticPr fontId="2" type="noConversion"/>
  </si>
  <si>
    <r>
      <rPr>
        <sz val="10"/>
        <color theme="1"/>
        <rFont val="돋움"/>
        <family val="2"/>
        <charset val="129"/>
      </rPr>
      <t>연말</t>
    </r>
    <r>
      <rPr>
        <sz val="10"/>
        <color theme="1"/>
        <rFont val="Arial"/>
        <family val="2"/>
      </rPr>
      <t xml:space="preserve"> Macquarie </t>
    </r>
    <r>
      <rPr>
        <sz val="10"/>
        <color theme="1"/>
        <rFont val="돋움"/>
        <family val="2"/>
        <charset val="129"/>
      </rPr>
      <t>성과평가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점수</t>
    </r>
    <r>
      <rPr>
        <sz val="10"/>
        <color theme="1"/>
        <rFont val="Arial"/>
        <family val="2"/>
      </rPr>
      <t>(1~5)</t>
    </r>
    <phoneticPr fontId="2" type="noConversion"/>
  </si>
  <si>
    <r>
      <rPr>
        <sz val="10"/>
        <color theme="1"/>
        <rFont val="돋움"/>
        <family val="2"/>
        <charset val="129"/>
      </rPr>
      <t>연말</t>
    </r>
    <r>
      <rPr>
        <sz val="10"/>
        <color theme="1"/>
        <rFont val="Arial"/>
        <family val="2"/>
      </rPr>
      <t xml:space="preserve"> Macquarie </t>
    </r>
    <r>
      <rPr>
        <sz val="10"/>
        <color theme="1"/>
        <rFont val="돋움"/>
        <family val="2"/>
        <charset val="129"/>
      </rPr>
      <t>성과평가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기술</t>
    </r>
    <phoneticPr fontId="2" type="noConversion"/>
  </si>
  <si>
    <t>2022 Annual Base Salary(KRW):</t>
    <phoneticPr fontId="2" type="noConversion"/>
  </si>
  <si>
    <t>2022 Incentive Target (%  basis)</t>
    <phoneticPr fontId="2" type="noConversion"/>
  </si>
  <si>
    <t>202 Incentive Target Amount</t>
    <phoneticPr fontId="2" type="noConversion"/>
  </si>
  <si>
    <t>MAM Korea Asset Incentive Model</t>
    <phoneticPr fontId="2" type="noConversion"/>
  </si>
  <si>
    <r>
      <t xml:space="preserve">(1) </t>
    </r>
    <r>
      <rPr>
        <sz val="9"/>
        <color theme="1"/>
        <rFont val="돋움"/>
        <family val="3"/>
        <charset val="129"/>
      </rPr>
      <t>지난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돋움"/>
        <family val="3"/>
        <charset val="129"/>
      </rPr>
      <t>년간</t>
    </r>
    <r>
      <rPr>
        <sz val="9"/>
        <color theme="1"/>
        <rFont val="Arial"/>
        <family val="2"/>
      </rPr>
      <t xml:space="preserve"> LTIFR trend
(2) WHS </t>
    </r>
    <r>
      <rPr>
        <sz val="9"/>
        <color theme="1"/>
        <rFont val="돋움"/>
        <family val="3"/>
        <charset val="129"/>
      </rPr>
      <t>규정은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이사회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결의를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거쳐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승인받고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업데이트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있는가</t>
    </r>
    <r>
      <rPr>
        <sz val="9"/>
        <color theme="1"/>
        <rFont val="Arial"/>
        <family val="2"/>
      </rPr>
      <t>?
(3) WHS report (</t>
    </r>
    <r>
      <rPr>
        <sz val="9"/>
        <color theme="1"/>
        <rFont val="돋움"/>
        <family val="3"/>
        <charset val="129"/>
      </rPr>
      <t>외주업체의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실적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포함</t>
    </r>
    <r>
      <rPr>
        <sz val="9"/>
        <color theme="1"/>
        <rFont val="Arial"/>
        <family val="2"/>
      </rPr>
      <t>)</t>
    </r>
    <r>
      <rPr>
        <sz val="9"/>
        <color theme="1"/>
        <rFont val="돋움"/>
        <family val="3"/>
        <charset val="129"/>
      </rPr>
      <t>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분기별로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이사회에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보고되고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있는가</t>
    </r>
    <r>
      <rPr>
        <sz val="9"/>
        <color theme="1"/>
        <rFont val="Arial"/>
        <family val="2"/>
      </rPr>
      <t xml:space="preserve">?
(4) </t>
    </r>
    <r>
      <rPr>
        <sz val="9"/>
        <color theme="1"/>
        <rFont val="돋움"/>
        <family val="3"/>
        <charset val="129"/>
      </rPr>
      <t>해당연도의</t>
    </r>
    <r>
      <rPr>
        <sz val="9"/>
        <color theme="1"/>
        <rFont val="Arial"/>
        <family val="2"/>
      </rPr>
      <t xml:space="preserve"> WHS record </t>
    </r>
    <r>
      <rPr>
        <sz val="9"/>
        <color theme="1"/>
        <rFont val="돋움"/>
        <family val="3"/>
        <charset val="129"/>
      </rPr>
      <t>기록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성과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측정관리
</t>
    </r>
    <r>
      <rPr>
        <sz val="9"/>
        <color theme="1"/>
        <rFont val="Arial"/>
        <family val="3"/>
      </rPr>
      <t>'(5) WHS</t>
    </r>
    <r>
      <rPr>
        <sz val="9"/>
        <color theme="1"/>
        <rFont val="맑은 고딕"/>
        <family val="3"/>
        <charset val="129"/>
      </rPr>
      <t>관련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산재보고는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즉시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주주사에게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보고되었는가</t>
    </r>
    <r>
      <rPr>
        <sz val="9"/>
        <color theme="1"/>
        <rFont val="Arial"/>
        <family val="3"/>
      </rPr>
      <t xml:space="preserve">?
(6) </t>
    </r>
    <r>
      <rPr>
        <sz val="9"/>
        <color theme="1"/>
        <rFont val="맑은 고딕"/>
        <family val="3"/>
        <charset val="129"/>
      </rPr>
      <t>환경</t>
    </r>
    <r>
      <rPr>
        <sz val="9"/>
        <color theme="1"/>
        <rFont val="Arial"/>
        <family val="3"/>
      </rPr>
      <t xml:space="preserve">, </t>
    </r>
    <r>
      <rPr>
        <sz val="9"/>
        <color theme="1"/>
        <rFont val="맑은 고딕"/>
        <family val="3"/>
        <charset val="129"/>
      </rPr>
      <t>안전</t>
    </r>
    <r>
      <rPr>
        <sz val="9"/>
        <color theme="1"/>
        <rFont val="Arial"/>
        <family val="3"/>
      </rPr>
      <t xml:space="preserve">, </t>
    </r>
    <r>
      <rPr>
        <sz val="9"/>
        <color theme="1"/>
        <rFont val="맑은 고딕"/>
        <family val="3"/>
        <charset val="129"/>
      </rPr>
      <t>보건등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관련규제를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준수하고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있는가</t>
    </r>
    <r>
      <rPr>
        <sz val="9"/>
        <color theme="1"/>
        <rFont val="Arial"/>
        <family val="3"/>
      </rPr>
      <t xml:space="preserve">?
(7) </t>
    </r>
    <r>
      <rPr>
        <sz val="9"/>
        <color theme="1"/>
        <rFont val="맑은 고딕"/>
        <family val="3"/>
        <charset val="129"/>
      </rPr>
      <t>정부민원이나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소송등을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포함한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보고해야할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환경관련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사고가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있었는가</t>
    </r>
    <r>
      <rPr>
        <sz val="9"/>
        <color theme="1"/>
        <rFont val="Arial"/>
        <family val="3"/>
      </rPr>
      <t xml:space="preserve">? </t>
    </r>
    <phoneticPr fontId="2" type="noConversion"/>
  </si>
  <si>
    <t xml:space="preserve">1.Leadership
</t>
    <phoneticPr fontId="2" type="noConversion"/>
  </si>
  <si>
    <t>2.Operational KPI</t>
    <phoneticPr fontId="2" type="noConversion"/>
  </si>
  <si>
    <t>3.EBITDA</t>
    <phoneticPr fontId="2" type="noConversion"/>
  </si>
  <si>
    <t>4.EBITDA - Capex</t>
    <phoneticPr fontId="2" type="noConversion"/>
  </si>
  <si>
    <t>5.Internal Control</t>
    <phoneticPr fontId="2" type="noConversion"/>
  </si>
  <si>
    <t xml:space="preserve">6.WHS &amp; ESG management </t>
    <phoneticPr fontId="2" type="noConversion"/>
  </si>
  <si>
    <r>
      <t xml:space="preserve">(1) </t>
    </r>
    <r>
      <rPr>
        <sz val="9"/>
        <rFont val="돋움"/>
        <family val="3"/>
        <charset val="129"/>
      </rPr>
      <t>자금결제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위험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관리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비용집행과정의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정확성</t>
    </r>
    <r>
      <rPr>
        <sz val="9"/>
        <rFont val="Arial"/>
        <family val="2"/>
      </rPr>
      <t>/</t>
    </r>
    <r>
      <rPr>
        <sz val="9"/>
        <rFont val="돋움"/>
        <family val="3"/>
        <charset val="129"/>
      </rPr>
      <t xml:space="preserve">투명성
</t>
    </r>
    <r>
      <rPr>
        <sz val="9"/>
        <rFont val="Arial"/>
        <family val="2"/>
      </rPr>
      <t>(2) Outsourcing</t>
    </r>
    <r>
      <rPr>
        <sz val="9"/>
        <rFont val="Arial Unicode MS"/>
        <family val="2"/>
        <charset val="129"/>
      </rPr>
      <t>업체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선정</t>
    </r>
    <r>
      <rPr>
        <sz val="9"/>
        <rFont val="Arial"/>
        <family val="2"/>
      </rPr>
      <t>/</t>
    </r>
    <r>
      <rPr>
        <sz val="9"/>
        <rFont val="Arial Unicode MS"/>
        <family val="2"/>
        <charset val="129"/>
      </rPr>
      <t>관리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프로세스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투명화</t>
    </r>
    <r>
      <rPr>
        <sz val="9"/>
        <rFont val="Arial"/>
        <family val="2"/>
      </rPr>
      <t>/</t>
    </r>
    <r>
      <rPr>
        <sz val="9"/>
        <rFont val="Arial Unicode MS"/>
        <family val="2"/>
        <charset val="129"/>
      </rPr>
      <t xml:space="preserve">서류화
</t>
    </r>
    <r>
      <rPr>
        <sz val="9"/>
        <rFont val="Arial"/>
        <family val="2"/>
      </rPr>
      <t xml:space="preserve">(3) </t>
    </r>
    <r>
      <rPr>
        <sz val="9"/>
        <rFont val="Arial Unicode MS"/>
        <family val="2"/>
        <charset val="129"/>
      </rPr>
      <t>기타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회사운영상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프로세스개선</t>
    </r>
    <r>
      <rPr>
        <sz val="9"/>
        <rFont val="Arial"/>
        <family val="2"/>
      </rPr>
      <t>/</t>
    </r>
    <r>
      <rPr>
        <sz val="9"/>
        <rFont val="Arial Unicode MS"/>
        <family val="2"/>
        <charset val="129"/>
      </rPr>
      <t>투명화</t>
    </r>
    <phoneticPr fontId="2" type="noConversion"/>
  </si>
  <si>
    <r>
      <t>- CFO(</t>
    </r>
    <r>
      <rPr>
        <sz val="9"/>
        <color theme="1"/>
        <rFont val="돋움"/>
        <family val="3"/>
        <charset val="129"/>
      </rPr>
      <t>경영관리팀</t>
    </r>
    <r>
      <rPr>
        <sz val="9"/>
        <color theme="1"/>
        <rFont val="Arial"/>
        <family val="2"/>
      </rPr>
      <t>)</t>
    </r>
    <phoneticPr fontId="2" type="noConversion"/>
  </si>
  <si>
    <r>
      <rPr>
        <b/>
        <sz val="10"/>
        <color theme="1"/>
        <rFont val="돋움"/>
        <family val="3"/>
        <charset val="129"/>
      </rPr>
      <t>준비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부서</t>
    </r>
    <phoneticPr fontId="2" type="noConversion"/>
  </si>
  <si>
    <r>
      <t>- COO(</t>
    </r>
    <r>
      <rPr>
        <sz val="9"/>
        <rFont val="돋움"/>
        <family val="3"/>
        <charset val="129"/>
      </rPr>
      <t>인사팀</t>
    </r>
    <r>
      <rPr>
        <sz val="9"/>
        <rFont val="Arial"/>
        <family val="2"/>
      </rPr>
      <t>)
- CFO / CPO
- CFO / COO</t>
    </r>
    <phoneticPr fontId="2" type="noConversion"/>
  </si>
  <si>
    <t>(1) : CFO
(2) : CPO
(3) : CFO / COO / CPO / audit / COC</t>
    <phoneticPr fontId="2" type="noConversion"/>
  </si>
  <si>
    <t>-CSO</t>
    <phoneticPr fontId="2" type="noConversion"/>
  </si>
  <si>
    <r>
      <t>-</t>
    </r>
    <r>
      <rPr>
        <sz val="9"/>
        <color theme="1"/>
        <rFont val="돋움"/>
        <family val="3"/>
        <charset val="129"/>
      </rPr>
      <t>총괄별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작성</t>
    </r>
    <phoneticPr fontId="2" type="noConversion"/>
  </si>
  <si>
    <r>
      <t>-</t>
    </r>
    <r>
      <rPr>
        <sz val="9"/>
        <color theme="1"/>
        <rFont val="돋움"/>
        <family val="3"/>
        <charset val="129"/>
      </rPr>
      <t>총괄별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작성
</t>
    </r>
    <r>
      <rPr>
        <sz val="9"/>
        <color theme="1"/>
        <rFont val="Arial"/>
        <family val="2"/>
      </rPr>
      <t xml:space="preserve">Opprtunity)
-. </t>
    </r>
    <r>
      <rPr>
        <sz val="9"/>
        <color theme="1"/>
        <rFont val="돋움"/>
        <family val="3"/>
        <charset val="129"/>
      </rPr>
      <t>리노베이션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확장</t>
    </r>
    <r>
      <rPr>
        <sz val="9"/>
        <color theme="1"/>
        <rFont val="Arial"/>
        <family val="2"/>
      </rPr>
      <t xml:space="preserve"> : </t>
    </r>
    <r>
      <rPr>
        <sz val="9"/>
        <color theme="1"/>
        <rFont val="돋움"/>
        <family val="3"/>
        <charset val="129"/>
      </rPr>
      <t>파크원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엔트럴파크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확산</t>
    </r>
    <r>
      <rPr>
        <sz val="9"/>
        <color theme="1"/>
        <rFont val="Arial"/>
        <family val="2"/>
      </rPr>
      <t xml:space="preserve"> 0000
-. </t>
    </r>
    <r>
      <rPr>
        <sz val="9"/>
        <color theme="1"/>
        <rFont val="돋움"/>
        <family val="3"/>
        <charset val="129"/>
      </rPr>
      <t>신규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고객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시장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진출</t>
    </r>
    <r>
      <rPr>
        <sz val="9"/>
        <color theme="1"/>
        <rFont val="Arial"/>
        <family val="2"/>
      </rPr>
      <t xml:space="preserve"> :
    </t>
    </r>
    <r>
      <rPr>
        <sz val="9"/>
        <color theme="1"/>
        <rFont val="돋움"/>
        <family val="3"/>
        <charset val="129"/>
      </rPr>
      <t>퍼시스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소규모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물류</t>
    </r>
    <r>
      <rPr>
        <sz val="9"/>
        <color theme="1"/>
        <rFont val="Arial"/>
        <family val="2"/>
      </rPr>
      <t xml:space="preserve">, JYP </t>
    </r>
    <r>
      <rPr>
        <sz val="9"/>
        <color theme="1"/>
        <rFont val="돋움"/>
        <family val="3"/>
        <charset val="129"/>
      </rPr>
      <t>안전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컨설팅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돋움"/>
        <family val="3"/>
        <charset val="129"/>
      </rPr>
      <t>롯데그룹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제안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등
</t>
    </r>
    <r>
      <rPr>
        <sz val="9"/>
        <color theme="1"/>
        <rFont val="Arial"/>
        <family val="2"/>
      </rPr>
      <t>initatives)</t>
    </r>
    <r>
      <rPr>
        <sz val="9"/>
        <color theme="1"/>
        <rFont val="돋움"/>
        <family val="3"/>
        <charset val="129"/>
      </rPr>
      <t xml:space="preserve">
</t>
    </r>
    <r>
      <rPr>
        <sz val="9"/>
        <color theme="1"/>
        <rFont val="Arial"/>
        <family val="2"/>
      </rPr>
      <t xml:space="preserve">NPD , </t>
    </r>
    <r>
      <rPr>
        <sz val="9"/>
        <color theme="1"/>
        <rFont val="돋움"/>
        <family val="3"/>
        <charset val="129"/>
      </rPr>
      <t>씨드큐브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새로운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체계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구축
</t>
    </r>
    <r>
      <rPr>
        <sz val="9"/>
        <color theme="1"/>
        <rFont val="Arial"/>
        <family val="2"/>
      </rPr>
      <t xml:space="preserve">PMO </t>
    </r>
    <r>
      <rPr>
        <sz val="9"/>
        <color theme="1"/>
        <rFont val="돋움"/>
        <family val="3"/>
        <charset val="129"/>
      </rPr>
      <t>체계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구축
</t>
    </r>
    <phoneticPr fontId="2" type="noConversion"/>
  </si>
  <si>
    <r>
      <t>(1)~(5) : CSO / ESG</t>
    </r>
    <r>
      <rPr>
        <sz val="9"/>
        <color theme="1"/>
        <rFont val="돋움"/>
        <family val="3"/>
        <charset val="129"/>
      </rPr>
      <t>팀</t>
    </r>
    <r>
      <rPr>
        <sz val="9"/>
        <color theme="1"/>
        <rFont val="Arial"/>
        <family val="2"/>
      </rPr>
      <t xml:space="preserve">
(6)~(7) : CSO / CFO / ESG</t>
    </r>
    <r>
      <rPr>
        <sz val="9"/>
        <color theme="1"/>
        <rFont val="돋움"/>
        <family val="3"/>
        <charset val="129"/>
      </rPr>
      <t>팀
산재율</t>
    </r>
    <r>
      <rPr>
        <sz val="9"/>
        <color theme="1"/>
        <rFont val="Arial"/>
        <family val="2"/>
      </rPr>
      <t xml:space="preserve"> 0.00% </t>
    </r>
    <r>
      <rPr>
        <sz val="9"/>
        <color theme="1"/>
        <rFont val="돋움"/>
        <family val="3"/>
        <charset val="129"/>
      </rPr>
      <t>유지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돋움"/>
        <family val="3"/>
        <charset val="129"/>
      </rPr>
      <t>업계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평균</t>
    </r>
    <r>
      <rPr>
        <sz val="9"/>
        <color theme="1"/>
        <rFont val="Arial"/>
        <family val="2"/>
      </rPr>
      <t xml:space="preserve"> 00%)</t>
    </r>
    <phoneticPr fontId="2" type="noConversion"/>
  </si>
  <si>
    <r>
      <t xml:space="preserve">- </t>
    </r>
    <r>
      <rPr>
        <b/>
        <i/>
        <sz val="9"/>
        <color rgb="FFFF0000"/>
        <rFont val="Arial Unicode MS"/>
        <family val="2"/>
        <charset val="129"/>
      </rPr>
      <t>각 사별 주요 운영 지표
- 22년 주요 성과 작성</t>
    </r>
    <phoneticPr fontId="2" type="noConversion"/>
  </si>
  <si>
    <r>
      <t xml:space="preserve">- </t>
    </r>
    <r>
      <rPr>
        <sz val="9"/>
        <color theme="1"/>
        <rFont val="돋움"/>
        <family val="3"/>
        <charset val="129"/>
      </rPr>
      <t>통상적인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업무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외</t>
    </r>
    <r>
      <rPr>
        <sz val="9"/>
        <color theme="1"/>
        <rFont val="Arial"/>
        <family val="2"/>
      </rPr>
      <t xml:space="preserve"> key agenda</t>
    </r>
    <r>
      <rPr>
        <sz val="9"/>
        <color theme="1"/>
        <rFont val="돋움"/>
        <family val="3"/>
        <charset val="129"/>
      </rPr>
      <t>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발견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실행
</t>
    </r>
    <r>
      <rPr>
        <sz val="9"/>
        <color theme="1"/>
        <rFont val="Arial"/>
        <family val="2"/>
      </rPr>
      <t xml:space="preserve">   ex) </t>
    </r>
    <r>
      <rPr>
        <sz val="9"/>
        <color theme="1"/>
        <rFont val="돋움"/>
        <family val="3"/>
        <charset val="129"/>
      </rPr>
      <t>신규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사업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기회의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발견
</t>
    </r>
    <r>
      <rPr>
        <sz val="9"/>
        <color theme="1"/>
        <rFont val="Arial"/>
        <family val="2"/>
      </rPr>
      <t xml:space="preserve">- </t>
    </r>
    <r>
      <rPr>
        <sz val="9"/>
        <color theme="1"/>
        <rFont val="돋움"/>
        <family val="3"/>
        <charset val="129"/>
      </rPr>
      <t>통상적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업무의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획기적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개선점의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발견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실행
</t>
    </r>
    <r>
      <rPr>
        <sz val="9"/>
        <color theme="1"/>
        <rFont val="Arial"/>
        <family val="2"/>
      </rPr>
      <t xml:space="preserve">   ex) LED </t>
    </r>
    <r>
      <rPr>
        <sz val="9"/>
        <color theme="1"/>
        <rFont val="돋움"/>
        <family val="3"/>
        <charset val="129"/>
      </rPr>
      <t>교체를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통한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비용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절감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돋움"/>
        <family val="3"/>
        <charset val="129"/>
      </rPr>
      <t>경부고속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접속도로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신설</t>
    </r>
    <r>
      <rPr>
        <sz val="9"/>
        <color theme="1"/>
        <rFont val="Arial"/>
        <family val="2"/>
      </rPr>
      <t xml:space="preserve">, O&amp;M </t>
    </r>
    <r>
      <rPr>
        <sz val="9"/>
        <color theme="1"/>
        <rFont val="돋움"/>
        <family val="3"/>
        <charset val="129"/>
      </rPr>
      <t>설비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개선을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통한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비용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절감</t>
    </r>
    <r>
      <rPr>
        <sz val="9"/>
        <color theme="1"/>
        <rFont val="Arial"/>
        <family val="2"/>
      </rPr>
      <t>(</t>
    </r>
    <r>
      <rPr>
        <sz val="9"/>
        <color theme="1"/>
        <rFont val="돋움"/>
        <family val="3"/>
        <charset val="129"/>
      </rPr>
      <t>설비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특허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취득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등</t>
    </r>
    <r>
      <rPr>
        <sz val="9"/>
        <color theme="1"/>
        <rFont val="Arial"/>
        <family val="2"/>
      </rPr>
      <t xml:space="preserve">), 
      </t>
    </r>
    <r>
      <rPr>
        <sz val="9"/>
        <color theme="1"/>
        <rFont val="돋움"/>
        <family val="3"/>
        <charset val="129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지역민원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해결을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위한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혁신적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아이디어</t>
    </r>
    <r>
      <rPr>
        <sz val="9"/>
        <color theme="1"/>
        <rFont val="Arial"/>
        <family val="2"/>
      </rPr>
      <t xml:space="preserve"> 
'-</t>
    </r>
    <r>
      <rPr>
        <sz val="9"/>
        <color theme="1"/>
        <rFont val="돋움"/>
        <family val="3"/>
        <charset val="129"/>
      </rPr>
      <t>총괄별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작성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예시
</t>
    </r>
    <r>
      <rPr>
        <sz val="9"/>
        <color theme="1"/>
        <rFont val="Arial"/>
        <family val="2"/>
      </rPr>
      <t xml:space="preserve">Opprtunity)
-. </t>
    </r>
    <r>
      <rPr>
        <sz val="9"/>
        <color theme="1"/>
        <rFont val="돋움"/>
        <family val="3"/>
        <charset val="129"/>
      </rPr>
      <t>리노베이션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확장</t>
    </r>
    <r>
      <rPr>
        <sz val="9"/>
        <color theme="1"/>
        <rFont val="Arial"/>
        <family val="2"/>
      </rPr>
      <t xml:space="preserve"> : </t>
    </r>
    <r>
      <rPr>
        <sz val="9"/>
        <color theme="1"/>
        <rFont val="돋움"/>
        <family val="3"/>
        <charset val="129"/>
      </rPr>
      <t>파크원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엔트럴파크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확산</t>
    </r>
    <r>
      <rPr>
        <sz val="9"/>
        <color theme="1"/>
        <rFont val="Arial"/>
        <family val="2"/>
      </rPr>
      <t xml:space="preserve"> 0000
-. </t>
    </r>
    <r>
      <rPr>
        <sz val="9"/>
        <color theme="1"/>
        <rFont val="돋움"/>
        <family val="3"/>
        <charset val="129"/>
      </rPr>
      <t>신규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고객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시장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진출</t>
    </r>
    <r>
      <rPr>
        <sz val="9"/>
        <color theme="1"/>
        <rFont val="Arial"/>
        <family val="2"/>
      </rPr>
      <t xml:space="preserve"> :
    </t>
    </r>
    <r>
      <rPr>
        <sz val="9"/>
        <color theme="1"/>
        <rFont val="돋움"/>
        <family val="3"/>
        <charset val="129"/>
      </rPr>
      <t>퍼시스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소규모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물류</t>
    </r>
    <r>
      <rPr>
        <sz val="9"/>
        <color theme="1"/>
        <rFont val="Arial"/>
        <family val="2"/>
      </rPr>
      <t xml:space="preserve">, JYP </t>
    </r>
    <r>
      <rPr>
        <sz val="9"/>
        <color theme="1"/>
        <rFont val="돋움"/>
        <family val="3"/>
        <charset val="129"/>
      </rPr>
      <t>안전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컨설팅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돋움"/>
        <family val="3"/>
        <charset val="129"/>
      </rPr>
      <t>롯데그룹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제안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등
</t>
    </r>
    <r>
      <rPr>
        <sz val="9"/>
        <color theme="1"/>
        <rFont val="Arial"/>
        <family val="2"/>
      </rPr>
      <t xml:space="preserve">initatives)
NPD , </t>
    </r>
    <r>
      <rPr>
        <sz val="9"/>
        <color theme="1"/>
        <rFont val="돋움"/>
        <family val="3"/>
        <charset val="129"/>
      </rPr>
      <t>씨드큐브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새로운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체계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구축
</t>
    </r>
    <r>
      <rPr>
        <sz val="9"/>
        <color theme="1"/>
        <rFont val="Arial"/>
        <family val="2"/>
      </rPr>
      <t xml:space="preserve">PMO </t>
    </r>
    <r>
      <rPr>
        <sz val="9"/>
        <color theme="1"/>
        <rFont val="돋움"/>
        <family val="3"/>
        <charset val="129"/>
      </rPr>
      <t>체계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구축
</t>
    </r>
    <phoneticPr fontId="2" type="noConversion"/>
  </si>
  <si>
    <r>
      <rPr>
        <sz val="9"/>
        <rFont val="돋움"/>
        <family val="3"/>
        <charset val="129"/>
      </rPr>
      <t>해당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사항이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있으면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작성</t>
    </r>
    <phoneticPr fontId="2" type="noConversion"/>
  </si>
  <si>
    <t>노영택전무
(COO / CPO)</t>
    <phoneticPr fontId="2" type="noConversion"/>
  </si>
  <si>
    <t>위정렬CFO
(CFO)</t>
    <phoneticPr fontId="2" type="noConversion"/>
  </si>
  <si>
    <t>김종인CSO
(공사담당 / CSO)</t>
    <phoneticPr fontId="2" type="noConversion"/>
  </si>
  <si>
    <t>서현총괄
(CSO / 사업총괄)</t>
    <phoneticPr fontId="2" type="noConversion"/>
  </si>
  <si>
    <t>정진배총괄
(자산사업본부 / 영업총괄)</t>
    <phoneticPr fontId="2" type="noConversion"/>
  </si>
  <si>
    <t>변정규총괄
(리노베이션팀 / 공사총괄)</t>
    <phoneticPr fontId="2" type="noConversion"/>
  </si>
  <si>
    <t>김진규상무
(운영사업본부 / DX총괄)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</si>
</sst>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(* #,##0_);_(* \(#,##0\);_(* &quot;-&quot;_);_(@_)"/>
    <numFmt numFmtId="177" formatCode="_(* #,##0.00_);_(* \(#,##0.00\);_(* &quot;-&quot;_);_(@_)"/>
  </numFmts>
  <fonts count="33">
    <font>
      <sz val="10"/>
      <color theme="1"/>
      <name val="Arial"/>
      <family val="2"/>
      <charset val="129"/>
    </font>
    <font>
      <sz val="11"/>
      <color theme="1"/>
      <name val="맑은 고딕"/>
      <family val="2"/>
      <scheme val="minor"/>
    </font>
    <font>
      <sz val="8"/>
      <name val="Arial"/>
      <family val="2"/>
      <charset val="129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charset val="129"/>
    </font>
    <font>
      <b/>
      <u/>
      <sz val="14"/>
      <color theme="1"/>
      <name val="Arial"/>
      <family val="2"/>
    </font>
    <font>
      <sz val="9"/>
      <name val="Arial"/>
      <family val="2"/>
    </font>
    <font>
      <sz val="10"/>
      <color theme="1"/>
      <name val="돋움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4"/>
      <color theme="0"/>
      <name val="Arial"/>
      <family val="2"/>
    </font>
    <font>
      <b/>
      <i/>
      <sz val="14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 Unicode MS"/>
      <family val="2"/>
      <charset val="129"/>
    </font>
    <font>
      <sz val="9"/>
      <color theme="1"/>
      <name val="돋움"/>
      <family val="3"/>
      <charset val="129"/>
    </font>
    <font>
      <sz val="9"/>
      <name val="돋움"/>
      <family val="3"/>
      <charset val="129"/>
    </font>
    <font>
      <sz val="9"/>
      <name val="Arial Unicode MS"/>
      <family val="2"/>
      <charset val="129"/>
    </font>
    <font>
      <sz val="9"/>
      <color theme="1"/>
      <name val="돋움"/>
      <family val="2"/>
      <charset val="129"/>
    </font>
    <font>
      <b/>
      <sz val="9"/>
      <color indexed="81"/>
      <name val="돋움"/>
      <family val="3"/>
      <charset val="129"/>
    </font>
    <font>
      <b/>
      <sz val="10"/>
      <color indexed="10"/>
      <name val="Arial"/>
      <family val="2"/>
    </font>
    <font>
      <b/>
      <sz val="14"/>
      <color indexed="10"/>
      <name val="Arial"/>
      <family val="2"/>
    </font>
    <font>
      <b/>
      <i/>
      <sz val="9"/>
      <color rgb="FFFF0000"/>
      <name val="Arial"/>
      <family val="2"/>
    </font>
    <font>
      <b/>
      <i/>
      <sz val="9"/>
      <color rgb="FFFF0000"/>
      <name val="Arial Unicode MS"/>
      <family val="2"/>
      <charset val="129"/>
    </font>
    <font>
      <sz val="9"/>
      <color theme="1"/>
      <name val="Arial"/>
      <family val="3"/>
    </font>
    <font>
      <sz val="9"/>
      <color theme="1"/>
      <name val="맑은 고딕"/>
      <family val="3"/>
      <charset val="129"/>
    </font>
    <font>
      <b/>
      <sz val="14"/>
      <color rgb="FF0070C0"/>
      <name val="Arial"/>
      <family val="2"/>
    </font>
    <font>
      <b/>
      <sz val="10"/>
      <color theme="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176" fontId="7" fillId="0" borderId="0" applyFont="0" applyFill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quotePrefix="1" applyFont="1" applyAlignment="1">
      <alignment vertical="center" wrapText="1"/>
    </xf>
    <xf numFmtId="0" fontId="5" fillId="2" borderId="0" xfId="0" quotePrefix="1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center" vertical="center" wrapText="1"/>
    </xf>
    <xf numFmtId="0" fontId="5" fillId="2" borderId="0" xfId="0" quotePrefix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5" borderId="0" xfId="0" applyFont="1" applyFill="1">
      <alignment vertical="center"/>
    </xf>
    <xf numFmtId="0" fontId="14" fillId="5" borderId="0" xfId="0" applyFont="1" applyFill="1">
      <alignment vertical="center"/>
    </xf>
    <xf numFmtId="0" fontId="14" fillId="5" borderId="0" xfId="0" applyFont="1" applyFill="1" applyAlignment="1">
      <alignment horizontal="center" vertical="center"/>
    </xf>
    <xf numFmtId="0" fontId="15" fillId="4" borderId="0" xfId="0" applyFont="1" applyFill="1">
      <alignment vertical="center"/>
    </xf>
    <xf numFmtId="0" fontId="15" fillId="4" borderId="0" xfId="0" applyFont="1" applyFill="1" applyAlignment="1">
      <alignment horizontal="center" vertical="center"/>
    </xf>
    <xf numFmtId="0" fontId="6" fillId="6" borderId="17" xfId="0" quotePrefix="1" applyFont="1" applyFill="1" applyBorder="1" applyAlignment="1">
      <alignment vertical="center" wrapText="1"/>
    </xf>
    <xf numFmtId="9" fontId="3" fillId="0" borderId="18" xfId="0" quotePrefix="1" applyNumberFormat="1" applyFont="1" applyBorder="1" applyAlignment="1">
      <alignment horizontal="center" vertical="center" wrapText="1"/>
    </xf>
    <xf numFmtId="0" fontId="6" fillId="6" borderId="18" xfId="0" quotePrefix="1" applyFont="1" applyFill="1" applyBorder="1" applyAlignment="1">
      <alignment vertical="center" wrapText="1"/>
    </xf>
    <xf numFmtId="0" fontId="16" fillId="5" borderId="0" xfId="0" applyFont="1" applyFill="1">
      <alignment vertical="center"/>
    </xf>
    <xf numFmtId="0" fontId="16" fillId="4" borderId="0" xfId="0" applyFont="1" applyFill="1">
      <alignment vertical="center"/>
    </xf>
    <xf numFmtId="176" fontId="16" fillId="8" borderId="6" xfId="2" applyFont="1" applyFill="1" applyBorder="1">
      <alignment vertical="center"/>
    </xf>
    <xf numFmtId="176" fontId="16" fillId="9" borderId="6" xfId="2" applyFont="1" applyFill="1" applyBorder="1">
      <alignment vertical="center"/>
    </xf>
    <xf numFmtId="0" fontId="17" fillId="0" borderId="0" xfId="0" applyFont="1">
      <alignment vertical="center"/>
    </xf>
    <xf numFmtId="0" fontId="17" fillId="0" borderId="17" xfId="0" quotePrefix="1" applyFont="1" applyBorder="1" applyAlignment="1">
      <alignment vertical="center" wrapText="1"/>
    </xf>
    <xf numFmtId="0" fontId="17" fillId="0" borderId="18" xfId="0" quotePrefix="1" applyFont="1" applyBorder="1" applyAlignment="1">
      <alignment vertical="center" wrapText="1"/>
    </xf>
    <xf numFmtId="0" fontId="9" fillId="0" borderId="18" xfId="0" quotePrefix="1" applyFont="1" applyBorder="1" applyAlignment="1">
      <alignment vertical="center" wrapText="1"/>
    </xf>
    <xf numFmtId="0" fontId="17" fillId="0" borderId="0" xfId="0" quotePrefix="1" applyFont="1" applyAlignment="1">
      <alignment vertical="center" wrapText="1"/>
    </xf>
    <xf numFmtId="0" fontId="18" fillId="2" borderId="0" xfId="0" quotePrefix="1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9" fontId="6" fillId="0" borderId="19" xfId="0" quotePrefix="1" applyNumberFormat="1" applyFont="1" applyBorder="1" applyAlignment="1">
      <alignment horizontal="center" vertical="center" wrapText="1"/>
    </xf>
    <xf numFmtId="0" fontId="17" fillId="0" borderId="19" xfId="0" quotePrefix="1" applyFont="1" applyBorder="1" applyAlignment="1">
      <alignment vertical="center" wrapText="1"/>
    </xf>
    <xf numFmtId="0" fontId="6" fillId="0" borderId="19" xfId="0" quotePrefix="1" applyFont="1" applyBorder="1" applyAlignment="1">
      <alignment vertical="center" wrapText="1"/>
    </xf>
    <xf numFmtId="0" fontId="6" fillId="0" borderId="17" xfId="0" quotePrefix="1" applyFont="1" applyBorder="1" applyAlignment="1">
      <alignment horizontal="center" vertical="center" wrapText="1"/>
    </xf>
    <xf numFmtId="0" fontId="6" fillId="0" borderId="17" xfId="0" quotePrefix="1" applyFont="1" applyBorder="1" applyAlignment="1">
      <alignment vertical="center" wrapText="1"/>
    </xf>
    <xf numFmtId="9" fontId="6" fillId="0" borderId="20" xfId="0" quotePrefix="1" applyNumberFormat="1" applyFont="1" applyBorder="1" applyAlignment="1">
      <alignment horizontal="center" vertical="center" wrapText="1"/>
    </xf>
    <xf numFmtId="0" fontId="17" fillId="10" borderId="20" xfId="0" quotePrefix="1" applyFont="1" applyFill="1" applyBorder="1" applyAlignment="1">
      <alignment vertical="center" wrapText="1"/>
    </xf>
    <xf numFmtId="0" fontId="6" fillId="0" borderId="20" xfId="0" quotePrefix="1" applyFont="1" applyBorder="1" applyAlignment="1">
      <alignment vertical="center" wrapText="1"/>
    </xf>
    <xf numFmtId="0" fontId="6" fillId="12" borderId="0" xfId="0" quotePrefix="1" applyFont="1" applyFill="1" applyAlignment="1">
      <alignment horizontal="center" vertical="center" wrapText="1"/>
    </xf>
    <xf numFmtId="0" fontId="17" fillId="12" borderId="0" xfId="0" quotePrefix="1" applyFont="1" applyFill="1" applyAlignment="1">
      <alignment vertical="center" wrapText="1"/>
    </xf>
    <xf numFmtId="0" fontId="6" fillId="12" borderId="0" xfId="0" quotePrefix="1" applyFont="1" applyFill="1" applyAlignment="1">
      <alignment vertical="center" wrapText="1"/>
    </xf>
    <xf numFmtId="0" fontId="6" fillId="12" borderId="4" xfId="0" quotePrefix="1" applyFont="1" applyFill="1" applyBorder="1" applyAlignment="1">
      <alignment horizontal="center" vertical="center" wrapText="1"/>
    </xf>
    <xf numFmtId="0" fontId="17" fillId="12" borderId="4" xfId="0" quotePrefix="1" applyFont="1" applyFill="1" applyBorder="1" applyAlignment="1">
      <alignment vertical="center" wrapText="1"/>
    </xf>
    <xf numFmtId="0" fontId="6" fillId="12" borderId="4" xfId="0" quotePrefix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9" fontId="3" fillId="0" borderId="17" xfId="0" quotePrefix="1" applyNumberFormat="1" applyFont="1" applyBorder="1" applyAlignment="1">
      <alignment horizontal="center" vertical="center" wrapText="1"/>
    </xf>
    <xf numFmtId="9" fontId="16" fillId="8" borderId="6" xfId="0" applyNumberFormat="1" applyFont="1" applyFill="1" applyBorder="1">
      <alignment vertical="center"/>
    </xf>
    <xf numFmtId="0" fontId="9" fillId="0" borderId="17" xfId="0" quotePrefix="1" applyFont="1" applyBorder="1" applyAlignment="1">
      <alignment vertical="center" wrapText="1"/>
    </xf>
    <xf numFmtId="0" fontId="27" fillId="0" borderId="18" xfId="0" quotePrefix="1" applyFont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177" fontId="14" fillId="5" borderId="0" xfId="2" applyNumberFormat="1" applyFont="1" applyFill="1" applyAlignment="1">
      <alignment horizontal="center" vertical="center"/>
    </xf>
    <xf numFmtId="177" fontId="15" fillId="4" borderId="0" xfId="2" applyNumberFormat="1" applyFont="1" applyFill="1" applyAlignment="1">
      <alignment horizontal="center" vertical="center"/>
    </xf>
    <xf numFmtId="177" fontId="6" fillId="0" borderId="0" xfId="2" applyNumberFormat="1" applyFont="1" applyAlignment="1">
      <alignment horizontal="center" vertical="center" wrapText="1"/>
    </xf>
    <xf numFmtId="177" fontId="6" fillId="0" borderId="20" xfId="2" quotePrefix="1" applyNumberFormat="1" applyFont="1" applyBorder="1" applyAlignment="1">
      <alignment horizontal="center" vertical="center" wrapText="1"/>
    </xf>
    <xf numFmtId="177" fontId="6" fillId="0" borderId="0" xfId="2" quotePrefix="1" applyNumberFormat="1" applyFont="1" applyAlignment="1">
      <alignment horizontal="center" vertical="center" wrapText="1"/>
    </xf>
    <xf numFmtId="177" fontId="5" fillId="2" borderId="0" xfId="2" quotePrefix="1" applyNumberFormat="1" applyFont="1" applyFill="1" applyAlignment="1">
      <alignment horizontal="center" vertical="center" wrapText="1"/>
    </xf>
    <xf numFmtId="177" fontId="6" fillId="0" borderId="0" xfId="2" applyNumberFormat="1" applyFont="1" applyAlignment="1">
      <alignment horizontal="center" vertical="center"/>
    </xf>
    <xf numFmtId="177" fontId="6" fillId="11" borderId="17" xfId="2" quotePrefix="1" applyNumberFormat="1" applyFont="1" applyFill="1" applyBorder="1" applyAlignment="1">
      <alignment horizontal="center" vertical="center" wrapText="1"/>
    </xf>
    <xf numFmtId="177" fontId="6" fillId="0" borderId="19" xfId="2" quotePrefix="1" applyNumberFormat="1" applyFont="1" applyBorder="1" applyAlignment="1">
      <alignment horizontal="center" vertical="center" wrapText="1"/>
    </xf>
    <xf numFmtId="177" fontId="6" fillId="0" borderId="11" xfId="2" quotePrefix="1" applyNumberFormat="1" applyFont="1" applyBorder="1" applyAlignment="1">
      <alignment horizontal="center" vertical="center" wrapText="1"/>
    </xf>
    <xf numFmtId="177" fontId="26" fillId="0" borderId="23" xfId="2" quotePrefix="1" applyNumberFormat="1" applyFont="1" applyBorder="1" applyAlignment="1">
      <alignment horizontal="center" vertical="center" wrapText="1"/>
    </xf>
    <xf numFmtId="176" fontId="31" fillId="0" borderId="14" xfId="2" quotePrefix="1" applyNumberFormat="1" applyFont="1" applyBorder="1" applyAlignment="1">
      <alignment horizontal="center" vertical="center" wrapText="1"/>
    </xf>
    <xf numFmtId="176" fontId="6" fillId="6" borderId="17" xfId="2" quotePrefix="1" applyNumberFormat="1" applyFont="1" applyFill="1" applyBorder="1" applyAlignment="1">
      <alignment horizontal="center" vertical="center" wrapText="1"/>
    </xf>
    <xf numFmtId="177" fontId="0" fillId="0" borderId="0" xfId="2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3" borderId="17" xfId="0" quotePrefix="1" applyFont="1" applyFill="1" applyBorder="1" applyAlignment="1">
      <alignment vertical="center" wrapText="1"/>
    </xf>
    <xf numFmtId="0" fontId="27" fillId="3" borderId="18" xfId="0" quotePrefix="1" applyFont="1" applyFill="1" applyBorder="1" applyAlignment="1">
      <alignment vertical="center" wrapText="1"/>
    </xf>
    <xf numFmtId="0" fontId="17" fillId="3" borderId="18" xfId="0" quotePrefix="1" applyFont="1" applyFill="1" applyBorder="1" applyAlignment="1">
      <alignment vertical="center" wrapText="1"/>
    </xf>
    <xf numFmtId="0" fontId="9" fillId="3" borderId="18" xfId="0" quotePrefix="1" applyFont="1" applyFill="1" applyBorder="1" applyAlignment="1">
      <alignment vertical="center" wrapText="1"/>
    </xf>
    <xf numFmtId="0" fontId="17" fillId="3" borderId="20" xfId="0" quotePrefix="1" applyFont="1" applyFill="1" applyBorder="1" applyAlignment="1">
      <alignment vertical="center" wrapText="1"/>
    </xf>
    <xf numFmtId="0" fontId="17" fillId="3" borderId="17" xfId="0" quotePrefix="1" applyFont="1" applyFill="1" applyBorder="1" applyAlignment="1">
      <alignment vertical="center" wrapText="1"/>
    </xf>
    <xf numFmtId="0" fontId="17" fillId="3" borderId="19" xfId="0" quotePrefix="1" applyFont="1" applyFill="1" applyBorder="1" applyAlignment="1">
      <alignment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77" fontId="5" fillId="2" borderId="9" xfId="2" applyNumberFormat="1" applyFont="1" applyFill="1" applyBorder="1" applyAlignment="1">
      <alignment horizontal="center" vertical="center" wrapText="1"/>
    </xf>
    <xf numFmtId="177" fontId="5" fillId="2" borderId="11" xfId="2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6" fillId="3" borderId="15" xfId="0" quotePrefix="1" applyFont="1" applyFill="1" applyBorder="1" applyAlignment="1">
      <alignment horizontal="center" vertical="center" wrapText="1"/>
    </xf>
    <xf numFmtId="0" fontId="6" fillId="3" borderId="2" xfId="0" quotePrefix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9" fontId="3" fillId="3" borderId="17" xfId="0" quotePrefix="1" applyNumberFormat="1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9" fontId="3" fillId="3" borderId="18" xfId="0" quotePrefix="1" applyNumberFormat="1" applyFont="1" applyFill="1" applyBorder="1" applyAlignment="1">
      <alignment horizontal="center" vertical="center" wrapText="1"/>
    </xf>
    <xf numFmtId="9" fontId="3" fillId="4" borderId="18" xfId="0" quotePrefix="1" applyNumberFormat="1" applyFont="1" applyFill="1" applyBorder="1" applyAlignment="1">
      <alignment horizontal="center" vertical="center" wrapText="1"/>
    </xf>
    <xf numFmtId="0" fontId="17" fillId="4" borderId="18" xfId="0" quotePrefix="1" applyFont="1" applyFill="1" applyBorder="1" applyAlignment="1">
      <alignment vertical="center" wrapText="1"/>
    </xf>
    <xf numFmtId="0" fontId="32" fillId="4" borderId="24" xfId="0" applyFont="1" applyFill="1" applyBorder="1" applyAlignment="1">
      <alignment horizontal="center" vertical="center" wrapText="1"/>
    </xf>
    <xf numFmtId="0" fontId="17" fillId="3" borderId="26" xfId="0" quotePrefix="1" applyFont="1" applyFill="1" applyBorder="1" applyAlignment="1">
      <alignment vertical="center" wrapText="1"/>
    </xf>
    <xf numFmtId="0" fontId="32" fillId="4" borderId="25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9" fontId="6" fillId="3" borderId="19" xfId="0" quotePrefix="1" applyNumberFormat="1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6" fillId="4" borderId="17" xfId="0" quotePrefix="1" applyFont="1" applyFill="1" applyBorder="1" applyAlignment="1">
      <alignment horizontal="center" vertical="center" wrapText="1"/>
    </xf>
    <xf numFmtId="0" fontId="17" fillId="4" borderId="17" xfId="0" quotePrefix="1" applyFont="1" applyFill="1" applyBorder="1" applyAlignment="1">
      <alignment vertical="center" wrapText="1"/>
    </xf>
    <xf numFmtId="0" fontId="6" fillId="4" borderId="17" xfId="0" quotePrefix="1" applyFont="1" applyFill="1" applyBorder="1" applyAlignment="1">
      <alignment vertical="center" wrapText="1"/>
    </xf>
    <xf numFmtId="177" fontId="6" fillId="4" borderId="17" xfId="2" quotePrefix="1" applyNumberFormat="1" applyFont="1" applyFill="1" applyBorder="1" applyAlignment="1">
      <alignment horizontal="center" vertical="center" wrapText="1"/>
    </xf>
    <xf numFmtId="0" fontId="6" fillId="4" borderId="0" xfId="0" applyFont="1" applyFill="1">
      <alignment vertical="center"/>
    </xf>
  </cellXfs>
  <cellStyles count="3">
    <cellStyle name="Normal 2" xfId="1"/>
    <cellStyle name="쉼표 [0]" xfId="2" builtinId="6"/>
    <cellStyle name="표준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kim17\AppData\Local\Temp\NetRight\Links\MIRA_HongKong\30762439_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HIDE) Drop-down responses"/>
      <sheetName val="1. Introduction"/>
      <sheetName val="2. Scenario Selection"/>
      <sheetName val="3. Data Collection"/>
      <sheetName val="4a. Currency Rates"/>
      <sheetName val="4. Perf Measures Library"/>
      <sheetName val="5. STI Design Intro"/>
      <sheetName val="5.1 STI Design - Targets"/>
      <sheetName val="5.2 STI Design - Choices"/>
      <sheetName val="5.3 STI Scenario Modeling"/>
      <sheetName val="6. LTI Design Intro"/>
      <sheetName val="6.1 LTI Design - Targets"/>
      <sheetName val="6.2 LTI Scenario Modeling"/>
      <sheetName val="7. Exit LTI Design Intro"/>
      <sheetName val="7.1 Exit LTI Design - Model A"/>
      <sheetName val="7.2 Exit LTI Design - Model B"/>
      <sheetName val="8. Costing"/>
      <sheetName val="9. Participant Term Sheet"/>
    </sheetNames>
    <sheetDataSet>
      <sheetData sheetId="0"/>
      <sheetData sheetId="1"/>
      <sheetData sheetId="2">
        <row r="35">
          <cell r="F35" t="str">
            <v>Long-Term Hold (base case)</v>
          </cell>
        </row>
      </sheetData>
      <sheetData sheetId="3">
        <row r="12">
          <cell r="D12">
            <v>1</v>
          </cell>
        </row>
        <row r="22">
          <cell r="C22" t="str">
            <v>Joe Doe</v>
          </cell>
          <cell r="D22" t="str">
            <v>CEO</v>
          </cell>
          <cell r="U22" t="str">
            <v>CEO</v>
          </cell>
        </row>
        <row r="23">
          <cell r="C23" t="str">
            <v>John Smith</v>
          </cell>
          <cell r="D23" t="str">
            <v>CFO</v>
          </cell>
          <cell r="U23" t="str">
            <v>CFO</v>
          </cell>
        </row>
        <row r="24">
          <cell r="C24" t="str">
            <v>Sally King</v>
          </cell>
          <cell r="D24" t="str">
            <v>COO</v>
          </cell>
          <cell r="U24" t="str">
            <v>COO</v>
          </cell>
        </row>
        <row r="25">
          <cell r="C25"/>
          <cell r="D25"/>
          <cell r="U25" t="str">
            <v/>
          </cell>
        </row>
        <row r="26">
          <cell r="C26"/>
          <cell r="D26"/>
          <cell r="U26" t="str">
            <v/>
          </cell>
        </row>
        <row r="27">
          <cell r="C27"/>
          <cell r="D27"/>
          <cell r="U27" t="str">
            <v/>
          </cell>
        </row>
        <row r="28">
          <cell r="C28"/>
          <cell r="D28"/>
          <cell r="U28" t="str">
            <v/>
          </cell>
        </row>
        <row r="29">
          <cell r="C29"/>
          <cell r="D29"/>
          <cell r="U29" t="str">
            <v/>
          </cell>
        </row>
        <row r="30">
          <cell r="C30"/>
          <cell r="D30"/>
          <cell r="U30" t="str">
            <v/>
          </cell>
        </row>
        <row r="31">
          <cell r="C31"/>
          <cell r="D31"/>
          <cell r="U31" t="str">
            <v/>
          </cell>
        </row>
      </sheetData>
      <sheetData sheetId="4"/>
      <sheetData sheetId="5"/>
      <sheetData sheetId="6"/>
      <sheetData sheetId="7"/>
      <sheetData sheetId="8"/>
      <sheetData sheetId="9">
        <row r="5">
          <cell r="B5" t="str">
            <v>Sally King</v>
          </cell>
        </row>
      </sheetData>
      <sheetData sheetId="10"/>
      <sheetData sheetId="11"/>
      <sheetData sheetId="12">
        <row r="6">
          <cell r="A6" t="str">
            <v>Sally King</v>
          </cell>
        </row>
      </sheetData>
      <sheetData sheetId="13"/>
      <sheetData sheetId="14">
        <row r="8">
          <cell r="G8"/>
        </row>
      </sheetData>
      <sheetData sheetId="15">
        <row r="7">
          <cell r="G7" t="str">
            <v>Hurdle Value (expressed as monetary value)</v>
          </cell>
        </row>
      </sheetData>
      <sheetData sheetId="16"/>
      <sheetData sheetId="17">
        <row r="8">
          <cell r="D8" t="str">
            <v>Sally King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Table252" displayName="Table252" ref="A28:A32" totalsRowShown="0" headerRowDxfId="2" dataDxfId="1">
  <autoFilter ref="A28:A32"/>
  <tableColumns count="1">
    <tableColumn id="1" name="5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25" displayName="Table25" ref="A28:A32" totalsRowShown="0" headerRowDxfId="5" dataDxfId="4">
  <autoFilter ref="A28:A32"/>
  <tableColumns count="1">
    <tableColumn id="1" name="5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A1:O32"/>
  <sheetViews>
    <sheetView showGridLines="0" tabSelected="1" view="pageBreakPreview" zoomScale="85" zoomScaleNormal="68" zoomScaleSheetLayoutView="85" workbookViewId="0">
      <pane xSplit="3" ySplit="9" topLeftCell="J18" activePane="bottomRight" state="frozen"/>
      <selection pane="topRight" activeCell="D1" sqref="D1"/>
      <selection pane="bottomLeft" activeCell="A10" sqref="A10"/>
      <selection pane="bottomRight" activeCell="C20" sqref="C20:N20"/>
    </sheetView>
  </sheetViews>
  <sheetFormatPr defaultColWidth="8.85546875" defaultRowHeight="12.75" outlineLevelRow="1" outlineLevelCol="1"/>
  <cols>
    <col min="1" max="1" width="14.140625" style="4" customWidth="1"/>
    <col min="2" max="2" width="17.42578125" style="4" customWidth="1"/>
    <col min="3" max="3" width="12.42578125" style="8" customWidth="1"/>
    <col min="4" max="4" width="49.5703125" style="24" customWidth="1"/>
    <col min="5" max="12" width="65.42578125" style="24" customWidth="1" outlineLevel="1"/>
    <col min="13" max="14" width="32.5703125" style="4" customWidth="1"/>
    <col min="15" max="15" width="22.42578125" style="57" customWidth="1"/>
    <col min="16" max="16384" width="8.85546875" style="4"/>
  </cols>
  <sheetData>
    <row r="1" spans="1:15" s="13" customFormat="1" ht="36" customHeight="1">
      <c r="A1" s="12" t="s">
        <v>51</v>
      </c>
      <c r="C1" s="14"/>
      <c r="D1" s="20"/>
      <c r="E1" s="20"/>
      <c r="F1" s="20"/>
      <c r="G1" s="20"/>
      <c r="H1" s="20"/>
      <c r="I1" s="20"/>
      <c r="J1" s="20"/>
      <c r="K1" s="20"/>
      <c r="L1" s="20"/>
      <c r="O1" s="51"/>
    </row>
    <row r="2" spans="1:15" s="15" customFormat="1" ht="31.35" customHeight="1">
      <c r="A2" s="15" t="s">
        <v>18</v>
      </c>
      <c r="C2" s="16"/>
      <c r="D2" s="21"/>
      <c r="E2" s="21"/>
      <c r="F2" s="21"/>
      <c r="G2" s="21"/>
      <c r="H2" s="21"/>
      <c r="I2" s="21"/>
      <c r="J2" s="21"/>
      <c r="K2" s="21"/>
      <c r="L2" s="21"/>
      <c r="O2" s="52"/>
    </row>
    <row r="3" spans="1:15" s="15" customFormat="1" ht="31.35" customHeight="1" thickBot="1">
      <c r="A3" s="15" t="s">
        <v>19</v>
      </c>
      <c r="C3" s="16"/>
      <c r="D3" s="21"/>
      <c r="E3" s="21"/>
      <c r="F3" s="21"/>
      <c r="G3" s="21"/>
      <c r="H3" s="21"/>
      <c r="I3" s="21"/>
      <c r="J3" s="21"/>
      <c r="K3" s="21"/>
      <c r="L3" s="21"/>
      <c r="O3" s="52"/>
    </row>
    <row r="4" spans="1:15" s="15" customFormat="1" ht="23.1" customHeight="1" outlineLevel="1" thickBot="1">
      <c r="A4" s="15" t="s">
        <v>48</v>
      </c>
      <c r="C4" s="16"/>
      <c r="D4" s="22"/>
      <c r="E4" s="21"/>
      <c r="F4" s="21"/>
      <c r="G4" s="21"/>
      <c r="H4" s="21"/>
      <c r="I4" s="21"/>
      <c r="J4" s="21"/>
      <c r="K4" s="21"/>
      <c r="L4" s="21"/>
      <c r="O4" s="52"/>
    </row>
    <row r="5" spans="1:15" s="15" customFormat="1" ht="23.1" customHeight="1" outlineLevel="1" thickBot="1">
      <c r="A5" s="15" t="s">
        <v>49</v>
      </c>
      <c r="C5" s="16"/>
      <c r="D5" s="47"/>
      <c r="E5" s="21"/>
      <c r="F5" s="21"/>
      <c r="G5" s="21"/>
      <c r="H5" s="21"/>
      <c r="I5" s="21"/>
      <c r="J5" s="21"/>
      <c r="K5" s="21"/>
      <c r="L5" s="21"/>
      <c r="O5" s="52"/>
    </row>
    <row r="6" spans="1:15" s="15" customFormat="1" ht="23.1" customHeight="1" outlineLevel="1" thickBot="1">
      <c r="A6" s="15" t="s">
        <v>50</v>
      </c>
      <c r="C6" s="16"/>
      <c r="D6" s="23">
        <f>D4*D5</f>
        <v>0</v>
      </c>
      <c r="E6" s="21"/>
      <c r="F6" s="21"/>
      <c r="G6" s="21"/>
      <c r="H6" s="21"/>
      <c r="I6" s="21"/>
      <c r="J6" s="21"/>
      <c r="K6" s="21"/>
      <c r="L6" s="21"/>
      <c r="O6" s="52"/>
    </row>
    <row r="7" spans="1:15" ht="27.75" customHeight="1" thickBot="1">
      <c r="A7" s="3"/>
      <c r="B7" s="3"/>
      <c r="M7" s="11" t="s">
        <v>16</v>
      </c>
      <c r="N7" s="65" t="s">
        <v>47</v>
      </c>
      <c r="O7" s="64" t="s">
        <v>46</v>
      </c>
    </row>
    <row r="8" spans="1:15" s="7" customFormat="1" ht="21" customHeight="1">
      <c r="A8" s="78" t="s">
        <v>0</v>
      </c>
      <c r="B8" s="79"/>
      <c r="C8" s="85" t="s">
        <v>10</v>
      </c>
      <c r="D8" s="85" t="s">
        <v>12</v>
      </c>
      <c r="E8" s="85" t="s">
        <v>13</v>
      </c>
      <c r="F8" s="107" t="s">
        <v>71</v>
      </c>
      <c r="G8" s="107" t="s">
        <v>77</v>
      </c>
      <c r="H8" s="107" t="s">
        <v>72</v>
      </c>
      <c r="I8" s="107" t="s">
        <v>73</v>
      </c>
      <c r="J8" s="107" t="s">
        <v>74</v>
      </c>
      <c r="K8" s="107" t="s">
        <v>75</v>
      </c>
      <c r="L8" s="107" t="s">
        <v>76</v>
      </c>
      <c r="M8" s="85" t="s">
        <v>43</v>
      </c>
      <c r="N8" s="85" t="s">
        <v>44</v>
      </c>
      <c r="O8" s="82" t="s">
        <v>45</v>
      </c>
    </row>
    <row r="9" spans="1:15" s="7" customFormat="1" ht="21" customHeight="1">
      <c r="A9" s="80"/>
      <c r="B9" s="81"/>
      <c r="C9" s="86"/>
      <c r="D9" s="86"/>
      <c r="E9" s="86"/>
      <c r="F9" s="88"/>
      <c r="G9" s="88"/>
      <c r="H9" s="88"/>
      <c r="I9" s="88"/>
      <c r="J9" s="88"/>
      <c r="K9" s="109"/>
      <c r="L9" s="109"/>
      <c r="M9" s="86" t="s">
        <v>9</v>
      </c>
      <c r="N9" s="86"/>
      <c r="O9" s="83"/>
    </row>
    <row r="10" spans="1:15" ht="68.099999999999994" customHeight="1">
      <c r="A10" s="100" t="s">
        <v>53</v>
      </c>
      <c r="B10" s="100"/>
      <c r="C10" s="101">
        <v>0.1</v>
      </c>
      <c r="D10" s="67" t="s">
        <v>33</v>
      </c>
      <c r="E10" s="67" t="s">
        <v>34</v>
      </c>
      <c r="F10" s="67"/>
      <c r="G10" s="67"/>
      <c r="H10" s="67"/>
      <c r="I10" s="67"/>
      <c r="J10" s="67"/>
      <c r="K10" s="67"/>
      <c r="L10" s="67"/>
      <c r="M10" s="17"/>
      <c r="N10" s="17"/>
      <c r="O10" s="63"/>
    </row>
    <row r="11" spans="1:15" ht="51" customHeight="1" thickBot="1">
      <c r="A11" s="102" t="s">
        <v>54</v>
      </c>
      <c r="B11" s="103"/>
      <c r="C11" s="104">
        <v>0.15</v>
      </c>
      <c r="D11" s="69" t="s">
        <v>35</v>
      </c>
      <c r="E11" s="68" t="s">
        <v>68</v>
      </c>
      <c r="F11" s="73"/>
      <c r="G11" s="108"/>
      <c r="H11" s="108"/>
      <c r="I11" s="108"/>
      <c r="J11" s="108"/>
      <c r="K11" s="108"/>
      <c r="L11" s="108"/>
      <c r="M11" s="19"/>
      <c r="N11" s="19"/>
      <c r="O11" s="63"/>
    </row>
    <row r="12" spans="1:15" ht="99" customHeight="1">
      <c r="A12" s="74" t="s">
        <v>55</v>
      </c>
      <c r="B12" s="75"/>
      <c r="C12" s="105">
        <v>0.3</v>
      </c>
      <c r="D12" s="106" t="s">
        <v>36</v>
      </c>
      <c r="E12" s="106" t="s">
        <v>37</v>
      </c>
      <c r="F12" s="106" t="s">
        <v>60</v>
      </c>
      <c r="G12" s="106"/>
      <c r="H12" s="106"/>
      <c r="I12" s="106"/>
      <c r="J12" s="106"/>
      <c r="K12" s="106"/>
      <c r="L12" s="106"/>
      <c r="M12" s="19"/>
      <c r="N12" s="19"/>
      <c r="O12" s="63"/>
    </row>
    <row r="13" spans="1:15" ht="73.349999999999994" customHeight="1">
      <c r="A13" s="74" t="s">
        <v>56</v>
      </c>
      <c r="B13" s="75"/>
      <c r="C13" s="105">
        <v>0.15</v>
      </c>
      <c r="D13" s="106" t="s">
        <v>38</v>
      </c>
      <c r="E13" s="106" t="s">
        <v>38</v>
      </c>
      <c r="F13" s="106" t="s">
        <v>60</v>
      </c>
      <c r="G13" s="106"/>
      <c r="H13" s="106"/>
      <c r="I13" s="106"/>
      <c r="J13" s="106"/>
      <c r="K13" s="106"/>
      <c r="L13" s="106"/>
      <c r="M13" s="19"/>
      <c r="N13" s="19"/>
      <c r="O13" s="63"/>
    </row>
    <row r="14" spans="1:15" ht="67.349999999999994" customHeight="1">
      <c r="A14" s="102" t="s">
        <v>57</v>
      </c>
      <c r="B14" s="103"/>
      <c r="C14" s="104">
        <v>0.1</v>
      </c>
      <c r="D14" s="69" t="s">
        <v>14</v>
      </c>
      <c r="E14" s="70" t="s">
        <v>59</v>
      </c>
      <c r="F14" s="70"/>
      <c r="G14" s="70" t="s">
        <v>70</v>
      </c>
      <c r="H14" s="70"/>
      <c r="I14" s="70"/>
      <c r="J14" s="70" t="s">
        <v>70</v>
      </c>
      <c r="K14" s="70" t="s">
        <v>70</v>
      </c>
      <c r="L14" s="70" t="s">
        <v>70</v>
      </c>
      <c r="M14" s="19"/>
      <c r="N14" s="19"/>
      <c r="O14" s="63"/>
    </row>
    <row r="15" spans="1:15" ht="148.5" customHeight="1">
      <c r="A15" s="100" t="s">
        <v>58</v>
      </c>
      <c r="B15" s="100"/>
      <c r="C15" s="104">
        <v>0.2</v>
      </c>
      <c r="D15" s="69" t="s">
        <v>42</v>
      </c>
      <c r="E15" s="69" t="s">
        <v>52</v>
      </c>
      <c r="F15" s="70" t="s">
        <v>70</v>
      </c>
      <c r="G15" s="70" t="s">
        <v>70</v>
      </c>
      <c r="H15" s="70" t="s">
        <v>70</v>
      </c>
      <c r="I15" s="69"/>
      <c r="J15" s="70" t="s">
        <v>70</v>
      </c>
      <c r="K15" s="70" t="s">
        <v>70</v>
      </c>
      <c r="L15" s="70" t="s">
        <v>70</v>
      </c>
      <c r="M15" s="19"/>
      <c r="N15" s="19"/>
      <c r="O15" s="63"/>
    </row>
    <row r="16" spans="1:15" ht="75.599999999999994" hidden="1" customHeight="1" thickBot="1">
      <c r="A16" s="93" t="s">
        <v>22</v>
      </c>
      <c r="B16" s="93"/>
      <c r="C16" s="36">
        <f>SUM(C10:C15)</f>
        <v>1</v>
      </c>
      <c r="D16" s="37"/>
      <c r="E16" s="37"/>
      <c r="F16" s="71"/>
      <c r="G16" s="71"/>
      <c r="H16" s="71"/>
      <c r="I16" s="71"/>
      <c r="J16" s="71"/>
      <c r="K16" s="71"/>
      <c r="L16" s="71"/>
      <c r="M16" s="38"/>
      <c r="N16" s="38"/>
      <c r="O16" s="54">
        <f>SUMPRODUCT(C10:C15,O10:O15)</f>
        <v>0</v>
      </c>
    </row>
    <row r="17" spans="1:15" s="117" customFormat="1" ht="58.35" customHeight="1">
      <c r="A17" s="112" t="s">
        <v>11</v>
      </c>
      <c r="B17" s="112"/>
      <c r="C17" s="113" t="s">
        <v>15</v>
      </c>
      <c r="D17" s="114" t="s">
        <v>24</v>
      </c>
      <c r="E17" s="114" t="s">
        <v>20</v>
      </c>
      <c r="F17" s="114"/>
      <c r="G17" s="114"/>
      <c r="H17" s="114"/>
      <c r="I17" s="114"/>
      <c r="J17" s="114"/>
      <c r="K17" s="114"/>
      <c r="L17" s="114"/>
      <c r="M17" s="115"/>
      <c r="N17" s="115"/>
      <c r="O17" s="116" t="e">
        <f>IF(#REF!=0,1,IF(#REF!=1,0.5,IF(#REF!&gt;1,0)))</f>
        <v>#REF!</v>
      </c>
    </row>
    <row r="18" spans="1:15" ht="271.5" customHeight="1" thickBot="1">
      <c r="A18" s="110" t="s">
        <v>17</v>
      </c>
      <c r="B18" s="110"/>
      <c r="C18" s="111">
        <v>0.2</v>
      </c>
      <c r="D18" s="73" t="s">
        <v>32</v>
      </c>
      <c r="E18" s="73" t="s">
        <v>69</v>
      </c>
      <c r="F18" s="73"/>
      <c r="G18" s="73"/>
      <c r="H18" s="73"/>
      <c r="I18" s="73"/>
      <c r="J18" s="73"/>
      <c r="K18" s="73"/>
      <c r="L18" s="73"/>
      <c r="M18" s="33"/>
      <c r="N18" s="33"/>
      <c r="O18" s="59"/>
    </row>
    <row r="19" spans="1:15" ht="33" customHeight="1" thickBot="1">
      <c r="A19" s="95" t="s">
        <v>21</v>
      </c>
      <c r="B19" s="96"/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1"/>
      <c r="N19" s="41"/>
      <c r="O19" s="60" t="e">
        <f>O16*O17*(1+O18)</f>
        <v>#REF!</v>
      </c>
    </row>
    <row r="20" spans="1:15" ht="68.099999999999994" customHeight="1" thickBot="1">
      <c r="A20" s="97" t="s">
        <v>41</v>
      </c>
      <c r="B20" s="98"/>
      <c r="C20" s="89" t="s">
        <v>40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61"/>
    </row>
    <row r="21" spans="1:15" ht="60" customHeight="1" thickBot="1">
      <c r="A21" s="91" t="s">
        <v>31</v>
      </c>
      <c r="B21" s="92"/>
      <c r="C21" s="42"/>
      <c r="D21" s="43"/>
      <c r="E21" s="43"/>
      <c r="F21" s="43"/>
      <c r="G21" s="43"/>
      <c r="H21" s="43"/>
      <c r="I21" s="43"/>
      <c r="J21" s="43"/>
      <c r="K21" s="43"/>
      <c r="L21" s="43"/>
      <c r="M21" s="44"/>
      <c r="N21" s="44"/>
      <c r="O21" s="62" t="e">
        <f>IF((O19+O20)&lt;=1,0,(O19+O20)/5*D6)</f>
        <v>#REF!</v>
      </c>
    </row>
    <row r="22" spans="1:15" ht="60" hidden="1" customHeight="1" outlineLevel="1" thickBot="1">
      <c r="A22" s="2"/>
      <c r="B22" s="2"/>
      <c r="C22" s="9"/>
      <c r="D22" s="28"/>
      <c r="E22" s="28"/>
      <c r="F22" s="28"/>
      <c r="G22" s="28"/>
      <c r="H22" s="28"/>
      <c r="I22" s="28"/>
      <c r="J22" s="28"/>
      <c r="K22" s="28"/>
      <c r="L22" s="28"/>
      <c r="M22" s="5"/>
      <c r="N22" s="5"/>
      <c r="O22" s="55"/>
    </row>
    <row r="23" spans="1:15" ht="60" hidden="1" customHeight="1" outlineLevel="1">
      <c r="A23" s="2"/>
      <c r="B23" s="2"/>
      <c r="C23" s="9"/>
      <c r="D23" s="28"/>
      <c r="E23" s="28"/>
      <c r="F23" s="28"/>
      <c r="G23" s="28"/>
      <c r="H23" s="28"/>
      <c r="I23" s="28"/>
      <c r="J23" s="28"/>
      <c r="K23" s="28"/>
      <c r="L23" s="28"/>
      <c r="M23" s="5"/>
      <c r="N23" s="5"/>
      <c r="O23" s="55"/>
    </row>
    <row r="24" spans="1:15" ht="60" hidden="1" customHeight="1" outlineLevel="1">
      <c r="A24" s="2"/>
      <c r="B24" s="2"/>
      <c r="C24" s="9"/>
      <c r="D24" s="28"/>
      <c r="E24" s="28"/>
      <c r="F24" s="28"/>
      <c r="G24" s="28"/>
      <c r="H24" s="28"/>
      <c r="I24" s="28"/>
      <c r="J24" s="28"/>
      <c r="K24" s="28"/>
      <c r="L24" s="28"/>
      <c r="M24" s="5"/>
      <c r="N24" s="5"/>
      <c r="O24" s="55"/>
    </row>
    <row r="25" spans="1:15" ht="60" hidden="1" customHeight="1" outlineLevel="1">
      <c r="A25" s="2"/>
      <c r="B25" s="2"/>
      <c r="C25" s="9"/>
      <c r="D25" s="28"/>
      <c r="E25" s="28"/>
      <c r="F25" s="28"/>
      <c r="G25" s="28"/>
      <c r="H25" s="28"/>
      <c r="I25" s="28"/>
      <c r="J25" s="28"/>
      <c r="K25" s="28"/>
      <c r="L25" s="28"/>
      <c r="M25" s="5"/>
      <c r="N25" s="5"/>
      <c r="O25" s="55"/>
    </row>
    <row r="26" spans="1:15" collapsed="1">
      <c r="A26" s="2"/>
      <c r="B26" s="2"/>
      <c r="C26" s="9"/>
      <c r="D26" s="28"/>
      <c r="E26" s="28"/>
      <c r="F26" s="28"/>
      <c r="G26" s="28"/>
      <c r="H26" s="28"/>
      <c r="I26" s="28"/>
      <c r="J26" s="28"/>
      <c r="K26" s="28"/>
      <c r="L26" s="28"/>
      <c r="M26" s="5"/>
      <c r="N26" s="5"/>
      <c r="O26" s="55"/>
    </row>
    <row r="27" spans="1:15">
      <c r="A27" s="66" t="s">
        <v>1</v>
      </c>
      <c r="B27" s="66" t="s">
        <v>7</v>
      </c>
      <c r="C27" s="10"/>
      <c r="D27" s="29" t="s">
        <v>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56"/>
    </row>
    <row r="28" spans="1:15" ht="24">
      <c r="A28" s="1" t="s">
        <v>23</v>
      </c>
      <c r="B28" s="45" t="s">
        <v>2</v>
      </c>
      <c r="C28" s="11"/>
      <c r="D28" s="30" t="s">
        <v>26</v>
      </c>
      <c r="E28" s="4"/>
      <c r="F28" s="4"/>
      <c r="G28" s="4"/>
      <c r="H28" s="4"/>
      <c r="I28" s="4"/>
      <c r="J28" s="4"/>
      <c r="K28" s="4"/>
      <c r="L28" s="4"/>
      <c r="M28" s="7"/>
      <c r="N28" s="7"/>
      <c r="O28" s="53"/>
    </row>
    <row r="29" spans="1:15">
      <c r="A29" s="1">
        <v>4</v>
      </c>
      <c r="B29" s="45" t="s">
        <v>3</v>
      </c>
      <c r="C29" s="11"/>
      <c r="D29" s="24" t="s">
        <v>27</v>
      </c>
      <c r="E29" s="4"/>
      <c r="F29" s="4"/>
      <c r="G29" s="4"/>
      <c r="H29" s="4"/>
      <c r="I29" s="4"/>
      <c r="J29" s="4"/>
      <c r="K29" s="4"/>
      <c r="L29" s="4"/>
      <c r="M29" s="7"/>
      <c r="N29" s="7"/>
      <c r="O29" s="53"/>
    </row>
    <row r="30" spans="1:15">
      <c r="A30" s="1">
        <v>3</v>
      </c>
      <c r="B30" s="45" t="s">
        <v>4</v>
      </c>
      <c r="D30" s="24" t="s">
        <v>28</v>
      </c>
      <c r="E30" s="4"/>
      <c r="F30" s="4"/>
      <c r="G30" s="4"/>
      <c r="H30" s="4"/>
      <c r="I30" s="4"/>
      <c r="J30" s="4"/>
      <c r="K30" s="4"/>
      <c r="L30" s="4"/>
    </row>
    <row r="31" spans="1:15">
      <c r="A31" s="1">
        <v>2</v>
      </c>
      <c r="B31" s="45" t="s">
        <v>5</v>
      </c>
      <c r="D31" s="24" t="s">
        <v>29</v>
      </c>
      <c r="E31" s="4"/>
      <c r="F31" s="4"/>
      <c r="G31" s="4"/>
      <c r="H31" s="4"/>
      <c r="I31" s="4"/>
      <c r="J31" s="4"/>
      <c r="K31" s="4"/>
      <c r="L31" s="4"/>
    </row>
    <row r="32" spans="1:15">
      <c r="A32" s="1">
        <v>1</v>
      </c>
      <c r="B32" s="45" t="s">
        <v>6</v>
      </c>
      <c r="D32" s="24" t="s">
        <v>30</v>
      </c>
      <c r="E32" s="4"/>
      <c r="F32" s="4"/>
      <c r="G32" s="4"/>
      <c r="H32" s="4"/>
      <c r="I32" s="4"/>
      <c r="J32" s="4"/>
      <c r="K32" s="4"/>
      <c r="L32" s="4"/>
    </row>
  </sheetData>
  <mergeCells count="27">
    <mergeCell ref="A20:B20"/>
    <mergeCell ref="C20:N20"/>
    <mergeCell ref="A21:B21"/>
    <mergeCell ref="G8:G9"/>
    <mergeCell ref="H8:H9"/>
    <mergeCell ref="I8:I9"/>
    <mergeCell ref="J8:J9"/>
    <mergeCell ref="K8:K9"/>
    <mergeCell ref="L8:L9"/>
    <mergeCell ref="A14:B14"/>
    <mergeCell ref="A15:B15"/>
    <mergeCell ref="A16:B16"/>
    <mergeCell ref="A17:B17"/>
    <mergeCell ref="A18:B18"/>
    <mergeCell ref="A19:B19"/>
    <mergeCell ref="N8:N9"/>
    <mergeCell ref="O8:O9"/>
    <mergeCell ref="A10:B10"/>
    <mergeCell ref="A11:B11"/>
    <mergeCell ref="A12:B12"/>
    <mergeCell ref="A13:B13"/>
    <mergeCell ref="A8:B9"/>
    <mergeCell ref="C8:C9"/>
    <mergeCell ref="D8:D9"/>
    <mergeCell ref="E8:E9"/>
    <mergeCell ref="F8:F9"/>
    <mergeCell ref="M8:M9"/>
  </mergeCells>
  <phoneticPr fontId="2" type="noConversion"/>
  <dataValidations disablePrompts="1" count="1">
    <dataValidation type="list" allowBlank="1" showInputMessage="1" showErrorMessage="1" sqref="O10:O15">
      <formula1>$A$28:$A$32</formula1>
    </dataValidation>
  </dataValidations>
  <pageMargins left="0.70866141732283472" right="0.70866141732283472" top="0.74803149606299213" bottom="0.74803149606299213" header="0.31496062992125984" footer="0.31496062992125984"/>
  <pageSetup paperSize="9" scale="18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A1:I32"/>
  <sheetViews>
    <sheetView showGridLines="0" view="pageBreakPreview" zoomScale="85" zoomScaleNormal="68" zoomScaleSheetLayoutView="85" workbookViewId="0">
      <pane xSplit="3" ySplit="9" topLeftCell="E16" activePane="bottomRight" state="frozen"/>
      <selection pane="topRight" activeCell="D1" sqref="D1"/>
      <selection pane="bottomLeft" activeCell="A10" sqref="A10"/>
      <selection pane="bottomRight" activeCell="F18" sqref="F18"/>
    </sheetView>
  </sheetViews>
  <sheetFormatPr defaultColWidth="8.85546875" defaultRowHeight="12.75" outlineLevelRow="1" outlineLevelCol="1"/>
  <cols>
    <col min="1" max="1" width="14.140625" style="4" customWidth="1"/>
    <col min="2" max="2" width="17.42578125" style="4" customWidth="1"/>
    <col min="3" max="3" width="12.42578125" style="8" customWidth="1"/>
    <col min="4" max="4" width="49.5703125" style="24" customWidth="1"/>
    <col min="5" max="6" width="65.42578125" style="24" customWidth="1" outlineLevel="1"/>
    <col min="7" max="8" width="32.5703125" style="4" customWidth="1"/>
    <col min="9" max="9" width="22.42578125" style="57" customWidth="1"/>
    <col min="10" max="16384" width="8.85546875" style="4"/>
  </cols>
  <sheetData>
    <row r="1" spans="1:9" s="13" customFormat="1" ht="36" customHeight="1">
      <c r="A1" s="12" t="s">
        <v>51</v>
      </c>
      <c r="C1" s="14"/>
      <c r="D1" s="20"/>
      <c r="E1" s="20"/>
      <c r="F1" s="20"/>
      <c r="I1" s="51"/>
    </row>
    <row r="2" spans="1:9" s="15" customFormat="1" ht="31.35" customHeight="1">
      <c r="A2" s="15" t="s">
        <v>18</v>
      </c>
      <c r="C2" s="16"/>
      <c r="D2" s="21"/>
      <c r="E2" s="21"/>
      <c r="F2" s="21"/>
      <c r="I2" s="52"/>
    </row>
    <row r="3" spans="1:9" s="15" customFormat="1" ht="31.35" customHeight="1" thickBot="1">
      <c r="A3" s="15" t="s">
        <v>19</v>
      </c>
      <c r="C3" s="16"/>
      <c r="D3" s="21"/>
      <c r="E3" s="21"/>
      <c r="F3" s="21"/>
      <c r="I3" s="52"/>
    </row>
    <row r="4" spans="1:9" s="15" customFormat="1" ht="23.1" customHeight="1" outlineLevel="1" thickBot="1">
      <c r="A4" s="15" t="s">
        <v>48</v>
      </c>
      <c r="C4" s="16"/>
      <c r="D4" s="22"/>
      <c r="E4" s="21"/>
      <c r="F4" s="21"/>
      <c r="I4" s="52"/>
    </row>
    <row r="5" spans="1:9" s="15" customFormat="1" ht="23.1" customHeight="1" outlineLevel="1" thickBot="1">
      <c r="A5" s="15" t="s">
        <v>49</v>
      </c>
      <c r="C5" s="16"/>
      <c r="D5" s="47"/>
      <c r="E5" s="21"/>
      <c r="F5" s="21"/>
      <c r="I5" s="52"/>
    </row>
    <row r="6" spans="1:9" s="15" customFormat="1" ht="23.1" customHeight="1" outlineLevel="1" thickBot="1">
      <c r="A6" s="15" t="s">
        <v>50</v>
      </c>
      <c r="C6" s="16"/>
      <c r="D6" s="23">
        <f>D4*D5</f>
        <v>0</v>
      </c>
      <c r="E6" s="21"/>
      <c r="F6" s="21"/>
      <c r="I6" s="52"/>
    </row>
    <row r="7" spans="1:9" ht="27.75" customHeight="1" thickBot="1">
      <c r="A7" s="3"/>
      <c r="B7" s="3"/>
      <c r="G7" s="11" t="s">
        <v>16</v>
      </c>
      <c r="H7" s="65" t="s">
        <v>47</v>
      </c>
      <c r="I7" s="64" t="s">
        <v>46</v>
      </c>
    </row>
    <row r="8" spans="1:9" s="7" customFormat="1" ht="21" customHeight="1">
      <c r="A8" s="78" t="s">
        <v>0</v>
      </c>
      <c r="B8" s="79"/>
      <c r="C8" s="85" t="s">
        <v>10</v>
      </c>
      <c r="D8" s="85" t="s">
        <v>12</v>
      </c>
      <c r="E8" s="85" t="s">
        <v>13</v>
      </c>
      <c r="F8" s="87" t="s">
        <v>61</v>
      </c>
      <c r="G8" s="85" t="s">
        <v>43</v>
      </c>
      <c r="H8" s="85" t="s">
        <v>44</v>
      </c>
      <c r="I8" s="82" t="s">
        <v>45</v>
      </c>
    </row>
    <row r="9" spans="1:9" s="7" customFormat="1" ht="21" customHeight="1">
      <c r="A9" s="80"/>
      <c r="B9" s="81"/>
      <c r="C9" s="86"/>
      <c r="D9" s="86"/>
      <c r="E9" s="86"/>
      <c r="F9" s="88"/>
      <c r="G9" s="86" t="s">
        <v>9</v>
      </c>
      <c r="H9" s="86"/>
      <c r="I9" s="83"/>
    </row>
    <row r="10" spans="1:9" ht="68.099999999999994" customHeight="1">
      <c r="A10" s="84" t="s">
        <v>53</v>
      </c>
      <c r="B10" s="84"/>
      <c r="C10" s="46">
        <v>0.1</v>
      </c>
      <c r="D10" s="48" t="s">
        <v>33</v>
      </c>
      <c r="E10" s="48" t="s">
        <v>34</v>
      </c>
      <c r="F10" s="67" t="s">
        <v>62</v>
      </c>
      <c r="G10" s="17"/>
      <c r="H10" s="17"/>
      <c r="I10" s="63"/>
    </row>
    <row r="11" spans="1:9" ht="51" customHeight="1" thickBot="1">
      <c r="A11" s="74" t="s">
        <v>54</v>
      </c>
      <c r="B11" s="75"/>
      <c r="C11" s="18">
        <v>0.15</v>
      </c>
      <c r="D11" s="26" t="s">
        <v>35</v>
      </c>
      <c r="E11" s="49" t="s">
        <v>39</v>
      </c>
      <c r="F11" s="73" t="s">
        <v>65</v>
      </c>
      <c r="G11" s="19"/>
      <c r="H11" s="19"/>
      <c r="I11" s="63"/>
    </row>
    <row r="12" spans="1:9" ht="99" customHeight="1">
      <c r="A12" s="74" t="s">
        <v>55</v>
      </c>
      <c r="B12" s="75"/>
      <c r="C12" s="18">
        <v>0.3</v>
      </c>
      <c r="D12" s="26" t="s">
        <v>36</v>
      </c>
      <c r="E12" s="26" t="s">
        <v>37</v>
      </c>
      <c r="F12" s="69" t="s">
        <v>60</v>
      </c>
      <c r="G12" s="19"/>
      <c r="H12" s="19"/>
      <c r="I12" s="63"/>
    </row>
    <row r="13" spans="1:9" ht="73.349999999999994" customHeight="1">
      <c r="A13" s="74" t="s">
        <v>56</v>
      </c>
      <c r="B13" s="75"/>
      <c r="C13" s="18">
        <v>0.15</v>
      </c>
      <c r="D13" s="26" t="s">
        <v>38</v>
      </c>
      <c r="E13" s="26" t="s">
        <v>38</v>
      </c>
      <c r="F13" s="69" t="s">
        <v>60</v>
      </c>
      <c r="G13" s="19"/>
      <c r="H13" s="19"/>
      <c r="I13" s="63"/>
    </row>
    <row r="14" spans="1:9" ht="67.349999999999994" customHeight="1">
      <c r="A14" s="76" t="s">
        <v>57</v>
      </c>
      <c r="B14" s="77"/>
      <c r="C14" s="18">
        <v>0.1</v>
      </c>
      <c r="D14" s="26" t="s">
        <v>14</v>
      </c>
      <c r="E14" s="27" t="s">
        <v>59</v>
      </c>
      <c r="F14" s="70" t="s">
        <v>63</v>
      </c>
      <c r="G14" s="19"/>
      <c r="H14" s="19"/>
      <c r="I14" s="63"/>
    </row>
    <row r="15" spans="1:9" ht="148.5" customHeight="1">
      <c r="A15" s="84" t="s">
        <v>58</v>
      </c>
      <c r="B15" s="84"/>
      <c r="C15" s="18">
        <v>0.2</v>
      </c>
      <c r="D15" s="26" t="s">
        <v>42</v>
      </c>
      <c r="E15" s="26" t="s">
        <v>52</v>
      </c>
      <c r="F15" s="69" t="s">
        <v>67</v>
      </c>
      <c r="G15" s="19"/>
      <c r="H15" s="19"/>
      <c r="I15" s="63"/>
    </row>
    <row r="16" spans="1:9" ht="75.599999999999994" customHeight="1" thickBot="1">
      <c r="A16" s="93" t="s">
        <v>22</v>
      </c>
      <c r="B16" s="93"/>
      <c r="C16" s="36">
        <f>SUM(C10:C15)</f>
        <v>1</v>
      </c>
      <c r="D16" s="37"/>
      <c r="E16" s="37"/>
      <c r="F16" s="71"/>
      <c r="G16" s="38"/>
      <c r="H16" s="38"/>
      <c r="I16" s="54">
        <f>SUMPRODUCT(C10:C15,I10:I15)</f>
        <v>0</v>
      </c>
    </row>
    <row r="17" spans="1:9" ht="58.35" customHeight="1" thickTop="1">
      <c r="A17" s="99" t="s">
        <v>11</v>
      </c>
      <c r="B17" s="99"/>
      <c r="C17" s="34" t="s">
        <v>15</v>
      </c>
      <c r="D17" s="25" t="s">
        <v>24</v>
      </c>
      <c r="E17" s="25" t="s">
        <v>20</v>
      </c>
      <c r="F17" s="72" t="s">
        <v>64</v>
      </c>
      <c r="G17" s="35"/>
      <c r="H17" s="35"/>
      <c r="I17" s="58" t="e">
        <f>IF(#REF!=0,1,IF(#REF!=1,0.5,IF(#REF!&gt;1,0)))</f>
        <v>#REF!</v>
      </c>
    </row>
    <row r="18" spans="1:9" ht="120" customHeight="1" thickBot="1">
      <c r="A18" s="94" t="s">
        <v>17</v>
      </c>
      <c r="B18" s="94"/>
      <c r="C18" s="31">
        <v>0.2</v>
      </c>
      <c r="D18" s="32" t="s">
        <v>32</v>
      </c>
      <c r="E18" s="32" t="s">
        <v>25</v>
      </c>
      <c r="F18" s="73" t="s">
        <v>66</v>
      </c>
      <c r="G18" s="33"/>
      <c r="H18" s="33"/>
      <c r="I18" s="59"/>
    </row>
    <row r="19" spans="1:9" ht="33" customHeight="1" thickBot="1">
      <c r="A19" s="95" t="s">
        <v>21</v>
      </c>
      <c r="B19" s="96"/>
      <c r="C19" s="39"/>
      <c r="D19" s="40"/>
      <c r="E19" s="40"/>
      <c r="F19" s="40"/>
      <c r="G19" s="41"/>
      <c r="H19" s="41"/>
      <c r="I19" s="60" t="e">
        <f>I16*I17*(1+I18)</f>
        <v>#REF!</v>
      </c>
    </row>
    <row r="20" spans="1:9" ht="68.099999999999994" customHeight="1" thickBot="1">
      <c r="A20" s="97" t="s">
        <v>41</v>
      </c>
      <c r="B20" s="98"/>
      <c r="C20" s="89" t="s">
        <v>40</v>
      </c>
      <c r="D20" s="90"/>
      <c r="E20" s="90"/>
      <c r="F20" s="90"/>
      <c r="G20" s="90"/>
      <c r="H20" s="90"/>
      <c r="I20" s="61"/>
    </row>
    <row r="21" spans="1:9" ht="60" customHeight="1" thickBot="1">
      <c r="A21" s="91" t="s">
        <v>31</v>
      </c>
      <c r="B21" s="92"/>
      <c r="C21" s="42"/>
      <c r="D21" s="43"/>
      <c r="E21" s="43"/>
      <c r="F21" s="43"/>
      <c r="G21" s="44"/>
      <c r="H21" s="44"/>
      <c r="I21" s="62" t="e">
        <f>IF((I19+I20)&lt;=1,0,(I19+I20)/5*D6)</f>
        <v>#REF!</v>
      </c>
    </row>
    <row r="22" spans="1:9" ht="60" hidden="1" customHeight="1" outlineLevel="1" thickBot="1">
      <c r="A22" s="2"/>
      <c r="B22" s="2"/>
      <c r="C22" s="9"/>
      <c r="D22" s="28"/>
      <c r="E22" s="28"/>
      <c r="F22" s="28"/>
      <c r="G22" s="5"/>
      <c r="H22" s="5"/>
      <c r="I22" s="55"/>
    </row>
    <row r="23" spans="1:9" ht="60" hidden="1" customHeight="1" outlineLevel="1">
      <c r="A23" s="2"/>
      <c r="B23" s="2"/>
      <c r="C23" s="9"/>
      <c r="D23" s="28"/>
      <c r="E23" s="28"/>
      <c r="F23" s="28"/>
      <c r="G23" s="5"/>
      <c r="H23" s="5"/>
      <c r="I23" s="55"/>
    </row>
    <row r="24" spans="1:9" ht="60" hidden="1" customHeight="1" outlineLevel="1">
      <c r="A24" s="2"/>
      <c r="B24" s="2"/>
      <c r="C24" s="9"/>
      <c r="D24" s="28"/>
      <c r="E24" s="28"/>
      <c r="F24" s="28"/>
      <c r="G24" s="5"/>
      <c r="H24" s="5"/>
      <c r="I24" s="55"/>
    </row>
    <row r="25" spans="1:9" ht="60" hidden="1" customHeight="1" outlineLevel="1">
      <c r="A25" s="2"/>
      <c r="B25" s="2"/>
      <c r="C25" s="9"/>
      <c r="D25" s="28"/>
      <c r="E25" s="28"/>
      <c r="F25" s="28"/>
      <c r="G25" s="5"/>
      <c r="H25" s="5"/>
      <c r="I25" s="55"/>
    </row>
    <row r="26" spans="1:9" collapsed="1">
      <c r="A26" s="2"/>
      <c r="B26" s="2"/>
      <c r="C26" s="9"/>
      <c r="D26" s="28"/>
      <c r="E26" s="28"/>
      <c r="F26" s="28"/>
      <c r="G26" s="5"/>
      <c r="H26" s="5"/>
      <c r="I26" s="55"/>
    </row>
    <row r="27" spans="1:9">
      <c r="A27" s="50" t="s">
        <v>1</v>
      </c>
      <c r="B27" s="50" t="s">
        <v>7</v>
      </c>
      <c r="C27" s="10"/>
      <c r="D27" s="29" t="s">
        <v>8</v>
      </c>
      <c r="E27" s="6"/>
      <c r="F27" s="6"/>
      <c r="G27" s="6"/>
      <c r="H27" s="6"/>
      <c r="I27" s="56"/>
    </row>
    <row r="28" spans="1:9" ht="24">
      <c r="A28" s="1" t="s">
        <v>23</v>
      </c>
      <c r="B28" s="45" t="s">
        <v>2</v>
      </c>
      <c r="C28" s="11"/>
      <c r="D28" s="30" t="s">
        <v>26</v>
      </c>
      <c r="E28" s="4"/>
      <c r="F28" s="4"/>
      <c r="G28" s="7"/>
      <c r="H28" s="7"/>
      <c r="I28" s="53"/>
    </row>
    <row r="29" spans="1:9">
      <c r="A29" s="1">
        <v>4</v>
      </c>
      <c r="B29" s="45" t="s">
        <v>3</v>
      </c>
      <c r="C29" s="11"/>
      <c r="D29" s="24" t="s">
        <v>27</v>
      </c>
      <c r="E29" s="4"/>
      <c r="F29" s="4"/>
      <c r="G29" s="7"/>
      <c r="H29" s="7"/>
      <c r="I29" s="53"/>
    </row>
    <row r="30" spans="1:9">
      <c r="A30" s="1">
        <v>3</v>
      </c>
      <c r="B30" s="45" t="s">
        <v>4</v>
      </c>
      <c r="D30" s="24" t="s">
        <v>28</v>
      </c>
      <c r="E30" s="4"/>
      <c r="F30" s="4"/>
    </row>
    <row r="31" spans="1:9">
      <c r="A31" s="1">
        <v>2</v>
      </c>
      <c r="B31" s="45" t="s">
        <v>5</v>
      </c>
      <c r="D31" s="24" t="s">
        <v>29</v>
      </c>
      <c r="E31" s="4"/>
      <c r="F31" s="4"/>
    </row>
    <row r="32" spans="1:9">
      <c r="A32" s="1">
        <v>1</v>
      </c>
      <c r="B32" s="45" t="s">
        <v>6</v>
      </c>
      <c r="D32" s="24" t="s">
        <v>30</v>
      </c>
      <c r="E32" s="4"/>
      <c r="F32" s="4"/>
    </row>
  </sheetData>
  <mergeCells count="21">
    <mergeCell ref="C20:H20"/>
    <mergeCell ref="A21:B21"/>
    <mergeCell ref="A15:B15"/>
    <mergeCell ref="A16:B16"/>
    <mergeCell ref="A18:B18"/>
    <mergeCell ref="A19:B19"/>
    <mergeCell ref="A20:B20"/>
    <mergeCell ref="A17:B17"/>
    <mergeCell ref="I8:I9"/>
    <mergeCell ref="A10:B10"/>
    <mergeCell ref="G8:G9"/>
    <mergeCell ref="C8:C9"/>
    <mergeCell ref="D8:D9"/>
    <mergeCell ref="E8:E9"/>
    <mergeCell ref="H8:H9"/>
    <mergeCell ref="F8:F9"/>
    <mergeCell ref="A12:B12"/>
    <mergeCell ref="A13:B13"/>
    <mergeCell ref="A14:B14"/>
    <mergeCell ref="A11:B11"/>
    <mergeCell ref="A8:B9"/>
  </mergeCells>
  <phoneticPr fontId="2" type="noConversion"/>
  <dataValidations disablePrompts="1" count="1">
    <dataValidation type="list" allowBlank="1" showInputMessage="1" showErrorMessage="1" sqref="I10:I15">
      <formula1>$A$28:$A$32</formula1>
    </dataValidation>
  </dataValidations>
  <pageMargins left="0.70866141732283472" right="0.70866141732283472" top="0.74803149606299213" bottom="0.74803149606299213" header="0.31496062992125984" footer="0.31496062992125984"/>
  <pageSetup paperSize="9" scale="39"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4650D06-90E1-465D-9B75-DB291884266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472C110-9D9B-461C-BF19-0AB1E423D53B}">
  <ds:schemaRefs>
    <ds:schemaRef ds:uri="http://www.imanage.com/work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Template (2)</vt:lpstr>
      <vt:lpstr>Template</vt:lpstr>
      <vt:lpstr>Sheet1</vt:lpstr>
      <vt:lpstr>Template!Print_Area</vt:lpstr>
      <vt:lpstr>'Template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2019-03-05T06:56:11Z</cp:lastPrinted>
  <dcterms:created xsi:type="dcterms:W3CDTF">2018-01-20T07:57:51Z</dcterms:created>
  <dcterms:modified xsi:type="dcterms:W3CDTF">2022-12-09T07:34:05Z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836289398</vt:i4>
  </property>
  <property fmtid="{D5CDD505-2E9C-101B-9397-08002B2CF9AE}" pid="4" name="_EmailSubject">
    <vt:lpwstr>Asset Incentive Model review</vt:lpwstr>
  </property>
  <property fmtid="{D5CDD505-2E9C-101B-9397-08002B2CF9AE}" pid="5" name="_AuthorEmail">
    <vt:lpwstr>JaeWoo.Jung@macquarie.com</vt:lpwstr>
  </property>
  <property fmtid="{D5CDD505-2E9C-101B-9397-08002B2CF9AE}" pid="6" name="_AuthorEmailDisplayName">
    <vt:lpwstr>Jae Woo Jung (MIRA)</vt:lpwstr>
  </property>
  <property fmtid="{D5CDD505-2E9C-101B-9397-08002B2CF9AE}" pid="7" name="_ReviewingToolsShownOnce">
    <vt:lpwstr/>
  </property>
  <property fmtid="{D5CDD505-2E9C-101B-9397-08002B2CF9AE}" pid="8" name="MSIP_Label_bff60613-a741-4790-ba46-c6813ca61c58_Enabled">
    <vt:lpwstr>true</vt:lpwstr>
  </property>
  <property fmtid="{D5CDD505-2E9C-101B-9397-08002B2CF9AE}" pid="9" name="MSIP_Label_bff60613-a741-4790-ba46-c6813ca61c58_SetDate">
    <vt:lpwstr>2022-12-07T08:09:37Z</vt:lpwstr>
  </property>
  <property fmtid="{D5CDD505-2E9C-101B-9397-08002B2CF9AE}" pid="10" name="MSIP_Label_bff60613-a741-4790-ba46-c6813ca61c58_Method">
    <vt:lpwstr>Standard</vt:lpwstr>
  </property>
  <property fmtid="{D5CDD505-2E9C-101B-9397-08002B2CF9AE}" pid="11" name="MSIP_Label_bff60613-a741-4790-ba46-c6813ca61c58_Name">
    <vt:lpwstr>Confidential</vt:lpwstr>
  </property>
  <property fmtid="{D5CDD505-2E9C-101B-9397-08002B2CF9AE}" pid="12" name="MSIP_Label_bff60613-a741-4790-ba46-c6813ca61c58_SiteId">
    <vt:lpwstr>568a5434-7d3f-4714-b824-fe722e2748c0</vt:lpwstr>
  </property>
  <property fmtid="{D5CDD505-2E9C-101B-9397-08002B2CF9AE}" pid="13" name="MSIP_Label_bff60613-a741-4790-ba46-c6813ca61c58_ActionId">
    <vt:lpwstr>c5fa5bae-a8fc-4a01-ac88-39ce605527c1</vt:lpwstr>
  </property>
  <property fmtid="{D5CDD505-2E9C-101B-9397-08002B2CF9AE}" pid="14" name="MSIP_Label_bff60613-a741-4790-ba46-c6813ca61c58_ContentBits">
    <vt:lpwstr>0</vt:lpwstr>
  </property>
</Properties>
</file>