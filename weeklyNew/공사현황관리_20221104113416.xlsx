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Go\단체주방\참고\"/>
    </mc:Choice>
  </mc:AlternateContent>
  <xr:revisionPtr revIDLastSave="0" documentId="13_ncr:1_{0E78767B-BC83-41F2-9C21-C620025647D1}" xr6:coauthVersionLast="36" xr6:coauthVersionMax="36" xr10:uidLastSave="{00000000-0000-0000-0000-000000000000}"/>
  <bookViews>
    <workbookView xWindow="0" yWindow="0" windowWidth="28800" windowHeight="12765" xr2:uid="{00000000-000D-0000-FFFF-FFFF00000000}"/>
  </bookViews>
  <sheets>
    <sheet name="Sheet1" sheetId="1" r:id="rId1"/>
  </sheets>
  <definedNames>
    <definedName name="_xlnm._FilterDatabase" localSheetId="0" hidden="1">Sheet1!$A$1:$AL$87</definedName>
  </definedNames>
  <calcPr calcId="191029"/>
</workbook>
</file>

<file path=xl/calcChain.xml><?xml version="1.0" encoding="utf-8"?>
<calcChain xmlns="http://schemas.openxmlformats.org/spreadsheetml/2006/main">
  <c r="M18" i="1" l="1"/>
  <c r="M15" i="1"/>
</calcChain>
</file>

<file path=xl/sharedStrings.xml><?xml version="1.0" encoding="utf-8"?>
<sst xmlns="http://schemas.openxmlformats.org/spreadsheetml/2006/main" count="1712" uniqueCount="525">
  <si>
    <t>No.</t>
  </si>
  <si>
    <t>등록경로</t>
  </si>
  <si>
    <t>공사번호</t>
  </si>
  <si>
    <t>공사명</t>
  </si>
  <si>
    <t>수주유형</t>
  </si>
  <si>
    <t>견적
제안방식</t>
  </si>
  <si>
    <t>공사진행상태</t>
  </si>
  <si>
    <t>중대위험
여부</t>
  </si>
  <si>
    <t>긴급공사
여부</t>
  </si>
  <si>
    <t>담당자</t>
  </si>
  <si>
    <t>견적상태</t>
  </si>
  <si>
    <t>매출계약</t>
  </si>
  <si>
    <t>매입계약</t>
  </si>
  <si>
    <t>인허가</t>
  </si>
  <si>
    <t>시공평가</t>
  </si>
  <si>
    <t>준공품의</t>
  </si>
  <si>
    <t>주간공정
회의대상여부</t>
  </si>
  <si>
    <t>RPA
사업개시신고
정보입력확정</t>
  </si>
  <si>
    <t>PR번호</t>
  </si>
  <si>
    <t>PO번호</t>
  </si>
  <si>
    <t>From</t>
  </si>
  <si>
    <t>To</t>
  </si>
  <si>
    <t>이관
상태</t>
  </si>
  <si>
    <t>견적
여부</t>
  </si>
  <si>
    <t>등록
건수</t>
  </si>
  <si>
    <t>계약
건수</t>
  </si>
  <si>
    <t>진행
건수</t>
  </si>
  <si>
    <t>대상</t>
  </si>
  <si>
    <t>신고</t>
  </si>
  <si>
    <t>완료</t>
  </si>
  <si>
    <t>1</t>
  </si>
  <si>
    <t>B2Bi</t>
  </si>
  <si>
    <t>에너지솔루션과천연구소운영센터</t>
  </si>
  <si>
    <t>CI22014265</t>
  </si>
  <si>
    <t>사원식당 주방 전기온수기 교체 공사</t>
  </si>
  <si>
    <t>발주대행</t>
  </si>
  <si>
    <t>Cost-Fee</t>
  </si>
  <si>
    <t>착공전</t>
  </si>
  <si>
    <t>2022-11-12</t>
  </si>
  <si>
    <t>2022-12-09</t>
  </si>
  <si>
    <t>0</t>
  </si>
  <si>
    <t>김수철</t>
  </si>
  <si>
    <t>N</t>
  </si>
  <si>
    <t>NA</t>
  </si>
  <si>
    <t>92604410-10</t>
  </si>
  <si>
    <t>2</t>
  </si>
  <si>
    <t>CI22014237</t>
  </si>
  <si>
    <t>주방 Hood 및 배기 Fan 교체 공사</t>
  </si>
  <si>
    <t>92604409-10</t>
  </si>
  <si>
    <t>3</t>
  </si>
  <si>
    <t>화학대전기술연구원운영센터</t>
  </si>
  <si>
    <t>CI22014210</t>
  </si>
  <si>
    <t>[ESPR:92604127]사택 2-103 주방/베란다 단열 및 누수 보</t>
  </si>
  <si>
    <t>2022-11-03</t>
  </si>
  <si>
    <t>이종근</t>
  </si>
  <si>
    <t>92604127-40</t>
  </si>
  <si>
    <t>4</t>
  </si>
  <si>
    <t>신규수주</t>
  </si>
  <si>
    <t>SP운영센터(DP3_CA)</t>
  </si>
  <si>
    <t>CI22014168</t>
  </si>
  <si>
    <t>DP3 CA 공용부 주방배수조 팬룸 닥트 교체 수선공사</t>
  </si>
  <si>
    <t>2022-11-10</t>
  </si>
  <si>
    <t>2022-11-30</t>
  </si>
  <si>
    <t>임헌민</t>
  </si>
  <si>
    <t>5</t>
  </si>
  <si>
    <t>전자서초R&amp;D운영센터</t>
  </si>
  <si>
    <t>CI22013408</t>
  </si>
  <si>
    <t>'22년 전자서초R&amp;D운영센터 직원식당 주방 트렌치 교체 공사</t>
  </si>
  <si>
    <t>2022-11-04</t>
  </si>
  <si>
    <t>김민호</t>
  </si>
  <si>
    <t>6</t>
  </si>
  <si>
    <t>LGD파주공사센터</t>
  </si>
  <si>
    <t>CI22013356</t>
  </si>
  <si>
    <t>파주공장 A1 2F 주방 도시가스 Line ASV Actuator 이상에 따른 교체 작업 (1SET)</t>
  </si>
  <si>
    <t>도급공사</t>
  </si>
  <si>
    <t>공사중</t>
  </si>
  <si>
    <t>2022-10-25</t>
  </si>
  <si>
    <t>2023-04-30</t>
  </si>
  <si>
    <t>조용국</t>
  </si>
  <si>
    <t>Y</t>
  </si>
  <si>
    <t>7</t>
  </si>
  <si>
    <t>전자가산R&amp;D캠퍼스운영센터</t>
  </si>
  <si>
    <t>CI22013327</t>
  </si>
  <si>
    <t>연구동 주방 오븐 및 그리스트랩 보수</t>
  </si>
  <si>
    <t>평가완료</t>
  </si>
  <si>
    <t>2022-10-17</t>
  </si>
  <si>
    <t>2022-10-31</t>
  </si>
  <si>
    <t>정희은</t>
  </si>
  <si>
    <t>8</t>
  </si>
  <si>
    <t>CI22012755</t>
  </si>
  <si>
    <t>사원식당 주방 그리스트랩 교체 공사</t>
  </si>
  <si>
    <t>2022-10-12</t>
  </si>
  <si>
    <t>2022-11-07</t>
  </si>
  <si>
    <t>92599375-10</t>
  </si>
  <si>
    <t>4560161453-10</t>
  </si>
  <si>
    <t>9</t>
  </si>
  <si>
    <t>CI22012416</t>
  </si>
  <si>
    <t>[ESPR:92598216]사택 9-403 주방벽 철거 및 타일교체</t>
  </si>
  <si>
    <t>2022-10-10</t>
  </si>
  <si>
    <t>92598216-30</t>
  </si>
  <si>
    <t>4560161021-10</t>
  </si>
  <si>
    <t>10</t>
  </si>
  <si>
    <t>LGD구미공사센터</t>
  </si>
  <si>
    <t>CI22012336</t>
  </si>
  <si>
    <t>[표준단가](구미) P45 복지동 식당 주방 싱크대 온수 배관 Leak 조치 작업</t>
  </si>
  <si>
    <t>준공</t>
  </si>
  <si>
    <t>2022-09-30</t>
  </si>
  <si>
    <t>전시만</t>
  </si>
  <si>
    <t>11</t>
  </si>
  <si>
    <t>CI22012265</t>
  </si>
  <si>
    <t>[ESPR:92597433]사택 9-106 주방벽 철거 및 타일교체</t>
  </si>
  <si>
    <t>2022-10-03</t>
  </si>
  <si>
    <t>92597433-80</t>
  </si>
  <si>
    <t>4560159938-10</t>
  </si>
  <si>
    <t>12</t>
  </si>
  <si>
    <t>파크원운영센터</t>
  </si>
  <si>
    <t>CI22011597</t>
  </si>
  <si>
    <t>파크원 호텔 주방 시설물 보수 작업</t>
  </si>
  <si>
    <t>2022-09-19</t>
  </si>
  <si>
    <t>2022-10-14</t>
  </si>
  <si>
    <t>박민수</t>
  </si>
  <si>
    <t>13</t>
  </si>
  <si>
    <t>CI22011372</t>
  </si>
  <si>
    <t>연구동 지하1층 주방 및 세정실 안전 개선 공사</t>
  </si>
  <si>
    <t>2022-09-06</t>
  </si>
  <si>
    <t>이정환</t>
  </si>
  <si>
    <t>14</t>
  </si>
  <si>
    <t>CI22011367</t>
  </si>
  <si>
    <t>'22년 전자서초R&amp;D운영센터 사원식당 주방 가스 차단밸브 설치 공사</t>
  </si>
  <si>
    <t>2022-09-17</t>
  </si>
  <si>
    <t>2022-09-25</t>
  </si>
  <si>
    <t>채수근</t>
  </si>
  <si>
    <t>15</t>
  </si>
  <si>
    <t>CI22011238</t>
  </si>
  <si>
    <t>[ESPR:92593597]사택 9-405 주방벽 철거 및 타일교체</t>
  </si>
  <si>
    <t>2022-09-13</t>
  </si>
  <si>
    <t>92593597-70</t>
  </si>
  <si>
    <t>4560154527-10</t>
  </si>
  <si>
    <t>16</t>
  </si>
  <si>
    <t>CI22010621</t>
  </si>
  <si>
    <t>주방용 소화장치 설비 보수의 件</t>
  </si>
  <si>
    <t>2022-08-20</t>
  </si>
  <si>
    <t>2022-08-31</t>
  </si>
  <si>
    <t>이호연</t>
  </si>
  <si>
    <t>17</t>
  </si>
  <si>
    <t>전자양재R&amp;D캠퍼스운영센터</t>
  </si>
  <si>
    <t>CI22010588</t>
  </si>
  <si>
    <t>사원식당 주방 가스 자동차단밸브 수선공사</t>
  </si>
  <si>
    <t>2022-09-02</t>
  </si>
  <si>
    <t>문준영</t>
  </si>
  <si>
    <t>18</t>
  </si>
  <si>
    <t>CI22010276</t>
  </si>
  <si>
    <t>연구동 주방 온장고 수선 件</t>
  </si>
  <si>
    <t>2022-08-11</t>
  </si>
  <si>
    <t>19</t>
  </si>
  <si>
    <t>CI22010269</t>
  </si>
  <si>
    <t>(가스)Guest House B1F 주방 내 도시가스 Line ASV 차단 기능 소실에 따른 교체</t>
  </si>
  <si>
    <t>2022-08-22</t>
  </si>
  <si>
    <t>20</t>
  </si>
  <si>
    <t>CI22010268</t>
  </si>
  <si>
    <t>(가스)A1 1 &amp; 2F 식당 주방 내 가스 감지 및 경보기 동작 오류에 따른 교체 작업_4개소</t>
  </si>
  <si>
    <t>21</t>
  </si>
  <si>
    <t>CI22010066</t>
  </si>
  <si>
    <t>[표준단가]A3동 2F 식당 주방 퇴식구 식기세척기 스팀 배관 설치 작업</t>
  </si>
  <si>
    <t>2022-08-10</t>
  </si>
  <si>
    <t>22</t>
  </si>
  <si>
    <t>마포/강북서비스센터</t>
  </si>
  <si>
    <t>CI22010005</t>
  </si>
  <si>
    <t>현대카드 본사1관 지하2층 대주방 배수배관 통수작업</t>
  </si>
  <si>
    <t>2022-08-05</t>
  </si>
  <si>
    <t>이찬학</t>
  </si>
  <si>
    <t>23</t>
  </si>
  <si>
    <t>GS타워운영센터</t>
  </si>
  <si>
    <t>CI22009995</t>
  </si>
  <si>
    <t>[임대수선]GS타워 상업용 주방 자동소화장치 설치공사</t>
  </si>
  <si>
    <t>2022-08-13</t>
  </si>
  <si>
    <t>2022-09-04</t>
  </si>
  <si>
    <t>구경서</t>
  </si>
  <si>
    <t>24</t>
  </si>
  <si>
    <t>SP운영센터(안전보건)</t>
  </si>
  <si>
    <t>CI22009817</t>
  </si>
  <si>
    <t>DP2_서측부지_주방자동소화장치 소모품 교체</t>
  </si>
  <si>
    <t>2022-08-01</t>
  </si>
  <si>
    <t>2022-08-19</t>
  </si>
  <si>
    <t>전지훈</t>
  </si>
  <si>
    <t>25</t>
  </si>
  <si>
    <t>U+대전R&amp;D운영센터</t>
  </si>
  <si>
    <t>CI22009397</t>
  </si>
  <si>
    <t>식당 주방 조명 스위치 개선 외 전기공사</t>
  </si>
  <si>
    <t>2022-07-25</t>
  </si>
  <si>
    <t>2022-07-31</t>
  </si>
  <si>
    <t>김연상</t>
  </si>
  <si>
    <t>26</t>
  </si>
  <si>
    <t>CI22009167</t>
  </si>
  <si>
    <t>LG전자 서초R&amp;D운영센터 사원식당 주방 자동 소화설비 부속품 교체공사</t>
  </si>
  <si>
    <t>2022-07-23</t>
  </si>
  <si>
    <t>2022-07-24</t>
  </si>
  <si>
    <t>27</t>
  </si>
  <si>
    <t>CI22009083</t>
  </si>
  <si>
    <t>주방 자동소화설비 부속품 교체공사</t>
  </si>
  <si>
    <t>2022-07-22</t>
  </si>
  <si>
    <t>28</t>
  </si>
  <si>
    <t>곤지암리조트운영센터</t>
  </si>
  <si>
    <t>CI22008462</t>
  </si>
  <si>
    <t>곤지암GC 주방용 외주기(항온항습기) 보수 작업</t>
  </si>
  <si>
    <t>2022-07-11</t>
  </si>
  <si>
    <t>2022-07-18</t>
  </si>
  <si>
    <t>김기현</t>
  </si>
  <si>
    <t>29</t>
  </si>
  <si>
    <t>CI22008268</t>
  </si>
  <si>
    <t>[ESPR:92582330]사택 9-404 주방벽 철거 및 타일교체</t>
  </si>
  <si>
    <t>2022-07-05</t>
  </si>
  <si>
    <t>92582330-70</t>
  </si>
  <si>
    <t>4560138559-10</t>
  </si>
  <si>
    <t>30</t>
  </si>
  <si>
    <t>CI22008264</t>
  </si>
  <si>
    <t>[ESPR:92582330]사택 8-206 주방벽 철거 및 타일교체</t>
  </si>
  <si>
    <t>92582330-20</t>
  </si>
  <si>
    <t>4560138555-10</t>
  </si>
  <si>
    <t>31</t>
  </si>
  <si>
    <t>CI22008138</t>
  </si>
  <si>
    <t>B2F T0공조기 및 주방급기 적산열량계 설치공사</t>
  </si>
  <si>
    <t>2022-07-01</t>
  </si>
  <si>
    <t>2022-07-20</t>
  </si>
  <si>
    <t>엄성철</t>
  </si>
  <si>
    <t>32</t>
  </si>
  <si>
    <t>U+상암운영센터</t>
  </si>
  <si>
    <t>CI22008057</t>
  </si>
  <si>
    <t>상암사옥 주방 배수펌프 교체 공사</t>
  </si>
  <si>
    <t>총액</t>
  </si>
  <si>
    <t>2022-06-30</t>
  </si>
  <si>
    <t>정민우</t>
  </si>
  <si>
    <t>33</t>
  </si>
  <si>
    <t>CI22008020</t>
  </si>
  <si>
    <t>B2F T0공조기 및 주방급기 전기계량기 설치공사</t>
  </si>
  <si>
    <t>이길호</t>
  </si>
  <si>
    <t>34</t>
  </si>
  <si>
    <t>디앤오강남빌딩운영센터</t>
  </si>
  <si>
    <t>CI22007980</t>
  </si>
  <si>
    <t>22년 고객사(LX세미콘) 사원식당 주방 보수 공사</t>
  </si>
  <si>
    <t>2022-07-09</t>
  </si>
  <si>
    <t>김중섭</t>
  </si>
  <si>
    <t>35</t>
  </si>
  <si>
    <t>CI22007713</t>
  </si>
  <si>
    <t>상암사옥 주방 배기덕트 여과망 교체 공사</t>
  </si>
  <si>
    <t>2022-06-18</t>
  </si>
  <si>
    <t>37</t>
  </si>
  <si>
    <t>CI22007307</t>
  </si>
  <si>
    <t>[ESPR:92578692]사택 9-306 주방벽 철거 및 타일교체</t>
  </si>
  <si>
    <t>2022-06-17</t>
  </si>
  <si>
    <t>92578692-110</t>
  </si>
  <si>
    <t>4560133194-10</t>
  </si>
  <si>
    <t>38</t>
  </si>
  <si>
    <t>CI22007304</t>
  </si>
  <si>
    <t>[ESPR:92578692]사택 9-201 주방벽 철거 및 타일설치</t>
  </si>
  <si>
    <t>92578692-90</t>
  </si>
  <si>
    <t>4560133192-10</t>
  </si>
  <si>
    <t>39</t>
  </si>
  <si>
    <t>CI22007056</t>
  </si>
  <si>
    <t>[ESPR:92577823]사택 8-306 주방 타일벽 교체 작업</t>
  </si>
  <si>
    <t>2022-06-10</t>
  </si>
  <si>
    <t>92577823-40</t>
  </si>
  <si>
    <t>4560131650-10</t>
  </si>
  <si>
    <t>40</t>
  </si>
  <si>
    <t>CI22006966</t>
  </si>
  <si>
    <t>[ESPR:92577235]사택 8-501 주방벽 철거 및 타일교체</t>
  </si>
  <si>
    <t>2022-06-09</t>
  </si>
  <si>
    <t>92577235-60</t>
  </si>
  <si>
    <t>4560130831-10</t>
  </si>
  <si>
    <t>41</t>
  </si>
  <si>
    <t>CI22006579</t>
  </si>
  <si>
    <t>A3동 3F 베이커리(주방) 냉난방기 설치를 위한 비계공사</t>
  </si>
  <si>
    <t>2022-06-01</t>
  </si>
  <si>
    <t>42</t>
  </si>
  <si>
    <t>CI22005473</t>
  </si>
  <si>
    <t>곤지암GC 클럽하우스 주방 벽체타일 보수</t>
  </si>
  <si>
    <t>2022-05-09</t>
  </si>
  <si>
    <t>2022-05-18</t>
  </si>
  <si>
    <t>백성기</t>
  </si>
  <si>
    <t>43</t>
  </si>
  <si>
    <t>CI22005293</t>
  </si>
  <si>
    <t>미라시아 주방 제빵기 전원 설치공사</t>
  </si>
  <si>
    <t>2022-05-02</t>
  </si>
  <si>
    <t>2022-05-20</t>
  </si>
  <si>
    <t>오창규</t>
  </si>
  <si>
    <t>44</t>
  </si>
  <si>
    <t>U+부산초량운영센터</t>
  </si>
  <si>
    <t>CI22005199</t>
  </si>
  <si>
    <t>옥상 주방 배기팬 보수</t>
  </si>
  <si>
    <t>2022-05-10</t>
  </si>
  <si>
    <t>2022-05-31</t>
  </si>
  <si>
    <t>전병곤</t>
  </si>
  <si>
    <t>45</t>
  </si>
  <si>
    <t>CI22004298</t>
  </si>
  <si>
    <t>A3동 3F 베이커리 매장 구성_주방 냉난방기 설치공사</t>
  </si>
  <si>
    <t>2022-04-18</t>
  </si>
  <si>
    <t>46</t>
  </si>
  <si>
    <t>CI22003433</t>
  </si>
  <si>
    <t>곤지암 GC 클럽하우스2층 주방 전열 추가 공사</t>
  </si>
  <si>
    <t>2022-03-28</t>
  </si>
  <si>
    <t>2022-04-04</t>
  </si>
  <si>
    <t>47</t>
  </si>
  <si>
    <t>CI22002815</t>
  </si>
  <si>
    <t>빌리지 노래방 주방 전기분전반 이설공사</t>
  </si>
  <si>
    <t>2022-03-16</t>
  </si>
  <si>
    <t>2022-04-08</t>
  </si>
  <si>
    <t>48</t>
  </si>
  <si>
    <t>CI22002567</t>
  </si>
  <si>
    <t xml:space="preserve">연구동 지하2층 메인주방 배수펌프 수선공사 </t>
  </si>
  <si>
    <t>2022-03-10</t>
  </si>
  <si>
    <t>2022-03-31</t>
  </si>
  <si>
    <t>최</t>
  </si>
  <si>
    <t>49</t>
  </si>
  <si>
    <t>CI22002388</t>
  </si>
  <si>
    <t>연구동 주방 세정실 스팀배관 개선공사</t>
  </si>
  <si>
    <t>2022-03-01</t>
  </si>
  <si>
    <t>2022-03-30</t>
  </si>
  <si>
    <t>50</t>
  </si>
  <si>
    <t>CI22002025</t>
  </si>
  <si>
    <t>현대카드 본사1관 지하1층 주방 손세정제 교체 공사</t>
  </si>
  <si>
    <t>2022-02-18</t>
  </si>
  <si>
    <t>2022-03-17</t>
  </si>
  <si>
    <t>51</t>
  </si>
  <si>
    <t>CI22001018</t>
  </si>
  <si>
    <t>'22년 전자서초R&amp;D운영센터 사원식당 주방 바닥 보수공사</t>
  </si>
  <si>
    <t>2022-01-29</t>
  </si>
  <si>
    <t>2022-02-28</t>
  </si>
  <si>
    <t>52</t>
  </si>
  <si>
    <t>트윈타워운영센터</t>
  </si>
  <si>
    <t>CI22000824</t>
  </si>
  <si>
    <t>트윈팰리스 주방 배기 댐퍼 교체 공사</t>
  </si>
  <si>
    <t>2022-01-20</t>
  </si>
  <si>
    <t>2022-02-04</t>
  </si>
  <si>
    <t>방건우</t>
  </si>
  <si>
    <t>53</t>
  </si>
  <si>
    <t>CI22000069</t>
  </si>
  <si>
    <t>(표준단가)A1 B2F 공조기계실 내 A1 1F 식당 주방 온수 공급용 Pump 주위배관 교체 작업</t>
  </si>
  <si>
    <t>2022-01-17</t>
  </si>
  <si>
    <t>허원</t>
  </si>
  <si>
    <t>54</t>
  </si>
  <si>
    <t>CI22000066</t>
  </si>
  <si>
    <t>(표준단가)A1 B2F 공조기계실 내 A1 1F 식당 주방 온수 공급용 Pump 교체(1대)</t>
  </si>
  <si>
    <t>2022-01-12</t>
  </si>
  <si>
    <t>안재득</t>
  </si>
  <si>
    <t>55</t>
  </si>
  <si>
    <t>CI21017393</t>
  </si>
  <si>
    <t>[유지보수]사외 식당 주방 배수설비 막힘에 따른 통수작업</t>
  </si>
  <si>
    <t>2022-01-07</t>
  </si>
  <si>
    <t>56</t>
  </si>
  <si>
    <t>CI21017231</t>
  </si>
  <si>
    <t>[표준단가]A1동 프랜차이즈 매장 주방 배관 연결 공사</t>
  </si>
  <si>
    <t>2021-12-29</t>
  </si>
  <si>
    <t>2021-12-31</t>
  </si>
  <si>
    <t>57</t>
  </si>
  <si>
    <t>DGIST운영센터</t>
  </si>
  <si>
    <t>CI21015383</t>
  </si>
  <si>
    <t>기혼자/교직원 숙소 주방등기구 교체</t>
  </si>
  <si>
    <t>2021-12-16</t>
  </si>
  <si>
    <t>정제민</t>
  </si>
  <si>
    <t>58</t>
  </si>
  <si>
    <t>CI21015164</t>
  </si>
  <si>
    <t>U+상암사옥 지하1층 식당 주방 타일 보수 공사</t>
  </si>
  <si>
    <t>2021-12-03</t>
  </si>
  <si>
    <t>2021-12-21</t>
  </si>
  <si>
    <t>이영환</t>
  </si>
  <si>
    <t>59</t>
  </si>
  <si>
    <t>CI21013372</t>
  </si>
  <si>
    <t>교직원/기혼자 숙소 주방등기구 교체</t>
  </si>
  <si>
    <t>2021-11-18</t>
  </si>
  <si>
    <t>2021-11-30</t>
  </si>
  <si>
    <t>정</t>
  </si>
  <si>
    <t>60</t>
  </si>
  <si>
    <t>CI21012917</t>
  </si>
  <si>
    <t>상업용 주방자동소화장치 설치 건</t>
  </si>
  <si>
    <t>2021-11-15</t>
  </si>
  <si>
    <t>2021-12-25</t>
  </si>
  <si>
    <t>이기성</t>
  </si>
  <si>
    <t>61</t>
  </si>
  <si>
    <t>CI21012086</t>
  </si>
  <si>
    <t>[화학PR:92991975]사택 6-104 누수로 인한 주방벽 보수</t>
  </si>
  <si>
    <t>2021-10-20</t>
  </si>
  <si>
    <t>92991975-20</t>
  </si>
  <si>
    <t>4509072791-10</t>
  </si>
  <si>
    <t>62</t>
  </si>
  <si>
    <t>CI21011813</t>
  </si>
  <si>
    <t>(유지보수)A1동 2F 중화요리 코너 배기환경 개선을 위한 주방 건축공사</t>
  </si>
  <si>
    <t>2021-09-28</t>
  </si>
  <si>
    <t>2022-01-31</t>
  </si>
  <si>
    <t>남</t>
  </si>
  <si>
    <t>63</t>
  </si>
  <si>
    <t>CI21011495</t>
  </si>
  <si>
    <t>현대카드 본사2관 로봇김밥 주방기구 철거 배관 설치 공사</t>
  </si>
  <si>
    <t>2021-09-17</t>
  </si>
  <si>
    <t>2021-10-15</t>
  </si>
  <si>
    <t>64</t>
  </si>
  <si>
    <t>CI21011478</t>
  </si>
  <si>
    <t>(파주) 파주 A1 2F 주방배기 개선작업 _ 차이웨이</t>
  </si>
  <si>
    <t>2021-10-01</t>
  </si>
  <si>
    <t>조승호</t>
  </si>
  <si>
    <t>65</t>
  </si>
  <si>
    <t>CI21011321</t>
  </si>
  <si>
    <t>라그로타주방 디퓨져 노후에따른 교체공사</t>
  </si>
  <si>
    <t>사내매출</t>
  </si>
  <si>
    <t>없음</t>
  </si>
  <si>
    <t>2021-09-16</t>
  </si>
  <si>
    <t>김광수</t>
  </si>
  <si>
    <t>66</t>
  </si>
  <si>
    <t>CI21010803</t>
  </si>
  <si>
    <t>현대카드 본사1관 주방 씽크대 수전 교체 및 2관 11층 씽크대 배수 트랩 교체</t>
  </si>
  <si>
    <t>2021-09-02</t>
  </si>
  <si>
    <t>2021-09-24</t>
  </si>
  <si>
    <t>67</t>
  </si>
  <si>
    <t>전자가산R&amp;D별관운영센터</t>
  </si>
  <si>
    <t>CI21010524</t>
  </si>
  <si>
    <t>별관동 식당 주방기기 보수(오븐)</t>
  </si>
  <si>
    <t>2021-08-30</t>
  </si>
  <si>
    <t>68</t>
  </si>
  <si>
    <t>CI21009991</t>
  </si>
  <si>
    <t>현대카드 본사1관 지하1층 주방 배관 통수 공사</t>
  </si>
  <si>
    <t>2021-08-11</t>
  </si>
  <si>
    <t>69</t>
  </si>
  <si>
    <t>CI21009966</t>
  </si>
  <si>
    <t>현대카드 본사1관 소주방 플로우트랩 교체공사</t>
  </si>
  <si>
    <t>2021-09-08</t>
  </si>
  <si>
    <t>70</t>
  </si>
  <si>
    <t>전자가산운영센터</t>
  </si>
  <si>
    <t>CI21009366</t>
  </si>
  <si>
    <t>가산A 주방 워크인 냉장고 보수</t>
  </si>
  <si>
    <t>2021-07-30</t>
  </si>
  <si>
    <t>2021-08-06</t>
  </si>
  <si>
    <t>양</t>
  </si>
  <si>
    <t>71</t>
  </si>
  <si>
    <t>신한은행운영센터</t>
  </si>
  <si>
    <t>CI21009126</t>
  </si>
  <si>
    <t>신한은행 주방기구 대행구입 납품</t>
  </si>
  <si>
    <t>2021-08-23</t>
  </si>
  <si>
    <t>2021-09-20</t>
  </si>
  <si>
    <t>안광진</t>
  </si>
  <si>
    <t>72</t>
  </si>
  <si>
    <t>CI21009022</t>
  </si>
  <si>
    <t>곤지암GC 주방 및 세차장 바닥 에폭시 도장공사</t>
  </si>
  <si>
    <t>2021-07-27</t>
  </si>
  <si>
    <t>2021-08-10</t>
  </si>
  <si>
    <t>73</t>
  </si>
  <si>
    <t>CI21008793</t>
  </si>
  <si>
    <t>힐링빌주방덕트 보완공사</t>
  </si>
  <si>
    <t>2021-07-21</t>
  </si>
  <si>
    <t>2021-07-26</t>
  </si>
  <si>
    <t>74</t>
  </si>
  <si>
    <t>CI21008772</t>
  </si>
  <si>
    <t>별관동 주방 배식대 수리</t>
  </si>
  <si>
    <t>2021-07-19</t>
  </si>
  <si>
    <t>75</t>
  </si>
  <si>
    <t>CI21008756</t>
  </si>
  <si>
    <t>연구동 주방 냉장창고 보수</t>
  </si>
  <si>
    <t>76</t>
  </si>
  <si>
    <t>신한은행강남운영센터</t>
  </si>
  <si>
    <t>CI21008616</t>
  </si>
  <si>
    <t>9층식당 주방후드세척-배관/덕트</t>
  </si>
  <si>
    <t>2021-07-22</t>
  </si>
  <si>
    <t>2021-08-31</t>
  </si>
  <si>
    <t>이선웅</t>
  </si>
  <si>
    <t>77</t>
  </si>
  <si>
    <t>CI21008347</t>
  </si>
  <si>
    <t>정상휴게소 주방 바닥 보수공사</t>
  </si>
  <si>
    <t>2021-07-12</t>
  </si>
  <si>
    <t>이</t>
  </si>
  <si>
    <t>78</t>
  </si>
  <si>
    <t>CI21008303</t>
  </si>
  <si>
    <t>[ESPR:92522696]사택 9-402 주방 벽타일 설치</t>
  </si>
  <si>
    <t>2021-10-31</t>
  </si>
  <si>
    <t>92522696-70</t>
  </si>
  <si>
    <t>4560053911-10</t>
  </si>
  <si>
    <t>79</t>
  </si>
  <si>
    <t>CI21008273</t>
  </si>
  <si>
    <t>현대카드 본사2관 주방 호스릴 교체 공사</t>
  </si>
  <si>
    <t>2021-07-07</t>
  </si>
  <si>
    <t>2021-08-04</t>
  </si>
  <si>
    <t>80</t>
  </si>
  <si>
    <t>CI21008239</t>
  </si>
  <si>
    <t>가산A 주방시설 보수공사</t>
  </si>
  <si>
    <t>2021-07-18</t>
  </si>
  <si>
    <t>81</t>
  </si>
  <si>
    <t>마포운영센터</t>
  </si>
  <si>
    <t>CI21007482</t>
  </si>
  <si>
    <t xml:space="preserve">[건물주임대수선공사]21년LG마포빌딩 사원식당 주주방 환경개선공사(건축) </t>
  </si>
  <si>
    <t>2021-07-01</t>
  </si>
  <si>
    <t>홍민</t>
  </si>
  <si>
    <t>82</t>
  </si>
  <si>
    <t>CI21007409</t>
  </si>
  <si>
    <t xml:space="preserve">[건물주임대수선공사]21년LG마포빌딩 사원식당 주주방 환경개선공사(소방) </t>
  </si>
  <si>
    <t>83</t>
  </si>
  <si>
    <t>CI21007386</t>
  </si>
  <si>
    <t>[건물주임대수선공사] 21년 LG마포빌딩 사원식당 주주방 환경개선공사(기계)</t>
  </si>
  <si>
    <t>김</t>
  </si>
  <si>
    <t>84</t>
  </si>
  <si>
    <t>CI21007347</t>
  </si>
  <si>
    <t xml:space="preserve">[건물주임대수선공사]21년LG마포빌딩 사원식당 주주방 환경개선공사(전기) </t>
  </si>
  <si>
    <t>186</t>
  </si>
  <si>
    <t>소방</t>
    <phoneticPr fontId="23" type="noConversion"/>
  </si>
  <si>
    <t>서울방재전문기술단</t>
    <phoneticPr fontId="23" type="noConversion"/>
  </si>
  <si>
    <t>매입계약금액</t>
    <phoneticPr fontId="23" type="noConversion"/>
  </si>
  <si>
    <t>하얀산업</t>
    <phoneticPr fontId="23" type="noConversion"/>
  </si>
  <si>
    <t>공종</t>
    <phoneticPr fontId="23" type="noConversion"/>
  </si>
  <si>
    <t>참조은이엔지</t>
    <phoneticPr fontId="23" type="noConversion"/>
  </si>
  <si>
    <t>소방/가스</t>
    <phoneticPr fontId="23" type="noConversion"/>
  </si>
  <si>
    <t>하얀산업, 보문엔지니어링</t>
    <phoneticPr fontId="23" type="noConversion"/>
  </si>
  <si>
    <t>U+안양운영센터</t>
  </si>
  <si>
    <t>CI22002793</t>
  </si>
  <si>
    <t>2022-03-18</t>
  </si>
  <si>
    <t>2022-03-22</t>
  </si>
  <si>
    <t>최지영</t>
  </si>
  <si>
    <t>가스</t>
    <phoneticPr fontId="23" type="noConversion"/>
  </si>
  <si>
    <t>보문엔지니어링</t>
    <phoneticPr fontId="23" type="noConversion"/>
  </si>
  <si>
    <t>U+안양사옥 식당 가스차단장치 교체 공사(누설)</t>
    <phoneticPr fontId="23" type="noConversion"/>
  </si>
  <si>
    <t>CI22010845</t>
  </si>
  <si>
    <t>연구동 주방 국솥 화재예방시스템 구축</t>
  </si>
  <si>
    <t>2022-08-24</t>
  </si>
  <si>
    <t>2022-09-20</t>
  </si>
  <si>
    <t xml:space="preserve"> </t>
  </si>
  <si>
    <t>그립</t>
    <phoneticPr fontId="23" type="noConversion"/>
  </si>
  <si>
    <t>기타</t>
    <phoneticPr fontId="23" type="noConversion"/>
  </si>
  <si>
    <t>협력업체</t>
    <phoneticPr fontId="23" type="noConversion"/>
  </si>
  <si>
    <t>공사일자</t>
    <phoneticPr fontId="23" type="noConversion"/>
  </si>
  <si>
    <t>센터명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</si>
</sst>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>
    <font>
      <sz val="11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u val="singleAccounting"/>
      <sz val="9"/>
      <color rgb="FF5995D2"/>
      <name val="Malgun Gothic"/>
      <family val="3"/>
      <charset val="129"/>
    </font>
    <font>
      <u val="singleAccounting"/>
      <sz val="9"/>
      <color rgb="FF5995D2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u val="singleAccounting"/>
      <sz val="9"/>
      <color rgb="FF5995D2"/>
      <name val="Malgun Gothic"/>
      <family val="3"/>
      <charset val="129"/>
    </font>
    <font>
      <u val="singleAccounting"/>
      <sz val="9"/>
      <color rgb="FF5995D2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DCDBD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CDBDA"/>
      </top>
      <bottom style="thin">
        <color rgb="FFDCDBDA"/>
      </bottom>
      <diagonal/>
    </border>
    <border>
      <left/>
      <right/>
      <top/>
      <bottom style="thin">
        <color rgb="FFE7E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3">
    <xf numFmtId="0" fontId="0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5" borderId="6" applyNumberFormat="0" applyFont="0" applyAlignment="0" applyProtection="0">
      <alignment vertical="center"/>
    </xf>
  </cellStyleXfs>
  <cellXfs count="83">
    <xf numFmtId="0" fontId="0" fillId="0" borderId="0" xfId="0">
      <alignment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left" vertical="center" wrapText="1"/>
    </xf>
    <xf numFmtId="49" fontId="8" fillId="4" borderId="5" xfId="0" applyNumberFormat="1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left" vertical="center" wrapText="1"/>
    </xf>
    <xf numFmtId="49" fontId="10" fillId="4" borderId="5" xfId="0" applyNumberFormat="1" applyFont="1" applyFill="1" applyBorder="1" applyAlignment="1">
      <alignment horizontal="left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2" fillId="4" borderId="5" xfId="0" applyNumberFormat="1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14" fillId="4" borderId="5" xfId="0" applyNumberFormat="1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horizontal="right" vertical="center" wrapText="1"/>
    </xf>
    <xf numFmtId="3" fontId="16" fillId="4" borderId="5" xfId="0" applyNumberFormat="1" applyFont="1" applyFill="1" applyBorder="1" applyAlignment="1">
      <alignment horizontal="right" vertical="center" wrapText="1"/>
    </xf>
    <xf numFmtId="49" fontId="17" fillId="3" borderId="5" xfId="0" applyNumberFormat="1" applyFont="1" applyFill="1" applyBorder="1" applyAlignment="1">
      <alignment horizontal="center" vertical="center" wrapText="1"/>
    </xf>
    <xf numFmtId="49" fontId="18" fillId="4" borderId="5" xfId="0" applyNumberFormat="1" applyFont="1" applyFill="1" applyBorder="1" applyAlignment="1">
      <alignment horizontal="center" vertical="center" wrapText="1"/>
    </xf>
    <xf numFmtId="3" fontId="19" fillId="3" borderId="5" xfId="0" applyNumberFormat="1" applyFont="1" applyFill="1" applyBorder="1" applyAlignment="1">
      <alignment horizontal="center" vertical="center" wrapText="1"/>
    </xf>
    <xf numFmtId="3" fontId="20" fillId="4" borderId="5" xfId="0" applyNumberFormat="1" applyFont="1" applyFill="1" applyBorder="1" applyAlignment="1">
      <alignment horizontal="center" vertical="center" wrapText="1"/>
    </xf>
    <xf numFmtId="49" fontId="21" fillId="3" borderId="5" xfId="0" applyNumberFormat="1" applyFont="1" applyFill="1" applyBorder="1" applyAlignment="1">
      <alignment horizontal="center" vertical="center" wrapText="1"/>
    </xf>
    <xf numFmtId="49" fontId="22" fillId="4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left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3" fontId="1" fillId="4" borderId="5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 wrapText="1"/>
    </xf>
    <xf numFmtId="3" fontId="16" fillId="4" borderId="6" xfId="0" applyNumberFormat="1" applyFont="1" applyFill="1" applyBorder="1" applyAlignment="1">
      <alignment horizontal="right" vertical="center" wrapText="1"/>
    </xf>
    <xf numFmtId="3" fontId="15" fillId="3" borderId="6" xfId="0" applyNumberFormat="1" applyFont="1" applyFill="1" applyBorder="1" applyAlignment="1">
      <alignment horizontal="right" vertical="center" wrapText="1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49" fontId="8" fillId="4" borderId="10" xfId="0" applyNumberFormat="1" applyFont="1" applyFill="1" applyBorder="1" applyAlignment="1">
      <alignment horizontal="left" vertical="center" wrapText="1"/>
    </xf>
    <xf numFmtId="49" fontId="10" fillId="4" borderId="10" xfId="0" applyNumberFormat="1" applyFont="1" applyFill="1" applyBorder="1" applyAlignment="1">
      <alignment horizontal="left" vertical="center" wrapText="1"/>
    </xf>
    <xf numFmtId="49" fontId="12" fillId="4" borderId="10" xfId="0" applyNumberFormat="1" applyFont="1" applyFill="1" applyBorder="1" applyAlignment="1">
      <alignment horizontal="center" vertical="center" wrapText="1"/>
    </xf>
    <xf numFmtId="49" fontId="14" fillId="4" borderId="10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left" vertical="center" wrapText="1"/>
    </xf>
    <xf numFmtId="49" fontId="1" fillId="3" borderId="10" xfId="0" applyNumberFormat="1" applyFont="1" applyFill="1" applyBorder="1" applyAlignment="1">
      <alignment horizontal="left" vertical="center" wrapText="1"/>
    </xf>
    <xf numFmtId="49" fontId="9" fillId="3" borderId="10" xfId="0" applyNumberFormat="1" applyFont="1" applyFill="1" applyBorder="1" applyAlignment="1">
      <alignment horizontal="left" vertical="center" wrapText="1"/>
    </xf>
    <xf numFmtId="49" fontId="11" fillId="3" borderId="10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>
      <alignment horizontal="center" vertical="center" wrapText="1"/>
    </xf>
    <xf numFmtId="3" fontId="1" fillId="3" borderId="10" xfId="0" applyNumberFormat="1" applyFont="1" applyFill="1" applyBorder="1" applyAlignment="1">
      <alignment horizontal="right" vertical="center" wrapText="1"/>
    </xf>
    <xf numFmtId="49" fontId="1" fillId="4" borderId="10" xfId="0" applyNumberFormat="1" applyFont="1" applyFill="1" applyBorder="1" applyAlignment="1">
      <alignment horizontal="left" vertical="center" wrapText="1"/>
    </xf>
    <xf numFmtId="49" fontId="9" fillId="4" borderId="10" xfId="0" applyNumberFormat="1" applyFont="1" applyFill="1" applyBorder="1" applyAlignment="1">
      <alignment horizontal="left" vertical="center" wrapText="1"/>
    </xf>
    <xf numFmtId="49" fontId="1" fillId="4" borderId="10" xfId="0" applyNumberFormat="1" applyFont="1" applyFill="1" applyBorder="1" applyAlignment="1">
      <alignment horizontal="center" vertical="center" wrapText="1"/>
    </xf>
    <xf numFmtId="49" fontId="8" fillId="4" borderId="7" xfId="0" applyNumberFormat="1" applyFont="1" applyFill="1" applyBorder="1" applyAlignment="1">
      <alignment horizontal="left" vertical="center" wrapText="1"/>
    </xf>
    <xf numFmtId="3" fontId="16" fillId="4" borderId="7" xfId="0" applyNumberFormat="1" applyFont="1" applyFill="1" applyBorder="1" applyAlignment="1">
      <alignment horizontal="right" vertical="center" wrapText="1"/>
    </xf>
    <xf numFmtId="49" fontId="7" fillId="3" borderId="7" xfId="0" applyNumberFormat="1" applyFont="1" applyFill="1" applyBorder="1" applyAlignment="1">
      <alignment horizontal="left" vertical="center" wrapText="1"/>
    </xf>
    <xf numFmtId="3" fontId="15" fillId="3" borderId="7" xfId="0" applyNumberFormat="1" applyFont="1" applyFill="1" applyBorder="1" applyAlignment="1">
      <alignment horizontal="right" vertical="center" wrapText="1"/>
    </xf>
    <xf numFmtId="3" fontId="16" fillId="4" borderId="11" xfId="0" applyNumberFormat="1" applyFont="1" applyFill="1" applyBorder="1" applyAlignment="1">
      <alignment horizontal="right" vertical="center" wrapText="1"/>
    </xf>
    <xf numFmtId="0" fontId="0" fillId="0" borderId="11" xfId="0" applyBorder="1">
      <alignment vertical="center"/>
    </xf>
    <xf numFmtId="3" fontId="15" fillId="3" borderId="12" xfId="0" applyNumberFormat="1" applyFont="1" applyFill="1" applyBorder="1" applyAlignment="1">
      <alignment horizontal="right" vertical="center" wrapText="1"/>
    </xf>
    <xf numFmtId="0" fontId="0" fillId="0" borderId="12" xfId="0" applyBorder="1">
      <alignment vertical="center"/>
    </xf>
    <xf numFmtId="3" fontId="15" fillId="3" borderId="13" xfId="0" applyNumberFormat="1" applyFont="1" applyFill="1" applyBorder="1" applyAlignment="1">
      <alignment horizontal="right" vertical="center" wrapText="1"/>
    </xf>
    <xf numFmtId="0" fontId="0" fillId="0" borderId="13" xfId="0" applyBorder="1">
      <alignment vertical="center"/>
    </xf>
    <xf numFmtId="49" fontId="8" fillId="0" borderId="8" xfId="0" applyNumberFormat="1" applyFont="1" applyFill="1" applyBorder="1" applyAlignment="1">
      <alignment horizontal="left" vertical="center" wrapText="1"/>
    </xf>
    <xf numFmtId="49" fontId="7" fillId="0" borderId="8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3" fontId="16" fillId="0" borderId="8" xfId="2" applyNumberFormat="1" applyFont="1" applyFill="1" applyBorder="1" applyAlignment="1">
      <alignment horizontal="right" vertical="center" wrapText="1"/>
    </xf>
    <xf numFmtId="49" fontId="1" fillId="0" borderId="8" xfId="2" applyNumberFormat="1" applyFont="1" applyFill="1" applyBorder="1" applyAlignment="1">
      <alignment horizontal="center" vertical="center" wrapText="1"/>
    </xf>
    <xf numFmtId="3" fontId="15" fillId="0" borderId="8" xfId="2" applyNumberFormat="1" applyFont="1" applyFill="1" applyBorder="1" applyAlignment="1">
      <alignment horizontal="right" vertical="center" wrapText="1"/>
    </xf>
    <xf numFmtId="3" fontId="1" fillId="0" borderId="8" xfId="2" applyNumberFormat="1" applyFont="1" applyFill="1" applyBorder="1" applyAlignment="1">
      <alignment horizontal="right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3" fillId="0" borderId="8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vertical="center" wrapText="1"/>
    </xf>
    <xf numFmtId="49" fontId="3" fillId="2" borderId="9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6" borderId="8" xfId="0" applyNumberFormat="1" applyFont="1" applyFill="1" applyBorder="1" applyAlignment="1">
      <alignment horizontal="left" vertical="center" wrapText="1"/>
    </xf>
    <xf numFmtId="49" fontId="1" fillId="6" borderId="8" xfId="0" applyNumberFormat="1" applyFont="1" applyFill="1" applyBorder="1" applyAlignment="1">
      <alignment horizontal="center" vertical="center" wrapText="1"/>
    </xf>
    <xf numFmtId="41" fontId="1" fillId="6" borderId="8" xfId="1" applyFont="1" applyFill="1" applyBorder="1" applyAlignment="1">
      <alignment horizontal="right" vertical="center" wrapText="1"/>
    </xf>
    <xf numFmtId="49" fontId="1" fillId="6" borderId="8" xfId="2" applyNumberFormat="1" applyFont="1" applyFill="1" applyBorder="1" applyAlignment="1">
      <alignment horizontal="center" vertical="center" wrapText="1"/>
    </xf>
  </cellXfs>
  <cellStyles count="3">
    <cellStyle name="메모" xfId="2" builtinId="10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87"/>
  <sheetViews>
    <sheetView tabSelected="1" topLeftCell="C1" zoomScaleNormal="100" workbookViewId="0">
      <pane ySplit="2" topLeftCell="A3" activePane="bottomLeft" state="frozen"/>
      <selection pane="bottomLeft" activeCell="E93" sqref="E93"/>
    </sheetView>
  </sheetViews>
  <sheetFormatPr defaultRowHeight="16.5"/>
  <cols>
    <col min="1" max="1" width="5" hidden="1" customWidth="1"/>
    <col min="2" max="2" width="7.75" hidden="1" customWidth="1"/>
    <col min="3" max="3" width="23.25" customWidth="1"/>
    <col min="4" max="4" width="10.625" hidden="1" customWidth="1"/>
    <col min="5" max="5" width="53.375" customWidth="1"/>
    <col min="6" max="7" width="10" hidden="1" customWidth="1"/>
    <col min="8" max="8" width="10.625" hidden="1" customWidth="1"/>
    <col min="9" max="9" width="10.625" customWidth="1"/>
    <col min="10" max="10" width="10.625" hidden="1" customWidth="1"/>
    <col min="11" max="11" width="8.75" hidden="1" customWidth="1"/>
    <col min="12" max="12" width="7.75" hidden="1" customWidth="1"/>
    <col min="13" max="13" width="12.5" customWidth="1"/>
    <col min="14" max="15" width="8.75" hidden="1" customWidth="1"/>
    <col min="16" max="24" width="6.25" hidden="1" customWidth="1"/>
    <col min="25" max="26" width="8.125" hidden="1" customWidth="1"/>
    <col min="27" max="27" width="10.375" hidden="1" customWidth="1"/>
    <col min="28" max="28" width="10.75" hidden="1" customWidth="1"/>
    <col min="29" max="30" width="11.25" hidden="1" customWidth="1"/>
    <col min="31" max="31" width="13.125" customWidth="1"/>
    <col min="32" max="32" width="24.5" customWidth="1"/>
  </cols>
  <sheetData>
    <row r="1" spans="1:32" ht="18" customHeight="1">
      <c r="A1" s="76" t="s">
        <v>0</v>
      </c>
      <c r="B1" s="77" t="s">
        <v>1</v>
      </c>
      <c r="C1" s="60" t="s">
        <v>524</v>
      </c>
      <c r="D1" s="70" t="s">
        <v>2</v>
      </c>
      <c r="E1" s="67" t="s">
        <v>3</v>
      </c>
      <c r="F1" s="71" t="s">
        <v>4</v>
      </c>
      <c r="G1" s="74" t="s">
        <v>5</v>
      </c>
      <c r="H1" s="75" t="s">
        <v>6</v>
      </c>
      <c r="I1" s="68" t="s">
        <v>523</v>
      </c>
      <c r="J1" s="72"/>
      <c r="K1" s="74" t="s">
        <v>7</v>
      </c>
      <c r="L1" s="75" t="s">
        <v>8</v>
      </c>
      <c r="M1" s="68" t="s">
        <v>501</v>
      </c>
      <c r="N1" s="74" t="s">
        <v>9</v>
      </c>
      <c r="O1" s="74" t="s">
        <v>10</v>
      </c>
      <c r="P1" s="74"/>
      <c r="Q1" s="74" t="s">
        <v>11</v>
      </c>
      <c r="R1" s="74"/>
      <c r="S1" s="74" t="s">
        <v>12</v>
      </c>
      <c r="T1" s="74"/>
      <c r="U1" s="74"/>
      <c r="V1" s="74" t="s">
        <v>13</v>
      </c>
      <c r="W1" s="74"/>
      <c r="X1" s="74"/>
      <c r="Y1" s="74" t="s">
        <v>14</v>
      </c>
      <c r="Z1" s="74" t="s">
        <v>15</v>
      </c>
      <c r="AA1" s="74" t="s">
        <v>16</v>
      </c>
      <c r="AB1" s="74" t="s">
        <v>17</v>
      </c>
      <c r="AC1" s="74" t="s">
        <v>18</v>
      </c>
      <c r="AD1" s="75" t="s">
        <v>19</v>
      </c>
      <c r="AE1" s="60" t="s">
        <v>503</v>
      </c>
      <c r="AF1" s="60" t="s">
        <v>522</v>
      </c>
    </row>
    <row r="2" spans="1:32" ht="27" hidden="1" customHeight="1">
      <c r="A2" s="76"/>
      <c r="B2" s="78"/>
      <c r="C2" s="69"/>
      <c r="D2" s="71"/>
      <c r="E2" s="73"/>
      <c r="F2" s="71"/>
      <c r="G2" s="74"/>
      <c r="H2" s="74"/>
      <c r="I2" s="1" t="s">
        <v>20</v>
      </c>
      <c r="J2" s="1" t="s">
        <v>21</v>
      </c>
      <c r="K2" s="74"/>
      <c r="L2" s="74"/>
      <c r="M2" s="73"/>
      <c r="N2" s="74"/>
      <c r="O2" s="1" t="s">
        <v>22</v>
      </c>
      <c r="P2" s="1" t="s">
        <v>23</v>
      </c>
      <c r="Q2" s="1" t="s">
        <v>24</v>
      </c>
      <c r="R2" s="1" t="s">
        <v>25</v>
      </c>
      <c r="S2" s="1" t="s">
        <v>24</v>
      </c>
      <c r="T2" s="1" t="s">
        <v>26</v>
      </c>
      <c r="U2" s="1" t="s">
        <v>25</v>
      </c>
      <c r="V2" s="1" t="s">
        <v>27</v>
      </c>
      <c r="W2" s="1" t="s">
        <v>28</v>
      </c>
      <c r="X2" s="1" t="s">
        <v>29</v>
      </c>
      <c r="Y2" s="74"/>
      <c r="Z2" s="74"/>
      <c r="AA2" s="74"/>
      <c r="AB2" s="74"/>
      <c r="AC2" s="74"/>
      <c r="AD2" s="74"/>
    </row>
    <row r="3" spans="1:32" ht="18" hidden="1" customHeight="1">
      <c r="A3" s="2" t="s">
        <v>30</v>
      </c>
      <c r="B3" s="4" t="s">
        <v>31</v>
      </c>
      <c r="C3" s="4" t="s">
        <v>32</v>
      </c>
      <c r="D3" s="6" t="s">
        <v>33</v>
      </c>
      <c r="E3" s="4" t="s">
        <v>34</v>
      </c>
      <c r="F3" s="4" t="s">
        <v>35</v>
      </c>
      <c r="G3" s="4" t="s">
        <v>36</v>
      </c>
      <c r="H3" s="8" t="s">
        <v>37</v>
      </c>
      <c r="I3" s="4" t="s">
        <v>38</v>
      </c>
      <c r="J3" s="4" t="s">
        <v>39</v>
      </c>
      <c r="K3" s="10" t="s">
        <v>40</v>
      </c>
      <c r="L3" s="10" t="s">
        <v>40</v>
      </c>
      <c r="M3" s="12"/>
      <c r="N3" s="8" t="s">
        <v>41</v>
      </c>
      <c r="O3" s="10"/>
      <c r="P3" s="14" t="s">
        <v>42</v>
      </c>
      <c r="Q3" s="16">
        <v>0</v>
      </c>
      <c r="R3" s="16">
        <v>0</v>
      </c>
      <c r="S3" s="16">
        <v>1</v>
      </c>
      <c r="T3" s="16">
        <v>1</v>
      </c>
      <c r="U3" s="16">
        <v>0</v>
      </c>
      <c r="V3" s="16">
        <v>0</v>
      </c>
      <c r="W3" s="16">
        <v>0</v>
      </c>
      <c r="X3" s="14" t="s">
        <v>43</v>
      </c>
      <c r="Y3" s="14" t="s">
        <v>42</v>
      </c>
      <c r="Z3" s="14" t="s">
        <v>42</v>
      </c>
      <c r="AA3" s="18" t="s">
        <v>42</v>
      </c>
      <c r="AB3" s="8" t="s">
        <v>42</v>
      </c>
      <c r="AC3" s="8" t="s">
        <v>44</v>
      </c>
      <c r="AD3" s="8"/>
      <c r="AE3" s="32"/>
      <c r="AF3" s="32"/>
    </row>
    <row r="4" spans="1:32" ht="18" hidden="1" customHeight="1">
      <c r="A4" s="3" t="s">
        <v>45</v>
      </c>
      <c r="B4" s="5" t="s">
        <v>31</v>
      </c>
      <c r="C4" s="5" t="s">
        <v>32</v>
      </c>
      <c r="D4" s="7" t="s">
        <v>46</v>
      </c>
      <c r="E4" s="5" t="s">
        <v>47</v>
      </c>
      <c r="F4" s="5" t="s">
        <v>35</v>
      </c>
      <c r="G4" s="5" t="s">
        <v>36</v>
      </c>
      <c r="H4" s="9" t="s">
        <v>37</v>
      </c>
      <c r="I4" s="5" t="s">
        <v>38</v>
      </c>
      <c r="J4" s="5" t="s">
        <v>39</v>
      </c>
      <c r="K4" s="11" t="s">
        <v>40</v>
      </c>
      <c r="L4" s="11" t="s">
        <v>40</v>
      </c>
      <c r="M4" s="13"/>
      <c r="N4" s="9" t="s">
        <v>41</v>
      </c>
      <c r="O4" s="11"/>
      <c r="P4" s="15" t="s">
        <v>42</v>
      </c>
      <c r="Q4" s="17">
        <v>0</v>
      </c>
      <c r="R4" s="17">
        <v>0</v>
      </c>
      <c r="S4" s="17">
        <v>1</v>
      </c>
      <c r="T4" s="17">
        <v>1</v>
      </c>
      <c r="U4" s="17">
        <v>0</v>
      </c>
      <c r="V4" s="17">
        <v>0</v>
      </c>
      <c r="W4" s="17">
        <v>0</v>
      </c>
      <c r="X4" s="15" t="s">
        <v>43</v>
      </c>
      <c r="Y4" s="15" t="s">
        <v>42</v>
      </c>
      <c r="Z4" s="15" t="s">
        <v>42</v>
      </c>
      <c r="AA4" s="19" t="s">
        <v>42</v>
      </c>
      <c r="AB4" s="9" t="s">
        <v>42</v>
      </c>
      <c r="AC4" s="9" t="s">
        <v>48</v>
      </c>
      <c r="AD4" s="9"/>
      <c r="AE4" s="32"/>
      <c r="AF4" s="32"/>
    </row>
    <row r="5" spans="1:32" ht="18" hidden="1" customHeight="1">
      <c r="A5" s="3" t="s">
        <v>56</v>
      </c>
      <c r="B5" s="5" t="s">
        <v>57</v>
      </c>
      <c r="C5" s="5" t="s">
        <v>58</v>
      </c>
      <c r="D5" s="7" t="s">
        <v>59</v>
      </c>
      <c r="E5" s="5" t="s">
        <v>60</v>
      </c>
      <c r="F5" s="5" t="s">
        <v>35</v>
      </c>
      <c r="G5" s="5" t="s">
        <v>36</v>
      </c>
      <c r="H5" s="9" t="s">
        <v>37</v>
      </c>
      <c r="I5" s="5" t="s">
        <v>61</v>
      </c>
      <c r="J5" s="5" t="s">
        <v>62</v>
      </c>
      <c r="K5" s="11" t="s">
        <v>40</v>
      </c>
      <c r="L5" s="11" t="s">
        <v>40</v>
      </c>
      <c r="M5" s="13"/>
      <c r="N5" s="9" t="s">
        <v>63</v>
      </c>
      <c r="O5" s="11"/>
      <c r="P5" s="15" t="s">
        <v>42</v>
      </c>
      <c r="Q5" s="17">
        <v>0</v>
      </c>
      <c r="R5" s="17">
        <v>0</v>
      </c>
      <c r="S5" s="17">
        <v>1</v>
      </c>
      <c r="T5" s="17">
        <v>1</v>
      </c>
      <c r="U5" s="17">
        <v>1</v>
      </c>
      <c r="V5" s="17">
        <v>0</v>
      </c>
      <c r="W5" s="17">
        <v>0</v>
      </c>
      <c r="X5" s="15" t="s">
        <v>43</v>
      </c>
      <c r="Y5" s="15" t="s">
        <v>42</v>
      </c>
      <c r="Z5" s="15" t="s">
        <v>42</v>
      </c>
      <c r="AA5" s="19" t="s">
        <v>42</v>
      </c>
      <c r="AB5" s="9" t="s">
        <v>42</v>
      </c>
      <c r="AC5" s="9"/>
      <c r="AD5" s="9"/>
    </row>
    <row r="6" spans="1:32" ht="18" hidden="1" customHeight="1">
      <c r="A6" s="2" t="s">
        <v>64</v>
      </c>
      <c r="B6" s="4" t="s">
        <v>57</v>
      </c>
      <c r="C6" s="4" t="s">
        <v>65</v>
      </c>
      <c r="D6" s="6" t="s">
        <v>66</v>
      </c>
      <c r="E6" s="4" t="s">
        <v>67</v>
      </c>
      <c r="F6" s="4" t="s">
        <v>35</v>
      </c>
      <c r="G6" s="4" t="s">
        <v>36</v>
      </c>
      <c r="H6" s="8" t="s">
        <v>37</v>
      </c>
      <c r="I6" s="4" t="s">
        <v>68</v>
      </c>
      <c r="J6" s="4" t="s">
        <v>62</v>
      </c>
      <c r="K6" s="10" t="s">
        <v>40</v>
      </c>
      <c r="L6" s="10" t="s">
        <v>40</v>
      </c>
      <c r="M6" s="12"/>
      <c r="N6" s="8" t="s">
        <v>69</v>
      </c>
      <c r="O6" s="10"/>
      <c r="P6" s="14" t="s">
        <v>42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4" t="s">
        <v>43</v>
      </c>
      <c r="Y6" s="14" t="s">
        <v>42</v>
      </c>
      <c r="Z6" s="14" t="s">
        <v>42</v>
      </c>
      <c r="AA6" s="18" t="s">
        <v>42</v>
      </c>
      <c r="AB6" s="8" t="s">
        <v>42</v>
      </c>
      <c r="AC6" s="8"/>
      <c r="AD6" s="8"/>
    </row>
    <row r="7" spans="1:32" ht="18" hidden="1" customHeight="1">
      <c r="A7" s="2" t="s">
        <v>49</v>
      </c>
      <c r="B7" s="4" t="s">
        <v>31</v>
      </c>
      <c r="C7" s="4" t="s">
        <v>50</v>
      </c>
      <c r="D7" s="6" t="s">
        <v>51</v>
      </c>
      <c r="E7" s="4" t="s">
        <v>52</v>
      </c>
      <c r="F7" s="4"/>
      <c r="G7" s="4"/>
      <c r="H7" s="8" t="s">
        <v>37</v>
      </c>
      <c r="I7" s="4" t="s">
        <v>53</v>
      </c>
      <c r="J7" s="4" t="s">
        <v>53</v>
      </c>
      <c r="K7" s="10" t="s">
        <v>40</v>
      </c>
      <c r="L7" s="10" t="s">
        <v>40</v>
      </c>
      <c r="M7" s="12"/>
      <c r="N7" s="8" t="s">
        <v>54</v>
      </c>
      <c r="O7" s="10"/>
      <c r="P7" s="14" t="s">
        <v>42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4" t="s">
        <v>43</v>
      </c>
      <c r="Y7" s="14" t="s">
        <v>42</v>
      </c>
      <c r="Z7" s="14" t="s">
        <v>42</v>
      </c>
      <c r="AA7" s="18" t="s">
        <v>42</v>
      </c>
      <c r="AB7" s="8" t="s">
        <v>42</v>
      </c>
      <c r="AC7" s="8" t="s">
        <v>55</v>
      </c>
      <c r="AD7" s="8"/>
    </row>
    <row r="8" spans="1:32" ht="18" hidden="1" customHeight="1">
      <c r="A8" s="3" t="s">
        <v>70</v>
      </c>
      <c r="B8" s="5" t="s">
        <v>57</v>
      </c>
      <c r="C8" s="5" t="s">
        <v>71</v>
      </c>
      <c r="D8" s="7" t="s">
        <v>72</v>
      </c>
      <c r="E8" s="5" t="s">
        <v>73</v>
      </c>
      <c r="F8" s="5" t="s">
        <v>74</v>
      </c>
      <c r="G8" s="5" t="s">
        <v>36</v>
      </c>
      <c r="H8" s="9" t="s">
        <v>75</v>
      </c>
      <c r="I8" s="5" t="s">
        <v>76</v>
      </c>
      <c r="J8" s="5" t="s">
        <v>77</v>
      </c>
      <c r="K8" s="11" t="s">
        <v>40</v>
      </c>
      <c r="L8" s="11" t="s">
        <v>40</v>
      </c>
      <c r="M8" s="13">
        <v>3930000</v>
      </c>
      <c r="N8" s="9" t="s">
        <v>78</v>
      </c>
      <c r="O8" s="11"/>
      <c r="P8" s="15" t="s">
        <v>42</v>
      </c>
      <c r="Q8" s="17">
        <v>1</v>
      </c>
      <c r="R8" s="17">
        <v>1</v>
      </c>
      <c r="S8" s="17">
        <v>1</v>
      </c>
      <c r="T8" s="17">
        <v>1</v>
      </c>
      <c r="U8" s="17">
        <v>1</v>
      </c>
      <c r="V8" s="17">
        <v>2</v>
      </c>
      <c r="W8" s="17">
        <v>2</v>
      </c>
      <c r="X8" s="15" t="s">
        <v>79</v>
      </c>
      <c r="Y8" s="15" t="s">
        <v>42</v>
      </c>
      <c r="Z8" s="15" t="s">
        <v>42</v>
      </c>
      <c r="AA8" s="19" t="s">
        <v>42</v>
      </c>
      <c r="AB8" s="9" t="s">
        <v>42</v>
      </c>
      <c r="AC8" s="9"/>
      <c r="AD8" s="9"/>
    </row>
    <row r="9" spans="1:32" ht="18" hidden="1" customHeight="1">
      <c r="A9" s="2" t="s">
        <v>80</v>
      </c>
      <c r="B9" s="4" t="s">
        <v>57</v>
      </c>
      <c r="C9" s="4" t="s">
        <v>81</v>
      </c>
      <c r="D9" s="6" t="s">
        <v>82</v>
      </c>
      <c r="E9" s="4" t="s">
        <v>83</v>
      </c>
      <c r="F9" s="4" t="s">
        <v>35</v>
      </c>
      <c r="G9" s="4" t="s">
        <v>36</v>
      </c>
      <c r="H9" s="8" t="s">
        <v>84</v>
      </c>
      <c r="I9" s="4" t="s">
        <v>85</v>
      </c>
      <c r="J9" s="4" t="s">
        <v>86</v>
      </c>
      <c r="K9" s="10" t="s">
        <v>40</v>
      </c>
      <c r="L9" s="10" t="s">
        <v>40</v>
      </c>
      <c r="M9" s="12">
        <v>1031400</v>
      </c>
      <c r="N9" s="8" t="s">
        <v>87</v>
      </c>
      <c r="O9" s="10"/>
      <c r="P9" s="14" t="s">
        <v>42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0</v>
      </c>
      <c r="W9" s="16">
        <v>0</v>
      </c>
      <c r="X9" s="14" t="s">
        <v>43</v>
      </c>
      <c r="Y9" s="14" t="s">
        <v>79</v>
      </c>
      <c r="Z9" s="14" t="s">
        <v>42</v>
      </c>
      <c r="AA9" s="18" t="s">
        <v>42</v>
      </c>
      <c r="AB9" s="8" t="s">
        <v>42</v>
      </c>
      <c r="AC9" s="8"/>
      <c r="AD9" s="8"/>
    </row>
    <row r="10" spans="1:32" ht="18" hidden="1" customHeight="1">
      <c r="A10" s="3" t="s">
        <v>88</v>
      </c>
      <c r="B10" s="5" t="s">
        <v>31</v>
      </c>
      <c r="C10" s="5" t="s">
        <v>32</v>
      </c>
      <c r="D10" s="7" t="s">
        <v>89</v>
      </c>
      <c r="E10" s="5" t="s">
        <v>90</v>
      </c>
      <c r="F10" s="5" t="s">
        <v>35</v>
      </c>
      <c r="G10" s="5" t="s">
        <v>36</v>
      </c>
      <c r="H10" s="9" t="s">
        <v>75</v>
      </c>
      <c r="I10" s="5" t="s">
        <v>91</v>
      </c>
      <c r="J10" s="5" t="s">
        <v>92</v>
      </c>
      <c r="K10" s="11" t="s">
        <v>40</v>
      </c>
      <c r="L10" s="11" t="s">
        <v>40</v>
      </c>
      <c r="M10" s="13">
        <v>797650</v>
      </c>
      <c r="N10" s="9" t="s">
        <v>41</v>
      </c>
      <c r="O10" s="11"/>
      <c r="P10" s="15" t="s">
        <v>42</v>
      </c>
      <c r="Q10" s="17">
        <v>1</v>
      </c>
      <c r="R10" s="17">
        <v>1</v>
      </c>
      <c r="S10" s="17">
        <v>1</v>
      </c>
      <c r="T10" s="17">
        <v>1</v>
      </c>
      <c r="U10" s="17">
        <v>1</v>
      </c>
      <c r="V10" s="17">
        <v>0</v>
      </c>
      <c r="W10" s="17">
        <v>0</v>
      </c>
      <c r="X10" s="15" t="s">
        <v>43</v>
      </c>
      <c r="Y10" s="15" t="s">
        <v>42</v>
      </c>
      <c r="Z10" s="15" t="s">
        <v>42</v>
      </c>
      <c r="AA10" s="19" t="s">
        <v>42</v>
      </c>
      <c r="AB10" s="9" t="s">
        <v>42</v>
      </c>
      <c r="AC10" s="9" t="s">
        <v>93</v>
      </c>
      <c r="AD10" s="9" t="s">
        <v>94</v>
      </c>
    </row>
    <row r="11" spans="1:32" ht="18" hidden="1" customHeight="1">
      <c r="A11" s="2" t="s">
        <v>95</v>
      </c>
      <c r="B11" s="4" t="s">
        <v>31</v>
      </c>
      <c r="C11" s="4" t="s">
        <v>50</v>
      </c>
      <c r="D11" s="6" t="s">
        <v>96</v>
      </c>
      <c r="E11" s="4" t="s">
        <v>97</v>
      </c>
      <c r="F11" s="4" t="s">
        <v>35</v>
      </c>
      <c r="G11" s="4" t="s">
        <v>36</v>
      </c>
      <c r="H11" s="8" t="s">
        <v>75</v>
      </c>
      <c r="I11" s="4" t="s">
        <v>98</v>
      </c>
      <c r="J11" s="4" t="s">
        <v>62</v>
      </c>
      <c r="K11" s="10" t="s">
        <v>40</v>
      </c>
      <c r="L11" s="10" t="s">
        <v>40</v>
      </c>
      <c r="M11" s="12">
        <v>1300750</v>
      </c>
      <c r="N11" s="8" t="s">
        <v>54</v>
      </c>
      <c r="O11" s="10"/>
      <c r="P11" s="14" t="s">
        <v>42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0</v>
      </c>
      <c r="W11" s="16">
        <v>0</v>
      </c>
      <c r="X11" s="14" t="s">
        <v>43</v>
      </c>
      <c r="Y11" s="14" t="s">
        <v>42</v>
      </c>
      <c r="Z11" s="14" t="s">
        <v>42</v>
      </c>
      <c r="AA11" s="18" t="s">
        <v>42</v>
      </c>
      <c r="AB11" s="8" t="s">
        <v>42</v>
      </c>
      <c r="AC11" s="8" t="s">
        <v>99</v>
      </c>
      <c r="AD11" s="8" t="s">
        <v>100</v>
      </c>
    </row>
    <row r="12" spans="1:32" ht="18" hidden="1" customHeight="1">
      <c r="A12" s="2" t="s">
        <v>108</v>
      </c>
      <c r="B12" s="4" t="s">
        <v>31</v>
      </c>
      <c r="C12" s="4" t="s">
        <v>50</v>
      </c>
      <c r="D12" s="6" t="s">
        <v>109</v>
      </c>
      <c r="E12" s="4" t="s">
        <v>110</v>
      </c>
      <c r="F12" s="4" t="s">
        <v>35</v>
      </c>
      <c r="G12" s="4" t="s">
        <v>36</v>
      </c>
      <c r="H12" s="8" t="s">
        <v>75</v>
      </c>
      <c r="I12" s="4" t="s">
        <v>111</v>
      </c>
      <c r="J12" s="4" t="s">
        <v>62</v>
      </c>
      <c r="K12" s="10" t="s">
        <v>40</v>
      </c>
      <c r="L12" s="10" t="s">
        <v>40</v>
      </c>
      <c r="M12" s="12">
        <v>1300750</v>
      </c>
      <c r="N12" s="8" t="s">
        <v>54</v>
      </c>
      <c r="O12" s="10"/>
      <c r="P12" s="14" t="s">
        <v>42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0</v>
      </c>
      <c r="W12" s="16">
        <v>0</v>
      </c>
      <c r="X12" s="14" t="s">
        <v>43</v>
      </c>
      <c r="Y12" s="14" t="s">
        <v>42</v>
      </c>
      <c r="Z12" s="14" t="s">
        <v>42</v>
      </c>
      <c r="AA12" s="18" t="s">
        <v>42</v>
      </c>
      <c r="AB12" s="8" t="s">
        <v>42</v>
      </c>
      <c r="AC12" s="8" t="s">
        <v>112</v>
      </c>
      <c r="AD12" s="8" t="s">
        <v>113</v>
      </c>
    </row>
    <row r="13" spans="1:32" ht="18" hidden="1" customHeight="1">
      <c r="A13" s="3" t="s">
        <v>101</v>
      </c>
      <c r="B13" s="5" t="s">
        <v>57</v>
      </c>
      <c r="C13" s="5" t="s">
        <v>102</v>
      </c>
      <c r="D13" s="7" t="s">
        <v>103</v>
      </c>
      <c r="E13" s="5" t="s">
        <v>104</v>
      </c>
      <c r="F13" s="5" t="s">
        <v>74</v>
      </c>
      <c r="G13" s="5" t="s">
        <v>36</v>
      </c>
      <c r="H13" s="9" t="s">
        <v>105</v>
      </c>
      <c r="I13" s="5" t="s">
        <v>106</v>
      </c>
      <c r="J13" s="5" t="s">
        <v>62</v>
      </c>
      <c r="K13" s="11" t="s">
        <v>40</v>
      </c>
      <c r="L13" s="11" t="s">
        <v>40</v>
      </c>
      <c r="M13" s="13">
        <v>2670000</v>
      </c>
      <c r="N13" s="9" t="s">
        <v>107</v>
      </c>
      <c r="O13" s="11"/>
      <c r="P13" s="15" t="s">
        <v>42</v>
      </c>
      <c r="Q13" s="17">
        <v>1</v>
      </c>
      <c r="R13" s="17">
        <v>1</v>
      </c>
      <c r="S13" s="17">
        <v>1</v>
      </c>
      <c r="T13" s="17">
        <v>1</v>
      </c>
      <c r="U13" s="17">
        <v>1</v>
      </c>
      <c r="V13" s="17">
        <v>2</v>
      </c>
      <c r="W13" s="17">
        <v>2</v>
      </c>
      <c r="X13" s="15" t="s">
        <v>79</v>
      </c>
      <c r="Y13" s="15" t="s">
        <v>79</v>
      </c>
      <c r="Z13" s="15" t="s">
        <v>79</v>
      </c>
      <c r="AA13" s="19" t="s">
        <v>42</v>
      </c>
      <c r="AB13" s="9" t="s">
        <v>42</v>
      </c>
      <c r="AC13" s="9"/>
      <c r="AD13" s="9"/>
    </row>
    <row r="14" spans="1:32" ht="18" hidden="1" customHeight="1">
      <c r="A14" s="3" t="s">
        <v>114</v>
      </c>
      <c r="B14" s="5" t="s">
        <v>57</v>
      </c>
      <c r="C14" s="47" t="s">
        <v>115</v>
      </c>
      <c r="D14" s="7" t="s">
        <v>116</v>
      </c>
      <c r="E14" s="47" t="s">
        <v>117</v>
      </c>
      <c r="F14" s="5" t="s">
        <v>35</v>
      </c>
      <c r="G14" s="5" t="s">
        <v>36</v>
      </c>
      <c r="H14" s="9" t="s">
        <v>84</v>
      </c>
      <c r="I14" s="47" t="s">
        <v>118</v>
      </c>
      <c r="J14" s="47" t="s">
        <v>119</v>
      </c>
      <c r="K14" s="11" t="s">
        <v>40</v>
      </c>
      <c r="L14" s="11" t="s">
        <v>40</v>
      </c>
      <c r="M14" s="48">
        <v>3150000</v>
      </c>
      <c r="N14" s="9" t="s">
        <v>120</v>
      </c>
      <c r="O14" s="11"/>
      <c r="P14" s="15" t="s">
        <v>42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0</v>
      </c>
      <c r="W14" s="17">
        <v>0</v>
      </c>
      <c r="X14" s="15" t="s">
        <v>43</v>
      </c>
      <c r="Y14" s="15" t="s">
        <v>79</v>
      </c>
      <c r="Z14" s="15" t="s">
        <v>42</v>
      </c>
      <c r="AA14" s="19" t="s">
        <v>42</v>
      </c>
      <c r="AB14" s="9" t="s">
        <v>42</v>
      </c>
      <c r="AC14" s="9"/>
      <c r="AD14" s="9"/>
    </row>
    <row r="15" spans="1:32" ht="18" customHeight="1">
      <c r="A15" s="3" t="s">
        <v>126</v>
      </c>
      <c r="B15" s="33" t="s">
        <v>57</v>
      </c>
      <c r="C15" s="57" t="s">
        <v>65</v>
      </c>
      <c r="D15" s="34" t="s">
        <v>127</v>
      </c>
      <c r="E15" s="57" t="s">
        <v>128</v>
      </c>
      <c r="F15" s="5" t="s">
        <v>35</v>
      </c>
      <c r="G15" s="5" t="s">
        <v>36</v>
      </c>
      <c r="H15" s="35" t="s">
        <v>105</v>
      </c>
      <c r="I15" s="65" t="s">
        <v>129</v>
      </c>
      <c r="J15" s="65" t="s">
        <v>130</v>
      </c>
      <c r="K15" s="11" t="s">
        <v>30</v>
      </c>
      <c r="L15" s="36" t="s">
        <v>40</v>
      </c>
      <c r="M15" s="61">
        <f>1600000+3010000</f>
        <v>4610000</v>
      </c>
      <c r="N15" s="9" t="s">
        <v>131</v>
      </c>
      <c r="O15" s="11"/>
      <c r="P15" s="15" t="s">
        <v>42</v>
      </c>
      <c r="Q15" s="17">
        <v>1</v>
      </c>
      <c r="R15" s="17">
        <v>1</v>
      </c>
      <c r="S15" s="17">
        <v>2</v>
      </c>
      <c r="T15" s="17">
        <v>2</v>
      </c>
      <c r="U15" s="17">
        <v>2</v>
      </c>
      <c r="V15" s="17">
        <v>0</v>
      </c>
      <c r="W15" s="17">
        <v>0</v>
      </c>
      <c r="X15" s="15" t="s">
        <v>43</v>
      </c>
      <c r="Y15" s="15" t="s">
        <v>79</v>
      </c>
      <c r="Z15" s="15" t="s">
        <v>79</v>
      </c>
      <c r="AA15" s="19" t="s">
        <v>42</v>
      </c>
      <c r="AB15" s="9" t="s">
        <v>42</v>
      </c>
      <c r="AC15" s="9"/>
      <c r="AD15" s="35"/>
      <c r="AE15" s="62" t="s">
        <v>505</v>
      </c>
      <c r="AF15" s="62" t="s">
        <v>506</v>
      </c>
    </row>
    <row r="16" spans="1:32" ht="18" hidden="1" customHeight="1">
      <c r="A16" s="2" t="s">
        <v>132</v>
      </c>
      <c r="B16" s="4" t="s">
        <v>31</v>
      </c>
      <c r="C16" s="4" t="s">
        <v>50</v>
      </c>
      <c r="D16" s="6" t="s">
        <v>133</v>
      </c>
      <c r="E16" s="4" t="s">
        <v>134</v>
      </c>
      <c r="F16" s="4" t="s">
        <v>35</v>
      </c>
      <c r="G16" s="4" t="s">
        <v>36</v>
      </c>
      <c r="H16" s="8" t="s">
        <v>105</v>
      </c>
      <c r="I16" s="4" t="s">
        <v>135</v>
      </c>
      <c r="J16" s="4" t="s">
        <v>86</v>
      </c>
      <c r="K16" s="10" t="s">
        <v>40</v>
      </c>
      <c r="L16" s="10" t="s">
        <v>40</v>
      </c>
      <c r="M16" s="53">
        <v>1300750</v>
      </c>
      <c r="N16" s="8" t="s">
        <v>54</v>
      </c>
      <c r="O16" s="10"/>
      <c r="P16" s="14" t="s">
        <v>42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0</v>
      </c>
      <c r="W16" s="16">
        <v>0</v>
      </c>
      <c r="X16" s="14" t="s">
        <v>43</v>
      </c>
      <c r="Y16" s="14" t="s">
        <v>79</v>
      </c>
      <c r="Z16" s="14" t="s">
        <v>79</v>
      </c>
      <c r="AA16" s="18" t="s">
        <v>42</v>
      </c>
      <c r="AB16" s="8" t="s">
        <v>42</v>
      </c>
      <c r="AC16" s="8" t="s">
        <v>136</v>
      </c>
      <c r="AD16" s="8" t="s">
        <v>137</v>
      </c>
      <c r="AE16" s="54"/>
      <c r="AF16" s="54"/>
    </row>
    <row r="17" spans="1:32" ht="18" hidden="1" customHeight="1">
      <c r="A17" s="2" t="s">
        <v>121</v>
      </c>
      <c r="B17" s="4" t="s">
        <v>57</v>
      </c>
      <c r="C17" s="49" t="s">
        <v>81</v>
      </c>
      <c r="D17" s="6" t="s">
        <v>122</v>
      </c>
      <c r="E17" s="49" t="s">
        <v>123</v>
      </c>
      <c r="F17" s="4" t="s">
        <v>35</v>
      </c>
      <c r="G17" s="4" t="s">
        <v>36</v>
      </c>
      <c r="H17" s="8" t="s">
        <v>105</v>
      </c>
      <c r="I17" s="49" t="s">
        <v>124</v>
      </c>
      <c r="J17" s="49" t="s">
        <v>106</v>
      </c>
      <c r="K17" s="10" t="s">
        <v>40</v>
      </c>
      <c r="L17" s="10" t="s">
        <v>40</v>
      </c>
      <c r="M17" s="50">
        <v>3312700</v>
      </c>
      <c r="N17" s="8" t="s">
        <v>125</v>
      </c>
      <c r="O17" s="10"/>
      <c r="P17" s="14" t="s">
        <v>42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0</v>
      </c>
      <c r="W17" s="16">
        <v>0</v>
      </c>
      <c r="X17" s="14" t="s">
        <v>43</v>
      </c>
      <c r="Y17" s="14" t="s">
        <v>79</v>
      </c>
      <c r="Z17" s="14" t="s">
        <v>79</v>
      </c>
      <c r="AA17" s="18" t="s">
        <v>42</v>
      </c>
      <c r="AB17" s="8" t="s">
        <v>42</v>
      </c>
      <c r="AC17" s="8"/>
      <c r="AD17" s="8"/>
    </row>
    <row r="18" spans="1:32" ht="18" customHeight="1">
      <c r="A18" s="2" t="s">
        <v>144</v>
      </c>
      <c r="B18" s="37" t="s">
        <v>57</v>
      </c>
      <c r="C18" s="58" t="s">
        <v>145</v>
      </c>
      <c r="D18" s="39" t="s">
        <v>146</v>
      </c>
      <c r="E18" s="58" t="s">
        <v>147</v>
      </c>
      <c r="F18" s="4" t="s">
        <v>35</v>
      </c>
      <c r="G18" s="4" t="s">
        <v>36</v>
      </c>
      <c r="H18" s="40" t="s">
        <v>105</v>
      </c>
      <c r="I18" s="66" t="s">
        <v>148</v>
      </c>
      <c r="J18" s="66" t="s">
        <v>106</v>
      </c>
      <c r="K18" s="10" t="s">
        <v>40</v>
      </c>
      <c r="L18" s="42" t="s">
        <v>40</v>
      </c>
      <c r="M18" s="63">
        <f>1896000</f>
        <v>1896000</v>
      </c>
      <c r="N18" s="8" t="s">
        <v>149</v>
      </c>
      <c r="O18" s="10"/>
      <c r="P18" s="14" t="s">
        <v>42</v>
      </c>
      <c r="Q18" s="16">
        <v>1</v>
      </c>
      <c r="R18" s="16">
        <v>1</v>
      </c>
      <c r="S18" s="16">
        <v>2</v>
      </c>
      <c r="T18" s="16">
        <v>2</v>
      </c>
      <c r="U18" s="16">
        <v>2</v>
      </c>
      <c r="V18" s="16">
        <v>0</v>
      </c>
      <c r="W18" s="16">
        <v>0</v>
      </c>
      <c r="X18" s="14" t="s">
        <v>43</v>
      </c>
      <c r="Y18" s="14" t="s">
        <v>79</v>
      </c>
      <c r="Z18" s="14" t="s">
        <v>79</v>
      </c>
      <c r="AA18" s="18" t="s">
        <v>42</v>
      </c>
      <c r="AB18" s="8" t="s">
        <v>42</v>
      </c>
      <c r="AC18" s="8"/>
      <c r="AD18" s="40"/>
      <c r="AE18" s="62" t="s">
        <v>505</v>
      </c>
      <c r="AF18" s="62" t="s">
        <v>506</v>
      </c>
    </row>
    <row r="19" spans="1:32" ht="18" customHeight="1">
      <c r="A19" s="21" t="s">
        <v>80</v>
      </c>
      <c r="B19" s="38" t="s">
        <v>57</v>
      </c>
      <c r="C19" s="79" t="s">
        <v>81</v>
      </c>
      <c r="D19" s="39" t="s">
        <v>515</v>
      </c>
      <c r="E19" s="79" t="s">
        <v>516</v>
      </c>
      <c r="F19" s="22" t="s">
        <v>35</v>
      </c>
      <c r="G19" s="22" t="s">
        <v>36</v>
      </c>
      <c r="H19" s="41" t="s">
        <v>105</v>
      </c>
      <c r="I19" s="80" t="s">
        <v>517</v>
      </c>
      <c r="J19" s="60" t="s">
        <v>518</v>
      </c>
      <c r="K19" s="23" t="s">
        <v>40</v>
      </c>
      <c r="L19" s="43">
        <v>4558200</v>
      </c>
      <c r="M19" s="81">
        <v>4260000</v>
      </c>
      <c r="N19" s="23" t="s">
        <v>87</v>
      </c>
      <c r="O19" s="23" t="s">
        <v>519</v>
      </c>
      <c r="P19" s="23" t="s">
        <v>519</v>
      </c>
      <c r="Q19" s="23" t="s">
        <v>519</v>
      </c>
      <c r="R19" s="23" t="s">
        <v>519</v>
      </c>
      <c r="S19" s="23" t="s">
        <v>519</v>
      </c>
      <c r="T19" s="23" t="s">
        <v>519</v>
      </c>
      <c r="U19" s="23" t="s">
        <v>519</v>
      </c>
      <c r="V19" s="23" t="s">
        <v>519</v>
      </c>
      <c r="W19" s="23" t="s">
        <v>519</v>
      </c>
      <c r="X19" s="23" t="s">
        <v>519</v>
      </c>
      <c r="Y19" s="23" t="s">
        <v>519</v>
      </c>
      <c r="Z19" s="23" t="s">
        <v>519</v>
      </c>
      <c r="AA19" s="23" t="s">
        <v>519</v>
      </c>
      <c r="AB19" s="23" t="s">
        <v>519</v>
      </c>
      <c r="AC19" s="23" t="s">
        <v>519</v>
      </c>
      <c r="AD19" s="41" t="s">
        <v>519</v>
      </c>
      <c r="AE19" s="82" t="s">
        <v>521</v>
      </c>
      <c r="AF19" s="82" t="s">
        <v>520</v>
      </c>
    </row>
    <row r="20" spans="1:32" ht="18" hidden="1" customHeight="1">
      <c r="A20" s="2" t="s">
        <v>154</v>
      </c>
      <c r="B20" s="4" t="s">
        <v>57</v>
      </c>
      <c r="C20" s="4" t="s">
        <v>71</v>
      </c>
      <c r="D20" s="6" t="s">
        <v>155</v>
      </c>
      <c r="E20" s="4" t="s">
        <v>156</v>
      </c>
      <c r="F20" s="4" t="s">
        <v>74</v>
      </c>
      <c r="G20" s="4" t="s">
        <v>36</v>
      </c>
      <c r="H20" s="8" t="s">
        <v>84</v>
      </c>
      <c r="I20" s="4" t="s">
        <v>157</v>
      </c>
      <c r="J20" s="4" t="s">
        <v>106</v>
      </c>
      <c r="K20" s="10" t="s">
        <v>40</v>
      </c>
      <c r="L20" s="10" t="s">
        <v>40</v>
      </c>
      <c r="M20" s="12">
        <v>4340000</v>
      </c>
      <c r="N20" s="8" t="s">
        <v>78</v>
      </c>
      <c r="O20" s="10"/>
      <c r="P20" s="14" t="s">
        <v>42</v>
      </c>
      <c r="Q20" s="16">
        <v>1</v>
      </c>
      <c r="R20" s="16">
        <v>1</v>
      </c>
      <c r="S20" s="16">
        <v>1</v>
      </c>
      <c r="T20" s="16">
        <v>1</v>
      </c>
      <c r="U20" s="16">
        <v>1</v>
      </c>
      <c r="V20" s="16">
        <v>2</v>
      </c>
      <c r="W20" s="16">
        <v>2</v>
      </c>
      <c r="X20" s="14" t="s">
        <v>79</v>
      </c>
      <c r="Y20" s="14" t="s">
        <v>79</v>
      </c>
      <c r="Z20" s="14" t="s">
        <v>42</v>
      </c>
      <c r="AA20" s="18" t="s">
        <v>43</v>
      </c>
      <c r="AB20" s="8" t="s">
        <v>42</v>
      </c>
      <c r="AC20" s="8"/>
      <c r="AD20" s="8"/>
    </row>
    <row r="21" spans="1:32" ht="18" hidden="1" customHeight="1">
      <c r="A21" s="3" t="s">
        <v>158</v>
      </c>
      <c r="B21" s="5" t="s">
        <v>57</v>
      </c>
      <c r="C21" s="47" t="s">
        <v>71</v>
      </c>
      <c r="D21" s="7" t="s">
        <v>159</v>
      </c>
      <c r="E21" s="47" t="s">
        <v>160</v>
      </c>
      <c r="F21" s="5" t="s">
        <v>74</v>
      </c>
      <c r="G21" s="5" t="s">
        <v>36</v>
      </c>
      <c r="H21" s="9" t="s">
        <v>84</v>
      </c>
      <c r="I21" s="47" t="s">
        <v>157</v>
      </c>
      <c r="J21" s="47" t="s">
        <v>106</v>
      </c>
      <c r="K21" s="11" t="s">
        <v>40</v>
      </c>
      <c r="L21" s="11" t="s">
        <v>40</v>
      </c>
      <c r="M21" s="48">
        <v>5160000</v>
      </c>
      <c r="N21" s="9" t="s">
        <v>78</v>
      </c>
      <c r="O21" s="11"/>
      <c r="P21" s="15" t="s">
        <v>42</v>
      </c>
      <c r="Q21" s="17">
        <v>1</v>
      </c>
      <c r="R21" s="17">
        <v>1</v>
      </c>
      <c r="S21" s="17">
        <v>1</v>
      </c>
      <c r="T21" s="17">
        <v>1</v>
      </c>
      <c r="U21" s="17">
        <v>1</v>
      </c>
      <c r="V21" s="17">
        <v>2</v>
      </c>
      <c r="W21" s="17">
        <v>2</v>
      </c>
      <c r="X21" s="15" t="s">
        <v>79</v>
      </c>
      <c r="Y21" s="15" t="s">
        <v>79</v>
      </c>
      <c r="Z21" s="15" t="s">
        <v>42</v>
      </c>
      <c r="AA21" s="19" t="s">
        <v>43</v>
      </c>
      <c r="AB21" s="9" t="s">
        <v>42</v>
      </c>
      <c r="AC21" s="9"/>
      <c r="AD21" s="9"/>
    </row>
    <row r="22" spans="1:32" ht="18" customHeight="1">
      <c r="A22" s="3" t="s">
        <v>138</v>
      </c>
      <c r="B22" s="33" t="s">
        <v>57</v>
      </c>
      <c r="C22" s="57" t="s">
        <v>81</v>
      </c>
      <c r="D22" s="34" t="s">
        <v>139</v>
      </c>
      <c r="E22" s="57" t="s">
        <v>140</v>
      </c>
      <c r="F22" s="5" t="s">
        <v>35</v>
      </c>
      <c r="G22" s="5" t="s">
        <v>36</v>
      </c>
      <c r="H22" s="35" t="s">
        <v>105</v>
      </c>
      <c r="I22" s="65" t="s">
        <v>141</v>
      </c>
      <c r="J22" s="65" t="s">
        <v>142</v>
      </c>
      <c r="K22" s="11" t="s">
        <v>40</v>
      </c>
      <c r="L22" s="36" t="s">
        <v>40</v>
      </c>
      <c r="M22" s="61">
        <v>4067000</v>
      </c>
      <c r="N22" s="9" t="s">
        <v>143</v>
      </c>
      <c r="O22" s="11"/>
      <c r="P22" s="15" t="s">
        <v>79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0</v>
      </c>
      <c r="W22" s="17">
        <v>0</v>
      </c>
      <c r="X22" s="15" t="s">
        <v>43</v>
      </c>
      <c r="Y22" s="15" t="s">
        <v>79</v>
      </c>
      <c r="Z22" s="15" t="s">
        <v>79</v>
      </c>
      <c r="AA22" s="19" t="s">
        <v>42</v>
      </c>
      <c r="AB22" s="9" t="s">
        <v>42</v>
      </c>
      <c r="AC22" s="9"/>
      <c r="AD22" s="35"/>
      <c r="AE22" s="62" t="s">
        <v>499</v>
      </c>
      <c r="AF22" s="62" t="s">
        <v>500</v>
      </c>
    </row>
    <row r="23" spans="1:32" ht="18" customHeight="1">
      <c r="A23" s="2" t="s">
        <v>171</v>
      </c>
      <c r="B23" s="37" t="s">
        <v>57</v>
      </c>
      <c r="C23" s="58" t="s">
        <v>172</v>
      </c>
      <c r="D23" s="39" t="s">
        <v>173</v>
      </c>
      <c r="E23" s="58" t="s">
        <v>174</v>
      </c>
      <c r="F23" s="4" t="s">
        <v>35</v>
      </c>
      <c r="G23" s="4" t="s">
        <v>36</v>
      </c>
      <c r="H23" s="40" t="s">
        <v>105</v>
      </c>
      <c r="I23" s="66" t="s">
        <v>175</v>
      </c>
      <c r="J23" s="66" t="s">
        <v>176</v>
      </c>
      <c r="K23" s="10" t="s">
        <v>40</v>
      </c>
      <c r="L23" s="42" t="s">
        <v>40</v>
      </c>
      <c r="M23" s="63">
        <v>15243000</v>
      </c>
      <c r="N23" s="8" t="s">
        <v>177</v>
      </c>
      <c r="O23" s="10"/>
      <c r="P23" s="14" t="s">
        <v>42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0</v>
      </c>
      <c r="W23" s="16">
        <v>0</v>
      </c>
      <c r="X23" s="14" t="s">
        <v>43</v>
      </c>
      <c r="Y23" s="14" t="s">
        <v>79</v>
      </c>
      <c r="Z23" s="14" t="s">
        <v>79</v>
      </c>
      <c r="AA23" s="18" t="s">
        <v>42</v>
      </c>
      <c r="AB23" s="8" t="s">
        <v>42</v>
      </c>
      <c r="AC23" s="8"/>
      <c r="AD23" s="40"/>
      <c r="AE23" s="62" t="s">
        <v>499</v>
      </c>
      <c r="AF23" s="62" t="s">
        <v>500</v>
      </c>
    </row>
    <row r="24" spans="1:32" ht="18" hidden="1" customHeight="1">
      <c r="A24" s="3" t="s">
        <v>150</v>
      </c>
      <c r="B24" s="5" t="s">
        <v>57</v>
      </c>
      <c r="C24" s="5" t="s">
        <v>81</v>
      </c>
      <c r="D24" s="7" t="s">
        <v>151</v>
      </c>
      <c r="E24" s="5" t="s">
        <v>152</v>
      </c>
      <c r="F24" s="5" t="s">
        <v>35</v>
      </c>
      <c r="G24" s="5" t="s">
        <v>36</v>
      </c>
      <c r="H24" s="9" t="s">
        <v>105</v>
      </c>
      <c r="I24" s="5" t="s">
        <v>153</v>
      </c>
      <c r="J24" s="5" t="s">
        <v>142</v>
      </c>
      <c r="K24" s="11" t="s">
        <v>40</v>
      </c>
      <c r="L24" s="11" t="s">
        <v>40</v>
      </c>
      <c r="M24" s="13">
        <v>1888500</v>
      </c>
      <c r="N24" s="9" t="s">
        <v>87</v>
      </c>
      <c r="O24" s="11"/>
      <c r="P24" s="15" t="s">
        <v>42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0</v>
      </c>
      <c r="W24" s="17">
        <v>0</v>
      </c>
      <c r="X24" s="15" t="s">
        <v>43</v>
      </c>
      <c r="Y24" s="15" t="s">
        <v>79</v>
      </c>
      <c r="Z24" s="15" t="s">
        <v>79</v>
      </c>
      <c r="AA24" s="19" t="s">
        <v>42</v>
      </c>
      <c r="AB24" s="9" t="s">
        <v>42</v>
      </c>
      <c r="AC24" s="9"/>
      <c r="AD24" s="9"/>
    </row>
    <row r="25" spans="1:32" ht="18" hidden="1" customHeight="1">
      <c r="A25" s="2" t="s">
        <v>161</v>
      </c>
      <c r="B25" s="4" t="s">
        <v>57</v>
      </c>
      <c r="C25" s="4" t="s">
        <v>71</v>
      </c>
      <c r="D25" s="6" t="s">
        <v>162</v>
      </c>
      <c r="E25" s="4" t="s">
        <v>163</v>
      </c>
      <c r="F25" s="4" t="s">
        <v>74</v>
      </c>
      <c r="G25" s="4" t="s">
        <v>36</v>
      </c>
      <c r="H25" s="8" t="s">
        <v>84</v>
      </c>
      <c r="I25" s="4" t="s">
        <v>164</v>
      </c>
      <c r="J25" s="4" t="s">
        <v>106</v>
      </c>
      <c r="K25" s="10" t="s">
        <v>40</v>
      </c>
      <c r="L25" s="10" t="s">
        <v>40</v>
      </c>
      <c r="M25" s="30">
        <v>11870000</v>
      </c>
      <c r="N25" s="8" t="s">
        <v>78</v>
      </c>
      <c r="O25" s="10"/>
      <c r="P25" s="14" t="s">
        <v>42</v>
      </c>
      <c r="Q25" s="16">
        <v>1</v>
      </c>
      <c r="R25" s="16">
        <v>1</v>
      </c>
      <c r="S25" s="16">
        <v>1</v>
      </c>
      <c r="T25" s="16">
        <v>1</v>
      </c>
      <c r="U25" s="16">
        <v>1</v>
      </c>
      <c r="V25" s="16">
        <v>2</v>
      </c>
      <c r="W25" s="16">
        <v>2</v>
      </c>
      <c r="X25" s="14" t="s">
        <v>79</v>
      </c>
      <c r="Y25" s="14" t="s">
        <v>79</v>
      </c>
      <c r="Z25" s="14" t="s">
        <v>42</v>
      </c>
      <c r="AA25" s="18" t="s">
        <v>42</v>
      </c>
      <c r="AB25" s="8" t="s">
        <v>42</v>
      </c>
      <c r="AC25" s="8"/>
      <c r="AD25" s="8"/>
      <c r="AE25" s="31"/>
      <c r="AF25" s="31"/>
    </row>
    <row r="26" spans="1:32" ht="18" hidden="1" customHeight="1">
      <c r="A26" s="3" t="s">
        <v>165</v>
      </c>
      <c r="B26" s="5" t="s">
        <v>57</v>
      </c>
      <c r="C26" s="47" t="s">
        <v>166</v>
      </c>
      <c r="D26" s="7" t="s">
        <v>167</v>
      </c>
      <c r="E26" s="47" t="s">
        <v>168</v>
      </c>
      <c r="F26" s="5" t="s">
        <v>35</v>
      </c>
      <c r="G26" s="5" t="s">
        <v>36</v>
      </c>
      <c r="H26" s="9" t="s">
        <v>84</v>
      </c>
      <c r="I26" s="47" t="s">
        <v>169</v>
      </c>
      <c r="J26" s="47" t="s">
        <v>148</v>
      </c>
      <c r="K26" s="11" t="s">
        <v>40</v>
      </c>
      <c r="L26" s="11" t="s">
        <v>40</v>
      </c>
      <c r="M26" s="51">
        <v>4572000</v>
      </c>
      <c r="N26" s="9" t="s">
        <v>170</v>
      </c>
      <c r="O26" s="11"/>
      <c r="P26" s="15" t="s">
        <v>42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0</v>
      </c>
      <c r="W26" s="17">
        <v>0</v>
      </c>
      <c r="X26" s="15" t="s">
        <v>43</v>
      </c>
      <c r="Y26" s="15" t="s">
        <v>79</v>
      </c>
      <c r="Z26" s="15" t="s">
        <v>42</v>
      </c>
      <c r="AA26" s="19" t="s">
        <v>42</v>
      </c>
      <c r="AB26" s="9" t="s">
        <v>42</v>
      </c>
      <c r="AC26" s="9"/>
      <c r="AD26" s="9"/>
      <c r="AE26" s="52"/>
      <c r="AF26" s="52"/>
    </row>
    <row r="27" spans="1:32" ht="18" customHeight="1">
      <c r="A27" s="3" t="s">
        <v>178</v>
      </c>
      <c r="B27" s="33" t="s">
        <v>57</v>
      </c>
      <c r="C27" s="57" t="s">
        <v>179</v>
      </c>
      <c r="D27" s="34" t="s">
        <v>180</v>
      </c>
      <c r="E27" s="57" t="s">
        <v>181</v>
      </c>
      <c r="F27" s="5" t="s">
        <v>35</v>
      </c>
      <c r="G27" s="5" t="s">
        <v>36</v>
      </c>
      <c r="H27" s="35" t="s">
        <v>105</v>
      </c>
      <c r="I27" s="65" t="s">
        <v>182</v>
      </c>
      <c r="J27" s="65" t="s">
        <v>183</v>
      </c>
      <c r="K27" s="11" t="s">
        <v>40</v>
      </c>
      <c r="L27" s="36" t="s">
        <v>40</v>
      </c>
      <c r="M27" s="61">
        <v>8864000</v>
      </c>
      <c r="N27" s="9" t="s">
        <v>184</v>
      </c>
      <c r="O27" s="11"/>
      <c r="P27" s="15" t="s">
        <v>42</v>
      </c>
      <c r="Q27" s="17">
        <v>1</v>
      </c>
      <c r="R27" s="17">
        <v>1</v>
      </c>
      <c r="S27" s="17">
        <v>2</v>
      </c>
      <c r="T27" s="17">
        <v>1</v>
      </c>
      <c r="U27" s="17">
        <v>1</v>
      </c>
      <c r="V27" s="17">
        <v>0</v>
      </c>
      <c r="W27" s="17">
        <v>0</v>
      </c>
      <c r="X27" s="15" t="s">
        <v>43</v>
      </c>
      <c r="Y27" s="15" t="s">
        <v>79</v>
      </c>
      <c r="Z27" s="15" t="s">
        <v>79</v>
      </c>
      <c r="AA27" s="19" t="s">
        <v>42</v>
      </c>
      <c r="AB27" s="9" t="s">
        <v>42</v>
      </c>
      <c r="AC27" s="9"/>
      <c r="AD27" s="35"/>
      <c r="AE27" s="62" t="s">
        <v>499</v>
      </c>
      <c r="AF27" s="62" t="s">
        <v>500</v>
      </c>
    </row>
    <row r="28" spans="1:32" ht="18" hidden="1" customHeight="1">
      <c r="A28" s="2" t="s">
        <v>185</v>
      </c>
      <c r="B28" s="4" t="s">
        <v>57</v>
      </c>
      <c r="C28" s="49" t="s">
        <v>186</v>
      </c>
      <c r="D28" s="6" t="s">
        <v>187</v>
      </c>
      <c r="E28" s="49" t="s">
        <v>188</v>
      </c>
      <c r="F28" s="4" t="s">
        <v>35</v>
      </c>
      <c r="G28" s="4" t="s">
        <v>36</v>
      </c>
      <c r="H28" s="8" t="s">
        <v>105</v>
      </c>
      <c r="I28" s="49" t="s">
        <v>189</v>
      </c>
      <c r="J28" s="49" t="s">
        <v>190</v>
      </c>
      <c r="K28" s="10" t="s">
        <v>40</v>
      </c>
      <c r="L28" s="10" t="s">
        <v>40</v>
      </c>
      <c r="M28" s="55">
        <v>1527000</v>
      </c>
      <c r="N28" s="8" t="s">
        <v>191</v>
      </c>
      <c r="O28" s="10"/>
      <c r="P28" s="14" t="s">
        <v>42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0</v>
      </c>
      <c r="W28" s="16">
        <v>0</v>
      </c>
      <c r="X28" s="14" t="s">
        <v>43</v>
      </c>
      <c r="Y28" s="14" t="s">
        <v>79</v>
      </c>
      <c r="Z28" s="14" t="s">
        <v>79</v>
      </c>
      <c r="AA28" s="18" t="s">
        <v>42</v>
      </c>
      <c r="AB28" s="8" t="s">
        <v>42</v>
      </c>
      <c r="AC28" s="8"/>
      <c r="AD28" s="8"/>
      <c r="AE28" s="56"/>
      <c r="AF28" s="56"/>
    </row>
    <row r="29" spans="1:32" ht="18" customHeight="1">
      <c r="A29" s="3" t="s">
        <v>192</v>
      </c>
      <c r="B29" s="33" t="s">
        <v>57</v>
      </c>
      <c r="C29" s="57" t="s">
        <v>65</v>
      </c>
      <c r="D29" s="34" t="s">
        <v>193</v>
      </c>
      <c r="E29" s="57" t="s">
        <v>194</v>
      </c>
      <c r="F29" s="5" t="s">
        <v>35</v>
      </c>
      <c r="G29" s="5" t="s">
        <v>36</v>
      </c>
      <c r="H29" s="35" t="s">
        <v>84</v>
      </c>
      <c r="I29" s="65" t="s">
        <v>195</v>
      </c>
      <c r="J29" s="65" t="s">
        <v>196</v>
      </c>
      <c r="K29" s="11" t="s">
        <v>40</v>
      </c>
      <c r="L29" s="36" t="s">
        <v>40</v>
      </c>
      <c r="M29" s="61">
        <v>5030000</v>
      </c>
      <c r="N29" s="9" t="s">
        <v>131</v>
      </c>
      <c r="O29" s="11"/>
      <c r="P29" s="15" t="s">
        <v>42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0</v>
      </c>
      <c r="W29" s="17">
        <v>0</v>
      </c>
      <c r="X29" s="15" t="s">
        <v>43</v>
      </c>
      <c r="Y29" s="15" t="s">
        <v>79</v>
      </c>
      <c r="Z29" s="15" t="s">
        <v>79</v>
      </c>
      <c r="AA29" s="19" t="s">
        <v>42</v>
      </c>
      <c r="AB29" s="9" t="s">
        <v>42</v>
      </c>
      <c r="AC29" s="9"/>
      <c r="AD29" s="35"/>
      <c r="AE29" s="62" t="s">
        <v>499</v>
      </c>
      <c r="AF29" s="62" t="s">
        <v>502</v>
      </c>
    </row>
    <row r="30" spans="1:32" ht="18" customHeight="1">
      <c r="A30" s="2" t="s">
        <v>197</v>
      </c>
      <c r="B30" s="37" t="s">
        <v>57</v>
      </c>
      <c r="C30" s="58" t="s">
        <v>145</v>
      </c>
      <c r="D30" s="39" t="s">
        <v>198</v>
      </c>
      <c r="E30" s="58" t="s">
        <v>199</v>
      </c>
      <c r="F30" s="4" t="s">
        <v>35</v>
      </c>
      <c r="G30" s="4" t="s">
        <v>36</v>
      </c>
      <c r="H30" s="40" t="s">
        <v>105</v>
      </c>
      <c r="I30" s="66" t="s">
        <v>200</v>
      </c>
      <c r="J30" s="66" t="s">
        <v>190</v>
      </c>
      <c r="K30" s="10" t="s">
        <v>40</v>
      </c>
      <c r="L30" s="42" t="s">
        <v>40</v>
      </c>
      <c r="M30" s="63">
        <v>2390000</v>
      </c>
      <c r="N30" s="8" t="s">
        <v>149</v>
      </c>
      <c r="O30" s="10"/>
      <c r="P30" s="14" t="s">
        <v>42</v>
      </c>
      <c r="Q30" s="16">
        <v>1</v>
      </c>
      <c r="R30" s="16">
        <v>1</v>
      </c>
      <c r="S30" s="16">
        <v>2</v>
      </c>
      <c r="T30" s="16">
        <v>2</v>
      </c>
      <c r="U30" s="16">
        <v>1</v>
      </c>
      <c r="V30" s="16">
        <v>0</v>
      </c>
      <c r="W30" s="16">
        <v>0</v>
      </c>
      <c r="X30" s="14" t="s">
        <v>43</v>
      </c>
      <c r="Y30" s="14" t="s">
        <v>79</v>
      </c>
      <c r="Z30" s="14" t="s">
        <v>79</v>
      </c>
      <c r="AA30" s="18" t="s">
        <v>42</v>
      </c>
      <c r="AB30" s="8" t="s">
        <v>42</v>
      </c>
      <c r="AC30" s="8"/>
      <c r="AD30" s="40"/>
      <c r="AE30" s="62" t="s">
        <v>499</v>
      </c>
      <c r="AF30" s="62" t="s">
        <v>502</v>
      </c>
    </row>
    <row r="31" spans="1:32" ht="18" hidden="1" customHeight="1">
      <c r="A31" s="3" t="s">
        <v>201</v>
      </c>
      <c r="B31" s="5" t="s">
        <v>57</v>
      </c>
      <c r="C31" s="5" t="s">
        <v>202</v>
      </c>
      <c r="D31" s="7" t="s">
        <v>203</v>
      </c>
      <c r="E31" s="5" t="s">
        <v>204</v>
      </c>
      <c r="F31" s="5" t="s">
        <v>35</v>
      </c>
      <c r="G31" s="5" t="s">
        <v>36</v>
      </c>
      <c r="H31" s="9" t="s">
        <v>105</v>
      </c>
      <c r="I31" s="5" t="s">
        <v>205</v>
      </c>
      <c r="J31" s="5" t="s">
        <v>206</v>
      </c>
      <c r="K31" s="11" t="s">
        <v>30</v>
      </c>
      <c r="L31" s="11" t="s">
        <v>40</v>
      </c>
      <c r="M31" s="13">
        <v>8518050</v>
      </c>
      <c r="N31" s="9" t="s">
        <v>207</v>
      </c>
      <c r="O31" s="11"/>
      <c r="P31" s="15" t="s">
        <v>42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0</v>
      </c>
      <c r="W31" s="17">
        <v>0</v>
      </c>
      <c r="X31" s="15" t="s">
        <v>43</v>
      </c>
      <c r="Y31" s="15" t="s">
        <v>79</v>
      </c>
      <c r="Z31" s="15" t="s">
        <v>79</v>
      </c>
      <c r="AA31" s="19" t="s">
        <v>42</v>
      </c>
      <c r="AB31" s="9" t="s">
        <v>42</v>
      </c>
      <c r="AC31" s="9"/>
      <c r="AD31" s="9"/>
    </row>
    <row r="32" spans="1:32" ht="18" hidden="1" customHeight="1">
      <c r="A32" s="3" t="s">
        <v>236</v>
      </c>
      <c r="B32" s="5" t="s">
        <v>57</v>
      </c>
      <c r="C32" s="5" t="s">
        <v>237</v>
      </c>
      <c r="D32" s="7" t="s">
        <v>238</v>
      </c>
      <c r="E32" s="5" t="s">
        <v>239</v>
      </c>
      <c r="F32" s="5" t="s">
        <v>35</v>
      </c>
      <c r="G32" s="5" t="s">
        <v>36</v>
      </c>
      <c r="H32" s="9" t="s">
        <v>84</v>
      </c>
      <c r="I32" s="5" t="s">
        <v>240</v>
      </c>
      <c r="J32" s="5" t="s">
        <v>190</v>
      </c>
      <c r="K32" s="11" t="s">
        <v>40</v>
      </c>
      <c r="L32" s="11" t="s">
        <v>40</v>
      </c>
      <c r="M32" s="13">
        <v>3972100</v>
      </c>
      <c r="N32" s="9" t="s">
        <v>241</v>
      </c>
      <c r="O32" s="11"/>
      <c r="P32" s="15" t="s">
        <v>42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0</v>
      </c>
      <c r="W32" s="17">
        <v>0</v>
      </c>
      <c r="X32" s="15" t="s">
        <v>43</v>
      </c>
      <c r="Y32" s="15" t="s">
        <v>79</v>
      </c>
      <c r="Z32" s="15" t="s">
        <v>42</v>
      </c>
      <c r="AA32" s="19" t="s">
        <v>42</v>
      </c>
      <c r="AB32" s="9" t="s">
        <v>42</v>
      </c>
      <c r="AC32" s="9"/>
      <c r="AD32" s="9"/>
    </row>
    <row r="33" spans="1:30" ht="18" hidden="1" customHeight="1">
      <c r="A33" s="2" t="s">
        <v>208</v>
      </c>
      <c r="B33" s="4" t="s">
        <v>31</v>
      </c>
      <c r="C33" s="4" t="s">
        <v>50</v>
      </c>
      <c r="D33" s="6" t="s">
        <v>209</v>
      </c>
      <c r="E33" s="4" t="s">
        <v>210</v>
      </c>
      <c r="F33" s="4" t="s">
        <v>35</v>
      </c>
      <c r="G33" s="4" t="s">
        <v>36</v>
      </c>
      <c r="H33" s="8" t="s">
        <v>105</v>
      </c>
      <c r="I33" s="4" t="s">
        <v>211</v>
      </c>
      <c r="J33" s="4" t="s">
        <v>142</v>
      </c>
      <c r="K33" s="10" t="s">
        <v>40</v>
      </c>
      <c r="L33" s="10" t="s">
        <v>40</v>
      </c>
      <c r="M33" s="12">
        <v>1290000</v>
      </c>
      <c r="N33" s="8" t="s">
        <v>54</v>
      </c>
      <c r="O33" s="10"/>
      <c r="P33" s="14" t="s">
        <v>42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0</v>
      </c>
      <c r="W33" s="16">
        <v>0</v>
      </c>
      <c r="X33" s="14" t="s">
        <v>43</v>
      </c>
      <c r="Y33" s="14" t="s">
        <v>79</v>
      </c>
      <c r="Z33" s="14" t="s">
        <v>79</v>
      </c>
      <c r="AA33" s="18" t="s">
        <v>42</v>
      </c>
      <c r="AB33" s="8" t="s">
        <v>42</v>
      </c>
      <c r="AC33" s="8" t="s">
        <v>212</v>
      </c>
      <c r="AD33" s="8" t="s">
        <v>213</v>
      </c>
    </row>
    <row r="34" spans="1:30" ht="18" hidden="1" customHeight="1">
      <c r="A34" s="3" t="s">
        <v>214</v>
      </c>
      <c r="B34" s="5" t="s">
        <v>31</v>
      </c>
      <c r="C34" s="5" t="s">
        <v>50</v>
      </c>
      <c r="D34" s="7" t="s">
        <v>215</v>
      </c>
      <c r="E34" s="5" t="s">
        <v>216</v>
      </c>
      <c r="F34" s="5" t="s">
        <v>35</v>
      </c>
      <c r="G34" s="5" t="s">
        <v>36</v>
      </c>
      <c r="H34" s="9" t="s">
        <v>105</v>
      </c>
      <c r="I34" s="5" t="s">
        <v>211</v>
      </c>
      <c r="J34" s="5" t="s">
        <v>142</v>
      </c>
      <c r="K34" s="11" t="s">
        <v>40</v>
      </c>
      <c r="L34" s="11" t="s">
        <v>40</v>
      </c>
      <c r="M34" s="13">
        <v>1290000</v>
      </c>
      <c r="N34" s="9" t="s">
        <v>54</v>
      </c>
      <c r="O34" s="11"/>
      <c r="P34" s="15" t="s">
        <v>42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0</v>
      </c>
      <c r="W34" s="17">
        <v>0</v>
      </c>
      <c r="X34" s="15" t="s">
        <v>43</v>
      </c>
      <c r="Y34" s="15" t="s">
        <v>79</v>
      </c>
      <c r="Z34" s="15" t="s">
        <v>79</v>
      </c>
      <c r="AA34" s="19" t="s">
        <v>42</v>
      </c>
      <c r="AB34" s="9" t="s">
        <v>42</v>
      </c>
      <c r="AC34" s="9" t="s">
        <v>217</v>
      </c>
      <c r="AD34" s="9" t="s">
        <v>218</v>
      </c>
    </row>
    <row r="35" spans="1:30" ht="18" hidden="1" customHeight="1">
      <c r="A35" s="2" t="s">
        <v>219</v>
      </c>
      <c r="B35" s="4" t="s">
        <v>57</v>
      </c>
      <c r="C35" s="4" t="s">
        <v>115</v>
      </c>
      <c r="D35" s="6" t="s">
        <v>220</v>
      </c>
      <c r="E35" s="4" t="s">
        <v>221</v>
      </c>
      <c r="F35" s="4" t="s">
        <v>35</v>
      </c>
      <c r="G35" s="4" t="s">
        <v>36</v>
      </c>
      <c r="H35" s="8" t="s">
        <v>84</v>
      </c>
      <c r="I35" s="4" t="s">
        <v>222</v>
      </c>
      <c r="J35" s="4" t="s">
        <v>223</v>
      </c>
      <c r="K35" s="10" t="s">
        <v>40</v>
      </c>
      <c r="L35" s="10" t="s">
        <v>40</v>
      </c>
      <c r="M35" s="12">
        <v>8354850</v>
      </c>
      <c r="N35" s="8" t="s">
        <v>224</v>
      </c>
      <c r="O35" s="10"/>
      <c r="P35" s="14" t="s">
        <v>42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0</v>
      </c>
      <c r="W35" s="16">
        <v>0</v>
      </c>
      <c r="X35" s="14" t="s">
        <v>43</v>
      </c>
      <c r="Y35" s="14" t="s">
        <v>79</v>
      </c>
      <c r="Z35" s="14" t="s">
        <v>42</v>
      </c>
      <c r="AA35" s="18" t="s">
        <v>42</v>
      </c>
      <c r="AB35" s="8" t="s">
        <v>42</v>
      </c>
      <c r="AC35" s="8"/>
      <c r="AD35" s="8"/>
    </row>
    <row r="36" spans="1:30" ht="18" hidden="1" customHeight="1">
      <c r="A36" s="2" t="s">
        <v>232</v>
      </c>
      <c r="B36" s="4" t="s">
        <v>57</v>
      </c>
      <c r="C36" s="4" t="s">
        <v>115</v>
      </c>
      <c r="D36" s="6" t="s">
        <v>233</v>
      </c>
      <c r="E36" s="4" t="s">
        <v>234</v>
      </c>
      <c r="F36" s="4" t="s">
        <v>35</v>
      </c>
      <c r="G36" s="4" t="s">
        <v>36</v>
      </c>
      <c r="H36" s="8" t="s">
        <v>84</v>
      </c>
      <c r="I36" s="4" t="s">
        <v>222</v>
      </c>
      <c r="J36" s="4" t="s">
        <v>200</v>
      </c>
      <c r="K36" s="10" t="s">
        <v>40</v>
      </c>
      <c r="L36" s="10" t="s">
        <v>40</v>
      </c>
      <c r="M36" s="12">
        <v>1943550</v>
      </c>
      <c r="N36" s="8" t="s">
        <v>235</v>
      </c>
      <c r="O36" s="10"/>
      <c r="P36" s="14" t="s">
        <v>42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0</v>
      </c>
      <c r="W36" s="16">
        <v>0</v>
      </c>
      <c r="X36" s="14" t="s">
        <v>43</v>
      </c>
      <c r="Y36" s="14" t="s">
        <v>79</v>
      </c>
      <c r="Z36" s="14" t="s">
        <v>42</v>
      </c>
      <c r="AA36" s="18" t="s">
        <v>42</v>
      </c>
      <c r="AB36" s="8" t="s">
        <v>42</v>
      </c>
      <c r="AC36" s="8"/>
      <c r="AD36" s="8"/>
    </row>
    <row r="37" spans="1:30" ht="18" hidden="1" customHeight="1">
      <c r="A37" s="3" t="s">
        <v>225</v>
      </c>
      <c r="B37" s="5" t="s">
        <v>57</v>
      </c>
      <c r="C37" s="5" t="s">
        <v>226</v>
      </c>
      <c r="D37" s="7" t="s">
        <v>227</v>
      </c>
      <c r="E37" s="5" t="s">
        <v>228</v>
      </c>
      <c r="F37" s="5" t="s">
        <v>35</v>
      </c>
      <c r="G37" s="5" t="s">
        <v>229</v>
      </c>
      <c r="H37" s="9" t="s">
        <v>105</v>
      </c>
      <c r="I37" s="5" t="s">
        <v>230</v>
      </c>
      <c r="J37" s="5" t="s">
        <v>200</v>
      </c>
      <c r="K37" s="11" t="s">
        <v>40</v>
      </c>
      <c r="L37" s="11" t="s">
        <v>40</v>
      </c>
      <c r="M37" s="13">
        <v>3247000</v>
      </c>
      <c r="N37" s="9" t="s">
        <v>231</v>
      </c>
      <c r="O37" s="11"/>
      <c r="P37" s="15" t="s">
        <v>42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0</v>
      </c>
      <c r="W37" s="17">
        <v>0</v>
      </c>
      <c r="X37" s="15" t="s">
        <v>43</v>
      </c>
      <c r="Y37" s="15" t="s">
        <v>79</v>
      </c>
      <c r="Z37" s="15" t="s">
        <v>79</v>
      </c>
      <c r="AA37" s="19" t="s">
        <v>42</v>
      </c>
      <c r="AB37" s="9" t="s">
        <v>42</v>
      </c>
      <c r="AC37" s="9"/>
      <c r="AD37" s="9"/>
    </row>
    <row r="38" spans="1:30" ht="18" hidden="1" customHeight="1">
      <c r="A38" s="2" t="s">
        <v>242</v>
      </c>
      <c r="B38" s="4" t="s">
        <v>57</v>
      </c>
      <c r="C38" s="4" t="s">
        <v>226</v>
      </c>
      <c r="D38" s="6" t="s">
        <v>243</v>
      </c>
      <c r="E38" s="4" t="s">
        <v>244</v>
      </c>
      <c r="F38" s="4" t="s">
        <v>35</v>
      </c>
      <c r="G38" s="4" t="s">
        <v>229</v>
      </c>
      <c r="H38" s="8" t="s">
        <v>105</v>
      </c>
      <c r="I38" s="4" t="s">
        <v>245</v>
      </c>
      <c r="J38" s="4" t="s">
        <v>230</v>
      </c>
      <c r="K38" s="10" t="s">
        <v>40</v>
      </c>
      <c r="L38" s="10" t="s">
        <v>40</v>
      </c>
      <c r="M38" s="12">
        <v>1036000</v>
      </c>
      <c r="N38" s="8" t="s">
        <v>231</v>
      </c>
      <c r="O38" s="10"/>
      <c r="P38" s="14" t="s">
        <v>42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0</v>
      </c>
      <c r="W38" s="16">
        <v>0</v>
      </c>
      <c r="X38" s="14" t="s">
        <v>43</v>
      </c>
      <c r="Y38" s="14" t="s">
        <v>79</v>
      </c>
      <c r="Z38" s="14" t="s">
        <v>79</v>
      </c>
      <c r="AA38" s="18" t="s">
        <v>42</v>
      </c>
      <c r="AB38" s="8" t="s">
        <v>42</v>
      </c>
      <c r="AC38" s="8"/>
      <c r="AD38" s="8"/>
    </row>
    <row r="39" spans="1:30" ht="18" hidden="1" customHeight="1">
      <c r="A39" s="2" t="s">
        <v>246</v>
      </c>
      <c r="B39" s="4" t="s">
        <v>31</v>
      </c>
      <c r="C39" s="4" t="s">
        <v>50</v>
      </c>
      <c r="D39" s="6" t="s">
        <v>247</v>
      </c>
      <c r="E39" s="4" t="s">
        <v>248</v>
      </c>
      <c r="F39" s="4" t="s">
        <v>35</v>
      </c>
      <c r="G39" s="4" t="s">
        <v>36</v>
      </c>
      <c r="H39" s="8" t="s">
        <v>105</v>
      </c>
      <c r="I39" s="4" t="s">
        <v>249</v>
      </c>
      <c r="J39" s="4" t="s">
        <v>142</v>
      </c>
      <c r="K39" s="10" t="s">
        <v>40</v>
      </c>
      <c r="L39" s="10" t="s">
        <v>40</v>
      </c>
      <c r="M39" s="12">
        <v>1290000</v>
      </c>
      <c r="N39" s="8" t="s">
        <v>54</v>
      </c>
      <c r="O39" s="10"/>
      <c r="P39" s="14" t="s">
        <v>42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0</v>
      </c>
      <c r="W39" s="16">
        <v>0</v>
      </c>
      <c r="X39" s="14" t="s">
        <v>43</v>
      </c>
      <c r="Y39" s="14" t="s">
        <v>79</v>
      </c>
      <c r="Z39" s="14" t="s">
        <v>79</v>
      </c>
      <c r="AA39" s="18" t="s">
        <v>42</v>
      </c>
      <c r="AB39" s="8" t="s">
        <v>42</v>
      </c>
      <c r="AC39" s="8" t="s">
        <v>250</v>
      </c>
      <c r="AD39" s="8" t="s">
        <v>251</v>
      </c>
    </row>
    <row r="40" spans="1:30" ht="18" hidden="1" customHeight="1">
      <c r="A40" s="3" t="s">
        <v>252</v>
      </c>
      <c r="B40" s="5" t="s">
        <v>31</v>
      </c>
      <c r="C40" s="5" t="s">
        <v>50</v>
      </c>
      <c r="D40" s="7" t="s">
        <v>253</v>
      </c>
      <c r="E40" s="5" t="s">
        <v>254</v>
      </c>
      <c r="F40" s="5" t="s">
        <v>35</v>
      </c>
      <c r="G40" s="5" t="s">
        <v>36</v>
      </c>
      <c r="H40" s="9" t="s">
        <v>105</v>
      </c>
      <c r="I40" s="5" t="s">
        <v>249</v>
      </c>
      <c r="J40" s="5" t="s">
        <v>142</v>
      </c>
      <c r="K40" s="11" t="s">
        <v>40</v>
      </c>
      <c r="L40" s="11" t="s">
        <v>40</v>
      </c>
      <c r="M40" s="13">
        <v>1597450</v>
      </c>
      <c r="N40" s="9" t="s">
        <v>54</v>
      </c>
      <c r="O40" s="11"/>
      <c r="P40" s="15" t="s">
        <v>42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0</v>
      </c>
      <c r="W40" s="17">
        <v>0</v>
      </c>
      <c r="X40" s="15" t="s">
        <v>43</v>
      </c>
      <c r="Y40" s="15" t="s">
        <v>79</v>
      </c>
      <c r="Z40" s="15" t="s">
        <v>79</v>
      </c>
      <c r="AA40" s="19" t="s">
        <v>42</v>
      </c>
      <c r="AB40" s="9" t="s">
        <v>42</v>
      </c>
      <c r="AC40" s="9" t="s">
        <v>255</v>
      </c>
      <c r="AD40" s="9" t="s">
        <v>256</v>
      </c>
    </row>
    <row r="41" spans="1:30" ht="18" hidden="1" customHeight="1">
      <c r="A41" s="2" t="s">
        <v>257</v>
      </c>
      <c r="B41" s="4" t="s">
        <v>31</v>
      </c>
      <c r="C41" s="4" t="s">
        <v>50</v>
      </c>
      <c r="D41" s="6" t="s">
        <v>258</v>
      </c>
      <c r="E41" s="4" t="s">
        <v>259</v>
      </c>
      <c r="F41" s="4" t="s">
        <v>35</v>
      </c>
      <c r="G41" s="4" t="s">
        <v>36</v>
      </c>
      <c r="H41" s="8" t="s">
        <v>105</v>
      </c>
      <c r="I41" s="4" t="s">
        <v>260</v>
      </c>
      <c r="J41" s="4" t="s">
        <v>142</v>
      </c>
      <c r="K41" s="10" t="s">
        <v>40</v>
      </c>
      <c r="L41" s="10" t="s">
        <v>40</v>
      </c>
      <c r="M41" s="12">
        <v>1299675</v>
      </c>
      <c r="N41" s="8" t="s">
        <v>54</v>
      </c>
      <c r="O41" s="10"/>
      <c r="P41" s="14" t="s">
        <v>42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0</v>
      </c>
      <c r="W41" s="16">
        <v>0</v>
      </c>
      <c r="X41" s="14" t="s">
        <v>43</v>
      </c>
      <c r="Y41" s="14" t="s">
        <v>79</v>
      </c>
      <c r="Z41" s="14" t="s">
        <v>79</v>
      </c>
      <c r="AA41" s="18" t="s">
        <v>42</v>
      </c>
      <c r="AB41" s="8" t="s">
        <v>42</v>
      </c>
      <c r="AC41" s="8" t="s">
        <v>261</v>
      </c>
      <c r="AD41" s="8" t="s">
        <v>262</v>
      </c>
    </row>
    <row r="42" spans="1:30" ht="18" hidden="1" customHeight="1">
      <c r="A42" s="3" t="s">
        <v>263</v>
      </c>
      <c r="B42" s="5" t="s">
        <v>31</v>
      </c>
      <c r="C42" s="5" t="s">
        <v>50</v>
      </c>
      <c r="D42" s="7" t="s">
        <v>264</v>
      </c>
      <c r="E42" s="5" t="s">
        <v>265</v>
      </c>
      <c r="F42" s="5" t="s">
        <v>35</v>
      </c>
      <c r="G42" s="5" t="s">
        <v>36</v>
      </c>
      <c r="H42" s="9" t="s">
        <v>105</v>
      </c>
      <c r="I42" s="5" t="s">
        <v>266</v>
      </c>
      <c r="J42" s="5" t="s">
        <v>142</v>
      </c>
      <c r="K42" s="11" t="s">
        <v>40</v>
      </c>
      <c r="L42" s="11" t="s">
        <v>40</v>
      </c>
      <c r="M42" s="13">
        <v>1290000</v>
      </c>
      <c r="N42" s="9" t="s">
        <v>54</v>
      </c>
      <c r="O42" s="11"/>
      <c r="P42" s="15" t="s">
        <v>42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0</v>
      </c>
      <c r="W42" s="17">
        <v>0</v>
      </c>
      <c r="X42" s="15" t="s">
        <v>43</v>
      </c>
      <c r="Y42" s="15" t="s">
        <v>79</v>
      </c>
      <c r="Z42" s="15" t="s">
        <v>79</v>
      </c>
      <c r="AA42" s="19" t="s">
        <v>42</v>
      </c>
      <c r="AB42" s="9" t="s">
        <v>42</v>
      </c>
      <c r="AC42" s="9" t="s">
        <v>267</v>
      </c>
      <c r="AD42" s="9" t="s">
        <v>268</v>
      </c>
    </row>
    <row r="43" spans="1:30" ht="18" hidden="1" customHeight="1">
      <c r="A43" s="2" t="s">
        <v>269</v>
      </c>
      <c r="B43" s="4" t="s">
        <v>57</v>
      </c>
      <c r="C43" s="4" t="s">
        <v>71</v>
      </c>
      <c r="D43" s="6" t="s">
        <v>270</v>
      </c>
      <c r="E43" s="4" t="s">
        <v>271</v>
      </c>
      <c r="F43" s="4" t="s">
        <v>74</v>
      </c>
      <c r="G43" s="4" t="s">
        <v>36</v>
      </c>
      <c r="H43" s="8" t="s">
        <v>105</v>
      </c>
      <c r="I43" s="4" t="s">
        <v>272</v>
      </c>
      <c r="J43" s="4" t="s">
        <v>230</v>
      </c>
      <c r="K43" s="10" t="s">
        <v>30</v>
      </c>
      <c r="L43" s="10" t="s">
        <v>40</v>
      </c>
      <c r="M43" s="12">
        <v>4850000</v>
      </c>
      <c r="N43" s="8" t="s">
        <v>78</v>
      </c>
      <c r="O43" s="10"/>
      <c r="P43" s="14" t="s">
        <v>42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2</v>
      </c>
      <c r="W43" s="16">
        <v>2</v>
      </c>
      <c r="X43" s="14" t="s">
        <v>79</v>
      </c>
      <c r="Y43" s="14" t="s">
        <v>79</v>
      </c>
      <c r="Z43" s="14" t="s">
        <v>79</v>
      </c>
      <c r="AA43" s="18" t="s">
        <v>42</v>
      </c>
      <c r="AB43" s="8" t="s">
        <v>42</v>
      </c>
      <c r="AC43" s="8"/>
      <c r="AD43" s="8"/>
    </row>
    <row r="44" spans="1:30" ht="18" hidden="1" customHeight="1">
      <c r="A44" s="3" t="s">
        <v>285</v>
      </c>
      <c r="B44" s="5" t="s">
        <v>57</v>
      </c>
      <c r="C44" s="5" t="s">
        <v>286</v>
      </c>
      <c r="D44" s="7" t="s">
        <v>287</v>
      </c>
      <c r="E44" s="5" t="s">
        <v>288</v>
      </c>
      <c r="F44" s="5" t="s">
        <v>35</v>
      </c>
      <c r="G44" s="5" t="s">
        <v>36</v>
      </c>
      <c r="H44" s="9" t="s">
        <v>105</v>
      </c>
      <c r="I44" s="5" t="s">
        <v>289</v>
      </c>
      <c r="J44" s="5" t="s">
        <v>290</v>
      </c>
      <c r="K44" s="11" t="s">
        <v>40</v>
      </c>
      <c r="L44" s="11" t="s">
        <v>40</v>
      </c>
      <c r="M44" s="13">
        <v>1889000</v>
      </c>
      <c r="N44" s="9" t="s">
        <v>291</v>
      </c>
      <c r="O44" s="11"/>
      <c r="P44" s="15" t="s">
        <v>42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0</v>
      </c>
      <c r="W44" s="17">
        <v>0</v>
      </c>
      <c r="X44" s="15" t="s">
        <v>43</v>
      </c>
      <c r="Y44" s="15" t="s">
        <v>79</v>
      </c>
      <c r="Z44" s="15" t="s">
        <v>79</v>
      </c>
      <c r="AA44" s="19" t="s">
        <v>42</v>
      </c>
      <c r="AB44" s="9" t="s">
        <v>42</v>
      </c>
      <c r="AC44" s="9"/>
      <c r="AD44" s="9"/>
    </row>
    <row r="45" spans="1:30" ht="18" hidden="1" customHeight="1">
      <c r="A45" s="3" t="s">
        <v>273</v>
      </c>
      <c r="B45" s="5" t="s">
        <v>57</v>
      </c>
      <c r="C45" s="5" t="s">
        <v>202</v>
      </c>
      <c r="D45" s="7" t="s">
        <v>274</v>
      </c>
      <c r="E45" s="5" t="s">
        <v>275</v>
      </c>
      <c r="F45" s="5" t="s">
        <v>35</v>
      </c>
      <c r="G45" s="5" t="s">
        <v>36</v>
      </c>
      <c r="H45" s="9" t="s">
        <v>84</v>
      </c>
      <c r="I45" s="5" t="s">
        <v>276</v>
      </c>
      <c r="J45" s="5" t="s">
        <v>277</v>
      </c>
      <c r="K45" s="11" t="s">
        <v>40</v>
      </c>
      <c r="L45" s="11" t="s">
        <v>40</v>
      </c>
      <c r="M45" s="13">
        <v>1779000</v>
      </c>
      <c r="N45" s="9" t="s">
        <v>278</v>
      </c>
      <c r="O45" s="11"/>
      <c r="P45" s="15" t="s">
        <v>42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0</v>
      </c>
      <c r="W45" s="17">
        <v>0</v>
      </c>
      <c r="X45" s="15" t="s">
        <v>43</v>
      </c>
      <c r="Y45" s="15" t="s">
        <v>79</v>
      </c>
      <c r="Z45" s="15" t="s">
        <v>42</v>
      </c>
      <c r="AA45" s="19" t="s">
        <v>42</v>
      </c>
      <c r="AB45" s="9" t="s">
        <v>42</v>
      </c>
      <c r="AC45" s="9"/>
      <c r="AD45" s="9"/>
    </row>
    <row r="46" spans="1:30" ht="18" hidden="1" customHeight="1">
      <c r="A46" s="2" t="s">
        <v>279</v>
      </c>
      <c r="B46" s="4" t="s">
        <v>57</v>
      </c>
      <c r="C46" s="4" t="s">
        <v>202</v>
      </c>
      <c r="D46" s="6" t="s">
        <v>280</v>
      </c>
      <c r="E46" s="4" t="s">
        <v>281</v>
      </c>
      <c r="F46" s="4" t="s">
        <v>35</v>
      </c>
      <c r="G46" s="4" t="s">
        <v>36</v>
      </c>
      <c r="H46" s="8" t="s">
        <v>105</v>
      </c>
      <c r="I46" s="4" t="s">
        <v>282</v>
      </c>
      <c r="J46" s="4" t="s">
        <v>283</v>
      </c>
      <c r="K46" s="10" t="s">
        <v>40</v>
      </c>
      <c r="L46" s="10" t="s">
        <v>40</v>
      </c>
      <c r="M46" s="12">
        <v>906200</v>
      </c>
      <c r="N46" s="8" t="s">
        <v>284</v>
      </c>
      <c r="O46" s="10"/>
      <c r="P46" s="14" t="s">
        <v>42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0</v>
      </c>
      <c r="W46" s="16">
        <v>0</v>
      </c>
      <c r="X46" s="14" t="s">
        <v>43</v>
      </c>
      <c r="Y46" s="14" t="s">
        <v>79</v>
      </c>
      <c r="Z46" s="14" t="s">
        <v>79</v>
      </c>
      <c r="AA46" s="18" t="s">
        <v>42</v>
      </c>
      <c r="AB46" s="8" t="s">
        <v>42</v>
      </c>
      <c r="AC46" s="8"/>
      <c r="AD46" s="8"/>
    </row>
    <row r="47" spans="1:30" ht="18" hidden="1" customHeight="1">
      <c r="A47" s="2" t="s">
        <v>292</v>
      </c>
      <c r="B47" s="4" t="s">
        <v>57</v>
      </c>
      <c r="C47" s="4" t="s">
        <v>71</v>
      </c>
      <c r="D47" s="6" t="s">
        <v>293</v>
      </c>
      <c r="E47" s="4" t="s">
        <v>294</v>
      </c>
      <c r="F47" s="4" t="s">
        <v>74</v>
      </c>
      <c r="G47" s="4" t="s">
        <v>36</v>
      </c>
      <c r="H47" s="8" t="s">
        <v>105</v>
      </c>
      <c r="I47" s="4" t="s">
        <v>295</v>
      </c>
      <c r="J47" s="4" t="s">
        <v>230</v>
      </c>
      <c r="K47" s="10" t="s">
        <v>40</v>
      </c>
      <c r="L47" s="10" t="s">
        <v>40</v>
      </c>
      <c r="M47" s="12">
        <v>12160000</v>
      </c>
      <c r="N47" s="8" t="s">
        <v>78</v>
      </c>
      <c r="O47" s="10"/>
      <c r="P47" s="14" t="s">
        <v>42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2</v>
      </c>
      <c r="W47" s="16">
        <v>2</v>
      </c>
      <c r="X47" s="14" t="s">
        <v>79</v>
      </c>
      <c r="Y47" s="14" t="s">
        <v>79</v>
      </c>
      <c r="Z47" s="14" t="s">
        <v>79</v>
      </c>
      <c r="AA47" s="18" t="s">
        <v>42</v>
      </c>
      <c r="AB47" s="8" t="s">
        <v>42</v>
      </c>
      <c r="AC47" s="8"/>
      <c r="AD47" s="8"/>
    </row>
    <row r="48" spans="1:30" ht="18" hidden="1" customHeight="1">
      <c r="A48" s="3" t="s">
        <v>296</v>
      </c>
      <c r="B48" s="5" t="s">
        <v>57</v>
      </c>
      <c r="C48" s="47" t="s">
        <v>202</v>
      </c>
      <c r="D48" s="7" t="s">
        <v>297</v>
      </c>
      <c r="E48" s="47" t="s">
        <v>298</v>
      </c>
      <c r="F48" s="5" t="s">
        <v>35</v>
      </c>
      <c r="G48" s="5" t="s">
        <v>36</v>
      </c>
      <c r="H48" s="9" t="s">
        <v>84</v>
      </c>
      <c r="I48" s="47" t="s">
        <v>299</v>
      </c>
      <c r="J48" s="47" t="s">
        <v>300</v>
      </c>
      <c r="K48" s="11" t="s">
        <v>40</v>
      </c>
      <c r="L48" s="11" t="s">
        <v>40</v>
      </c>
      <c r="M48" s="48">
        <v>1772000</v>
      </c>
      <c r="N48" s="9" t="s">
        <v>207</v>
      </c>
      <c r="O48" s="11"/>
      <c r="P48" s="15" t="s">
        <v>42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0</v>
      </c>
      <c r="W48" s="17">
        <v>0</v>
      </c>
      <c r="X48" s="15" t="s">
        <v>43</v>
      </c>
      <c r="Y48" s="15" t="s">
        <v>79</v>
      </c>
      <c r="Z48" s="15" t="s">
        <v>42</v>
      </c>
      <c r="AA48" s="19" t="s">
        <v>42</v>
      </c>
      <c r="AB48" s="9" t="s">
        <v>42</v>
      </c>
      <c r="AC48" s="9"/>
      <c r="AD48" s="9"/>
    </row>
    <row r="49" spans="1:32" ht="18" customHeight="1">
      <c r="A49" s="24" t="s">
        <v>498</v>
      </c>
      <c r="B49" s="44" t="s">
        <v>57</v>
      </c>
      <c r="C49" s="59" t="s">
        <v>507</v>
      </c>
      <c r="D49" s="45" t="s">
        <v>508</v>
      </c>
      <c r="E49" s="59" t="s">
        <v>514</v>
      </c>
      <c r="F49" s="25" t="s">
        <v>35</v>
      </c>
      <c r="G49" s="25" t="s">
        <v>229</v>
      </c>
      <c r="H49" s="46" t="s">
        <v>105</v>
      </c>
      <c r="I49" s="60" t="s">
        <v>509</v>
      </c>
      <c r="J49" s="60" t="s">
        <v>510</v>
      </c>
      <c r="K49" s="26" t="s">
        <v>40</v>
      </c>
      <c r="L49" s="46" t="s">
        <v>40</v>
      </c>
      <c r="M49" s="64">
        <v>1142000</v>
      </c>
      <c r="N49" s="26" t="s">
        <v>511</v>
      </c>
      <c r="O49" s="26"/>
      <c r="P49" s="26" t="s">
        <v>42</v>
      </c>
      <c r="Q49" s="27">
        <v>1</v>
      </c>
      <c r="R49" s="27">
        <v>1</v>
      </c>
      <c r="S49" s="27">
        <v>1</v>
      </c>
      <c r="T49" s="27">
        <v>1</v>
      </c>
      <c r="U49" s="27">
        <v>1</v>
      </c>
      <c r="V49" s="27">
        <v>0</v>
      </c>
      <c r="W49" s="27">
        <v>0</v>
      </c>
      <c r="X49" s="26" t="s">
        <v>43</v>
      </c>
      <c r="Y49" s="26" t="s">
        <v>79</v>
      </c>
      <c r="Z49" s="26" t="s">
        <v>79</v>
      </c>
      <c r="AA49" s="28" t="s">
        <v>42</v>
      </c>
      <c r="AB49" s="26" t="s">
        <v>42</v>
      </c>
      <c r="AC49" s="26"/>
      <c r="AD49" s="46"/>
      <c r="AE49" s="62" t="s">
        <v>512</v>
      </c>
      <c r="AF49" s="62" t="s">
        <v>513</v>
      </c>
    </row>
    <row r="50" spans="1:32" ht="18" hidden="1" customHeight="1">
      <c r="A50" s="2" t="s">
        <v>301</v>
      </c>
      <c r="B50" s="4" t="s">
        <v>57</v>
      </c>
      <c r="C50" s="4" t="s">
        <v>202</v>
      </c>
      <c r="D50" s="6" t="s">
        <v>302</v>
      </c>
      <c r="E50" s="4" t="s">
        <v>303</v>
      </c>
      <c r="F50" s="4" t="s">
        <v>35</v>
      </c>
      <c r="G50" s="4" t="s">
        <v>36</v>
      </c>
      <c r="H50" s="8" t="s">
        <v>105</v>
      </c>
      <c r="I50" s="4" t="s">
        <v>304</v>
      </c>
      <c r="J50" s="4" t="s">
        <v>305</v>
      </c>
      <c r="K50" s="10" t="s">
        <v>40</v>
      </c>
      <c r="L50" s="10" t="s">
        <v>40</v>
      </c>
      <c r="M50" s="12">
        <v>1116650</v>
      </c>
      <c r="N50" s="8" t="s">
        <v>284</v>
      </c>
      <c r="O50" s="10"/>
      <c r="P50" s="14" t="s">
        <v>42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0</v>
      </c>
      <c r="W50" s="16">
        <v>0</v>
      </c>
      <c r="X50" s="14" t="s">
        <v>43</v>
      </c>
      <c r="Y50" s="14" t="s">
        <v>79</v>
      </c>
      <c r="Z50" s="14" t="s">
        <v>79</v>
      </c>
      <c r="AA50" s="18" t="s">
        <v>42</v>
      </c>
      <c r="AB50" s="8" t="s">
        <v>42</v>
      </c>
      <c r="AC50" s="8"/>
      <c r="AD50" s="8"/>
    </row>
    <row r="51" spans="1:32" ht="18" hidden="1" customHeight="1">
      <c r="A51" s="3" t="s">
        <v>306</v>
      </c>
      <c r="B51" s="5" t="s">
        <v>57</v>
      </c>
      <c r="C51" s="5" t="s">
        <v>81</v>
      </c>
      <c r="D51" s="7" t="s">
        <v>307</v>
      </c>
      <c r="E51" s="5" t="s">
        <v>308</v>
      </c>
      <c r="F51" s="5" t="s">
        <v>35</v>
      </c>
      <c r="G51" s="5" t="s">
        <v>36</v>
      </c>
      <c r="H51" s="9" t="s">
        <v>105</v>
      </c>
      <c r="I51" s="5" t="s">
        <v>309</v>
      </c>
      <c r="J51" s="5" t="s">
        <v>310</v>
      </c>
      <c r="K51" s="11" t="s">
        <v>40</v>
      </c>
      <c r="L51" s="11" t="s">
        <v>40</v>
      </c>
      <c r="M51" s="13">
        <v>1827500</v>
      </c>
      <c r="N51" s="9" t="s">
        <v>311</v>
      </c>
      <c r="O51" s="11"/>
      <c r="P51" s="15" t="s">
        <v>79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0</v>
      </c>
      <c r="W51" s="17">
        <v>0</v>
      </c>
      <c r="X51" s="15" t="s">
        <v>43</v>
      </c>
      <c r="Y51" s="15" t="s">
        <v>79</v>
      </c>
      <c r="Z51" s="15" t="s">
        <v>79</v>
      </c>
      <c r="AA51" s="19" t="s">
        <v>42</v>
      </c>
      <c r="AB51" s="9" t="s">
        <v>42</v>
      </c>
      <c r="AC51" s="9"/>
      <c r="AD51" s="9"/>
    </row>
    <row r="52" spans="1:32" ht="18" hidden="1" customHeight="1">
      <c r="A52" s="2" t="s">
        <v>312</v>
      </c>
      <c r="B52" s="4" t="s">
        <v>57</v>
      </c>
      <c r="C52" s="4" t="s">
        <v>81</v>
      </c>
      <c r="D52" s="6" t="s">
        <v>313</v>
      </c>
      <c r="E52" s="4" t="s">
        <v>314</v>
      </c>
      <c r="F52" s="4" t="s">
        <v>35</v>
      </c>
      <c r="G52" s="4" t="s">
        <v>36</v>
      </c>
      <c r="H52" s="8" t="s">
        <v>105</v>
      </c>
      <c r="I52" s="4" t="s">
        <v>315</v>
      </c>
      <c r="J52" s="4" t="s">
        <v>316</v>
      </c>
      <c r="K52" s="10" t="s">
        <v>40</v>
      </c>
      <c r="L52" s="10" t="s">
        <v>40</v>
      </c>
      <c r="M52" s="12">
        <v>3994300</v>
      </c>
      <c r="N52" s="8" t="s">
        <v>311</v>
      </c>
      <c r="O52" s="10"/>
      <c r="P52" s="14" t="s">
        <v>79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0</v>
      </c>
      <c r="W52" s="16">
        <v>0</v>
      </c>
      <c r="X52" s="14" t="s">
        <v>43</v>
      </c>
      <c r="Y52" s="14" t="s">
        <v>79</v>
      </c>
      <c r="Z52" s="14" t="s">
        <v>79</v>
      </c>
      <c r="AA52" s="18" t="s">
        <v>42</v>
      </c>
      <c r="AB52" s="8" t="s">
        <v>42</v>
      </c>
      <c r="AC52" s="8"/>
      <c r="AD52" s="8"/>
    </row>
    <row r="53" spans="1:32" ht="18" hidden="1" customHeight="1">
      <c r="A53" s="3" t="s">
        <v>317</v>
      </c>
      <c r="B53" s="5" t="s">
        <v>57</v>
      </c>
      <c r="C53" s="5" t="s">
        <v>166</v>
      </c>
      <c r="D53" s="7" t="s">
        <v>318</v>
      </c>
      <c r="E53" s="5" t="s">
        <v>319</v>
      </c>
      <c r="F53" s="5" t="s">
        <v>35</v>
      </c>
      <c r="G53" s="5" t="s">
        <v>36</v>
      </c>
      <c r="H53" s="9" t="s">
        <v>105</v>
      </c>
      <c r="I53" s="5" t="s">
        <v>320</v>
      </c>
      <c r="J53" s="5" t="s">
        <v>321</v>
      </c>
      <c r="K53" s="11" t="s">
        <v>40</v>
      </c>
      <c r="L53" s="11" t="s">
        <v>40</v>
      </c>
      <c r="M53" s="13">
        <v>1162500</v>
      </c>
      <c r="N53" s="9" t="s">
        <v>170</v>
      </c>
      <c r="O53" s="11"/>
      <c r="P53" s="15" t="s">
        <v>42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0</v>
      </c>
      <c r="W53" s="17">
        <v>0</v>
      </c>
      <c r="X53" s="15" t="s">
        <v>43</v>
      </c>
      <c r="Y53" s="15" t="s">
        <v>79</v>
      </c>
      <c r="Z53" s="15" t="s">
        <v>79</v>
      </c>
      <c r="AA53" s="19" t="s">
        <v>42</v>
      </c>
      <c r="AB53" s="9" t="s">
        <v>42</v>
      </c>
      <c r="AC53" s="9"/>
      <c r="AD53" s="9"/>
    </row>
    <row r="54" spans="1:32" ht="18" hidden="1" customHeight="1">
      <c r="A54" s="2" t="s">
        <v>322</v>
      </c>
      <c r="B54" s="4" t="s">
        <v>57</v>
      </c>
      <c r="C54" s="4" t="s">
        <v>65</v>
      </c>
      <c r="D54" s="6" t="s">
        <v>323</v>
      </c>
      <c r="E54" s="4" t="s">
        <v>324</v>
      </c>
      <c r="F54" s="4" t="s">
        <v>35</v>
      </c>
      <c r="G54" s="4" t="s">
        <v>36</v>
      </c>
      <c r="H54" s="8" t="s">
        <v>84</v>
      </c>
      <c r="I54" s="4" t="s">
        <v>325</v>
      </c>
      <c r="J54" s="4" t="s">
        <v>326</v>
      </c>
      <c r="K54" s="10" t="s">
        <v>40</v>
      </c>
      <c r="L54" s="10" t="s">
        <v>40</v>
      </c>
      <c r="M54" s="12">
        <v>12766170</v>
      </c>
      <c r="N54" s="8" t="s">
        <v>69</v>
      </c>
      <c r="O54" s="10"/>
      <c r="P54" s="14" t="s">
        <v>42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0</v>
      </c>
      <c r="W54" s="16">
        <v>0</v>
      </c>
      <c r="X54" s="14" t="s">
        <v>43</v>
      </c>
      <c r="Y54" s="14" t="s">
        <v>79</v>
      </c>
      <c r="Z54" s="14" t="s">
        <v>42</v>
      </c>
      <c r="AA54" s="18" t="s">
        <v>42</v>
      </c>
      <c r="AB54" s="8" t="s">
        <v>42</v>
      </c>
      <c r="AC54" s="8"/>
      <c r="AD54" s="8"/>
    </row>
    <row r="55" spans="1:32" ht="18" hidden="1" customHeight="1">
      <c r="A55" s="3" t="s">
        <v>327</v>
      </c>
      <c r="B55" s="5" t="s">
        <v>57</v>
      </c>
      <c r="C55" s="5" t="s">
        <v>328</v>
      </c>
      <c r="D55" s="7" t="s">
        <v>329</v>
      </c>
      <c r="E55" s="5" t="s">
        <v>330</v>
      </c>
      <c r="F55" s="5" t="s">
        <v>35</v>
      </c>
      <c r="G55" s="5" t="s">
        <v>229</v>
      </c>
      <c r="H55" s="9" t="s">
        <v>105</v>
      </c>
      <c r="I55" s="5" t="s">
        <v>331</v>
      </c>
      <c r="J55" s="5" t="s">
        <v>332</v>
      </c>
      <c r="K55" s="11" t="s">
        <v>40</v>
      </c>
      <c r="L55" s="11" t="s">
        <v>40</v>
      </c>
      <c r="M55" s="13">
        <v>2175915</v>
      </c>
      <c r="N55" s="9" t="s">
        <v>333</v>
      </c>
      <c r="O55" s="11"/>
      <c r="P55" s="15" t="s">
        <v>42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0</v>
      </c>
      <c r="W55" s="17">
        <v>0</v>
      </c>
      <c r="X55" s="15" t="s">
        <v>43</v>
      </c>
      <c r="Y55" s="15" t="s">
        <v>79</v>
      </c>
      <c r="Z55" s="15" t="s">
        <v>79</v>
      </c>
      <c r="AA55" s="19" t="s">
        <v>42</v>
      </c>
      <c r="AB55" s="9" t="s">
        <v>42</v>
      </c>
      <c r="AC55" s="9"/>
      <c r="AD55" s="9"/>
    </row>
    <row r="56" spans="1:32" ht="18" hidden="1" customHeight="1">
      <c r="A56" s="2" t="s">
        <v>334</v>
      </c>
      <c r="B56" s="4" t="s">
        <v>57</v>
      </c>
      <c r="C56" s="4" t="s">
        <v>71</v>
      </c>
      <c r="D56" s="6" t="s">
        <v>335</v>
      </c>
      <c r="E56" s="4" t="s">
        <v>336</v>
      </c>
      <c r="F56" s="4" t="s">
        <v>74</v>
      </c>
      <c r="G56" s="4" t="s">
        <v>36</v>
      </c>
      <c r="H56" s="8" t="s">
        <v>84</v>
      </c>
      <c r="I56" s="4" t="s">
        <v>337</v>
      </c>
      <c r="J56" s="4" t="s">
        <v>86</v>
      </c>
      <c r="K56" s="10" t="s">
        <v>40</v>
      </c>
      <c r="L56" s="10" t="s">
        <v>40</v>
      </c>
      <c r="M56" s="12">
        <v>10520000</v>
      </c>
      <c r="N56" s="8" t="s">
        <v>338</v>
      </c>
      <c r="O56" s="10"/>
      <c r="P56" s="14" t="s">
        <v>42</v>
      </c>
      <c r="Q56" s="16">
        <v>1</v>
      </c>
      <c r="R56" s="16">
        <v>1</v>
      </c>
      <c r="S56" s="16">
        <v>2</v>
      </c>
      <c r="T56" s="16">
        <v>1</v>
      </c>
      <c r="U56" s="16">
        <v>1</v>
      </c>
      <c r="V56" s="16">
        <v>2</v>
      </c>
      <c r="W56" s="16">
        <v>2</v>
      </c>
      <c r="X56" s="14" t="s">
        <v>79</v>
      </c>
      <c r="Y56" s="14" t="s">
        <v>79</v>
      </c>
      <c r="Z56" s="14" t="s">
        <v>42</v>
      </c>
      <c r="AA56" s="18" t="s">
        <v>43</v>
      </c>
      <c r="AB56" s="8" t="s">
        <v>42</v>
      </c>
      <c r="AC56" s="8"/>
      <c r="AD56" s="8"/>
    </row>
    <row r="57" spans="1:32" ht="18" hidden="1" customHeight="1">
      <c r="A57" s="3" t="s">
        <v>339</v>
      </c>
      <c r="B57" s="5" t="s">
        <v>57</v>
      </c>
      <c r="C57" s="5" t="s">
        <v>71</v>
      </c>
      <c r="D57" s="7" t="s">
        <v>340</v>
      </c>
      <c r="E57" s="5" t="s">
        <v>341</v>
      </c>
      <c r="F57" s="5" t="s">
        <v>74</v>
      </c>
      <c r="G57" s="5" t="s">
        <v>36</v>
      </c>
      <c r="H57" s="9" t="s">
        <v>105</v>
      </c>
      <c r="I57" s="5" t="s">
        <v>342</v>
      </c>
      <c r="J57" s="5" t="s">
        <v>290</v>
      </c>
      <c r="K57" s="11" t="s">
        <v>40</v>
      </c>
      <c r="L57" s="11" t="s">
        <v>40</v>
      </c>
      <c r="M57" s="13">
        <v>7540000</v>
      </c>
      <c r="N57" s="9" t="s">
        <v>343</v>
      </c>
      <c r="O57" s="11"/>
      <c r="P57" s="15" t="s">
        <v>42</v>
      </c>
      <c r="Q57" s="17">
        <v>1</v>
      </c>
      <c r="R57" s="17">
        <v>1</v>
      </c>
      <c r="S57" s="17">
        <v>2</v>
      </c>
      <c r="T57" s="17">
        <v>1</v>
      </c>
      <c r="U57" s="17">
        <v>1</v>
      </c>
      <c r="V57" s="17">
        <v>2</v>
      </c>
      <c r="W57" s="17">
        <v>2</v>
      </c>
      <c r="X57" s="15" t="s">
        <v>79</v>
      </c>
      <c r="Y57" s="15" t="s">
        <v>79</v>
      </c>
      <c r="Z57" s="15" t="s">
        <v>79</v>
      </c>
      <c r="AA57" s="19" t="s">
        <v>43</v>
      </c>
      <c r="AB57" s="9" t="s">
        <v>42</v>
      </c>
      <c r="AC57" s="9"/>
      <c r="AD57" s="9"/>
    </row>
    <row r="58" spans="1:32" ht="18" hidden="1" customHeight="1">
      <c r="A58" s="2" t="s">
        <v>344</v>
      </c>
      <c r="B58" s="4" t="s">
        <v>57</v>
      </c>
      <c r="C58" s="4" t="s">
        <v>71</v>
      </c>
      <c r="D58" s="6" t="s">
        <v>345</v>
      </c>
      <c r="E58" s="4" t="s">
        <v>346</v>
      </c>
      <c r="F58" s="4" t="s">
        <v>74</v>
      </c>
      <c r="G58" s="4" t="s">
        <v>36</v>
      </c>
      <c r="H58" s="8" t="s">
        <v>105</v>
      </c>
      <c r="I58" s="4" t="s">
        <v>347</v>
      </c>
      <c r="J58" s="4" t="s">
        <v>326</v>
      </c>
      <c r="K58" s="10" t="s">
        <v>40</v>
      </c>
      <c r="L58" s="10" t="s">
        <v>40</v>
      </c>
      <c r="M58" s="12">
        <v>15060000</v>
      </c>
      <c r="N58" s="8" t="s">
        <v>78</v>
      </c>
      <c r="O58" s="10"/>
      <c r="P58" s="14" t="s">
        <v>42</v>
      </c>
      <c r="Q58" s="16">
        <v>1</v>
      </c>
      <c r="R58" s="16">
        <v>1</v>
      </c>
      <c r="S58" s="16">
        <v>2</v>
      </c>
      <c r="T58" s="16">
        <v>1</v>
      </c>
      <c r="U58" s="16">
        <v>1</v>
      </c>
      <c r="V58" s="16">
        <v>2</v>
      </c>
      <c r="W58" s="16">
        <v>2</v>
      </c>
      <c r="X58" s="14" t="s">
        <v>79</v>
      </c>
      <c r="Y58" s="14" t="s">
        <v>79</v>
      </c>
      <c r="Z58" s="14" t="s">
        <v>79</v>
      </c>
      <c r="AA58" s="18" t="s">
        <v>42</v>
      </c>
      <c r="AB58" s="8" t="s">
        <v>42</v>
      </c>
      <c r="AC58" s="8"/>
      <c r="AD58" s="8"/>
    </row>
    <row r="59" spans="1:32" ht="18" hidden="1" customHeight="1">
      <c r="A59" s="3" t="s">
        <v>348</v>
      </c>
      <c r="B59" s="5" t="s">
        <v>57</v>
      </c>
      <c r="C59" s="5" t="s">
        <v>71</v>
      </c>
      <c r="D59" s="7" t="s">
        <v>349</v>
      </c>
      <c r="E59" s="5" t="s">
        <v>350</v>
      </c>
      <c r="F59" s="5" t="s">
        <v>74</v>
      </c>
      <c r="G59" s="5" t="s">
        <v>36</v>
      </c>
      <c r="H59" s="9" t="s">
        <v>105</v>
      </c>
      <c r="I59" s="5" t="s">
        <v>351</v>
      </c>
      <c r="J59" s="5" t="s">
        <v>352</v>
      </c>
      <c r="K59" s="11" t="s">
        <v>40</v>
      </c>
      <c r="L59" s="11" t="s">
        <v>40</v>
      </c>
      <c r="M59" s="13">
        <v>4670000</v>
      </c>
      <c r="N59" s="9" t="s">
        <v>78</v>
      </c>
      <c r="O59" s="11"/>
      <c r="P59" s="15" t="s">
        <v>42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2</v>
      </c>
      <c r="W59" s="17">
        <v>2</v>
      </c>
      <c r="X59" s="15" t="s">
        <v>79</v>
      </c>
      <c r="Y59" s="15" t="s">
        <v>79</v>
      </c>
      <c r="Z59" s="15" t="s">
        <v>79</v>
      </c>
      <c r="AA59" s="19" t="s">
        <v>42</v>
      </c>
      <c r="AB59" s="9" t="s">
        <v>42</v>
      </c>
      <c r="AC59" s="9"/>
      <c r="AD59" s="9"/>
    </row>
    <row r="60" spans="1:32" ht="18" hidden="1" customHeight="1">
      <c r="A60" s="2" t="s">
        <v>353</v>
      </c>
      <c r="B60" s="4" t="s">
        <v>57</v>
      </c>
      <c r="C60" s="4" t="s">
        <v>354</v>
      </c>
      <c r="D60" s="6" t="s">
        <v>355</v>
      </c>
      <c r="E60" s="4" t="s">
        <v>356</v>
      </c>
      <c r="F60" s="4" t="s">
        <v>35</v>
      </c>
      <c r="G60" s="4" t="s">
        <v>229</v>
      </c>
      <c r="H60" s="8" t="s">
        <v>84</v>
      </c>
      <c r="I60" s="4" t="s">
        <v>357</v>
      </c>
      <c r="J60" s="4" t="s">
        <v>352</v>
      </c>
      <c r="K60" s="10" t="s">
        <v>40</v>
      </c>
      <c r="L60" s="10" t="s">
        <v>40</v>
      </c>
      <c r="M60" s="12">
        <v>150454371642</v>
      </c>
      <c r="N60" s="8" t="s">
        <v>358</v>
      </c>
      <c r="O60" s="10"/>
      <c r="P60" s="14" t="s">
        <v>42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0</v>
      </c>
      <c r="W60" s="16">
        <v>0</v>
      </c>
      <c r="X60" s="14" t="s">
        <v>43</v>
      </c>
      <c r="Y60" s="14" t="s">
        <v>79</v>
      </c>
      <c r="Z60" s="14" t="s">
        <v>42</v>
      </c>
      <c r="AA60" s="18" t="s">
        <v>42</v>
      </c>
      <c r="AB60" s="8" t="s">
        <v>42</v>
      </c>
      <c r="AC60" s="8"/>
      <c r="AD60" s="8"/>
    </row>
    <row r="61" spans="1:32" ht="18" hidden="1" customHeight="1">
      <c r="A61" s="3" t="s">
        <v>359</v>
      </c>
      <c r="B61" s="5" t="s">
        <v>57</v>
      </c>
      <c r="C61" s="5" t="s">
        <v>226</v>
      </c>
      <c r="D61" s="7" t="s">
        <v>360</v>
      </c>
      <c r="E61" s="5" t="s">
        <v>361</v>
      </c>
      <c r="F61" s="5" t="s">
        <v>35</v>
      </c>
      <c r="G61" s="5" t="s">
        <v>36</v>
      </c>
      <c r="H61" s="9" t="s">
        <v>105</v>
      </c>
      <c r="I61" s="5" t="s">
        <v>362</v>
      </c>
      <c r="J61" s="5" t="s">
        <v>363</v>
      </c>
      <c r="K61" s="11" t="s">
        <v>40</v>
      </c>
      <c r="L61" s="11" t="s">
        <v>40</v>
      </c>
      <c r="M61" s="29">
        <v>2581000</v>
      </c>
      <c r="N61" s="9" t="s">
        <v>364</v>
      </c>
      <c r="O61" s="11"/>
      <c r="P61" s="15" t="s">
        <v>42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0</v>
      </c>
      <c r="W61" s="17">
        <v>0</v>
      </c>
      <c r="X61" s="15" t="s">
        <v>43</v>
      </c>
      <c r="Y61" s="15" t="s">
        <v>79</v>
      </c>
      <c r="Z61" s="15" t="s">
        <v>79</v>
      </c>
      <c r="AA61" s="19" t="s">
        <v>42</v>
      </c>
      <c r="AB61" s="9" t="s">
        <v>42</v>
      </c>
      <c r="AC61" s="9"/>
      <c r="AD61" s="9"/>
      <c r="AE61" s="31"/>
      <c r="AF61" s="31"/>
    </row>
    <row r="62" spans="1:32" ht="18" hidden="1" customHeight="1">
      <c r="A62" s="2" t="s">
        <v>365</v>
      </c>
      <c r="B62" s="4" t="s">
        <v>57</v>
      </c>
      <c r="C62" s="49" t="s">
        <v>354</v>
      </c>
      <c r="D62" s="6" t="s">
        <v>366</v>
      </c>
      <c r="E62" s="49" t="s">
        <v>367</v>
      </c>
      <c r="F62" s="4" t="s">
        <v>35</v>
      </c>
      <c r="G62" s="4" t="s">
        <v>229</v>
      </c>
      <c r="H62" s="8" t="s">
        <v>37</v>
      </c>
      <c r="I62" s="49" t="s">
        <v>368</v>
      </c>
      <c r="J62" s="49" t="s">
        <v>369</v>
      </c>
      <c r="K62" s="10" t="s">
        <v>40</v>
      </c>
      <c r="L62" s="10" t="s">
        <v>40</v>
      </c>
      <c r="M62" s="50">
        <v>150454371642</v>
      </c>
      <c r="N62" s="8" t="s">
        <v>370</v>
      </c>
      <c r="O62" s="10"/>
      <c r="P62" s="14" t="s">
        <v>42</v>
      </c>
      <c r="Q62" s="16">
        <v>1</v>
      </c>
      <c r="R62" s="16">
        <v>1</v>
      </c>
      <c r="S62" s="16">
        <v>1</v>
      </c>
      <c r="T62" s="16">
        <v>0</v>
      </c>
      <c r="U62" s="16">
        <v>0</v>
      </c>
      <c r="V62" s="16">
        <v>0</v>
      </c>
      <c r="W62" s="16">
        <v>0</v>
      </c>
      <c r="X62" s="14" t="s">
        <v>43</v>
      </c>
      <c r="Y62" s="14" t="s">
        <v>42</v>
      </c>
      <c r="Z62" s="14" t="s">
        <v>42</v>
      </c>
      <c r="AA62" s="18" t="s">
        <v>42</v>
      </c>
      <c r="AB62" s="8" t="s">
        <v>42</v>
      </c>
      <c r="AC62" s="8"/>
      <c r="AD62" s="8"/>
      <c r="AE62" s="32"/>
      <c r="AF62" s="32"/>
    </row>
    <row r="63" spans="1:32" ht="18" customHeight="1">
      <c r="A63" s="3" t="s">
        <v>371</v>
      </c>
      <c r="B63" s="33" t="s">
        <v>57</v>
      </c>
      <c r="C63" s="57" t="s">
        <v>354</v>
      </c>
      <c r="D63" s="34" t="s">
        <v>372</v>
      </c>
      <c r="E63" s="57" t="s">
        <v>373</v>
      </c>
      <c r="F63" s="5" t="s">
        <v>35</v>
      </c>
      <c r="G63" s="5" t="s">
        <v>229</v>
      </c>
      <c r="H63" s="35" t="s">
        <v>84</v>
      </c>
      <c r="I63" s="65" t="s">
        <v>374</v>
      </c>
      <c r="J63" s="65" t="s">
        <v>375</v>
      </c>
      <c r="K63" s="11" t="s">
        <v>40</v>
      </c>
      <c r="L63" s="36" t="s">
        <v>40</v>
      </c>
      <c r="M63" s="61">
        <v>28574000</v>
      </c>
      <c r="N63" s="9" t="s">
        <v>376</v>
      </c>
      <c r="O63" s="11"/>
      <c r="P63" s="15" t="s">
        <v>42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0</v>
      </c>
      <c r="W63" s="17">
        <v>0</v>
      </c>
      <c r="X63" s="15" t="s">
        <v>43</v>
      </c>
      <c r="Y63" s="15" t="s">
        <v>79</v>
      </c>
      <c r="Z63" s="15" t="s">
        <v>42</v>
      </c>
      <c r="AA63" s="19" t="s">
        <v>43</v>
      </c>
      <c r="AB63" s="9" t="s">
        <v>42</v>
      </c>
      <c r="AC63" s="9"/>
      <c r="AD63" s="35"/>
      <c r="AE63" s="62" t="s">
        <v>499</v>
      </c>
      <c r="AF63" s="62" t="s">
        <v>504</v>
      </c>
    </row>
    <row r="64" spans="1:32" ht="18" hidden="1" customHeight="1">
      <c r="A64" s="2" t="s">
        <v>377</v>
      </c>
      <c r="B64" s="4" t="s">
        <v>31</v>
      </c>
      <c r="C64" s="4" t="s">
        <v>50</v>
      </c>
      <c r="D64" s="6" t="s">
        <v>378</v>
      </c>
      <c r="E64" s="4" t="s">
        <v>379</v>
      </c>
      <c r="F64" s="4" t="s">
        <v>35</v>
      </c>
      <c r="G64" s="4" t="s">
        <v>36</v>
      </c>
      <c r="H64" s="8" t="s">
        <v>105</v>
      </c>
      <c r="I64" s="4" t="s">
        <v>380</v>
      </c>
      <c r="J64" s="4" t="s">
        <v>369</v>
      </c>
      <c r="K64" s="10" t="s">
        <v>40</v>
      </c>
      <c r="L64" s="10" t="s">
        <v>40</v>
      </c>
      <c r="M64" s="12">
        <v>664350</v>
      </c>
      <c r="N64" s="8" t="s">
        <v>54</v>
      </c>
      <c r="O64" s="10"/>
      <c r="P64" s="14" t="s">
        <v>42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0</v>
      </c>
      <c r="W64" s="16">
        <v>0</v>
      </c>
      <c r="X64" s="14" t="s">
        <v>43</v>
      </c>
      <c r="Y64" s="14" t="s">
        <v>79</v>
      </c>
      <c r="Z64" s="14" t="s">
        <v>79</v>
      </c>
      <c r="AA64" s="18" t="s">
        <v>42</v>
      </c>
      <c r="AB64" s="8" t="s">
        <v>42</v>
      </c>
      <c r="AC64" s="8" t="s">
        <v>381</v>
      </c>
      <c r="AD64" s="8" t="s">
        <v>382</v>
      </c>
      <c r="AE64" s="32"/>
      <c r="AF64" s="32"/>
    </row>
    <row r="65" spans="1:32" ht="18" hidden="1" customHeight="1">
      <c r="A65" s="3" t="s">
        <v>394</v>
      </c>
      <c r="B65" s="5" t="s">
        <v>57</v>
      </c>
      <c r="C65" s="5" t="s">
        <v>71</v>
      </c>
      <c r="D65" s="7" t="s">
        <v>395</v>
      </c>
      <c r="E65" s="5" t="s">
        <v>396</v>
      </c>
      <c r="F65" s="5" t="s">
        <v>74</v>
      </c>
      <c r="G65" s="5" t="s">
        <v>36</v>
      </c>
      <c r="H65" s="9" t="s">
        <v>105</v>
      </c>
      <c r="I65" s="5" t="s">
        <v>397</v>
      </c>
      <c r="J65" s="5" t="s">
        <v>326</v>
      </c>
      <c r="K65" s="11" t="s">
        <v>40</v>
      </c>
      <c r="L65" s="11" t="s">
        <v>40</v>
      </c>
      <c r="M65" s="13">
        <v>117890000</v>
      </c>
      <c r="N65" s="9" t="s">
        <v>398</v>
      </c>
      <c r="O65" s="11"/>
      <c r="P65" s="15" t="s">
        <v>79</v>
      </c>
      <c r="Q65" s="17">
        <v>1</v>
      </c>
      <c r="R65" s="17">
        <v>1</v>
      </c>
      <c r="S65" s="17">
        <v>2</v>
      </c>
      <c r="T65" s="17">
        <v>2</v>
      </c>
      <c r="U65" s="17">
        <v>2</v>
      </c>
      <c r="V65" s="17">
        <v>5</v>
      </c>
      <c r="W65" s="17">
        <v>5</v>
      </c>
      <c r="X65" s="15" t="s">
        <v>79</v>
      </c>
      <c r="Y65" s="15" t="s">
        <v>79</v>
      </c>
      <c r="Z65" s="15" t="s">
        <v>79</v>
      </c>
      <c r="AA65" s="19" t="s">
        <v>43</v>
      </c>
      <c r="AB65" s="9" t="s">
        <v>42</v>
      </c>
      <c r="AC65" s="9"/>
      <c r="AD65" s="9"/>
      <c r="AE65" s="32"/>
      <c r="AF65" s="32"/>
    </row>
    <row r="66" spans="1:32" ht="18" hidden="1" customHeight="1">
      <c r="A66" s="3" t="s">
        <v>383</v>
      </c>
      <c r="B66" s="5" t="s">
        <v>57</v>
      </c>
      <c r="C66" s="5" t="s">
        <v>71</v>
      </c>
      <c r="D66" s="7" t="s">
        <v>384</v>
      </c>
      <c r="E66" s="5" t="s">
        <v>385</v>
      </c>
      <c r="F66" s="5" t="s">
        <v>74</v>
      </c>
      <c r="G66" s="5" t="s">
        <v>36</v>
      </c>
      <c r="H66" s="9" t="s">
        <v>105</v>
      </c>
      <c r="I66" s="5" t="s">
        <v>386</v>
      </c>
      <c r="J66" s="5" t="s">
        <v>387</v>
      </c>
      <c r="K66" s="11" t="s">
        <v>40</v>
      </c>
      <c r="L66" s="11" t="s">
        <v>40</v>
      </c>
      <c r="M66" s="13">
        <v>15910000</v>
      </c>
      <c r="N66" s="9" t="s">
        <v>388</v>
      </c>
      <c r="O66" s="11"/>
      <c r="P66" s="15" t="s">
        <v>42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2</v>
      </c>
      <c r="W66" s="17">
        <v>2</v>
      </c>
      <c r="X66" s="15" t="s">
        <v>79</v>
      </c>
      <c r="Y66" s="15" t="s">
        <v>79</v>
      </c>
      <c r="Z66" s="15" t="s">
        <v>79</v>
      </c>
      <c r="AA66" s="19" t="s">
        <v>42</v>
      </c>
      <c r="AB66" s="9" t="s">
        <v>42</v>
      </c>
      <c r="AC66" s="9"/>
      <c r="AD66" s="9"/>
    </row>
    <row r="67" spans="1:32" ht="18" hidden="1" customHeight="1">
      <c r="A67" s="2" t="s">
        <v>389</v>
      </c>
      <c r="B67" s="4" t="s">
        <v>57</v>
      </c>
      <c r="C67" s="4" t="s">
        <v>166</v>
      </c>
      <c r="D67" s="6" t="s">
        <v>390</v>
      </c>
      <c r="E67" s="4" t="s">
        <v>391</v>
      </c>
      <c r="F67" s="4" t="s">
        <v>35</v>
      </c>
      <c r="G67" s="4" t="s">
        <v>36</v>
      </c>
      <c r="H67" s="8" t="s">
        <v>105</v>
      </c>
      <c r="I67" s="4" t="s">
        <v>392</v>
      </c>
      <c r="J67" s="4" t="s">
        <v>393</v>
      </c>
      <c r="K67" s="10" t="s">
        <v>40</v>
      </c>
      <c r="L67" s="10" t="s">
        <v>40</v>
      </c>
      <c r="M67" s="12">
        <v>1</v>
      </c>
      <c r="N67" s="8" t="s">
        <v>170</v>
      </c>
      <c r="O67" s="10"/>
      <c r="P67" s="14" t="s">
        <v>42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0</v>
      </c>
      <c r="W67" s="16">
        <v>0</v>
      </c>
      <c r="X67" s="14" t="s">
        <v>43</v>
      </c>
      <c r="Y67" s="14" t="s">
        <v>79</v>
      </c>
      <c r="Z67" s="14" t="s">
        <v>79</v>
      </c>
      <c r="AA67" s="18" t="s">
        <v>42</v>
      </c>
      <c r="AB67" s="8" t="s">
        <v>42</v>
      </c>
      <c r="AC67" s="8"/>
      <c r="AD67" s="8"/>
    </row>
    <row r="68" spans="1:32" ht="18" hidden="1" customHeight="1">
      <c r="A68" s="2" t="s">
        <v>399</v>
      </c>
      <c r="B68" s="4" t="s">
        <v>57</v>
      </c>
      <c r="C68" s="4" t="s">
        <v>202</v>
      </c>
      <c r="D68" s="6" t="s">
        <v>400</v>
      </c>
      <c r="E68" s="4" t="s">
        <v>401</v>
      </c>
      <c r="F68" s="4" t="s">
        <v>402</v>
      </c>
      <c r="G68" s="4" t="s">
        <v>403</v>
      </c>
      <c r="H68" s="8" t="s">
        <v>105</v>
      </c>
      <c r="I68" s="4" t="s">
        <v>404</v>
      </c>
      <c r="J68" s="4" t="s">
        <v>386</v>
      </c>
      <c r="K68" s="10" t="s">
        <v>40</v>
      </c>
      <c r="L68" s="10" t="s">
        <v>40</v>
      </c>
      <c r="M68" s="12"/>
      <c r="N68" s="8" t="s">
        <v>405</v>
      </c>
      <c r="O68" s="10"/>
      <c r="P68" s="14" t="s">
        <v>42</v>
      </c>
      <c r="Q68" s="16">
        <v>0</v>
      </c>
      <c r="R68" s="16">
        <v>0</v>
      </c>
      <c r="S68" s="16">
        <v>1</v>
      </c>
      <c r="T68" s="16">
        <v>1</v>
      </c>
      <c r="U68" s="16">
        <v>1</v>
      </c>
      <c r="V68" s="16">
        <v>0</v>
      </c>
      <c r="W68" s="16">
        <v>0</v>
      </c>
      <c r="X68" s="14" t="s">
        <v>43</v>
      </c>
      <c r="Y68" s="14" t="s">
        <v>79</v>
      </c>
      <c r="Z68" s="14" t="s">
        <v>79</v>
      </c>
      <c r="AA68" s="18" t="s">
        <v>42</v>
      </c>
      <c r="AB68" s="8" t="s">
        <v>42</v>
      </c>
      <c r="AC68" s="8"/>
      <c r="AD68" s="8"/>
    </row>
    <row r="69" spans="1:32" ht="18" hidden="1" customHeight="1">
      <c r="A69" s="3" t="s">
        <v>406</v>
      </c>
      <c r="B69" s="5" t="s">
        <v>57</v>
      </c>
      <c r="C69" s="5" t="s">
        <v>166</v>
      </c>
      <c r="D69" s="7" t="s">
        <v>407</v>
      </c>
      <c r="E69" s="5" t="s">
        <v>408</v>
      </c>
      <c r="F69" s="5" t="s">
        <v>35</v>
      </c>
      <c r="G69" s="5" t="s">
        <v>36</v>
      </c>
      <c r="H69" s="9" t="s">
        <v>105</v>
      </c>
      <c r="I69" s="5" t="s">
        <v>409</v>
      </c>
      <c r="J69" s="5" t="s">
        <v>410</v>
      </c>
      <c r="K69" s="11" t="s">
        <v>40</v>
      </c>
      <c r="L69" s="11" t="s">
        <v>40</v>
      </c>
      <c r="M69" s="13">
        <v>1482000</v>
      </c>
      <c r="N69" s="9" t="s">
        <v>364</v>
      </c>
      <c r="O69" s="11"/>
      <c r="P69" s="15" t="s">
        <v>42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0</v>
      </c>
      <c r="W69" s="17">
        <v>0</v>
      </c>
      <c r="X69" s="15" t="s">
        <v>43</v>
      </c>
      <c r="Y69" s="15" t="s">
        <v>79</v>
      </c>
      <c r="Z69" s="15" t="s">
        <v>79</v>
      </c>
      <c r="AA69" s="19" t="s">
        <v>42</v>
      </c>
      <c r="AB69" s="9" t="s">
        <v>42</v>
      </c>
      <c r="AC69" s="9"/>
      <c r="AD69" s="9"/>
    </row>
    <row r="70" spans="1:32" ht="18" hidden="1" customHeight="1">
      <c r="A70" s="2" t="s">
        <v>411</v>
      </c>
      <c r="B70" s="4" t="s">
        <v>57</v>
      </c>
      <c r="C70" s="4" t="s">
        <v>412</v>
      </c>
      <c r="D70" s="6" t="s">
        <v>413</v>
      </c>
      <c r="E70" s="4" t="s">
        <v>414</v>
      </c>
      <c r="F70" s="4" t="s">
        <v>35</v>
      </c>
      <c r="G70" s="4" t="s">
        <v>36</v>
      </c>
      <c r="H70" s="8" t="s">
        <v>105</v>
      </c>
      <c r="I70" s="4" t="s">
        <v>415</v>
      </c>
      <c r="J70" s="4" t="s">
        <v>410</v>
      </c>
      <c r="K70" s="10" t="s">
        <v>40</v>
      </c>
      <c r="L70" s="10" t="s">
        <v>40</v>
      </c>
      <c r="M70" s="12">
        <v>265100</v>
      </c>
      <c r="N70" s="8" t="s">
        <v>311</v>
      </c>
      <c r="O70" s="10"/>
      <c r="P70" s="14" t="s">
        <v>79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0</v>
      </c>
      <c r="W70" s="16">
        <v>0</v>
      </c>
      <c r="X70" s="14" t="s">
        <v>43</v>
      </c>
      <c r="Y70" s="14" t="s">
        <v>79</v>
      </c>
      <c r="Z70" s="14" t="s">
        <v>79</v>
      </c>
      <c r="AA70" s="18" t="s">
        <v>42</v>
      </c>
      <c r="AB70" s="8" t="s">
        <v>42</v>
      </c>
      <c r="AC70" s="8"/>
      <c r="AD70" s="8"/>
    </row>
    <row r="71" spans="1:32" ht="18" hidden="1" customHeight="1">
      <c r="A71" s="2" t="s">
        <v>431</v>
      </c>
      <c r="B71" s="4" t="s">
        <v>57</v>
      </c>
      <c r="C71" s="4" t="s">
        <v>432</v>
      </c>
      <c r="D71" s="6" t="s">
        <v>433</v>
      </c>
      <c r="E71" s="4" t="s">
        <v>434</v>
      </c>
      <c r="F71" s="4" t="s">
        <v>35</v>
      </c>
      <c r="G71" s="4" t="s">
        <v>36</v>
      </c>
      <c r="H71" s="8" t="s">
        <v>105</v>
      </c>
      <c r="I71" s="4" t="s">
        <v>435</v>
      </c>
      <c r="J71" s="4" t="s">
        <v>436</v>
      </c>
      <c r="K71" s="10" t="s">
        <v>40</v>
      </c>
      <c r="L71" s="10" t="s">
        <v>40</v>
      </c>
      <c r="M71" s="12">
        <v>34250000</v>
      </c>
      <c r="N71" s="8" t="s">
        <v>437</v>
      </c>
      <c r="O71" s="10"/>
      <c r="P71" s="14" t="s">
        <v>42</v>
      </c>
      <c r="Q71" s="16">
        <v>3</v>
      </c>
      <c r="R71" s="16">
        <v>3</v>
      </c>
      <c r="S71" s="16">
        <v>1</v>
      </c>
      <c r="T71" s="16">
        <v>1</v>
      </c>
      <c r="U71" s="16">
        <v>1</v>
      </c>
      <c r="V71" s="16">
        <v>0</v>
      </c>
      <c r="W71" s="16">
        <v>0</v>
      </c>
      <c r="X71" s="14" t="s">
        <v>43</v>
      </c>
      <c r="Y71" s="14" t="s">
        <v>79</v>
      </c>
      <c r="Z71" s="14" t="s">
        <v>79</v>
      </c>
      <c r="AA71" s="18" t="s">
        <v>42</v>
      </c>
      <c r="AB71" s="8" t="s">
        <v>42</v>
      </c>
      <c r="AC71" s="8"/>
      <c r="AD71" s="8"/>
      <c r="AE71" s="32"/>
      <c r="AF71" s="32"/>
    </row>
    <row r="72" spans="1:32" ht="18" hidden="1" customHeight="1">
      <c r="A72" s="3" t="s">
        <v>416</v>
      </c>
      <c r="B72" s="5" t="s">
        <v>57</v>
      </c>
      <c r="C72" s="5" t="s">
        <v>166</v>
      </c>
      <c r="D72" s="7" t="s">
        <v>417</v>
      </c>
      <c r="E72" s="5" t="s">
        <v>418</v>
      </c>
      <c r="F72" s="5" t="s">
        <v>35</v>
      </c>
      <c r="G72" s="5" t="s">
        <v>36</v>
      </c>
      <c r="H72" s="9" t="s">
        <v>105</v>
      </c>
      <c r="I72" s="5" t="s">
        <v>419</v>
      </c>
      <c r="J72" s="5" t="s">
        <v>415</v>
      </c>
      <c r="K72" s="11" t="s">
        <v>40</v>
      </c>
      <c r="L72" s="11" t="s">
        <v>40</v>
      </c>
      <c r="M72" s="13">
        <v>3118000</v>
      </c>
      <c r="N72" s="9" t="s">
        <v>364</v>
      </c>
      <c r="O72" s="11"/>
      <c r="P72" s="15" t="s">
        <v>42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0</v>
      </c>
      <c r="W72" s="17">
        <v>0</v>
      </c>
      <c r="X72" s="15" t="s">
        <v>43</v>
      </c>
      <c r="Y72" s="15" t="s">
        <v>79</v>
      </c>
      <c r="Z72" s="15" t="s">
        <v>79</v>
      </c>
      <c r="AA72" s="19" t="s">
        <v>42</v>
      </c>
      <c r="AB72" s="9" t="s">
        <v>42</v>
      </c>
      <c r="AC72" s="9"/>
      <c r="AD72" s="9"/>
    </row>
    <row r="73" spans="1:32" ht="18" hidden="1" customHeight="1">
      <c r="A73" s="2" t="s">
        <v>420</v>
      </c>
      <c r="B73" s="4" t="s">
        <v>57</v>
      </c>
      <c r="C73" s="4" t="s">
        <v>166</v>
      </c>
      <c r="D73" s="6" t="s">
        <v>421</v>
      </c>
      <c r="E73" s="4" t="s">
        <v>422</v>
      </c>
      <c r="F73" s="4" t="s">
        <v>35</v>
      </c>
      <c r="G73" s="4" t="s">
        <v>36</v>
      </c>
      <c r="H73" s="8" t="s">
        <v>105</v>
      </c>
      <c r="I73" s="4" t="s">
        <v>419</v>
      </c>
      <c r="J73" s="4" t="s">
        <v>423</v>
      </c>
      <c r="K73" s="10" t="s">
        <v>40</v>
      </c>
      <c r="L73" s="10" t="s">
        <v>40</v>
      </c>
      <c r="M73" s="12">
        <v>1</v>
      </c>
      <c r="N73" s="8" t="s">
        <v>170</v>
      </c>
      <c r="O73" s="10"/>
      <c r="P73" s="14" t="s">
        <v>42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0</v>
      </c>
      <c r="W73" s="16">
        <v>0</v>
      </c>
      <c r="X73" s="14" t="s">
        <v>43</v>
      </c>
      <c r="Y73" s="14" t="s">
        <v>79</v>
      </c>
      <c r="Z73" s="14" t="s">
        <v>79</v>
      </c>
      <c r="AA73" s="18" t="s">
        <v>42</v>
      </c>
      <c r="AB73" s="8" t="s">
        <v>42</v>
      </c>
      <c r="AC73" s="8"/>
      <c r="AD73" s="8"/>
      <c r="AE73" s="32"/>
      <c r="AF73" s="32"/>
    </row>
    <row r="74" spans="1:32" ht="18" hidden="1" customHeight="1">
      <c r="A74" s="3" t="s">
        <v>424</v>
      </c>
      <c r="B74" s="5" t="s">
        <v>57</v>
      </c>
      <c r="C74" s="5" t="s">
        <v>425</v>
      </c>
      <c r="D74" s="7" t="s">
        <v>426</v>
      </c>
      <c r="E74" s="5" t="s">
        <v>427</v>
      </c>
      <c r="F74" s="5" t="s">
        <v>35</v>
      </c>
      <c r="G74" s="5" t="s">
        <v>36</v>
      </c>
      <c r="H74" s="9" t="s">
        <v>84</v>
      </c>
      <c r="I74" s="5" t="s">
        <v>428</v>
      </c>
      <c r="J74" s="5" t="s">
        <v>429</v>
      </c>
      <c r="K74" s="11" t="s">
        <v>40</v>
      </c>
      <c r="L74" s="11" t="s">
        <v>40</v>
      </c>
      <c r="M74" s="13">
        <v>1276000</v>
      </c>
      <c r="N74" s="9" t="s">
        <v>430</v>
      </c>
      <c r="O74" s="11"/>
      <c r="P74" s="15" t="s">
        <v>42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0</v>
      </c>
      <c r="W74" s="17">
        <v>0</v>
      </c>
      <c r="X74" s="15" t="s">
        <v>43</v>
      </c>
      <c r="Y74" s="15" t="s">
        <v>79</v>
      </c>
      <c r="Z74" s="15" t="s">
        <v>42</v>
      </c>
      <c r="AA74" s="19" t="s">
        <v>42</v>
      </c>
      <c r="AB74" s="9" t="s">
        <v>42</v>
      </c>
      <c r="AC74" s="9"/>
      <c r="AD74" s="9"/>
      <c r="AE74" s="32"/>
      <c r="AF74" s="32"/>
    </row>
    <row r="75" spans="1:32" ht="18" hidden="1" customHeight="1">
      <c r="A75" s="3" t="s">
        <v>438</v>
      </c>
      <c r="B75" s="5" t="s">
        <v>57</v>
      </c>
      <c r="C75" s="5" t="s">
        <v>202</v>
      </c>
      <c r="D75" s="7" t="s">
        <v>439</v>
      </c>
      <c r="E75" s="5" t="s">
        <v>440</v>
      </c>
      <c r="F75" s="5" t="s">
        <v>402</v>
      </c>
      <c r="G75" s="5" t="s">
        <v>403</v>
      </c>
      <c r="H75" s="9" t="s">
        <v>84</v>
      </c>
      <c r="I75" s="5" t="s">
        <v>441</v>
      </c>
      <c r="J75" s="5" t="s">
        <v>442</v>
      </c>
      <c r="K75" s="11" t="s">
        <v>40</v>
      </c>
      <c r="L75" s="11" t="s">
        <v>40</v>
      </c>
      <c r="M75" s="13"/>
      <c r="N75" s="9" t="s">
        <v>278</v>
      </c>
      <c r="O75" s="11"/>
      <c r="P75" s="15" t="s">
        <v>42</v>
      </c>
      <c r="Q75" s="17">
        <v>0</v>
      </c>
      <c r="R75" s="17">
        <v>0</v>
      </c>
      <c r="S75" s="17">
        <v>1</v>
      </c>
      <c r="T75" s="17">
        <v>1</v>
      </c>
      <c r="U75" s="17">
        <v>1</v>
      </c>
      <c r="V75" s="17">
        <v>0</v>
      </c>
      <c r="W75" s="17">
        <v>0</v>
      </c>
      <c r="X75" s="15" t="s">
        <v>43</v>
      </c>
      <c r="Y75" s="15" t="s">
        <v>79</v>
      </c>
      <c r="Z75" s="15" t="s">
        <v>42</v>
      </c>
      <c r="AA75" s="19" t="s">
        <v>42</v>
      </c>
      <c r="AB75" s="9" t="s">
        <v>42</v>
      </c>
      <c r="AC75" s="9"/>
      <c r="AD75" s="9"/>
    </row>
    <row r="76" spans="1:32" ht="18" hidden="1" customHeight="1">
      <c r="A76" s="3" t="s">
        <v>455</v>
      </c>
      <c r="B76" s="5" t="s">
        <v>57</v>
      </c>
      <c r="C76" s="5" t="s">
        <v>456</v>
      </c>
      <c r="D76" s="7" t="s">
        <v>457</v>
      </c>
      <c r="E76" s="5" t="s">
        <v>458</v>
      </c>
      <c r="F76" s="5" t="s">
        <v>35</v>
      </c>
      <c r="G76" s="5" t="s">
        <v>36</v>
      </c>
      <c r="H76" s="9" t="s">
        <v>105</v>
      </c>
      <c r="I76" s="5" t="s">
        <v>459</v>
      </c>
      <c r="J76" s="5" t="s">
        <v>460</v>
      </c>
      <c r="K76" s="11" t="s">
        <v>40</v>
      </c>
      <c r="L76" s="11" t="s">
        <v>40</v>
      </c>
      <c r="M76" s="13">
        <v>2630000</v>
      </c>
      <c r="N76" s="9" t="s">
        <v>461</v>
      </c>
      <c r="O76" s="11"/>
      <c r="P76" s="15" t="s">
        <v>42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0</v>
      </c>
      <c r="W76" s="17">
        <v>0</v>
      </c>
      <c r="X76" s="15" t="s">
        <v>43</v>
      </c>
      <c r="Y76" s="15" t="s">
        <v>79</v>
      </c>
      <c r="Z76" s="15" t="s">
        <v>79</v>
      </c>
      <c r="AA76" s="19" t="s">
        <v>42</v>
      </c>
      <c r="AB76" s="9" t="s">
        <v>42</v>
      </c>
      <c r="AC76" s="9"/>
      <c r="AD76" s="9"/>
    </row>
    <row r="77" spans="1:32" ht="18" hidden="1" customHeight="1">
      <c r="A77" s="2" t="s">
        <v>443</v>
      </c>
      <c r="B77" s="4" t="s">
        <v>57</v>
      </c>
      <c r="C77" s="4" t="s">
        <v>202</v>
      </c>
      <c r="D77" s="6" t="s">
        <v>444</v>
      </c>
      <c r="E77" s="4" t="s">
        <v>445</v>
      </c>
      <c r="F77" s="4" t="s">
        <v>402</v>
      </c>
      <c r="G77" s="4" t="s">
        <v>403</v>
      </c>
      <c r="H77" s="8" t="s">
        <v>105</v>
      </c>
      <c r="I77" s="4" t="s">
        <v>446</v>
      </c>
      <c r="J77" s="4" t="s">
        <v>447</v>
      </c>
      <c r="K77" s="10" t="s">
        <v>40</v>
      </c>
      <c r="L77" s="10" t="s">
        <v>40</v>
      </c>
      <c r="M77" s="12"/>
      <c r="N77" s="8" t="s">
        <v>405</v>
      </c>
      <c r="O77" s="10"/>
      <c r="P77" s="14" t="s">
        <v>42</v>
      </c>
      <c r="Q77" s="16">
        <v>0</v>
      </c>
      <c r="R77" s="16">
        <v>0</v>
      </c>
      <c r="S77" s="16">
        <v>1</v>
      </c>
      <c r="T77" s="16">
        <v>1</v>
      </c>
      <c r="U77" s="16">
        <v>1</v>
      </c>
      <c r="V77" s="16">
        <v>0</v>
      </c>
      <c r="W77" s="16">
        <v>0</v>
      </c>
      <c r="X77" s="14" t="s">
        <v>43</v>
      </c>
      <c r="Y77" s="14" t="s">
        <v>79</v>
      </c>
      <c r="Z77" s="14" t="s">
        <v>79</v>
      </c>
      <c r="AA77" s="18" t="s">
        <v>42</v>
      </c>
      <c r="AB77" s="8" t="s">
        <v>42</v>
      </c>
      <c r="AC77" s="8"/>
      <c r="AD77" s="8"/>
    </row>
    <row r="78" spans="1:32" ht="18" hidden="1" customHeight="1">
      <c r="A78" s="3" t="s">
        <v>448</v>
      </c>
      <c r="B78" s="5" t="s">
        <v>57</v>
      </c>
      <c r="C78" s="5" t="s">
        <v>412</v>
      </c>
      <c r="D78" s="7" t="s">
        <v>449</v>
      </c>
      <c r="E78" s="5" t="s">
        <v>450</v>
      </c>
      <c r="F78" s="5" t="s">
        <v>35</v>
      </c>
      <c r="G78" s="5" t="s">
        <v>36</v>
      </c>
      <c r="H78" s="9" t="s">
        <v>84</v>
      </c>
      <c r="I78" s="5" t="s">
        <v>451</v>
      </c>
      <c r="J78" s="5" t="s">
        <v>428</v>
      </c>
      <c r="K78" s="11" t="s">
        <v>40</v>
      </c>
      <c r="L78" s="11" t="s">
        <v>40</v>
      </c>
      <c r="M78" s="13">
        <v>192600</v>
      </c>
      <c r="N78" s="9" t="s">
        <v>311</v>
      </c>
      <c r="O78" s="11"/>
      <c r="P78" s="15" t="s">
        <v>79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0</v>
      </c>
      <c r="W78" s="17">
        <v>0</v>
      </c>
      <c r="X78" s="15" t="s">
        <v>43</v>
      </c>
      <c r="Y78" s="15" t="s">
        <v>79</v>
      </c>
      <c r="Z78" s="15" t="s">
        <v>42</v>
      </c>
      <c r="AA78" s="19" t="s">
        <v>42</v>
      </c>
      <c r="AB78" s="9" t="s">
        <v>42</v>
      </c>
      <c r="AC78" s="9"/>
      <c r="AD78" s="9"/>
    </row>
    <row r="79" spans="1:32" ht="18" hidden="1" customHeight="1">
      <c r="A79" s="2" t="s">
        <v>452</v>
      </c>
      <c r="B79" s="4" t="s">
        <v>57</v>
      </c>
      <c r="C79" s="4" t="s">
        <v>81</v>
      </c>
      <c r="D79" s="6" t="s">
        <v>453</v>
      </c>
      <c r="E79" s="4" t="s">
        <v>454</v>
      </c>
      <c r="F79" s="4" t="s">
        <v>35</v>
      </c>
      <c r="G79" s="4" t="s">
        <v>36</v>
      </c>
      <c r="H79" s="8" t="s">
        <v>84</v>
      </c>
      <c r="I79" s="4" t="s">
        <v>451</v>
      </c>
      <c r="J79" s="4" t="s">
        <v>428</v>
      </c>
      <c r="K79" s="10" t="s">
        <v>40</v>
      </c>
      <c r="L79" s="10" t="s">
        <v>40</v>
      </c>
      <c r="M79" s="12">
        <v>332700</v>
      </c>
      <c r="N79" s="8" t="s">
        <v>311</v>
      </c>
      <c r="O79" s="10"/>
      <c r="P79" s="14" t="s">
        <v>79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>
        <v>0</v>
      </c>
      <c r="W79" s="16">
        <v>0</v>
      </c>
      <c r="X79" s="14" t="s">
        <v>43</v>
      </c>
      <c r="Y79" s="14" t="s">
        <v>79</v>
      </c>
      <c r="Z79" s="14" t="s">
        <v>42</v>
      </c>
      <c r="AA79" s="18" t="s">
        <v>42</v>
      </c>
      <c r="AB79" s="8" t="s">
        <v>42</v>
      </c>
      <c r="AC79" s="8"/>
      <c r="AD79" s="8"/>
    </row>
    <row r="80" spans="1:32" ht="18" hidden="1" customHeight="1">
      <c r="A80" s="2" t="s">
        <v>462</v>
      </c>
      <c r="B80" s="4" t="s">
        <v>57</v>
      </c>
      <c r="C80" s="4" t="s">
        <v>202</v>
      </c>
      <c r="D80" s="6" t="s">
        <v>463</v>
      </c>
      <c r="E80" s="4" t="s">
        <v>464</v>
      </c>
      <c r="F80" s="4" t="s">
        <v>402</v>
      </c>
      <c r="G80" s="4" t="s">
        <v>403</v>
      </c>
      <c r="H80" s="8" t="s">
        <v>105</v>
      </c>
      <c r="I80" s="4" t="s">
        <v>465</v>
      </c>
      <c r="J80" s="4" t="s">
        <v>428</v>
      </c>
      <c r="K80" s="10" t="s">
        <v>40</v>
      </c>
      <c r="L80" s="10" t="s">
        <v>40</v>
      </c>
      <c r="M80" s="12"/>
      <c r="N80" s="8" t="s">
        <v>466</v>
      </c>
      <c r="O80" s="10"/>
      <c r="P80" s="14" t="s">
        <v>42</v>
      </c>
      <c r="Q80" s="16">
        <v>0</v>
      </c>
      <c r="R80" s="16">
        <v>0</v>
      </c>
      <c r="S80" s="16">
        <v>1</v>
      </c>
      <c r="T80" s="16">
        <v>1</v>
      </c>
      <c r="U80" s="16">
        <v>1</v>
      </c>
      <c r="V80" s="16">
        <v>0</v>
      </c>
      <c r="W80" s="16">
        <v>0</v>
      </c>
      <c r="X80" s="14" t="s">
        <v>43</v>
      </c>
      <c r="Y80" s="14" t="s">
        <v>79</v>
      </c>
      <c r="Z80" s="14" t="s">
        <v>79</v>
      </c>
      <c r="AA80" s="18" t="s">
        <v>42</v>
      </c>
      <c r="AB80" s="8" t="s">
        <v>42</v>
      </c>
      <c r="AC80" s="8"/>
      <c r="AD80" s="8"/>
    </row>
    <row r="81" spans="1:40" ht="18" hidden="1" customHeight="1">
      <c r="A81" s="3" t="s">
        <v>467</v>
      </c>
      <c r="B81" s="5" t="s">
        <v>31</v>
      </c>
      <c r="C81" s="5" t="s">
        <v>50</v>
      </c>
      <c r="D81" s="7" t="s">
        <v>468</v>
      </c>
      <c r="E81" s="5" t="s">
        <v>469</v>
      </c>
      <c r="F81" s="5" t="s">
        <v>35</v>
      </c>
      <c r="G81" s="5" t="s">
        <v>36</v>
      </c>
      <c r="H81" s="9" t="s">
        <v>105</v>
      </c>
      <c r="I81" s="5" t="s">
        <v>465</v>
      </c>
      <c r="J81" s="5" t="s">
        <v>470</v>
      </c>
      <c r="K81" s="11" t="s">
        <v>40</v>
      </c>
      <c r="L81" s="11" t="s">
        <v>40</v>
      </c>
      <c r="M81" s="13">
        <v>872900</v>
      </c>
      <c r="N81" s="9" t="s">
        <v>54</v>
      </c>
      <c r="O81" s="11"/>
      <c r="P81" s="15" t="s">
        <v>42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0</v>
      </c>
      <c r="W81" s="17">
        <v>0</v>
      </c>
      <c r="X81" s="15" t="s">
        <v>43</v>
      </c>
      <c r="Y81" s="15" t="s">
        <v>79</v>
      </c>
      <c r="Z81" s="15" t="s">
        <v>79</v>
      </c>
      <c r="AA81" s="19" t="s">
        <v>42</v>
      </c>
      <c r="AB81" s="9" t="s">
        <v>42</v>
      </c>
      <c r="AC81" s="9" t="s">
        <v>471</v>
      </c>
      <c r="AD81" s="9" t="s">
        <v>472</v>
      </c>
    </row>
    <row r="82" spans="1:40" ht="18" hidden="1" customHeight="1">
      <c r="A82" s="2" t="s">
        <v>473</v>
      </c>
      <c r="B82" s="4" t="s">
        <v>57</v>
      </c>
      <c r="C82" s="4" t="s">
        <v>166</v>
      </c>
      <c r="D82" s="6" t="s">
        <v>474</v>
      </c>
      <c r="E82" s="4" t="s">
        <v>475</v>
      </c>
      <c r="F82" s="4" t="s">
        <v>35</v>
      </c>
      <c r="G82" s="4" t="s">
        <v>36</v>
      </c>
      <c r="H82" s="8" t="s">
        <v>105</v>
      </c>
      <c r="I82" s="4" t="s">
        <v>476</v>
      </c>
      <c r="J82" s="4" t="s">
        <v>477</v>
      </c>
      <c r="K82" s="10" t="s">
        <v>40</v>
      </c>
      <c r="L82" s="10" t="s">
        <v>40</v>
      </c>
      <c r="M82" s="12">
        <v>3060000</v>
      </c>
      <c r="N82" s="8" t="s">
        <v>170</v>
      </c>
      <c r="O82" s="10"/>
      <c r="P82" s="14" t="s">
        <v>42</v>
      </c>
      <c r="Q82" s="16">
        <v>1</v>
      </c>
      <c r="R82" s="16">
        <v>1</v>
      </c>
      <c r="S82" s="16">
        <v>1</v>
      </c>
      <c r="T82" s="16">
        <v>1</v>
      </c>
      <c r="U82" s="16">
        <v>1</v>
      </c>
      <c r="V82" s="16">
        <v>0</v>
      </c>
      <c r="W82" s="16">
        <v>0</v>
      </c>
      <c r="X82" s="14" t="s">
        <v>43</v>
      </c>
      <c r="Y82" s="14" t="s">
        <v>79</v>
      </c>
      <c r="Z82" s="14" t="s">
        <v>79</v>
      </c>
      <c r="AA82" s="18" t="s">
        <v>42</v>
      </c>
      <c r="AB82" s="8" t="s">
        <v>42</v>
      </c>
      <c r="AC82" s="8"/>
      <c r="AD82" s="8"/>
    </row>
    <row r="83" spans="1:40" ht="18" hidden="1" customHeight="1">
      <c r="A83" s="3" t="s">
        <v>478</v>
      </c>
      <c r="B83" s="5" t="s">
        <v>57</v>
      </c>
      <c r="C83" s="5" t="s">
        <v>425</v>
      </c>
      <c r="D83" s="7" t="s">
        <v>479</v>
      </c>
      <c r="E83" s="5" t="s">
        <v>480</v>
      </c>
      <c r="F83" s="5" t="s">
        <v>35</v>
      </c>
      <c r="G83" s="5" t="s">
        <v>36</v>
      </c>
      <c r="H83" s="9" t="s">
        <v>84</v>
      </c>
      <c r="I83" s="5" t="s">
        <v>476</v>
      </c>
      <c r="J83" s="5" t="s">
        <v>481</v>
      </c>
      <c r="K83" s="11" t="s">
        <v>40</v>
      </c>
      <c r="L83" s="11" t="s">
        <v>40</v>
      </c>
      <c r="M83" s="13">
        <v>1047000</v>
      </c>
      <c r="N83" s="9" t="s">
        <v>430</v>
      </c>
      <c r="O83" s="11"/>
      <c r="P83" s="15" t="s">
        <v>42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0</v>
      </c>
      <c r="W83" s="17">
        <v>0</v>
      </c>
      <c r="X83" s="15" t="s">
        <v>43</v>
      </c>
      <c r="Y83" s="15" t="s">
        <v>79</v>
      </c>
      <c r="Z83" s="15" t="s">
        <v>42</v>
      </c>
      <c r="AA83" s="19" t="s">
        <v>42</v>
      </c>
      <c r="AB83" s="9" t="s">
        <v>42</v>
      </c>
      <c r="AC83" s="9"/>
      <c r="AD83" s="9"/>
    </row>
    <row r="84" spans="1:40" ht="18" hidden="1" customHeight="1">
      <c r="A84" s="2" t="s">
        <v>482</v>
      </c>
      <c r="B84" s="4" t="s">
        <v>57</v>
      </c>
      <c r="C84" s="4" t="s">
        <v>483</v>
      </c>
      <c r="D84" s="6" t="s">
        <v>484</v>
      </c>
      <c r="E84" s="4" t="s">
        <v>485</v>
      </c>
      <c r="F84" s="4" t="s">
        <v>35</v>
      </c>
      <c r="G84" s="4" t="s">
        <v>36</v>
      </c>
      <c r="H84" s="8" t="s">
        <v>105</v>
      </c>
      <c r="I84" s="4" t="s">
        <v>486</v>
      </c>
      <c r="J84" s="4" t="s">
        <v>460</v>
      </c>
      <c r="K84" s="10" t="s">
        <v>40</v>
      </c>
      <c r="L84" s="10" t="s">
        <v>40</v>
      </c>
      <c r="M84" s="12">
        <v>47691000</v>
      </c>
      <c r="N84" s="8" t="s">
        <v>487</v>
      </c>
      <c r="O84" s="10"/>
      <c r="P84" s="14" t="s">
        <v>42</v>
      </c>
      <c r="Q84" s="16">
        <v>1</v>
      </c>
      <c r="R84" s="16">
        <v>1</v>
      </c>
      <c r="S84" s="16">
        <v>1</v>
      </c>
      <c r="T84" s="16">
        <v>1</v>
      </c>
      <c r="U84" s="16">
        <v>1</v>
      </c>
      <c r="V84" s="16">
        <v>0</v>
      </c>
      <c r="W84" s="16">
        <v>0</v>
      </c>
      <c r="X84" s="14" t="s">
        <v>43</v>
      </c>
      <c r="Y84" s="14" t="s">
        <v>79</v>
      </c>
      <c r="Z84" s="14" t="s">
        <v>79</v>
      </c>
      <c r="AA84" s="18" t="s">
        <v>79</v>
      </c>
      <c r="AB84" s="8" t="s">
        <v>42</v>
      </c>
      <c r="AC84" s="8"/>
      <c r="AD84" s="8"/>
    </row>
    <row r="85" spans="1:40" ht="18" hidden="1" customHeight="1">
      <c r="A85" s="3" t="s">
        <v>488</v>
      </c>
      <c r="B85" s="5" t="s">
        <v>57</v>
      </c>
      <c r="C85" s="5" t="s">
        <v>483</v>
      </c>
      <c r="D85" s="7" t="s">
        <v>489</v>
      </c>
      <c r="E85" s="20" t="s">
        <v>490</v>
      </c>
      <c r="F85" s="5" t="s">
        <v>35</v>
      </c>
      <c r="G85" s="5" t="s">
        <v>36</v>
      </c>
      <c r="H85" s="9" t="s">
        <v>105</v>
      </c>
      <c r="I85" s="5" t="s">
        <v>486</v>
      </c>
      <c r="J85" s="5" t="s">
        <v>460</v>
      </c>
      <c r="K85" s="11" t="s">
        <v>40</v>
      </c>
      <c r="L85" s="11" t="s">
        <v>40</v>
      </c>
      <c r="M85" s="13">
        <v>12721000</v>
      </c>
      <c r="N85" s="9" t="s">
        <v>487</v>
      </c>
      <c r="O85" s="11"/>
      <c r="P85" s="15" t="s">
        <v>42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0</v>
      </c>
      <c r="W85" s="17">
        <v>0</v>
      </c>
      <c r="X85" s="15" t="s">
        <v>43</v>
      </c>
      <c r="Y85" s="15" t="s">
        <v>79</v>
      </c>
      <c r="Z85" s="15" t="s">
        <v>79</v>
      </c>
      <c r="AA85" s="19" t="s">
        <v>79</v>
      </c>
      <c r="AB85" s="9" t="s">
        <v>42</v>
      </c>
      <c r="AC85" s="9"/>
      <c r="AD85" s="9"/>
    </row>
    <row r="86" spans="1:40" ht="18" hidden="1" customHeight="1">
      <c r="A86" s="2" t="s">
        <v>491</v>
      </c>
      <c r="B86" s="4" t="s">
        <v>57</v>
      </c>
      <c r="C86" s="4" t="s">
        <v>483</v>
      </c>
      <c r="D86" s="6" t="s">
        <v>492</v>
      </c>
      <c r="E86" s="4" t="s">
        <v>493</v>
      </c>
      <c r="F86" s="4" t="s">
        <v>35</v>
      </c>
      <c r="G86" s="4" t="s">
        <v>36</v>
      </c>
      <c r="H86" s="8" t="s">
        <v>105</v>
      </c>
      <c r="I86" s="4" t="s">
        <v>486</v>
      </c>
      <c r="J86" s="4" t="s">
        <v>460</v>
      </c>
      <c r="K86" s="10" t="s">
        <v>30</v>
      </c>
      <c r="L86" s="10" t="s">
        <v>40</v>
      </c>
      <c r="M86" s="30">
        <v>41178000</v>
      </c>
      <c r="N86" s="8" t="s">
        <v>494</v>
      </c>
      <c r="O86" s="10"/>
      <c r="P86" s="14" t="s">
        <v>42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0</v>
      </c>
      <c r="W86" s="16">
        <v>0</v>
      </c>
      <c r="X86" s="14" t="s">
        <v>43</v>
      </c>
      <c r="Y86" s="14" t="s">
        <v>79</v>
      </c>
      <c r="Z86" s="14" t="s">
        <v>79</v>
      </c>
      <c r="AA86" s="18" t="s">
        <v>79</v>
      </c>
      <c r="AB86" s="8" t="s">
        <v>42</v>
      </c>
      <c r="AC86" s="8"/>
      <c r="AD86" s="8"/>
      <c r="AE86" s="31"/>
      <c r="AF86" s="31"/>
    </row>
    <row r="87" spans="1:40" ht="18" hidden="1" customHeight="1">
      <c r="A87" s="3" t="s">
        <v>495</v>
      </c>
      <c r="B87" s="5" t="s">
        <v>57</v>
      </c>
      <c r="C87" s="5" t="s">
        <v>483</v>
      </c>
      <c r="D87" s="7" t="s">
        <v>496</v>
      </c>
      <c r="E87" s="5" t="s">
        <v>497</v>
      </c>
      <c r="F87" s="5" t="s">
        <v>35</v>
      </c>
      <c r="G87" s="5" t="s">
        <v>36</v>
      </c>
      <c r="H87" s="9" t="s">
        <v>105</v>
      </c>
      <c r="I87" s="5" t="s">
        <v>486</v>
      </c>
      <c r="J87" s="5" t="s">
        <v>460</v>
      </c>
      <c r="K87" s="11" t="s">
        <v>40</v>
      </c>
      <c r="L87" s="11" t="s">
        <v>40</v>
      </c>
      <c r="M87" s="29">
        <v>8060000</v>
      </c>
      <c r="N87" s="9" t="s">
        <v>487</v>
      </c>
      <c r="O87" s="11"/>
      <c r="P87" s="15" t="s">
        <v>42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0</v>
      </c>
      <c r="W87" s="17">
        <v>0</v>
      </c>
      <c r="X87" s="15" t="s">
        <v>43</v>
      </c>
      <c r="Y87" s="15" t="s">
        <v>79</v>
      </c>
      <c r="Z87" s="15" t="s">
        <v>79</v>
      </c>
      <c r="AA87" s="19" t="s">
        <v>79</v>
      </c>
      <c r="AB87" s="9" t="s">
        <v>42</v>
      </c>
      <c r="AC87" s="9"/>
      <c r="AD87" s="9"/>
      <c r="AE87" s="31"/>
      <c r="AF87" s="31"/>
      <c r="AG87" s="23" t="s">
        <v>519</v>
      </c>
      <c r="AH87" s="23" t="s">
        <v>519</v>
      </c>
      <c r="AI87" s="23" t="s">
        <v>519</v>
      </c>
      <c r="AJ87" s="23" t="s">
        <v>519</v>
      </c>
      <c r="AK87" s="23" t="s">
        <v>519</v>
      </c>
      <c r="AL87" s="23" t="s">
        <v>519</v>
      </c>
      <c r="AM87" s="23"/>
      <c r="AN87" s="23"/>
    </row>
  </sheetData>
  <autoFilter ref="A1:AL87" xr:uid="{2E1BD5B4-E69C-46D8-971B-ECEBAADBB023}">
    <filterColumn colId="31">
      <customFilters>
        <customFilter operator="notEqual" val=" "/>
      </customFilters>
    </filterColumn>
  </autoFilter>
  <sortState ref="A3:AF87">
    <sortCondition descending="1" ref="I3:I87"/>
  </sortState>
  <mergeCells count="2">
    <mergeCell ref="A1:A2"/>
    <mergeCell ref="B1:B2"/>
  </mergeCells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Ucjh</cp:lastModifiedBy>
  <dcterms:created xsi:type="dcterms:W3CDTF">2022-11-04T02:34:17Z</dcterms:created>
  <dcterms:modified xsi:type="dcterms:W3CDTF">2022-11-10T05:18:37Z</dcterms:modified>
</cp:coreProperties>
</file>