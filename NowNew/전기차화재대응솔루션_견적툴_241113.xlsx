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codeName="현재_통합_문서"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13_ncr:1_{CCA28FCE-4304-4D35-939A-6CA599119C1C}" xr6:coauthVersionLast="36" xr6:coauthVersionMax="36" xr10:uidLastSave="{00000000-0000-0000-0000-000000000000}"/>
  <bookViews>
    <workbookView xWindow="0" yWindow="0" windowWidth="28800" windowHeight="12180" activeTab="3" xr2:uid="{464E79BF-81A5-4424-BB15-EF4547DC4F00}"/>
  </bookViews>
  <sheets>
    <sheet name="가격테이블" sheetId="4" r:id="rId1"/>
    <sheet name="견적서" sheetId="2" r:id="rId2"/>
    <sheet name="견적시뮬레이터" sheetId="3" r:id="rId3"/>
    <sheet name="직영및채널_판매가격(대외비)_비교" sheetId="6" r:id="rId4"/>
    <sheet name="직영및채널_판매가격(대외비)" sheetId="7" r:id="rId5"/>
    <sheet name="샌디몰_표준판매가격" sheetId="5"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s>
  <definedNames>
    <definedName name="_" localSheetId="0">#REF!</definedName>
    <definedName name="_" localSheetId="1">#REF!</definedName>
    <definedName name="_" localSheetId="2">#REF!</definedName>
    <definedName name="_" localSheetId="5">#REF!</definedName>
    <definedName name="_" localSheetId="3">#REF!</definedName>
    <definedName name="_">#REF!</definedName>
    <definedName name="____IRR2" hidden="1">[1]공정!$AH$25:$AH$37</definedName>
    <definedName name="____PL7" localSheetId="0" hidden="1">{#N/A,#N/A,TRUE,"대 차 대 조 표"}</definedName>
    <definedName name="____PL7" localSheetId="2" hidden="1">{#N/A,#N/A,TRUE,"대 차 대 조 표"}</definedName>
    <definedName name="____PL7" hidden="1">{#N/A,#N/A,TRUE,"대 차 대 조 표"}</definedName>
    <definedName name="___IRR2" hidden="1">[1]공정!$AH$25:$AH$37</definedName>
    <definedName name="___PL7" localSheetId="0" hidden="1">{#N/A,#N/A,TRUE,"대 차 대 조 표"}</definedName>
    <definedName name="___PL7" localSheetId="2" hidden="1">{#N/A,#N/A,TRUE,"대 차 대 조 표"}</definedName>
    <definedName name="___PL7" hidden="1">{#N/A,#N/A,TRUE,"대 차 대 조 표"}</definedName>
    <definedName name="___q45" localSheetId="0" hidden="1">{"'용역비'!$A$4:$C$8"}</definedName>
    <definedName name="___q45" localSheetId="2" hidden="1">{"'용역비'!$A$4:$C$8"}</definedName>
    <definedName name="___q45" hidden="1">{"'용역비'!$A$4:$C$8"}</definedName>
    <definedName name="__123Graph_A" localSheetId="0" hidden="1">[2]금융!#REF!</definedName>
    <definedName name="__123Graph_A" localSheetId="1" hidden="1">[2]금융!#REF!</definedName>
    <definedName name="__123Graph_A" localSheetId="2" hidden="1">[2]금융!#REF!</definedName>
    <definedName name="__123Graph_A" localSheetId="5" hidden="1">[2]금융!#REF!</definedName>
    <definedName name="__123Graph_A" localSheetId="3" hidden="1">[2]금융!#REF!</definedName>
    <definedName name="__123Graph_A" hidden="1">[2]금융!#REF!</definedName>
    <definedName name="__123Graph_B" localSheetId="0" hidden="1">[3]목표세부명세!#REF!</definedName>
    <definedName name="__123Graph_B" localSheetId="2" hidden="1">[3]목표세부명세!#REF!</definedName>
    <definedName name="__123Graph_B" localSheetId="5" hidden="1">[3]목표세부명세!#REF!</definedName>
    <definedName name="__123Graph_B" localSheetId="3" hidden="1">[3]목표세부명세!#REF!</definedName>
    <definedName name="__123Graph_B" hidden="1">[3]목표세부명세!#REF!</definedName>
    <definedName name="__123Graph_D" localSheetId="0" hidden="1">'[4]0226'!#REF!</definedName>
    <definedName name="__123Graph_D" localSheetId="1" hidden="1">'[4]0226'!#REF!</definedName>
    <definedName name="__123Graph_D" localSheetId="2" hidden="1">'[4]0226'!#REF!</definedName>
    <definedName name="__123Graph_D" localSheetId="5" hidden="1">'[4]0226'!#REF!</definedName>
    <definedName name="__123Graph_D" localSheetId="3" hidden="1">'[4]0226'!#REF!</definedName>
    <definedName name="__123Graph_D" hidden="1">'[4]0226'!#REF!</definedName>
    <definedName name="__123Graph_X" localSheetId="0" hidden="1">[2]금융!#REF!</definedName>
    <definedName name="__123Graph_X" localSheetId="1" hidden="1">[2]금융!#REF!</definedName>
    <definedName name="__123Graph_X" localSheetId="2" hidden="1">[2]금융!#REF!</definedName>
    <definedName name="__123Graph_X" localSheetId="5" hidden="1">[2]금융!#REF!</definedName>
    <definedName name="__123Graph_X" localSheetId="3" hidden="1">[2]금융!#REF!</definedName>
    <definedName name="__123Graph_X" hidden="1">[2]금융!#REF!</definedName>
    <definedName name="__IRR2" hidden="1">[1]공정!$AH$25:$AH$37</definedName>
    <definedName name="__PL7" localSheetId="0" hidden="1">{#N/A,#N/A,TRUE,"대 차 대 조 표"}</definedName>
    <definedName name="__PL7" localSheetId="2" hidden="1">{#N/A,#N/A,TRUE,"대 차 대 조 표"}</definedName>
    <definedName name="__PL7" hidden="1">{#N/A,#N/A,TRUE,"대 차 대 조 표"}</definedName>
    <definedName name="__q45" localSheetId="0" hidden="1">{"'용역비'!$A$4:$C$8"}</definedName>
    <definedName name="__q45" localSheetId="2" hidden="1">{"'용역비'!$A$4:$C$8"}</definedName>
    <definedName name="__q45" hidden="1">{"'용역비'!$A$4:$C$8"}</definedName>
    <definedName name="_1" localSheetId="0">'[5]1ST'!#REF!</definedName>
    <definedName name="_1" localSheetId="1">'[5]1ST'!#REF!</definedName>
    <definedName name="_1" localSheetId="2">'[5]1ST'!#REF!</definedName>
    <definedName name="_1" localSheetId="5">'[5]1ST'!#REF!</definedName>
    <definedName name="_1" localSheetId="3">'[5]1ST'!#REF!</definedName>
    <definedName name="_1">'[5]1ST'!#REF!</definedName>
    <definedName name="_15A">[6]금액내역서!$D$3:$D$10</definedName>
    <definedName name="_17q45_" localSheetId="0" hidden="1">{"'용역비'!$A$4:$C$8"}</definedName>
    <definedName name="_17q45_" localSheetId="2" hidden="1">{"'용역비'!$A$4:$C$8"}</definedName>
    <definedName name="_17q45_" hidden="1">{"'용역비'!$A$4:$C$8"}</definedName>
    <definedName name="_1차_94년">#N/A</definedName>
    <definedName name="_2_123Grap" localSheetId="0" hidden="1">[2]금융!#REF!</definedName>
    <definedName name="_2_123Grap" localSheetId="1" hidden="1">[2]금융!#REF!</definedName>
    <definedName name="_2_123Grap" localSheetId="2" hidden="1">[2]금융!#REF!</definedName>
    <definedName name="_2_123Grap" localSheetId="5" hidden="1">[2]금융!#REF!</definedName>
    <definedName name="_2_123Grap" localSheetId="3" hidden="1">[2]금융!#REF!</definedName>
    <definedName name="_2_123Grap" hidden="1">[2]금융!#REF!</definedName>
    <definedName name="_2q45_" localSheetId="0" hidden="1">{"'용역비'!$A$4:$C$8"}</definedName>
    <definedName name="_2q45_" localSheetId="2" hidden="1">{"'용역비'!$A$4:$C$8"}</definedName>
    <definedName name="_2q45_" hidden="1">{"'용역비'!$A$4:$C$8"}</definedName>
    <definedName name="_2차결제일">#N/A</definedName>
    <definedName name="_4_0__123Grap" localSheetId="0" hidden="1">[2]금융!#REF!</definedName>
    <definedName name="_4_0__123Grap" localSheetId="1" hidden="1">[2]금융!#REF!</definedName>
    <definedName name="_4_0__123Grap" localSheetId="2" hidden="1">[2]금융!#REF!</definedName>
    <definedName name="_4_0__123Grap" localSheetId="5" hidden="1">[2]금융!#REF!</definedName>
    <definedName name="_4_0__123Grap" localSheetId="3" hidden="1">[2]금융!#REF!</definedName>
    <definedName name="_4_0__123Grap" hidden="1">[2]금융!#REF!</definedName>
    <definedName name="_6q45_" localSheetId="0" hidden="1">{"'용역비'!$A$4:$C$8"}</definedName>
    <definedName name="_6q45_" localSheetId="2" hidden="1">{"'용역비'!$A$4:$C$8"}</definedName>
    <definedName name="_6q45_" hidden="1">{"'용역비'!$A$4:$C$8"}</definedName>
    <definedName name="_CVC2" localSheetId="0">[7]!StartSeller</definedName>
    <definedName name="_CVC2" localSheetId="1">[7]!StartSeller</definedName>
    <definedName name="_CVC2" localSheetId="2">[7]!StartSeller</definedName>
    <definedName name="_CVC2" localSheetId="5">[7]!StartSeller</definedName>
    <definedName name="_CVC2" localSheetId="3">[7]!StartSeller</definedName>
    <definedName name="_CVC2">[7]!StartSeller</definedName>
    <definedName name="_Fill" localSheetId="0" hidden="1">#REF!</definedName>
    <definedName name="_Fill" localSheetId="1" hidden="1">#REF!</definedName>
    <definedName name="_Fill" localSheetId="2" hidden="1">#REF!</definedName>
    <definedName name="_Fill" localSheetId="5" hidden="1">#REF!</definedName>
    <definedName name="_Fill" localSheetId="3" hidden="1">#REF!</definedName>
    <definedName name="_Fill" hidden="1">#REF!</definedName>
    <definedName name="_xlnm._FilterDatabase" localSheetId="0" hidden="1">가격테이블!$A$2:$AB$52</definedName>
    <definedName name="_IRR2" hidden="1">[1]공정!$AH$25:$AH$37</definedName>
    <definedName name="_jak10" localSheetId="0">[7]!_xlbgnm.jak10</definedName>
    <definedName name="_jak10" localSheetId="1">[7]!_xlbgnm.jak10</definedName>
    <definedName name="_jak10" localSheetId="2">[7]!_xlbgnm.jak10</definedName>
    <definedName name="_jak10" localSheetId="5">[7]!_xlbgnm.jak10</definedName>
    <definedName name="_jak10" localSheetId="3">[7]!_xlbgnm.jak10</definedName>
    <definedName name="_jak10">[7]!_xlbgnm.jak10</definedName>
    <definedName name="_jak11" localSheetId="0">[7]!_xlbgnm.jak11</definedName>
    <definedName name="_jak11" localSheetId="1">[7]!_xlbgnm.jak11</definedName>
    <definedName name="_jak11" localSheetId="2">[7]!_xlbgnm.jak11</definedName>
    <definedName name="_jak11" localSheetId="5">[7]!_xlbgnm.jak11</definedName>
    <definedName name="_jak11" localSheetId="3">[7]!_xlbgnm.jak11</definedName>
    <definedName name="_jak11">[7]!_xlbgnm.jak11</definedName>
    <definedName name="_jak12" localSheetId="0">[7]!_xlbgnm.jak12</definedName>
    <definedName name="_jak12" localSheetId="1">[7]!_xlbgnm.jak12</definedName>
    <definedName name="_jak12" localSheetId="2">[7]!_xlbgnm.jak12</definedName>
    <definedName name="_jak12" localSheetId="5">[7]!_xlbgnm.jak12</definedName>
    <definedName name="_jak12" localSheetId="3">[7]!_xlbgnm.jak12</definedName>
    <definedName name="_jak12">[7]!_xlbgnm.jak12</definedName>
    <definedName name="_jak13" localSheetId="0">[7]!_xlbgnm.jak13</definedName>
    <definedName name="_jak13" localSheetId="1">[7]!_xlbgnm.jak13</definedName>
    <definedName name="_jak13" localSheetId="2">[7]!_xlbgnm.jak13</definedName>
    <definedName name="_jak13" localSheetId="5">[7]!_xlbgnm.jak13</definedName>
    <definedName name="_jak13" localSheetId="3">[7]!_xlbgnm.jak13</definedName>
    <definedName name="_jak13">[7]!_xlbgnm.jak13</definedName>
    <definedName name="_jak2" localSheetId="0">[7]!_xlbgnm.jak2</definedName>
    <definedName name="_jak2" localSheetId="1">[7]!_xlbgnm.jak2</definedName>
    <definedName name="_jak2" localSheetId="2">[7]!_xlbgnm.jak2</definedName>
    <definedName name="_jak2" localSheetId="5">[7]!_xlbgnm.jak2</definedName>
    <definedName name="_jak2" localSheetId="3">[7]!_xlbgnm.jak2</definedName>
    <definedName name="_jak2">[7]!_xlbgnm.jak2</definedName>
    <definedName name="_jak3" localSheetId="0">[7]!_xlbgnm.jak3</definedName>
    <definedName name="_jak3" localSheetId="1">[7]!_xlbgnm.jak3</definedName>
    <definedName name="_jak3" localSheetId="2">[7]!_xlbgnm.jak3</definedName>
    <definedName name="_jak3" localSheetId="5">[7]!_xlbgnm.jak3</definedName>
    <definedName name="_jak3" localSheetId="3">[7]!_xlbgnm.jak3</definedName>
    <definedName name="_jak3">[7]!_xlbgnm.jak3</definedName>
    <definedName name="_jak4" localSheetId="0">[7]!_xlbgnm.jak4</definedName>
    <definedName name="_jak4" localSheetId="1">[7]!_xlbgnm.jak4</definedName>
    <definedName name="_jak4" localSheetId="2">[7]!_xlbgnm.jak4</definedName>
    <definedName name="_jak4" localSheetId="5">[7]!_xlbgnm.jak4</definedName>
    <definedName name="_jak4" localSheetId="3">[7]!_xlbgnm.jak4</definedName>
    <definedName name="_jak4">[7]!_xlbgnm.jak4</definedName>
    <definedName name="_jak5" localSheetId="0">[7]!_xlbgnm.jak5</definedName>
    <definedName name="_jak5" localSheetId="1">[7]!_xlbgnm.jak5</definedName>
    <definedName name="_jak5" localSheetId="2">[7]!_xlbgnm.jak5</definedName>
    <definedName name="_jak5" localSheetId="5">[7]!_xlbgnm.jak5</definedName>
    <definedName name="_jak5" localSheetId="3">[7]!_xlbgnm.jak5</definedName>
    <definedName name="_jak5">[7]!_xlbgnm.jak5</definedName>
    <definedName name="_jak6" localSheetId="0">[7]!_xlbgnm.jak6</definedName>
    <definedName name="_jak6" localSheetId="1">[7]!_xlbgnm.jak6</definedName>
    <definedName name="_jak6" localSheetId="2">[7]!_xlbgnm.jak6</definedName>
    <definedName name="_jak6" localSheetId="5">[7]!_xlbgnm.jak6</definedName>
    <definedName name="_jak6" localSheetId="3">[7]!_xlbgnm.jak6</definedName>
    <definedName name="_jak6">[7]!_xlbgnm.jak6</definedName>
    <definedName name="_jak7" localSheetId="0">[7]!_xlbgnm.jak7</definedName>
    <definedName name="_jak7" localSheetId="1">[7]!_xlbgnm.jak7</definedName>
    <definedName name="_jak7" localSheetId="2">[7]!_xlbgnm.jak7</definedName>
    <definedName name="_jak7" localSheetId="5">[7]!_xlbgnm.jak7</definedName>
    <definedName name="_jak7" localSheetId="3">[7]!_xlbgnm.jak7</definedName>
    <definedName name="_jak7">[7]!_xlbgnm.jak7</definedName>
    <definedName name="_jak9" localSheetId="0">[7]!_xlbgnm.jak9</definedName>
    <definedName name="_jak9" localSheetId="1">[7]!_xlbgnm.jak9</definedName>
    <definedName name="_jak9" localSheetId="2">[7]!_xlbgnm.jak9</definedName>
    <definedName name="_jak9" localSheetId="5">[7]!_xlbgnm.jak9</definedName>
    <definedName name="_jak9" localSheetId="3">[7]!_xlbgnm.jak9</definedName>
    <definedName name="_jak9">[7]!_xlbgnm.jak9</definedName>
    <definedName name="_Key1" localSheetId="0" hidden="1">#REF!</definedName>
    <definedName name="_Key1" localSheetId="1" hidden="1">#REF!</definedName>
    <definedName name="_Key1" localSheetId="2" hidden="1">#REF!</definedName>
    <definedName name="_Key1" localSheetId="5" hidden="1">#REF!</definedName>
    <definedName name="_Key1" localSheetId="3" hidden="1">#REF!</definedName>
    <definedName name="_Key1" hidden="1">#REF!</definedName>
    <definedName name="_Key2" localSheetId="0" hidden="1">#REF!</definedName>
    <definedName name="_Key2" localSheetId="1" hidden="1">#REF!</definedName>
    <definedName name="_Key2" localSheetId="2" hidden="1">#REF!</definedName>
    <definedName name="_Key2" localSheetId="5" hidden="1">#REF!</definedName>
    <definedName name="_Key2" localSheetId="3" hidden="1">#REF!</definedName>
    <definedName name="_Key2" hidden="1">#REF!</definedName>
    <definedName name="_MatInverse_In" localSheetId="0" hidden="1">#REF!</definedName>
    <definedName name="_MatInverse_In" localSheetId="1" hidden="1">#REF!</definedName>
    <definedName name="_MatInverse_In" localSheetId="2" hidden="1">#REF!</definedName>
    <definedName name="_MatInverse_In" localSheetId="5" hidden="1">#REF!</definedName>
    <definedName name="_MatInverse_In" localSheetId="3" hidden="1">#REF!</definedName>
    <definedName name="_MatInverse_In" hidden="1">#REF!</definedName>
    <definedName name="_MatMult_A" localSheetId="0" hidden="1">#REF!</definedName>
    <definedName name="_MatMult_A" localSheetId="1" hidden="1">#REF!</definedName>
    <definedName name="_MatMult_A" localSheetId="2" hidden="1">#REF!</definedName>
    <definedName name="_MatMult_A" localSheetId="5" hidden="1">#REF!</definedName>
    <definedName name="_MatMult_A" localSheetId="3" hidden="1">#REF!</definedName>
    <definedName name="_MatMult_A" hidden="1">#REF!</definedName>
    <definedName name="_MatMult_AxB" localSheetId="0" hidden="1">#REF!</definedName>
    <definedName name="_MatMult_AxB" localSheetId="1" hidden="1">#REF!</definedName>
    <definedName name="_MatMult_AxB" localSheetId="2" hidden="1">#REF!</definedName>
    <definedName name="_MatMult_AxB" localSheetId="5" hidden="1">#REF!</definedName>
    <definedName name="_MatMult_AxB" localSheetId="3" hidden="1">#REF!</definedName>
    <definedName name="_MatMult_AxB" hidden="1">#REF!</definedName>
    <definedName name="_MatMult_B" localSheetId="0" hidden="1">#REF!</definedName>
    <definedName name="_MatMult_B" localSheetId="1" hidden="1">#REF!</definedName>
    <definedName name="_MatMult_B" localSheetId="2" hidden="1">#REF!</definedName>
    <definedName name="_MatMult_B" localSheetId="5" hidden="1">#REF!</definedName>
    <definedName name="_MatMult_B" localSheetId="3" hidden="1">#REF!</definedName>
    <definedName name="_MatMult_B" hidden="1">#REF!</definedName>
    <definedName name="_Order1" hidden="1">0</definedName>
    <definedName name="_Order2" hidden="1">1</definedName>
    <definedName name="_PL7" localSheetId="0" hidden="1">{#N/A,#N/A,TRUE,"대 차 대 조 표"}</definedName>
    <definedName name="_PL7" localSheetId="2" hidden="1">{#N/A,#N/A,TRUE,"대 차 대 조 표"}</definedName>
    <definedName name="_PL7" hidden="1">{#N/A,#N/A,TRUE,"대 차 대 조 표"}</definedName>
    <definedName name="_Regression_Int" hidden="1">1</definedName>
    <definedName name="_RPT1" localSheetId="0">#REF!</definedName>
    <definedName name="_RPT1" localSheetId="1">#REF!</definedName>
    <definedName name="_RPT1" localSheetId="2">#REF!</definedName>
    <definedName name="_RPT1" localSheetId="5">#REF!</definedName>
    <definedName name="_RPT1" localSheetId="3">#REF!</definedName>
    <definedName name="_RPT1">#REF!</definedName>
    <definedName name="_RPT2" localSheetId="0">#REF!</definedName>
    <definedName name="_RPT2" localSheetId="1">#REF!</definedName>
    <definedName name="_RPT2" localSheetId="2">#REF!</definedName>
    <definedName name="_RPT2" localSheetId="5">#REF!</definedName>
    <definedName name="_RPT2" localSheetId="3">#REF!</definedName>
    <definedName name="_RPT2">#REF!</definedName>
    <definedName name="_Sort" localSheetId="0" hidden="1">#REF!</definedName>
    <definedName name="_Sort" localSheetId="1" hidden="1">#REF!</definedName>
    <definedName name="_Sort" localSheetId="2" hidden="1">#REF!</definedName>
    <definedName name="_Sort" localSheetId="5" hidden="1">#REF!</definedName>
    <definedName name="_Sort" localSheetId="3" hidden="1">#REF!</definedName>
    <definedName name="_Sort" hidden="1">#REF!</definedName>
    <definedName name="\\O" localSheetId="0">[8]기기리스트!#REF!</definedName>
    <definedName name="\\O" localSheetId="1">[8]기기리스트!#REF!</definedName>
    <definedName name="\\O" localSheetId="2">[8]기기리스트!#REF!</definedName>
    <definedName name="\\O" localSheetId="5">[8]기기리스트!#REF!</definedName>
    <definedName name="\\O" localSheetId="3">[8]기기리스트!#REF!</definedName>
    <definedName name="\\O">[8]기기리스트!#REF!</definedName>
    <definedName name="\a" localSheetId="0">[9]약품공급2!#REF!</definedName>
    <definedName name="\a" localSheetId="1">[9]약품공급2!#REF!</definedName>
    <definedName name="\a" localSheetId="2">[9]약품공급2!#REF!</definedName>
    <definedName name="\a" localSheetId="5">[9]약품공급2!#REF!</definedName>
    <definedName name="\a" localSheetId="3">[9]약품공급2!#REF!</definedName>
    <definedName name="\a">[9]약품공급2!#REF!</definedName>
    <definedName name="\b" localSheetId="0">[9]약품공급2!#REF!</definedName>
    <definedName name="\b" localSheetId="1">[9]약품공급2!#REF!</definedName>
    <definedName name="\b" localSheetId="2">[9]약품공급2!#REF!</definedName>
    <definedName name="\b" localSheetId="5">[9]약품공급2!#REF!</definedName>
    <definedName name="\b" localSheetId="3">[9]약품공급2!#REF!</definedName>
    <definedName name="\b">[9]약품공급2!#REF!</definedName>
    <definedName name="\c" localSheetId="0">[8]기기리스트!#REF!</definedName>
    <definedName name="\c" localSheetId="1">[8]기기리스트!#REF!</definedName>
    <definedName name="\c" localSheetId="2">[8]기기리스트!#REF!</definedName>
    <definedName name="\c" localSheetId="5">[8]기기리스트!#REF!</definedName>
    <definedName name="\c" localSheetId="3">[8]기기리스트!#REF!</definedName>
    <definedName name="\c">[8]기기리스트!#REF!</definedName>
    <definedName name="\d" localSheetId="0">[8]기기리스트!#REF!</definedName>
    <definedName name="\d" localSheetId="1">[8]기기리스트!#REF!</definedName>
    <definedName name="\d" localSheetId="2">[8]기기리스트!#REF!</definedName>
    <definedName name="\d" localSheetId="5">[8]기기리스트!#REF!</definedName>
    <definedName name="\d" localSheetId="3">[8]기기리스트!#REF!</definedName>
    <definedName name="\d">[8]기기리스트!#REF!</definedName>
    <definedName name="\e" localSheetId="0">[10]약품설비!#REF!</definedName>
    <definedName name="\e" localSheetId="1">[10]약품설비!#REF!</definedName>
    <definedName name="\e" localSheetId="2">[10]약품설비!#REF!</definedName>
    <definedName name="\e" localSheetId="5">[10]약품설비!#REF!</definedName>
    <definedName name="\e" localSheetId="3">[10]약품설비!#REF!</definedName>
    <definedName name="\e">[10]약품설비!#REF!</definedName>
    <definedName name="\f" localSheetId="0">[8]기기리스트!#REF!</definedName>
    <definedName name="\f" localSheetId="1">[8]기기리스트!#REF!</definedName>
    <definedName name="\f" localSheetId="2">[8]기기리스트!#REF!</definedName>
    <definedName name="\f" localSheetId="5">[8]기기리스트!#REF!</definedName>
    <definedName name="\f" localSheetId="3">[8]기기리스트!#REF!</definedName>
    <definedName name="\f">[8]기기리스트!#REF!</definedName>
    <definedName name="\h" localSheetId="0">[9]약품공급2!#REF!</definedName>
    <definedName name="\h" localSheetId="1">[9]약품공급2!#REF!</definedName>
    <definedName name="\h" localSheetId="2">[9]약품공급2!#REF!</definedName>
    <definedName name="\h" localSheetId="5">[9]약품공급2!#REF!</definedName>
    <definedName name="\h" localSheetId="3">[9]약품공급2!#REF!</definedName>
    <definedName name="\h">[9]약품공급2!#REF!</definedName>
    <definedName name="\i" localSheetId="0">[8]기기리스트!#REF!</definedName>
    <definedName name="\i" localSheetId="1">[8]기기리스트!#REF!</definedName>
    <definedName name="\i" localSheetId="2">[8]기기리스트!#REF!</definedName>
    <definedName name="\i" localSheetId="5">[8]기기리스트!#REF!</definedName>
    <definedName name="\i" localSheetId="3">[8]기기리스트!#REF!</definedName>
    <definedName name="\i">[8]기기리스트!#REF!</definedName>
    <definedName name="\j" localSheetId="0">[10]약품설비!#REF!</definedName>
    <definedName name="\j" localSheetId="1">[10]약품설비!#REF!</definedName>
    <definedName name="\j" localSheetId="2">[10]약품설비!#REF!</definedName>
    <definedName name="\j" localSheetId="5">[10]약품설비!#REF!</definedName>
    <definedName name="\j" localSheetId="3">[10]약품설비!#REF!</definedName>
    <definedName name="\j">[10]약품설비!#REF!</definedName>
    <definedName name="\k" localSheetId="0">[9]약품공급2!#REF!</definedName>
    <definedName name="\k" localSheetId="1">[9]약품공급2!#REF!</definedName>
    <definedName name="\k" localSheetId="2">[9]약품공급2!#REF!</definedName>
    <definedName name="\k" localSheetId="5">[9]약품공급2!#REF!</definedName>
    <definedName name="\k" localSheetId="3">[9]약품공급2!#REF!</definedName>
    <definedName name="\k">[9]약품공급2!#REF!</definedName>
    <definedName name="\l" localSheetId="0">[9]약품공급2!#REF!</definedName>
    <definedName name="\l" localSheetId="1">[9]약품공급2!#REF!</definedName>
    <definedName name="\l" localSheetId="2">[9]약품공급2!#REF!</definedName>
    <definedName name="\l" localSheetId="5">[9]약품공급2!#REF!</definedName>
    <definedName name="\l" localSheetId="3">[9]약품공급2!#REF!</definedName>
    <definedName name="\l">[9]약품공급2!#REF!</definedName>
    <definedName name="\m" localSheetId="0">[8]기기리스트!#REF!</definedName>
    <definedName name="\m" localSheetId="1">[8]기기리스트!#REF!</definedName>
    <definedName name="\m" localSheetId="2">[8]기기리스트!#REF!</definedName>
    <definedName name="\m" localSheetId="5">[8]기기리스트!#REF!</definedName>
    <definedName name="\m" localSheetId="3">[8]기기리스트!#REF!</definedName>
    <definedName name="\m">[8]기기리스트!#REF!</definedName>
    <definedName name="\n" localSheetId="0">[10]약품설비!#REF!</definedName>
    <definedName name="\n" localSheetId="1">[10]약품설비!#REF!</definedName>
    <definedName name="\n" localSheetId="2">[10]약품설비!#REF!</definedName>
    <definedName name="\n" localSheetId="5">[10]약품설비!#REF!</definedName>
    <definedName name="\n" localSheetId="3">[10]약품설비!#REF!</definedName>
    <definedName name="\n">[10]약품설비!#REF!</definedName>
    <definedName name="\o" localSheetId="0">[8]기기리스트!#REF!</definedName>
    <definedName name="\o" localSheetId="1">[8]기기리스트!#REF!</definedName>
    <definedName name="\o" localSheetId="2">[8]기기리스트!#REF!</definedName>
    <definedName name="\o" localSheetId="5">[8]기기리스트!#REF!</definedName>
    <definedName name="\o" localSheetId="3">[8]기기리스트!#REF!</definedName>
    <definedName name="\o">[8]기기리스트!#REF!</definedName>
    <definedName name="\p" localSheetId="0">[8]기기리스트!#REF!</definedName>
    <definedName name="\p" localSheetId="1">[8]기기리스트!#REF!</definedName>
    <definedName name="\p" localSheetId="2">[8]기기리스트!#REF!</definedName>
    <definedName name="\p" localSheetId="5">[8]기기리스트!#REF!</definedName>
    <definedName name="\p" localSheetId="3">[8]기기리스트!#REF!</definedName>
    <definedName name="\p">[8]기기리스트!#REF!</definedName>
    <definedName name="\q" localSheetId="0">[8]기기리스트!#REF!</definedName>
    <definedName name="\q" localSheetId="1">[8]기기리스트!#REF!</definedName>
    <definedName name="\q" localSheetId="2">[8]기기리스트!#REF!</definedName>
    <definedName name="\q" localSheetId="5">[8]기기리스트!#REF!</definedName>
    <definedName name="\q" localSheetId="3">[8]기기리스트!#REF!</definedName>
    <definedName name="\q">[8]기기리스트!#REF!</definedName>
    <definedName name="\r" localSheetId="0">[9]약품공급2!#REF!</definedName>
    <definedName name="\r" localSheetId="1">[9]약품공급2!#REF!</definedName>
    <definedName name="\r" localSheetId="2">[9]약품공급2!#REF!</definedName>
    <definedName name="\r" localSheetId="5">[9]약품공급2!#REF!</definedName>
    <definedName name="\r" localSheetId="3">[9]약품공급2!#REF!</definedName>
    <definedName name="\r">[9]약품공급2!#REF!</definedName>
    <definedName name="\s">#N/A</definedName>
    <definedName name="\t">#N/A</definedName>
    <definedName name="\u" localSheetId="0">[10]약품설비!#REF!</definedName>
    <definedName name="\u" localSheetId="1">[10]약품설비!#REF!</definedName>
    <definedName name="\u" localSheetId="2">[10]약품설비!#REF!</definedName>
    <definedName name="\u" localSheetId="5">[10]약품설비!#REF!</definedName>
    <definedName name="\u" localSheetId="3">[10]약품설비!#REF!</definedName>
    <definedName name="\u">[10]약품설비!#REF!</definedName>
    <definedName name="\v" localSheetId="0">[8]기기리스트!#REF!</definedName>
    <definedName name="\v" localSheetId="1">[8]기기리스트!#REF!</definedName>
    <definedName name="\v" localSheetId="2">[8]기기리스트!#REF!</definedName>
    <definedName name="\v" localSheetId="5">[8]기기리스트!#REF!</definedName>
    <definedName name="\v" localSheetId="3">[8]기기리스트!#REF!</definedName>
    <definedName name="\v">[8]기기리스트!#REF!</definedName>
    <definedName name="\w" localSheetId="0">[8]기기리스트!#REF!</definedName>
    <definedName name="\w" localSheetId="1">[8]기기리스트!#REF!</definedName>
    <definedName name="\w" localSheetId="2">[8]기기리스트!#REF!</definedName>
    <definedName name="\w" localSheetId="5">[8]기기리스트!#REF!</definedName>
    <definedName name="\w" localSheetId="3">[8]기기리스트!#REF!</definedName>
    <definedName name="\w">[8]기기리스트!#REF!</definedName>
    <definedName name="\x" localSheetId="0">[8]기기리스트!#REF!</definedName>
    <definedName name="\x" localSheetId="1">[8]기기리스트!#REF!</definedName>
    <definedName name="\x" localSheetId="2">[8]기기리스트!#REF!</definedName>
    <definedName name="\x" localSheetId="5">[8]기기리스트!#REF!</definedName>
    <definedName name="\x" localSheetId="3">[8]기기리스트!#REF!</definedName>
    <definedName name="\x">[8]기기리스트!#REF!</definedName>
    <definedName name="\y" localSheetId="0">[10]약품설비!#REF!</definedName>
    <definedName name="\y" localSheetId="1">[10]약품설비!#REF!</definedName>
    <definedName name="\y" localSheetId="2">[10]약품설비!#REF!</definedName>
    <definedName name="\y" localSheetId="5">[10]약품설비!#REF!</definedName>
    <definedName name="\y" localSheetId="3">[10]약품설비!#REF!</definedName>
    <definedName name="\y">[10]약품설비!#REF!</definedName>
    <definedName name="\z" localSheetId="0">[9]약품공급2!#REF!</definedName>
    <definedName name="\z" localSheetId="1">[9]약품공급2!#REF!</definedName>
    <definedName name="\z" localSheetId="2">[9]약품공급2!#REF!</definedName>
    <definedName name="\z" localSheetId="5">[9]약품공급2!#REF!</definedName>
    <definedName name="\z" localSheetId="3">[9]약품공급2!#REF!</definedName>
    <definedName name="\z">[9]약품공급2!#REF!</definedName>
    <definedName name="A" localSheetId="0">#REF!</definedName>
    <definedName name="A" localSheetId="1">#REF!</definedName>
    <definedName name="A" localSheetId="2">#REF!</definedName>
    <definedName name="A" localSheetId="5">#REF!</definedName>
    <definedName name="A" localSheetId="3">#REF!</definedName>
    <definedName name="A">#REF!</definedName>
    <definedName name="a\" localSheetId="0" hidden="1">{#N/A,#N/A,TRUE,"자재관리";#N/A,#N/A,TRUE,"품질"}</definedName>
    <definedName name="a\" localSheetId="2" hidden="1">{#N/A,#N/A,TRUE,"자재관리";#N/A,#N/A,TRUE,"품질"}</definedName>
    <definedName name="a\" hidden="1">{#N/A,#N/A,TRUE,"자재관리";#N/A,#N/A,TRUE,"품질"}</definedName>
    <definedName name="A8.36" localSheetId="0">#REF!</definedName>
    <definedName name="A8.36" localSheetId="1">#REF!</definedName>
    <definedName name="A8.36" localSheetId="2">#REF!</definedName>
    <definedName name="A8.36" localSheetId="5">#REF!</definedName>
    <definedName name="A8.36" localSheetId="3">#REF!</definedName>
    <definedName name="A8.36">#REF!</definedName>
    <definedName name="aa" localSheetId="0">#REF!</definedName>
    <definedName name="aa" localSheetId="1">#REF!</definedName>
    <definedName name="aa" localSheetId="2">#REF!</definedName>
    <definedName name="aa" localSheetId="5">#REF!</definedName>
    <definedName name="aa" localSheetId="3">#REF!</definedName>
    <definedName name="aa">#REF!</definedName>
    <definedName name="AAA" localSheetId="0">[7]!AAA</definedName>
    <definedName name="AAA" localSheetId="1">[7]!AAA</definedName>
    <definedName name="AAA" localSheetId="2">[7]!AAA</definedName>
    <definedName name="AAA" localSheetId="5">[7]!AAA</definedName>
    <definedName name="AAA" localSheetId="3">[7]!AAA</definedName>
    <definedName name="AAA">[7]!AAA</definedName>
    <definedName name="ABC">'[11]FURNITURE-01'!$A$3:$H$3</definedName>
    <definedName name="Access_Button" hidden="1">"종합사번1999년_99년02월_퇴사__List"</definedName>
    <definedName name="AccessDatabase" hidden="1">"D:\공무jaje\98년품의-수불\98146.mdb"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nscount" hidden="1">2</definedName>
    <definedName name="app.3.2.2" localSheetId="0" hidden="1">{#N/A,#N/A,FALSE,"동부"}</definedName>
    <definedName name="app.3.2.2" localSheetId="2" hidden="1">{#N/A,#N/A,FALSE,"동부"}</definedName>
    <definedName name="app.3.2.2" hidden="1">{#N/A,#N/A,FALSE,"동부"}</definedName>
    <definedName name="App3.2.2" localSheetId="0" hidden="1">{#N/A,#N/A,TRUE,"대 차 대 조 표"}</definedName>
    <definedName name="App3.2.2" localSheetId="2" hidden="1">{#N/A,#N/A,TRUE,"대 차 대 조 표"}</definedName>
    <definedName name="App3.2.2" hidden="1">{#N/A,#N/A,TRUE,"대 차 대 조 표"}</definedName>
    <definedName name="asd" localSheetId="0">#REF!</definedName>
    <definedName name="asd" localSheetId="1">#REF!</definedName>
    <definedName name="asd" localSheetId="2">#REF!</definedName>
    <definedName name="asd" localSheetId="5">#REF!</definedName>
    <definedName name="asd" localSheetId="3">#REF!</definedName>
    <definedName name="asd">#REF!</definedName>
    <definedName name="B" localSheetId="0">#REF!</definedName>
    <definedName name="B" localSheetId="1">#REF!</definedName>
    <definedName name="B" localSheetId="2">#REF!</definedName>
    <definedName name="B" localSheetId="5">#REF!</definedName>
    <definedName name="B" localSheetId="3">#REF!</definedName>
    <definedName name="B">#REF!</definedName>
    <definedName name="BadLink" localSheetId="0" hidden="1">#REF!</definedName>
    <definedName name="BadLink" localSheetId="2" hidden="1">#REF!</definedName>
    <definedName name="BadLink" localSheetId="5" hidden="1">#REF!</definedName>
    <definedName name="BadLink" localSheetId="3" hidden="1">#REF!</definedName>
    <definedName name="BadLink" hidden="1">#REF!</definedName>
    <definedName name="BM" localSheetId="0" hidden="1">#REF!</definedName>
    <definedName name="BM" localSheetId="2" hidden="1">#REF!</definedName>
    <definedName name="BM" localSheetId="5" hidden="1">#REF!</definedName>
    <definedName name="BM" localSheetId="3" hidden="1">#REF!</definedName>
    <definedName name="BM" hidden="1">#REF!</definedName>
    <definedName name="BringUserToAboutSheet" localSheetId="0">[12]!BringUserToAboutSheet</definedName>
    <definedName name="BringUserToAboutSheet" localSheetId="1">[12]!BringUserToAboutSheet</definedName>
    <definedName name="BringUserToAboutSheet" localSheetId="2">[12]!BringUserToAboutSheet</definedName>
    <definedName name="BringUserToAboutSheet" localSheetId="5">[12]!BringUserToAboutSheet</definedName>
    <definedName name="BringUserToAboutSheet" localSheetId="3">[12]!BringUserToAboutSheet</definedName>
    <definedName name="BringUserToAboutSheet">[12]!BringUserToAboutSheet</definedName>
    <definedName name="BringUserToCode" localSheetId="0">[12]!BringUserToCode</definedName>
    <definedName name="BringUserToCode" localSheetId="1">[12]!BringUserToCode</definedName>
    <definedName name="BringUserToCode" localSheetId="2">[12]!BringUserToCode</definedName>
    <definedName name="BringUserToCode" localSheetId="5">[12]!BringUserToCode</definedName>
    <definedName name="BringUserToCode" localSheetId="3">[12]!BringUserToCode</definedName>
    <definedName name="BringUserToCode">[12]!BringUserToCode</definedName>
    <definedName name="BUSH" localSheetId="0" hidden="1">{"'Sheet1'!$E$23","'Sheet1'!$A$3:$H$19","'Sheet1'!$A$1:$H$19"}</definedName>
    <definedName name="BUSH" localSheetId="2" hidden="1">{"'Sheet1'!$E$23","'Sheet1'!$A$3:$H$19","'Sheet1'!$A$1:$H$19"}</definedName>
    <definedName name="BUSH" hidden="1">{"'Sheet1'!$E$23","'Sheet1'!$A$3:$H$19","'Sheet1'!$A$1:$H$19"}</definedName>
    <definedName name="BU별" localSheetId="0" hidden="1">{#N/A,#N/A,FALSE,"동부"}</definedName>
    <definedName name="BU별" localSheetId="2" hidden="1">{#N/A,#N/A,FALSE,"동부"}</definedName>
    <definedName name="BU별" hidden="1">{#N/A,#N/A,FALSE,"동부"}</definedName>
    <definedName name="C_">#N/A</definedName>
    <definedName name="cgmh" localSheetId="0" hidden="1">{"'용역비'!$A$4:$C$8"}</definedName>
    <definedName name="cgmh" localSheetId="2" hidden="1">{"'용역비'!$A$4:$C$8"}</definedName>
    <definedName name="cgmh" hidden="1">{"'용역비'!$A$4:$C$8"}</definedName>
    <definedName name="CLOSER" localSheetId="0">[7]!CLOSER</definedName>
    <definedName name="CLOSER" localSheetId="1">[7]!CLOSER</definedName>
    <definedName name="CLOSER" localSheetId="2">[7]!CLOSER</definedName>
    <definedName name="CLOSER" localSheetId="5">[7]!CLOSER</definedName>
    <definedName name="CLOSER" localSheetId="3">[7]!CLOSER</definedName>
    <definedName name="CLOSER">[7]!CLOSER</definedName>
    <definedName name="code" localSheetId="0">#REF!</definedName>
    <definedName name="code" localSheetId="1">#REF!</definedName>
    <definedName name="code" localSheetId="2">#REF!</definedName>
    <definedName name="code" localSheetId="5">#REF!</definedName>
    <definedName name="code" localSheetId="3">#REF!</definedName>
    <definedName name="code">#REF!</definedName>
    <definedName name="copy2" localSheetId="0" hidden="1">{#N/A,#N/A,TRUE,"자재관리";#N/A,#N/A,TRUE,"품질"}</definedName>
    <definedName name="copy2" localSheetId="2" hidden="1">{#N/A,#N/A,TRUE,"자재관리";#N/A,#N/A,TRUE,"품질"}</definedName>
    <definedName name="copy2" hidden="1">{#N/A,#N/A,TRUE,"자재관리";#N/A,#N/A,TRUE,"품질"}</definedName>
    <definedName name="copy3" localSheetId="0" hidden="1">{#N/A,#N/A,TRUE,"자재관리";#N/A,#N/A,TRUE,"품질"}</definedName>
    <definedName name="copy3" localSheetId="2"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2" hidden="1">{#N/A,#N/A,FALSE,"자재관리";#N/A,#N/A,FALSE,"자재관리";#N/A,#N/A,FALSE,"자재관리"}</definedName>
    <definedName name="copy4" hidden="1">{#N/A,#N/A,FALSE,"자재관리";#N/A,#N/A,FALSE,"자재관리";#N/A,#N/A,FALSE,"자재관리"}</definedName>
    <definedName name="_xlnm.Criteria" localSheetId="0">#REF!</definedName>
    <definedName name="_xlnm.Criteria" localSheetId="1">#REF!</definedName>
    <definedName name="_xlnm.Criteria" localSheetId="2">#REF!</definedName>
    <definedName name="_xlnm.Criteria" localSheetId="5">#REF!</definedName>
    <definedName name="_xlnm.Criteria" localSheetId="3">#REF!</definedName>
    <definedName name="_xlnm.Criteria">#REF!</definedName>
    <definedName name="CY2007년" localSheetId="0" hidden="1">{#N/A,#N/A,FALSE,"97년 투자계획 세부내역 "}</definedName>
    <definedName name="CY2007년" localSheetId="2" hidden="1">{#N/A,#N/A,FALSE,"97년 투자계획 세부내역 "}</definedName>
    <definedName name="CY2007년" hidden="1">{#N/A,#N/A,FALSE,"97년 투자계획 세부내역 "}</definedName>
    <definedName name="D" localSheetId="0">#REF!</definedName>
    <definedName name="D" localSheetId="1">#REF!</definedName>
    <definedName name="D" localSheetId="2">#REF!</definedName>
    <definedName name="D" localSheetId="5">#REF!</definedName>
    <definedName name="D" localSheetId="3">#REF!</definedName>
    <definedName name="D">#REF!</definedName>
    <definedName name="DAT" localSheetId="0">#REF!</definedName>
    <definedName name="DAT" localSheetId="1">#REF!</definedName>
    <definedName name="DAT" localSheetId="2">#REF!</definedName>
    <definedName name="DAT" localSheetId="5">#REF!</definedName>
    <definedName name="DAT" localSheetId="3">#REF!</definedName>
    <definedName name="DAT">#REF!</definedName>
    <definedName name="_xlnm.Database" localSheetId="0">#REF!</definedName>
    <definedName name="_xlnm.Database" localSheetId="1">#REF!</definedName>
    <definedName name="_xlnm.Database" localSheetId="2">#REF!</definedName>
    <definedName name="_xlnm.Database" localSheetId="5">#REF!</definedName>
    <definedName name="_xlnm.Database" localSheetId="3">#REF!</definedName>
    <definedName name="_xlnm.Database">#REF!</definedName>
    <definedName name="ddddd" localSheetId="0" hidden="1">#REF!</definedName>
    <definedName name="ddddd" localSheetId="2" hidden="1">#REF!</definedName>
    <definedName name="ddddd" localSheetId="5" hidden="1">#REF!</definedName>
    <definedName name="ddddd" localSheetId="3" hidden="1">#REF!</definedName>
    <definedName name="ddddd" hidden="1">#REF!</definedName>
    <definedName name="dhj" localSheetId="0" hidden="1">{"'용역비'!$A$4:$C$8"}</definedName>
    <definedName name="dhj" localSheetId="2" hidden="1">{"'용역비'!$A$4:$C$8"}</definedName>
    <definedName name="dhj" hidden="1">{"'용역비'!$A$4:$C$8"}</definedName>
    <definedName name="DIV" localSheetId="0" hidden="1">{#N/A,#N/A,FALSE,"97년 투자계획 세부내역 "}</definedName>
    <definedName name="DIV" localSheetId="2" hidden="1">{#N/A,#N/A,FALSE,"97년 투자계획 세부내역 "}</definedName>
    <definedName name="DIV" hidden="1">{#N/A,#N/A,FALSE,"97년 투자계획 세부내역 "}</definedName>
    <definedName name="DJQAN" localSheetId="0" hidden="1">{#N/A,#N/A,TRUE,"대 차 대 조 표"}</definedName>
    <definedName name="DJQAN" localSheetId="2" hidden="1">{#N/A,#N/A,TRUE,"대 차 대 조 표"}</definedName>
    <definedName name="DJQAN" hidden="1">{#N/A,#N/A,TRUE,"대 차 대 조 표"}</definedName>
    <definedName name="dkd" localSheetId="0" hidden="1">{#N/A,#N/A,FALSE,"자재관리";#N/A,#N/A,FALSE,"자재관리";#N/A,#N/A,FALSE,"자재관리"}</definedName>
    <definedName name="dkd" localSheetId="2"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2" hidden="1">{#N/A,#N/A,FALSE,"전력간선"}</definedName>
    <definedName name="DKFDK" hidden="1">{#N/A,#N/A,FALSE,"전력간선"}</definedName>
    <definedName name="dldyddn" localSheetId="0" hidden="1">{"'별표'!$N$220"}</definedName>
    <definedName name="dldyddn" localSheetId="2" hidden="1">{"'별표'!$N$220"}</definedName>
    <definedName name="dldyddn" hidden="1">{"'별표'!$N$220"}</definedName>
    <definedName name="DNFL" localSheetId="0" hidden="1">{#N/A,#N/A,FALSE,"동부"}</definedName>
    <definedName name="DNFL" localSheetId="2" hidden="1">{#N/A,#N/A,FALSE,"동부"}</definedName>
    <definedName name="DNFL" hidden="1">{#N/A,#N/A,FALSE,"동부"}</definedName>
    <definedName name="DROW">#N/A</definedName>
    <definedName name="DW" localSheetId="0" hidden="1">{"'용역비'!$A$4:$C$8"}</definedName>
    <definedName name="DW" localSheetId="2" hidden="1">{"'용역비'!$A$4:$C$8"}</definedName>
    <definedName name="DW" hidden="1">{"'용역비'!$A$4:$C$8"}</definedName>
    <definedName name="E" localSheetId="0">#REF!</definedName>
    <definedName name="E" localSheetId="1">#REF!</definedName>
    <definedName name="E" localSheetId="2">#REF!</definedName>
    <definedName name="E" localSheetId="5">#REF!</definedName>
    <definedName name="E" localSheetId="3">#REF!</definedName>
    <definedName name="E">#REF!</definedName>
    <definedName name="EEWE" localSheetId="0">[7]!StartSeller</definedName>
    <definedName name="EEWE" localSheetId="1">[7]!StartSeller</definedName>
    <definedName name="EEWE" localSheetId="2">[7]!StartSeller</definedName>
    <definedName name="EEWE" localSheetId="5">[7]!StartSeller</definedName>
    <definedName name="EEWE" localSheetId="3">[7]!StartSeller</definedName>
    <definedName name="EEWE">[7]!StartSeller</definedName>
    <definedName name="EFG" localSheetId="0" hidden="1">{"'용역비'!$A$4:$C$8"}</definedName>
    <definedName name="EFG" localSheetId="2" hidden="1">{"'용역비'!$A$4:$C$8"}</definedName>
    <definedName name="EFG" hidden="1">{"'용역비'!$A$4:$C$8"}</definedName>
    <definedName name="EGE" localSheetId="0" hidden="1">{"'용역비'!$A$4:$C$8"}</definedName>
    <definedName name="EGE" localSheetId="2" hidden="1">{"'용역비'!$A$4:$C$8"}</definedName>
    <definedName name="EGE" hidden="1">{"'용역비'!$A$4:$C$8"}</definedName>
    <definedName name="EJ">[13]소비자가!$I$46:$J$1593</definedName>
    <definedName name="ertyertye" localSheetId="0" hidden="1">{"'용역비'!$A$4:$C$8"}</definedName>
    <definedName name="ertyertye" localSheetId="2" hidden="1">{"'용역비'!$A$4:$C$8"}</definedName>
    <definedName name="ertyertye" hidden="1">{"'용역비'!$A$4:$C$8"}</definedName>
    <definedName name="ETYETY" localSheetId="0" hidden="1">{"'용역비'!$A$4:$C$8"}</definedName>
    <definedName name="ETYETY" localSheetId="2" hidden="1">{"'용역비'!$A$4:$C$8"}</definedName>
    <definedName name="ETYETY" hidden="1">{"'용역비'!$A$4:$C$8"}</definedName>
    <definedName name="etyj" localSheetId="0" hidden="1">{"'용역비'!$A$4:$C$8"}</definedName>
    <definedName name="etyj" localSheetId="2" hidden="1">{"'용역비'!$A$4:$C$8"}</definedName>
    <definedName name="etyj" hidden="1">{"'용역비'!$A$4:$C$8"}</definedName>
    <definedName name="etyjj" localSheetId="0" hidden="1">{"'용역비'!$A$4:$C$8"}</definedName>
    <definedName name="etyjj" localSheetId="2" hidden="1">{"'용역비'!$A$4:$C$8"}</definedName>
    <definedName name="etyjj" hidden="1">{"'용역비'!$A$4:$C$8"}</definedName>
    <definedName name="ETYJTYJ" localSheetId="0" hidden="1">{"'용역비'!$A$4:$C$8"}</definedName>
    <definedName name="ETYJTYJ" localSheetId="2" hidden="1">{"'용역비'!$A$4:$C$8"}</definedName>
    <definedName name="ETYJTYJ" hidden="1">{"'용역비'!$A$4:$C$8"}</definedName>
    <definedName name="F" localSheetId="0">#REF!</definedName>
    <definedName name="F" localSheetId="1">#REF!</definedName>
    <definedName name="F" localSheetId="2">#REF!</definedName>
    <definedName name="F" localSheetId="5">#REF!</definedName>
    <definedName name="F" localSheetId="3">#REF!</definedName>
    <definedName name="F">#REF!</definedName>
    <definedName name="ff" localSheetId="0" hidden="1">{#N/A,#N/A,FALSE,"동부"}</definedName>
    <definedName name="ff" localSheetId="2" hidden="1">{#N/A,#N/A,FALSE,"동부"}</definedName>
    <definedName name="ff" hidden="1">{#N/A,#N/A,FALSE,"동부"}</definedName>
    <definedName name="FFF" localSheetId="0" hidden="1">{#N/A,#N/A,FALSE,"교리2"}</definedName>
    <definedName name="FFF" localSheetId="2" hidden="1">{#N/A,#N/A,FALSE,"교리2"}</definedName>
    <definedName name="FFF" hidden="1">{#N/A,#N/A,FALSE,"교리2"}</definedName>
    <definedName name="FFFF" localSheetId="0" hidden="1">{#N/A,#N/A,FALSE,"자재관리";#N/A,#N/A,FALSE,"자재관리";#N/A,#N/A,FALSE,"자재관리"}</definedName>
    <definedName name="FFFF" localSheetId="2"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2"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2" hidden="1">{#N/A,#N/A,FALSE,"자재관리";#N/A,#N/A,FALSE,"자재관리";#N/A,#N/A,FALSE,"자재관리"}</definedName>
    <definedName name="fffffff" hidden="1">{#N/A,#N/A,FALSE,"자재관리";#N/A,#N/A,FALSE,"자재관리";#N/A,#N/A,FALSE,"자재관리"}</definedName>
    <definedName name="fg" localSheetId="0">[7]!fg</definedName>
    <definedName name="fg" localSheetId="1">[7]!fg</definedName>
    <definedName name="fg" localSheetId="2">[7]!fg</definedName>
    <definedName name="fg" localSheetId="5">[7]!fg</definedName>
    <definedName name="fg" localSheetId="3">[7]!fg</definedName>
    <definedName name="fg">[7]!fg</definedName>
    <definedName name="FGRKRKRKRKRKRKRKRKRKRKRKRKRKRKR" localSheetId="0">#REF!</definedName>
    <definedName name="FGRKRKRKRKRKRKRKRKRKRKRKRKRKRKR" localSheetId="1">#REF!</definedName>
    <definedName name="FGRKRKRKRKRKRKRKRKRKRKRKRKRKRKR" localSheetId="2">#REF!</definedName>
    <definedName name="FGRKRKRKRKRKRKRKRKRKRKRKRKRKRKR" localSheetId="5">#REF!</definedName>
    <definedName name="FGRKRKRKRKRKRKRKRKRKRKRKRKRKRKR" localSheetId="3">#REF!</definedName>
    <definedName name="FGRKRKRKRKRKRKRKRKRKRKRKRKRKRKR">#REF!</definedName>
    <definedName name="FGrkrkrkrkrkrkrktbtbsptbrt" localSheetId="0">[14]TEL!#REF!</definedName>
    <definedName name="FGrkrkrkrkrkrkrktbtbsptbrt" localSheetId="1">[14]TEL!#REF!</definedName>
    <definedName name="FGrkrkrkrkrkrkrktbtbsptbrt" localSheetId="2">[14]TEL!#REF!</definedName>
    <definedName name="FGrkrkrkrkrkrkrktbtbsptbrt" localSheetId="5">[14]TEL!#REF!</definedName>
    <definedName name="FGrkrkrkrkrkrkrktbtbsptbrt" localSheetId="3">[14]TEL!#REF!</definedName>
    <definedName name="FGrkrkrkrkrkrkrktbtbsptbrt">[14]TEL!#REF!</definedName>
    <definedName name="First_Rec" localSheetId="0">'[15]Customer Databas'!#REF!</definedName>
    <definedName name="First_Rec" localSheetId="1">'[15]Customer Databas'!#REF!</definedName>
    <definedName name="First_Rec" localSheetId="2">'[15]Customer Databas'!#REF!</definedName>
    <definedName name="First_Rec" localSheetId="5">'[15]Customer Databas'!#REF!</definedName>
    <definedName name="First_Rec" localSheetId="3">'[15]Customer Databas'!#REF!</definedName>
    <definedName name="First_Rec">'[15]Customer Databas'!#REF!</definedName>
    <definedName name="FK" localSheetId="0" hidden="1">{"'용역비'!$A$4:$C$8"}</definedName>
    <definedName name="FK" localSheetId="2" hidden="1">{"'용역비'!$A$4:$C$8"}</definedName>
    <definedName name="FK" hidden="1">{"'용역비'!$A$4:$C$8"}</definedName>
    <definedName name="FM계약일할" localSheetId="0" hidden="1">{#N/A,#N/A,TRUE,"대 차 대 조 표"}</definedName>
    <definedName name="FM계약일할" localSheetId="2" hidden="1">{#N/A,#N/A,TRUE,"대 차 대 조 표"}</definedName>
    <definedName name="FM계약일할" hidden="1">{#N/A,#N/A,TRUE,"대 차 대 조 표"}</definedName>
    <definedName name="G" localSheetId="0">#REF!</definedName>
    <definedName name="G" localSheetId="1">#REF!</definedName>
    <definedName name="G" localSheetId="2">#REF!</definedName>
    <definedName name="G" localSheetId="5">#REF!</definedName>
    <definedName name="G" localSheetId="3">#REF!</definedName>
    <definedName name="G">#REF!</definedName>
    <definedName name="GONGJONG" localSheetId="0">#REF!</definedName>
    <definedName name="GONGJONG" localSheetId="1">#REF!</definedName>
    <definedName name="GONGJONG" localSheetId="2">#REF!</definedName>
    <definedName name="GONGJONG" localSheetId="5">#REF!</definedName>
    <definedName name="GONGJONG" localSheetId="3">#REF!</definedName>
    <definedName name="GONGJONG">#REF!</definedName>
    <definedName name="GUSTLS" localSheetId="0" hidden="1">#REF!</definedName>
    <definedName name="GUSTLS" localSheetId="2" hidden="1">#REF!</definedName>
    <definedName name="GUSTLS" localSheetId="5" hidden="1">#REF!</definedName>
    <definedName name="GUSTLS" localSheetId="3" hidden="1">#REF!</definedName>
    <definedName name="GUSTLS" hidden="1">#REF!</definedName>
    <definedName name="H" localSheetId="0">#REF!</definedName>
    <definedName name="H" localSheetId="1">#REF!</definedName>
    <definedName name="H" localSheetId="2">#REF!</definedName>
    <definedName name="H" localSheetId="5">#REF!</definedName>
    <definedName name="H" localSheetId="3">#REF!</definedName>
    <definedName name="H">#REF!</definedName>
    <definedName name="HELP" localSheetId="0">[16]예산서!#REF!</definedName>
    <definedName name="HELP" localSheetId="1">[16]예산서!#REF!</definedName>
    <definedName name="HELP" localSheetId="2">[16]예산서!#REF!</definedName>
    <definedName name="HELP" localSheetId="5">[16]예산서!#REF!</definedName>
    <definedName name="HELP" localSheetId="3">[16]예산서!#REF!</definedName>
    <definedName name="HELP">[16]예산서!#REF!</definedName>
    <definedName name="hgc" localSheetId="0" hidden="1">{#N/A,#N/A,TRUE,"대 차 대 조 표"}</definedName>
    <definedName name="hgc" localSheetId="2" hidden="1">{#N/A,#N/A,TRUE,"대 차 대 조 표"}</definedName>
    <definedName name="hgc" hidden="1">{#N/A,#N/A,TRUE,"대 차 대 조 표"}</definedName>
    <definedName name="HHHHH" localSheetId="0" hidden="1">{#N/A,#N/A,FALSE,"자재관리";#N/A,#N/A,FALSE,"자재관리";#N/A,#N/A,FALSE,"자재관리"}</definedName>
    <definedName name="HHHHH" localSheetId="2"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2" hidden="1">{#N/A,#N/A,FALSE,"자재관리";#N/A,#N/A,FALSE,"자재관리";#N/A,#N/A,FALSE,"자재관리"}</definedName>
    <definedName name="HHHHHH" hidden="1">{#N/A,#N/A,FALSE,"자재관리";#N/A,#N/A,FALSE,"자재관리";#N/A,#N/A,FALSE,"자재관리"}</definedName>
    <definedName name="HSR" localSheetId="0" hidden="1">{"'용역비'!$A$4:$C$8"}</definedName>
    <definedName name="HSR" localSheetId="2" hidden="1">{"'용역비'!$A$4:$C$8"}</definedName>
    <definedName name="HSR" hidden="1">{"'용역비'!$A$4:$C$8"}</definedName>
    <definedName name="HTML_CodePage" hidden="1">949</definedName>
    <definedName name="HTML_Control" localSheetId="0" hidden="1">{"'별표'!$N$220"}</definedName>
    <definedName name="HTML_Control" localSheetId="2" hidden="1">{"'별표'!$N$220"}</definedName>
    <definedName name="HTML_Control" hidden="1">{"'별표'!$N$220"}</definedName>
    <definedName name="HTML_Description" hidden="1">""</definedName>
    <definedName name="HTML_Email" hidden="1">""</definedName>
    <definedName name="HTML_Header" hidden="1">"별표"</definedName>
    <definedName name="HTML_LastUpdate" hidden="1">"98-03-12"</definedName>
    <definedName name="HTML_LineAfter" hidden="1">FALSE</definedName>
    <definedName name="HTML_LineBefore" hidden="1">FALSE</definedName>
    <definedName name="HTML_Name" hidden="1">"나승온"</definedName>
    <definedName name="HTML_OBDlg2" hidden="1">TRUE</definedName>
    <definedName name="HTML_OBDlg3" hidden="1">TRUE</definedName>
    <definedName name="HTML_OBDlg4" hidden="1">TRUE</definedName>
    <definedName name="HTML_OS" hidden="1">0</definedName>
    <definedName name="HTML_PathFile" hidden="1">"C:\WINDOWS\Favorites\MyHTML.htm"</definedName>
    <definedName name="HTML_PathTemplate" hidden="1">"C:\개발일반\U-PJT\HTMLTemp.htm"</definedName>
    <definedName name="HTML_Title" hidden="1">"한전감포"</definedName>
    <definedName name="I" localSheetId="0">#REF!</definedName>
    <definedName name="I" localSheetId="1">#REF!</definedName>
    <definedName name="I" localSheetId="2">#REF!</definedName>
    <definedName name="I" localSheetId="5">#REF!</definedName>
    <definedName name="I" localSheetId="3">#REF!</definedName>
    <definedName name="I">#REF!</definedName>
    <definedName name="IIII" localSheetId="0" hidden="1">{"'용역비'!$A$4:$C$8"}</definedName>
    <definedName name="IIII" localSheetId="2" hidden="1">{"'용역비'!$A$4:$C$8"}</definedName>
    <definedName name="IIII" hidden="1">{"'용역비'!$A$4:$C$8"}</definedName>
    <definedName name="IIIII" localSheetId="0" hidden="1">{"'용역비'!$A$4:$C$8"}</definedName>
    <definedName name="IIIII" localSheetId="2" hidden="1">{"'용역비'!$A$4:$C$8"}</definedName>
    <definedName name="IIIII" hidden="1">{"'용역비'!$A$4:$C$8"}</definedName>
    <definedName name="intervest공정표" localSheetId="0">#REF!</definedName>
    <definedName name="intervest공정표" localSheetId="1">#REF!</definedName>
    <definedName name="intervest공정표" localSheetId="2">#REF!</definedName>
    <definedName name="intervest공정표" localSheetId="5">#REF!</definedName>
    <definedName name="intervest공정표" localSheetId="3">#REF!</definedName>
    <definedName name="intervest공정표">#REF!</definedName>
    <definedName name="IOI" localSheetId="0" hidden="1">{"'용역비'!$A$4:$C$8"}</definedName>
    <definedName name="IOI" localSheetId="2" hidden="1">{"'용역비'!$A$4:$C$8"}</definedName>
    <definedName name="IOI" hidden="1">{"'용역비'!$A$4:$C$8"}</definedName>
    <definedName name="ISL공정표" localSheetId="0">[12]!BringUserToCode</definedName>
    <definedName name="ISL공정표" localSheetId="1">[12]!BringUserToCode</definedName>
    <definedName name="ISL공정표" localSheetId="2">[12]!BringUserToCode</definedName>
    <definedName name="ISL공정표" localSheetId="5">[12]!BringUserToCode</definedName>
    <definedName name="ISL공정표" localSheetId="3">[12]!BringUserToCode</definedName>
    <definedName name="ISL공정표">[12]!BringUserToCode</definedName>
    <definedName name="J" localSheetId="0">#REF!</definedName>
    <definedName name="J" localSheetId="1">#REF!</definedName>
    <definedName name="J" localSheetId="2">#REF!</definedName>
    <definedName name="J" localSheetId="5">#REF!</definedName>
    <definedName name="J" localSheetId="3">#REF!</definedName>
    <definedName name="J">#REF!</definedName>
    <definedName name="JJJJ" localSheetId="0" hidden="1">{#N/A,#N/A,FALSE,"자재관리";#N/A,#N/A,FALSE,"자재관리";#N/A,#N/A,FALSE,"자재관리"}</definedName>
    <definedName name="JJJJ" localSheetId="2" hidden="1">{#N/A,#N/A,FALSE,"자재관리";#N/A,#N/A,FALSE,"자재관리";#N/A,#N/A,FALSE,"자재관리"}</definedName>
    <definedName name="JJJJ" hidden="1">{#N/A,#N/A,FALSE,"자재관리";#N/A,#N/A,FALSE,"자재관리";#N/A,#N/A,FALSE,"자재관리"}</definedName>
    <definedName name="jkljk" localSheetId="0" hidden="1">{#N/A,#N/A,FALSE,"이력서&amp;자기소개서"}</definedName>
    <definedName name="jkljk" localSheetId="2" hidden="1">{#N/A,#N/A,FALSE,"이력서&amp;자기소개서"}</definedName>
    <definedName name="jkljk" hidden="1">{#N/A,#N/A,FALSE,"이력서&amp;자기소개서"}</definedName>
    <definedName name="K" localSheetId="0">#REF!</definedName>
    <definedName name="K" localSheetId="1">#REF!</definedName>
    <definedName name="K" localSheetId="2">#REF!</definedName>
    <definedName name="K" localSheetId="5">#REF!</definedName>
    <definedName name="K" localSheetId="3">#REF!</definedName>
    <definedName name="K">#REF!</definedName>
    <definedName name="kkkkk" localSheetId="0" hidden="1">{#N/A,#N/A,FALSE,"자재관리";#N/A,#N/A,FALSE,"자재관리";#N/A,#N/A,FALSE,"자재관리"}</definedName>
    <definedName name="kkkkk" localSheetId="2"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2" hidden="1">{#N/A,#N/A,FALSE,"자재관리";#N/A,#N/A,FALSE,"자재관리";#N/A,#N/A,FALSE,"자재관리"}</definedName>
    <definedName name="knauf" hidden="1">{#N/A,#N/A,FALSE,"자재관리";#N/A,#N/A,FALSE,"자재관리";#N/A,#N/A,FALSE,"자재관리"}</definedName>
    <definedName name="KSJ_25" localSheetId="0" hidden="1">{#N/A,#N/A,FALSE,"동부"}</definedName>
    <definedName name="KSJ_25" localSheetId="2" hidden="1">{#N/A,#N/A,FALSE,"동부"}</definedName>
    <definedName name="KSJ_25" hidden="1">{#N/A,#N/A,FALSE,"동부"}</definedName>
    <definedName name="L" localSheetId="0">#REF!</definedName>
    <definedName name="L" localSheetId="1">#REF!</definedName>
    <definedName name="L" localSheetId="2">#REF!</definedName>
    <definedName name="L" localSheetId="5">#REF!</definedName>
    <definedName name="L" localSheetId="3">#REF!</definedName>
    <definedName name="L">#REF!</definedName>
    <definedName name="li" localSheetId="0" hidden="1">{"'용역비'!$A$4:$C$8"}</definedName>
    <definedName name="li" localSheetId="2" hidden="1">{"'용역비'!$A$4:$C$8"}</definedName>
    <definedName name="li" hidden="1">{"'용역비'!$A$4:$C$8"}</definedName>
    <definedName name="Main" localSheetId="0">#REF!</definedName>
    <definedName name="Main" localSheetId="1">#REF!</definedName>
    <definedName name="Main" localSheetId="2">#REF!</definedName>
    <definedName name="Main" localSheetId="5">#REF!</definedName>
    <definedName name="Main" localSheetId="3">#REF!</definedName>
    <definedName name="Main">#REF!</definedName>
    <definedName name="MAINPART" localSheetId="0">#REF!</definedName>
    <definedName name="MAINPART" localSheetId="1">#REF!</definedName>
    <definedName name="MAINPART" localSheetId="2">#REF!</definedName>
    <definedName name="MAINPART" localSheetId="5">#REF!</definedName>
    <definedName name="MAINPART" localSheetId="3">#REF!</definedName>
    <definedName name="MAINPART">#REF!</definedName>
    <definedName name="MC" localSheetId="0" hidden="1">{#N/A,#N/A,FALSE,"자재관리";#N/A,#N/A,FALSE,"자재관리";#N/A,#N/A,FALSE,"자재관리"}</definedName>
    <definedName name="MC" localSheetId="2" hidden="1">{#N/A,#N/A,FALSE,"자재관리";#N/A,#N/A,FALSE,"자재관리";#N/A,#N/A,FALSE,"자재관리"}</definedName>
    <definedName name="MC" hidden="1">{#N/A,#N/A,FALSE,"자재관리";#N/A,#N/A,FALSE,"자재관리";#N/A,#N/A,FALSE,"자재관리"}</definedName>
    <definedName name="ME" localSheetId="0">[7]!StartSeller</definedName>
    <definedName name="ME" localSheetId="1">[7]!StartSeller</definedName>
    <definedName name="ME" localSheetId="2">[7]!StartSeller</definedName>
    <definedName name="ME" localSheetId="5">[7]!StartSeller</definedName>
    <definedName name="ME" localSheetId="3">[7]!StartSeller</definedName>
    <definedName name="ME">[7]!StartSeller</definedName>
    <definedName name="Neotech" localSheetId="0" hidden="1">{#N/A,#N/A,FALSE,"자재관리";#N/A,#N/A,FALSE,"자재관리";#N/A,#N/A,FALSE,"자재관리"}</definedName>
    <definedName name="Neotech" localSheetId="2"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2" hidden="1">{#N/A,#N/A,FALSE,"CCTV"}</definedName>
    <definedName name="NEWNAME" hidden="1">{#N/A,#N/A,FALSE,"CCTV"}</definedName>
    <definedName name="OIL" localSheetId="0" hidden="1">{"'용역비'!$A$4:$C$8"}</definedName>
    <definedName name="OIL" localSheetId="2" hidden="1">{"'용역비'!$A$4:$C$8"}</definedName>
    <definedName name="OIL" hidden="1">{"'용역비'!$A$4:$C$8"}</definedName>
    <definedName name="OOOOOO" localSheetId="0" hidden="1">{#N/A,#N/A,FALSE,"자재관리";#N/A,#N/A,FALSE,"자재관리";#N/A,#N/A,FALSE,"자재관리"}</definedName>
    <definedName name="OOOOOO" localSheetId="2" hidden="1">{#N/A,#N/A,FALSE,"자재관리";#N/A,#N/A,FALSE,"자재관리";#N/A,#N/A,FALSE,"자재관리"}</definedName>
    <definedName name="OOOOOO" hidden="1">{#N/A,#N/A,FALSE,"자재관리";#N/A,#N/A,FALSE,"자재관리";#N/A,#N/A,FALSE,"자재관리"}</definedName>
    <definedName name="P" localSheetId="0">[17]내역!#REF!</definedName>
    <definedName name="P" localSheetId="1">[17]내역!#REF!</definedName>
    <definedName name="P" localSheetId="2">[17]내역!#REF!</definedName>
    <definedName name="P" localSheetId="5">[17]내역!#REF!</definedName>
    <definedName name="P" localSheetId="3">[17]내역!#REF!</definedName>
    <definedName name="P">[17]내역!#REF!</definedName>
    <definedName name="PITCH" localSheetId="0">#REF!</definedName>
    <definedName name="PITCH" localSheetId="1">#REF!</definedName>
    <definedName name="PITCH" localSheetId="2">#REF!</definedName>
    <definedName name="PITCH" localSheetId="5">#REF!</definedName>
    <definedName name="PITCH" localSheetId="3">#REF!</definedName>
    <definedName name="PITCH">#REF!</definedName>
    <definedName name="ppp" localSheetId="0" hidden="1">#REF!</definedName>
    <definedName name="ppp" localSheetId="2" hidden="1">#REF!</definedName>
    <definedName name="ppp" localSheetId="5" hidden="1">#REF!</definedName>
    <definedName name="ppp" localSheetId="3" hidden="1">#REF!</definedName>
    <definedName name="ppp" hidden="1">#REF!</definedName>
    <definedName name="pppppp" localSheetId="0">'[18]98지급계획'!#REF!</definedName>
    <definedName name="pppppp" localSheetId="1">'[18]98지급계획'!#REF!</definedName>
    <definedName name="pppppp" localSheetId="2">'[18]98지급계획'!#REF!</definedName>
    <definedName name="pppppp" localSheetId="5">'[18]98지급계획'!#REF!</definedName>
    <definedName name="pppppp" localSheetId="3">'[18]98지급계획'!#REF!</definedName>
    <definedName name="pppppp">'[18]98지급계획'!#REF!</definedName>
    <definedName name="PRESS" localSheetId="0" hidden="1">{"'Sheet1'!$E$23","'Sheet1'!$A$3:$H$19","'Sheet1'!$A$1:$H$19"}</definedName>
    <definedName name="PRESS" localSheetId="2" hidden="1">{"'Sheet1'!$E$23","'Sheet1'!$A$3:$H$19","'Sheet1'!$A$1:$H$19"}</definedName>
    <definedName name="PRESS" hidden="1">{"'Sheet1'!$E$23","'Sheet1'!$A$3:$H$19","'Sheet1'!$A$1:$H$19"}</definedName>
    <definedName name="press1" localSheetId="0" hidden="1">{"'Sheet1'!$E$23","'Sheet1'!$A$3:$H$19","'Sheet1'!$A$1:$H$19"}</definedName>
    <definedName name="press1" localSheetId="2" hidden="1">{"'Sheet1'!$E$23","'Sheet1'!$A$3:$H$19","'Sheet1'!$A$1:$H$19"}</definedName>
    <definedName name="press1" hidden="1">{"'Sheet1'!$E$23","'Sheet1'!$A$3:$H$19","'Sheet1'!$A$1:$H$19"}</definedName>
    <definedName name="_xlnm.Print_Area" localSheetId="0">#REF!</definedName>
    <definedName name="_xlnm.Print_Area" localSheetId="1">견적서!$A$1:$G$23</definedName>
    <definedName name="_xlnm.Print_Area" localSheetId="2">#REF!</definedName>
    <definedName name="_xlnm.Print_Area" localSheetId="5">#REF!</definedName>
    <definedName name="_xlnm.Print_Area" localSheetId="3">#REF!</definedName>
    <definedName name="_xlnm.Print_Area">#REF!</definedName>
    <definedName name="Print_Area_MI" localSheetId="0">#REF!</definedName>
    <definedName name="Print_Area_MI" localSheetId="1">#REF!</definedName>
    <definedName name="Print_Area_MI" localSheetId="2">#REF!</definedName>
    <definedName name="Print_Area_MI" localSheetId="5">#REF!</definedName>
    <definedName name="Print_Area_MI" localSheetId="3">#REF!</definedName>
    <definedName name="Print_Area_MI">#REF!</definedName>
    <definedName name="PRINT_AREA_MI1" localSheetId="0">#REF!</definedName>
    <definedName name="PRINT_AREA_MI1" localSheetId="1">#REF!</definedName>
    <definedName name="PRINT_AREA_MI1" localSheetId="2">#REF!</definedName>
    <definedName name="PRINT_AREA_MI1" localSheetId="5">#REF!</definedName>
    <definedName name="PRINT_AREA_MI1" localSheetId="3">#REF!</definedName>
    <definedName name="PRINT_AREA_MI1">#REF!</definedName>
    <definedName name="PRINT_TITLE" localSheetId="0">'[19]화재 탐지 설비'!#REF!</definedName>
    <definedName name="PRINT_TITLE" localSheetId="1">'[19]화재 탐지 설비'!#REF!</definedName>
    <definedName name="PRINT_TITLE" localSheetId="2">'[19]화재 탐지 설비'!#REF!</definedName>
    <definedName name="PRINT_TITLE" localSheetId="5">'[19]화재 탐지 설비'!#REF!</definedName>
    <definedName name="PRINT_TITLE" localSheetId="3">'[19]화재 탐지 설비'!#REF!</definedName>
    <definedName name="PRINT_TITLE">'[19]화재 탐지 설비'!#REF!</definedName>
    <definedName name="_xlnm.Print_Titles" localSheetId="0">#REF!</definedName>
    <definedName name="_xlnm.Print_Titles" localSheetId="2">#REF!</definedName>
    <definedName name="_xlnm.Print_Titles" localSheetId="5">#REF!</definedName>
    <definedName name="_xlnm.Print_Titles" localSheetId="3">#REF!</definedName>
    <definedName name="_xlnm.Print_Titles">#REF!</definedName>
    <definedName name="PRINT_TITLES_MI" localSheetId="0">[20]예산서!#REF!</definedName>
    <definedName name="PRINT_TITLES_MI" localSheetId="1">[20]예산서!#REF!</definedName>
    <definedName name="PRINT_TITLES_MI" localSheetId="2">[20]예산서!#REF!</definedName>
    <definedName name="PRINT_TITLES_MI" localSheetId="5">[20]예산서!#REF!</definedName>
    <definedName name="PRINT_TITLES_MI" localSheetId="3">[20]예산서!#REF!</definedName>
    <definedName name="PRINT_TITLES_MI">[20]예산서!#REF!</definedName>
    <definedName name="Printed_Titles" localSheetId="0">#REF!</definedName>
    <definedName name="Printed_Titles" localSheetId="1">#REF!</definedName>
    <definedName name="Printed_Titles" localSheetId="2">#REF!</definedName>
    <definedName name="Printed_Titles" localSheetId="5">#REF!</definedName>
    <definedName name="Printed_Titles" localSheetId="3">#REF!</definedName>
    <definedName name="Printed_Titles">#REF!</definedName>
    <definedName name="Q" localSheetId="0" hidden="1">{#N/A,#N/A,FALSE,"자재관리";#N/A,#N/A,FALSE,"자재관리";#N/A,#N/A,FALSE,"자재관리"}</definedName>
    <definedName name="Q" localSheetId="2" hidden="1">{#N/A,#N/A,FALSE,"자재관리";#N/A,#N/A,FALSE,"자재관리";#N/A,#N/A,FALSE,"자재관리"}</definedName>
    <definedName name="Q" hidden="1">{#N/A,#N/A,FALSE,"자재관리";#N/A,#N/A,FALSE,"자재관리";#N/A,#N/A,FALSE,"자재관리"}</definedName>
    <definedName name="q234562456" localSheetId="0" hidden="1">{"'용역비'!$A$4:$C$8"}</definedName>
    <definedName name="q234562456" localSheetId="2" hidden="1">{"'용역비'!$A$4:$C$8"}</definedName>
    <definedName name="q234562456" hidden="1">{"'용역비'!$A$4:$C$8"}</definedName>
    <definedName name="QA" localSheetId="0" hidden="1">{"'용역비'!$A$4:$C$8"}</definedName>
    <definedName name="QA" localSheetId="2" hidden="1">{"'용역비'!$A$4:$C$8"}</definedName>
    <definedName name="QA" hidden="1">{"'용역비'!$A$4:$C$8"}</definedName>
    <definedName name="qq" localSheetId="0" hidden="1">{#N/A,#N/A,FALSE,"손익표지";#N/A,#N/A,FALSE,"손익계산";#N/A,#N/A,FALSE,"일반관리비";#N/A,#N/A,FALSE,"영업외수익";#N/A,#N/A,FALSE,"영업외비용";#N/A,#N/A,FALSE,"매출액";#N/A,#N/A,FALSE,"요약손익";#N/A,#N/A,FALSE,"요약대차";#N/A,#N/A,FALSE,"매출채권현황";#N/A,#N/A,FALSE,"매출채권명세"}</definedName>
    <definedName name="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 hidden="1">{#N/A,#N/A,FALSE,"손익표지";#N/A,#N/A,FALSE,"손익계산";#N/A,#N/A,FALSE,"일반관리비";#N/A,#N/A,FALSE,"영업외수익";#N/A,#N/A,FALSE,"영업외비용";#N/A,#N/A,FALSE,"매출액";#N/A,#N/A,FALSE,"요약손익";#N/A,#N/A,FALSE,"요약대차";#N/A,#N/A,FALSE,"매출채권현황";#N/A,#N/A,FALSE,"매출채권명세"}</definedName>
    <definedName name="qqq" localSheetId="0" hidden="1">{#N/A,#N/A,FALSE,"손익표지";#N/A,#N/A,FALSE,"손익계산";#N/A,#N/A,FALSE,"일반관리비";#N/A,#N/A,FALSE,"영업외수익";#N/A,#N/A,FALSE,"영업외비용";#N/A,#N/A,FALSE,"매출액";#N/A,#N/A,FALSE,"요약손익";#N/A,#N/A,FALSE,"요약대차";#N/A,#N/A,FALSE,"매출채권현황";#N/A,#N/A,FALSE,"매출채권명세"}</definedName>
    <definedName name="qqq" localSheetId="2" hidden="1">{#N/A,#N/A,FALSE,"손익표지";#N/A,#N/A,FALSE,"손익계산";#N/A,#N/A,FALSE,"일반관리비";#N/A,#N/A,FALSE,"영업외수익";#N/A,#N/A,FALSE,"영업외비용";#N/A,#N/A,FALSE,"매출액";#N/A,#N/A,FALSE,"요약손익";#N/A,#N/A,FALSE,"요약대차";#N/A,#N/A,FALSE,"매출채권현황";#N/A,#N/A,FALSE,"매출채권명세"}</definedName>
    <definedName name="qqq" hidden="1">{#N/A,#N/A,FALSE,"손익표지";#N/A,#N/A,FALSE,"손익계산";#N/A,#N/A,FALSE,"일반관리비";#N/A,#N/A,FALSE,"영업외수익";#N/A,#N/A,FALSE,"영업외비용";#N/A,#N/A,FALSE,"매출액";#N/A,#N/A,FALSE,"요약손익";#N/A,#N/A,FALSE,"요약대차";#N/A,#N/A,FALSE,"매출채권현황";#N/A,#N/A,FALSE,"매출채권명세"}</definedName>
    <definedName name="QQQW" localSheetId="0" hidden="1">{#N/A,#N/A,FALSE,"전력간선"}</definedName>
    <definedName name="QQQW" localSheetId="2" hidden="1">{#N/A,#N/A,FALSE,"전력간선"}</definedName>
    <definedName name="QQQW" hidden="1">{#N/A,#N/A,FALSE,"전력간선"}</definedName>
    <definedName name="qyk" localSheetId="0" hidden="1">{"'용역비'!$A$4:$C$8"}</definedName>
    <definedName name="qyk" localSheetId="2" hidden="1">{"'용역비'!$A$4:$C$8"}</definedName>
    <definedName name="qyk" hidden="1">{"'용역비'!$A$4:$C$8"}</definedName>
    <definedName name="rent" localSheetId="0" hidden="1">{#N/A,#N/A,FALSE,"동부"}</definedName>
    <definedName name="rent" localSheetId="2" hidden="1">{#N/A,#N/A,FALSE,"동부"}</definedName>
    <definedName name="rent" hidden="1">{#N/A,#N/A,FALSE,"동부"}</definedName>
    <definedName name="ret" localSheetId="0" hidden="1">{#N/A,#N/A,FALSE,"전력간선"}</definedName>
    <definedName name="ret" localSheetId="2" hidden="1">{#N/A,#N/A,FALSE,"전력간선"}</definedName>
    <definedName name="ret" hidden="1">{#N/A,#N/A,FALSE,"전력간선"}</definedName>
    <definedName name="rewr" localSheetId="0" hidden="1">{#N/A,#N/A,FALSE,"이력서&amp;자기소개서"}</definedName>
    <definedName name="rewr" localSheetId="2" hidden="1">{#N/A,#N/A,FALSE,"이력서&amp;자기소개서"}</definedName>
    <definedName name="rewr" hidden="1">{#N/A,#N/A,FALSE,"이력서&amp;자기소개서"}</definedName>
    <definedName name="RH" localSheetId="0" hidden="1">{"'용역비'!$A$4:$C$8"}</definedName>
    <definedName name="RH" localSheetId="2" hidden="1">{"'용역비'!$A$4:$C$8"}</definedName>
    <definedName name="RH" hidden="1">{"'용역비'!$A$4:$C$8"}</definedName>
    <definedName name="RIRI" localSheetId="0" hidden="1">{#N/A,#N/A,FALSE,"전력간선"}</definedName>
    <definedName name="RIRI" localSheetId="2" hidden="1">{#N/A,#N/A,FALSE,"전력간선"}</definedName>
    <definedName name="RIRI" hidden="1">{#N/A,#N/A,FALSE,"전력간선"}</definedName>
    <definedName name="RT" localSheetId="0">[7]!StartSeller</definedName>
    <definedName name="RT" localSheetId="1">[7]!StartSeller</definedName>
    <definedName name="RT" localSheetId="2">[7]!StartSeller</definedName>
    <definedName name="RT" localSheetId="5">[7]!StartSeller</definedName>
    <definedName name="RT" localSheetId="3">[7]!StartSeller</definedName>
    <definedName name="RT">[7]!StartSeller</definedName>
    <definedName name="RTGH" localSheetId="0" hidden="1">{"'용역비'!$A$4:$C$8"}</definedName>
    <definedName name="RTGH" localSheetId="2" hidden="1">{"'용역비'!$A$4:$C$8"}</definedName>
    <definedName name="RTGH" hidden="1">{"'용역비'!$A$4:$C$8"}</definedName>
    <definedName name="rth" localSheetId="0" hidden="1">{"'용역비'!$A$4:$C$8"}</definedName>
    <definedName name="rth" localSheetId="2" hidden="1">{"'용역비'!$A$4:$C$8"}</definedName>
    <definedName name="rth" hidden="1">{"'용역비'!$A$4:$C$8"}</definedName>
    <definedName name="rthyetyuety" localSheetId="0" hidden="1">{#N/A,#N/A,TRUE,"자재관리";#N/A,#N/A,TRUE,"품질"}</definedName>
    <definedName name="rthyetyuety" localSheetId="2" hidden="1">{#N/A,#N/A,TRUE,"자재관리";#N/A,#N/A,TRUE,"품질"}</definedName>
    <definedName name="rthyetyuety" hidden="1">{#N/A,#N/A,TRUE,"자재관리";#N/A,#N/A,TRUE,"품질"}</definedName>
    <definedName name="RYUIRYU" localSheetId="0" hidden="1">{"'용역비'!$A$4:$C$8"}</definedName>
    <definedName name="RYUIRYU" localSheetId="2" hidden="1">{"'용역비'!$A$4:$C$8"}</definedName>
    <definedName name="RYUIRYU" hidden="1">{"'용역비'!$A$4:$C$8"}</definedName>
    <definedName name="ryuk" localSheetId="0" hidden="1">{"'용역비'!$A$4:$C$8"}</definedName>
    <definedName name="ryuk" localSheetId="2" hidden="1">{"'용역비'!$A$4:$C$8"}</definedName>
    <definedName name="ryuk" hidden="1">{"'용역비'!$A$4:$C$8"}</definedName>
    <definedName name="SAPBEXrevision" hidden="1">5</definedName>
    <definedName name="SAPBEXsysID" hidden="1">"PBW"</definedName>
    <definedName name="SAPBEXwbID" hidden="1">"461MV176AFZ8EMO9X5CXOB1LL"</definedName>
    <definedName name="SD" localSheetId="0" hidden="1">{#N/A,#N/A,FALSE,"자재관리";#N/A,#N/A,FALSE,"자재관리";#N/A,#N/A,FALSE,"자재관리"}</definedName>
    <definedName name="SD" localSheetId="2" hidden="1">{#N/A,#N/A,FALSE,"자재관리";#N/A,#N/A,FALSE,"자재관리";#N/A,#N/A,FALSE,"자재관리"}</definedName>
    <definedName name="SD" hidden="1">{#N/A,#N/A,FALSE,"자재관리";#N/A,#N/A,FALSE,"자재관리";#N/A,#N/A,FALSE,"자재관리"}</definedName>
    <definedName name="sdryhj" localSheetId="0" hidden="1">{"'용역비'!$A$4:$C$8"}</definedName>
    <definedName name="sdryhj" localSheetId="2" hidden="1">{"'용역비'!$A$4:$C$8"}</definedName>
    <definedName name="sdryhj" hidden="1">{"'용역비'!$A$4:$C$8"}</definedName>
    <definedName name="SE" localSheetId="0" hidden="1">{"'용역비'!$A$4:$C$8"}</definedName>
    <definedName name="SE" localSheetId="2" hidden="1">{"'용역비'!$A$4:$C$8"}</definedName>
    <definedName name="SE" hidden="1">{"'용역비'!$A$4:$C$8"}</definedName>
    <definedName name="sencount" hidden="1">1</definedName>
    <definedName name="solver_cvg" hidden="1">0.001</definedName>
    <definedName name="solver_drv" hidden="1">1</definedName>
    <definedName name="solver_est" hidden="1">1</definedName>
    <definedName name="solver_itr" hidden="1">100</definedName>
    <definedName name="solver_lhs1" localSheetId="0" hidden="1">#REF!</definedName>
    <definedName name="solver_lhs1" localSheetId="2" hidden="1">#REF!</definedName>
    <definedName name="solver_lhs1" localSheetId="5" hidden="1">#REF!</definedName>
    <definedName name="solver_lhs1" localSheetId="3" hidden="1">#REF!</definedName>
    <definedName name="solver_lhs1" hidden="1">#REF!</definedName>
    <definedName name="solver_lin" hidden="1">2</definedName>
    <definedName name="solver_neg" hidden="1">2</definedName>
    <definedName name="solver_num" hidden="1">0</definedName>
    <definedName name="solver_nwt" hidden="1">1</definedName>
    <definedName name="solver_pre" hidden="1">0.000001</definedName>
    <definedName name="solver_rel1" hidden="1">1</definedName>
    <definedName name="solver_rhs1" localSheetId="0" hidden="1">#REF!*1.5</definedName>
    <definedName name="solver_rhs1" localSheetId="2" hidden="1">#REF!*1.5</definedName>
    <definedName name="solver_rhs1" localSheetId="5" hidden="1">#REF!*1.5</definedName>
    <definedName name="solver_rhs1" localSheetId="3" hidden="1">#REF!*1.5</definedName>
    <definedName name="solver_rhs1" hidden="1">#REF!*1.5</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rth" localSheetId="0" hidden="1">{"'용역비'!$A$4:$C$8"}</definedName>
    <definedName name="srth" localSheetId="2" hidden="1">{"'용역비'!$A$4:$C$8"}</definedName>
    <definedName name="srth" hidden="1">{"'용역비'!$A$4:$C$8"}</definedName>
    <definedName name="sss" localSheetId="0" hidden="1">{#N/A,#N/A,FALSE,"전력간선"}</definedName>
    <definedName name="sss" localSheetId="2" hidden="1">{#N/A,#N/A,FALSE,"전력간선"}</definedName>
    <definedName name="sss" hidden="1">{#N/A,#N/A,FALSE,"전력간선"}</definedName>
    <definedName name="StartChart" localSheetId="0">[12]!StartChart</definedName>
    <definedName name="StartChart" localSheetId="1">[12]!StartChart</definedName>
    <definedName name="StartChart" localSheetId="2">[12]!StartChart</definedName>
    <definedName name="StartChart" localSheetId="5">[12]!StartChart</definedName>
    <definedName name="StartChart" localSheetId="3">[12]!StartChart</definedName>
    <definedName name="StartChart">[12]!StartChart</definedName>
    <definedName name="StartSeller" localSheetId="0">[12]!StartSeller</definedName>
    <definedName name="StartSeller" localSheetId="1">[12]!StartSeller</definedName>
    <definedName name="StartSeller" localSheetId="2">[12]!StartSeller</definedName>
    <definedName name="StartSeller" localSheetId="5">[12]!StartSeller</definedName>
    <definedName name="StartSeller" localSheetId="3">[12]!StartSeller</definedName>
    <definedName name="StartSeller">[12]!StartSeller</definedName>
    <definedName name="STS" localSheetId="0" hidden="1">{"'용역비'!$A$4:$C$8"}</definedName>
    <definedName name="STS" localSheetId="2" hidden="1">{"'용역비'!$A$4:$C$8"}</definedName>
    <definedName name="STS" hidden="1">{"'용역비'!$A$4:$C$8"}</definedName>
    <definedName name="SubDic" localSheetId="0">#REF!</definedName>
    <definedName name="SubDic" localSheetId="1">#REF!</definedName>
    <definedName name="SubDic" localSheetId="2">#REF!</definedName>
    <definedName name="SubDic" localSheetId="5">#REF!</definedName>
    <definedName name="SubDic" localSheetId="3">#REF!</definedName>
    <definedName name="SubDic">#REF!</definedName>
    <definedName name="S행" localSheetId="0">'[21]2.대외공문'!#REF!</definedName>
    <definedName name="S행" localSheetId="1">'[21]2.대외공문'!#REF!</definedName>
    <definedName name="S행" localSheetId="2">'[21]2.대외공문'!#REF!</definedName>
    <definedName name="S행" localSheetId="5">'[21]2.대외공문'!#REF!</definedName>
    <definedName name="S행" localSheetId="3">'[21]2.대외공문'!#REF!</definedName>
    <definedName name="S행">'[21]2.대외공문'!#REF!</definedName>
    <definedName name="t" localSheetId="0" hidden="1">{#N/A,#N/A,TRUE,"자재관리";#N/A,#N/A,TRUE,"품질"}</definedName>
    <definedName name="t" localSheetId="2" hidden="1">{#N/A,#N/A,TRUE,"자재관리";#N/A,#N/A,TRUE,"품질"}</definedName>
    <definedName name="t" hidden="1">{#N/A,#N/A,TRUE,"자재관리";#N/A,#N/A,TRUE,"품질"}</definedName>
    <definedName name="temp" localSheetId="0">#REF!</definedName>
    <definedName name="temp" localSheetId="1">#REF!</definedName>
    <definedName name="temp" localSheetId="2">#REF!</definedName>
    <definedName name="temp" localSheetId="5">#REF!</definedName>
    <definedName name="temp" localSheetId="3">#REF!</definedName>
    <definedName name="temp">#REF!</definedName>
    <definedName name="TEYJ" localSheetId="0" hidden="1">{"'용역비'!$A$4:$C$8"}</definedName>
    <definedName name="TEYJ" localSheetId="2" hidden="1">{"'용역비'!$A$4:$C$8"}</definedName>
    <definedName name="TEYJ" hidden="1">{"'용역비'!$A$4:$C$8"}</definedName>
    <definedName name="TFUI" localSheetId="0" hidden="1">{"'용역비'!$A$4:$C$8"}</definedName>
    <definedName name="TFUI" localSheetId="2" hidden="1">{"'용역비'!$A$4:$C$8"}</definedName>
    <definedName name="TFUI" hidden="1">{"'용역비'!$A$4:$C$8"}</definedName>
    <definedName name="TITLE" localSheetId="0">#REF!</definedName>
    <definedName name="TITLE" localSheetId="1">#REF!</definedName>
    <definedName name="TITLE" localSheetId="2">#REF!</definedName>
    <definedName name="TITLE" localSheetId="5">#REF!</definedName>
    <definedName name="TITLE" localSheetId="3">#REF!</definedName>
    <definedName name="TITLE">#REF!</definedName>
    <definedName name="tlf" localSheetId="0" hidden="1">#REF!</definedName>
    <definedName name="tlf" localSheetId="2" hidden="1">#REF!</definedName>
    <definedName name="tlf" localSheetId="5" hidden="1">#REF!</definedName>
    <definedName name="tlf" localSheetId="3" hidden="1">#REF!</definedName>
    <definedName name="tlf" hidden="1">#REF!</definedName>
    <definedName name="TOPMENU" localSheetId="0">#REF!</definedName>
    <definedName name="TOPMENU" localSheetId="1">#REF!</definedName>
    <definedName name="TOPMENU" localSheetId="2">#REF!</definedName>
    <definedName name="TOPMENU" localSheetId="5">#REF!</definedName>
    <definedName name="TOPMENU" localSheetId="3">#REF!</definedName>
    <definedName name="TOPMENU">#REF!</definedName>
    <definedName name="trunc" localSheetId="0">#REF!</definedName>
    <definedName name="trunc" localSheetId="1">#REF!</definedName>
    <definedName name="trunc" localSheetId="2">#REF!</definedName>
    <definedName name="trunc" localSheetId="5">#REF!</definedName>
    <definedName name="trunc" localSheetId="3">#REF!</definedName>
    <definedName name="trunc">#REF!</definedName>
    <definedName name="tu" localSheetId="0" hidden="1">{"'용역비'!$A$4:$C$8"}</definedName>
    <definedName name="tu" localSheetId="2" hidden="1">{"'용역비'!$A$4:$C$8"}</definedName>
    <definedName name="tu" hidden="1">{"'용역비'!$A$4:$C$8"}</definedName>
    <definedName name="tuilol" localSheetId="0" hidden="1">{"'용역비'!$A$4:$C$8"}</definedName>
    <definedName name="tuilol" localSheetId="2" hidden="1">{"'용역비'!$A$4:$C$8"}</definedName>
    <definedName name="tuilol" hidden="1">{"'용역비'!$A$4:$C$8"}</definedName>
    <definedName name="TUIO" localSheetId="0" hidden="1">{"'용역비'!$A$4:$C$8"}</definedName>
    <definedName name="TUIO" localSheetId="2" hidden="1">{"'용역비'!$A$4:$C$8"}</definedName>
    <definedName name="TUIO" hidden="1">{"'용역비'!$A$4:$C$8"}</definedName>
    <definedName name="TUIO.L" localSheetId="0" hidden="1">{"'용역비'!$A$4:$C$8"}</definedName>
    <definedName name="TUIO.L" localSheetId="2" hidden="1">{"'용역비'!$A$4:$C$8"}</definedName>
    <definedName name="TUIO.L" hidden="1">{"'용역비'!$A$4:$C$8"}</definedName>
    <definedName name="TUIOTUI" localSheetId="0" hidden="1">{"'용역비'!$A$4:$C$8"}</definedName>
    <definedName name="TUIOTUI" localSheetId="2" hidden="1">{"'용역비'!$A$4:$C$8"}</definedName>
    <definedName name="TUIOTUI" hidden="1">{"'용역비'!$A$4:$C$8"}</definedName>
    <definedName name="tyje" localSheetId="0" hidden="1">{"'용역비'!$A$4:$C$8"}</definedName>
    <definedName name="tyje" localSheetId="2" hidden="1">{"'용역비'!$A$4:$C$8"}</definedName>
    <definedName name="tyje" hidden="1">{"'용역비'!$A$4:$C$8"}</definedName>
    <definedName name="tyjet" localSheetId="0" hidden="1">{"'용역비'!$A$4:$C$8"}</definedName>
    <definedName name="tyjet" localSheetId="2" hidden="1">{"'용역비'!$A$4:$C$8"}</definedName>
    <definedName name="tyjet" hidden="1">{"'용역비'!$A$4:$C$8"}</definedName>
    <definedName name="U" localSheetId="0" hidden="1">{"'용역비'!$A$4:$C$8"}</definedName>
    <definedName name="U" localSheetId="2" hidden="1">{"'용역비'!$A$4:$C$8"}</definedName>
    <definedName name="U" hidden="1">{"'용역비'!$A$4:$C$8"}</definedName>
    <definedName name="ulo" localSheetId="0" hidden="1">{"'용역비'!$A$4:$C$8"}</definedName>
    <definedName name="ulo" localSheetId="2" hidden="1">{"'용역비'!$A$4:$C$8"}</definedName>
    <definedName name="ulo" hidden="1">{"'용역비'!$A$4:$C$8"}</definedName>
    <definedName name="UTI" localSheetId="0" hidden="1">{"'용역비'!$A$4:$C$8"}</definedName>
    <definedName name="UTI" localSheetId="2" hidden="1">{"'용역비'!$A$4:$C$8"}</definedName>
    <definedName name="UTI" hidden="1">{"'용역비'!$A$4:$C$8"}</definedName>
    <definedName name="UTIOL" localSheetId="0" hidden="1">{"'용역비'!$A$4:$C$8"}</definedName>
    <definedName name="UTIOL" localSheetId="2" hidden="1">{"'용역비'!$A$4:$C$8"}</definedName>
    <definedName name="UTIOL" hidden="1">{"'용역비'!$A$4:$C$8"}</definedName>
    <definedName name="uwehdiueih" localSheetId="0" hidden="1">{#N/A,#N/A,FALSE,"자재관리";#N/A,#N/A,FALSE,"자재관리";#N/A,#N/A,FALSE,"자재관리"}</definedName>
    <definedName name="uwehdiueih" localSheetId="2" hidden="1">{#N/A,#N/A,FALSE,"자재관리";#N/A,#N/A,FALSE,"자재관리";#N/A,#N/A,FALSE,"자재관리"}</definedName>
    <definedName name="uwehdiueih" hidden="1">{#N/A,#N/A,FALSE,"자재관리";#N/A,#N/A,FALSE,"자재관리";#N/A,#N/A,FALSE,"자재관리"}</definedName>
    <definedName name="U행" localSheetId="0">'[21]2.대외공문'!#REF!</definedName>
    <definedName name="U행" localSheetId="1">'[21]2.대외공문'!#REF!</definedName>
    <definedName name="U행" localSheetId="2">'[21]2.대외공문'!#REF!</definedName>
    <definedName name="U행" localSheetId="5">'[21]2.대외공문'!#REF!</definedName>
    <definedName name="U행" localSheetId="3">'[21]2.대외공문'!#REF!</definedName>
    <definedName name="U행">'[21]2.대외공문'!#REF!</definedName>
    <definedName name="WRITE" localSheetId="0" hidden="1">{#N/A,#N/A,FALSE,"CCTV"}</definedName>
    <definedName name="WRITE" localSheetId="2"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2" hidden="1">{#N/A,#N/A,FALSE,"자재관리";#N/A,#N/A,FALSE,"자재관리";#N/A,#N/A,FALSE,"자재관리"}</definedName>
    <definedName name="wrn.6월._.자재관리._.현황." hidden="1">{#N/A,#N/A,FALSE,"자재관리";#N/A,#N/A,FALSE,"자재관리";#N/A,#N/A,FALSE,"자재관리"}</definedName>
    <definedName name="wrn.97년._.9월._.임차현황." localSheetId="0" hidden="1">{#N/A,#N/A,FALSE,"동부"}</definedName>
    <definedName name="wrn.97년._.9월._.임차현황." localSheetId="2" hidden="1">{#N/A,#N/A,FALSE,"동부"}</definedName>
    <definedName name="wrn.97년._.9월._.임차현황." hidden="1">{#N/A,#N/A,FALSE,"동부"}</definedName>
    <definedName name="wrn.97년._.투자계획." localSheetId="0" hidden="1">{#N/A,#N/A,FALSE,"97년 투자계획 세부내역 "}</definedName>
    <definedName name="wrn.97년._.투자계획." localSheetId="2" hidden="1">{#N/A,#N/A,FALSE,"97년 투자계획 세부내역 "}</definedName>
    <definedName name="wrn.97년._.투자계획." hidden="1">{#N/A,#N/A,FALSE,"97년 투자계획 세부내역 "}</definedName>
    <definedName name="wrn.aa." localSheetId="0" hidden="1">{#N/A,#N/A,FALSE,"UNIT";#N/A,#N/A,FALSE,"UNIT";#N/A,#N/A,FALSE,"계정"}</definedName>
    <definedName name="wrn.aa." localSheetId="2" hidden="1">{#N/A,#N/A,FALSE,"UNIT";#N/A,#N/A,FALSE,"UNIT";#N/A,#N/A,FALSE,"계정"}</definedName>
    <definedName name="wrn.aa." hidden="1">{#N/A,#N/A,FALSE,"UNIT";#N/A,#N/A,FALSE,"UNIT";#N/A,#N/A,FALSE,"계정"}</definedName>
    <definedName name="wrn.ac30prn." localSheetId="0"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2" hidden="1">{#N/A,#N/A,FALSE,"CCTV"}</definedName>
    <definedName name="wrn.BM." hidden="1">{#N/A,#N/A,FALSE,"CCTV"}</definedName>
    <definedName name="wrn.CAPA." localSheetId="0" hidden="1">{#N/A,#N/A,FALSE,"상재GS";#N/A,#N/A,FALSE,"상재GM";#N/A,#N/A,FALSE,"건재";#N/A,#N/A,FALSE,"SBR";#N/A,#N/A,FALSE,"부품";#N/A,#N/A,FALSE,"기능자재";#N/A,#N/A,FALSE,"특수"}</definedName>
    <definedName name="wrn.CAPA." localSheetId="2" hidden="1">{#N/A,#N/A,FALSE,"상재GS";#N/A,#N/A,FALSE,"상재GM";#N/A,#N/A,FALSE,"건재";#N/A,#N/A,FALSE,"SBR";#N/A,#N/A,FALSE,"부품";#N/A,#N/A,FALSE,"기능자재";#N/A,#N/A,FALSE,"특수"}</definedName>
    <definedName name="wrn.CAPA." hidden="1">{#N/A,#N/A,FALSE,"상재GS";#N/A,#N/A,FALSE,"상재GM";#N/A,#N/A,FALSE,"건재";#N/A,#N/A,FALSE,"SBR";#N/A,#N/A,FALSE,"부품";#N/A,#N/A,FALSE,"기능자재";#N/A,#N/A,FALSE,"특수"}</definedName>
    <definedName name="wrn.CAPA2." localSheetId="0" hidden="1">{#N/A,#N/A,FALSE,"보고";#N/A,#N/A,FALSE,"유첨"}</definedName>
    <definedName name="wrn.CAPA2." localSheetId="2" hidden="1">{#N/A,#N/A,FALSE,"보고";#N/A,#N/A,FALSE,"유첨"}</definedName>
    <definedName name="wrn.CAPA2." hidden="1">{#N/A,#N/A,FALSE,"보고";#N/A,#N/A,FALSE,"유첨"}</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견적." localSheetId="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wrn.견적." localSheetId="2"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wrn.견적."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wrn.고희석." localSheetId="0" hidden="1">{#N/A,#N/A,FALSE,"교리2"}</definedName>
    <definedName name="wrn.고희석." localSheetId="2" hidden="1">{#N/A,#N/A,FALSE,"교리2"}</definedName>
    <definedName name="wrn.고희석." hidden="1">{#N/A,#N/A,FALSE,"교리2"}</definedName>
    <definedName name="wrn.교육청." localSheetId="0" hidden="1">{#N/A,#N/A,FALSE,"전력간선"}</definedName>
    <definedName name="wrn.교육청." localSheetId="2" hidden="1">{#N/A,#N/A,FALSE,"전력간선"}</definedName>
    <definedName name="wrn.교육청." hidden="1">{#N/A,#N/A,FALSE,"전력간선"}</definedName>
    <definedName name="wrn.기성." localSheetId="0" hidden="1">{#N/A,#N/A,FALSE,"신청통보";#N/A,#N/A,FALSE,"기성확인서";#N/A,#N/A,FALSE,"기성내역서"}</definedName>
    <definedName name="wrn.기성." localSheetId="2"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hidden="1">{#N/A,#N/A,FALSE,"터빈집계";#N/A,#N/A,FALSE,"터빈내역";#N/A,#N/A,FALSE,"보일러집계";#N/A,#N/A,FALSE,"보일러내역"}</definedName>
    <definedName name="wrn.대차._.대조표." localSheetId="0" hidden="1">{#N/A,#N/A,TRUE,"대 차 대 조 표"}</definedName>
    <definedName name="wrn.대차._.대조표." localSheetId="2" hidden="1">{#N/A,#N/A,TRUE,"대 차 대 조 표"}</definedName>
    <definedName name="wrn.대차._.대조표." hidden="1">{#N/A,#N/A,TRUE,"대 차 대 조 표"}</definedName>
    <definedName name="wrn.보고서." localSheetId="0" hidden="1">{#N/A,#N/A,TRUE,"자재관리";#N/A,#N/A,TRUE,"품질"}</definedName>
    <definedName name="wrn.보고서." localSheetId="2"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localSheetId="0"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hidden="1">{#N/A,#N/A,FALSE,"도급대비시행율";#N/A,#N/A,FALSE,"결의서";#N/A,#N/A,FALSE,"내역서";#N/A,#N/A,FALSE,"도급예상"}</definedName>
    <definedName name="wrn.신용찬." localSheetId="0" hidden="1">{#N/A,#N/A,TRUE,"토적및재료집계";#N/A,#N/A,TRUE,"토적및재료집계";#N/A,#N/A,TRUE,"단위량"}</definedName>
    <definedName name="wrn.신용찬." localSheetId="2" hidden="1">{#N/A,#N/A,TRUE,"토적및재료집계";#N/A,#N/A,TRUE,"토적및재료집계";#N/A,#N/A,TRUE,"단위량"}</definedName>
    <definedName name="wrn.신용찬." hidden="1">{#N/A,#N/A,TRUE,"토적및재료집계";#N/A,#N/A,TRUE,"토적및재료집계";#N/A,#N/A,TRUE,"단위량"}</definedName>
    <definedName name="wrn.외주기성." localSheetId="0" hidden="1">{#N/A,#N/A,FALSE,"신청통보";#N/A,#N/A,FALSE,"기성확인서";#N/A,#N/A,FALSE,"기성내역서"}</definedName>
    <definedName name="wrn.외주기성." localSheetId="2" hidden="1">{#N/A,#N/A,FALSE,"신청통보";#N/A,#N/A,FALSE,"기성확인서";#N/A,#N/A,FALSE,"기성내역서"}</definedName>
    <definedName name="wrn.외주기성." hidden="1">{#N/A,#N/A,FALSE,"신청통보";#N/A,#N/A,FALSE,"기성확인서";#N/A,#N/A,FALSE,"기성내역서"}</definedName>
    <definedName name="wrn.월보." localSheetId="0" hidden="1">{#N/A,#N/A,FALSE,"표지";#N/A,#N/A,FALSE,"생산현황";#N/A,#N/A,FALSE,"중량수율";#N/A,#N/A,FALSE,"길이수율";#N/A,#N/A,FALSE,"노동";#N/A,#N/A,FALSE,"기기";#N/A,#N/A,FALSE,"기기가동(누계)";#N/A,#N/A,FALSE,"자소원료"}</definedName>
    <definedName name="wrn.월보." localSheetId="2" hidden="1">{#N/A,#N/A,FALSE,"표지";#N/A,#N/A,FALSE,"생산현황";#N/A,#N/A,FALSE,"중량수율";#N/A,#N/A,FALSE,"길이수율";#N/A,#N/A,FALSE,"노동";#N/A,#N/A,FALSE,"기기";#N/A,#N/A,FALSE,"기기가동(누계)";#N/A,#N/A,FALSE,"자소원료"}</definedName>
    <definedName name="wrn.월보." hidden="1">{#N/A,#N/A,FALSE,"표지";#N/A,#N/A,FALSE,"생산현황";#N/A,#N/A,FALSE,"중량수율";#N/A,#N/A,FALSE,"길이수율";#N/A,#N/A,FALSE,"노동";#N/A,#N/A,FALSE,"기기";#N/A,#N/A,FALSE,"기기가동(누계)";#N/A,#N/A,FALSE,"자소원료"}</definedName>
    <definedName name="wrn.이력서._.자기소개서." localSheetId="0" hidden="1">{#N/A,#N/A,FALSE,"이력서&amp;자기소개서"}</definedName>
    <definedName name="wrn.이력서._.자기소개서." localSheetId="2" hidden="1">{#N/A,#N/A,FALSE,"이력서&amp;자기소개서"}</definedName>
    <definedName name="wrn.이력서._.자기소개서." hidden="1">{#N/A,#N/A,FALSE,"이력서&amp;자기소개서"}</definedName>
    <definedName name="wrty" localSheetId="0" hidden="1">{"'용역비'!$A$4:$C$8"}</definedName>
    <definedName name="wrty" localSheetId="2" hidden="1">{"'용역비'!$A$4:$C$8"}</definedName>
    <definedName name="wrty" hidden="1">{"'용역비'!$A$4:$C$8"}</definedName>
    <definedName name="wrtyrtyrt" localSheetId="0" hidden="1">{"'용역비'!$A$4:$C$8"}</definedName>
    <definedName name="wrtyrtyrt" localSheetId="2" hidden="1">{"'용역비'!$A$4:$C$8"}</definedName>
    <definedName name="wrtyrtyrt" hidden="1">{"'용역비'!$A$4:$C$8"}</definedName>
    <definedName name="wrtywrtywr" localSheetId="0" hidden="1">{"'용역비'!$A$4:$C$8"}</definedName>
    <definedName name="wrtywrtywr" localSheetId="2" hidden="1">{"'용역비'!$A$4:$C$8"}</definedName>
    <definedName name="wrtywrtywr" hidden="1">{"'용역비'!$A$4:$C$8"}</definedName>
    <definedName name="wuy" localSheetId="0" hidden="1">{"'용역비'!$A$4:$C$8"}</definedName>
    <definedName name="wuy" localSheetId="2" hidden="1">{"'용역비'!$A$4:$C$8"}</definedName>
    <definedName name="wuy" hidden="1">{"'용역비'!$A$4:$C$8"}</definedName>
    <definedName name="wwww" localSheetId="0" hidden="1">{#N/A,#N/A,FALSE,"손익표지";#N/A,#N/A,FALSE,"손익계산";#N/A,#N/A,FALSE,"일반관리비";#N/A,#N/A,FALSE,"영업외수익";#N/A,#N/A,FALSE,"영업외비용";#N/A,#N/A,FALSE,"매출액";#N/A,#N/A,FALSE,"요약손익";#N/A,#N/A,FALSE,"요약대차";#N/A,#N/A,FALSE,"매출채권현황";#N/A,#N/A,FALSE,"매출채권명세"}</definedName>
    <definedName name="www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www" hidden="1">{#N/A,#N/A,FALSE,"손익표지";#N/A,#N/A,FALSE,"손익계산";#N/A,#N/A,FALSE,"일반관리비";#N/A,#N/A,FALSE,"영업외수익";#N/A,#N/A,FALSE,"영업외비용";#N/A,#N/A,FALSE,"매출액";#N/A,#N/A,FALSE,"요약손익";#N/A,#N/A,FALSE,"요약대차";#N/A,#N/A,FALSE,"매출채권현황";#N/A,#N/A,FALSE,"매출채권명세"}</definedName>
    <definedName name="W행" localSheetId="0">#REF!</definedName>
    <definedName name="W행" localSheetId="1">#REF!</definedName>
    <definedName name="W행" localSheetId="2">#REF!</definedName>
    <definedName name="W행" localSheetId="5">#REF!</definedName>
    <definedName name="W행" localSheetId="3">#REF!</definedName>
    <definedName name="W행">#REF!</definedName>
    <definedName name="X" localSheetId="0" hidden="1">{#N/A,#N/A,TRUE,"자재관리";#N/A,#N/A,TRUE,"품질"}</definedName>
    <definedName name="X" localSheetId="2" hidden="1">{#N/A,#N/A,TRUE,"자재관리";#N/A,#N/A,TRUE,"품질"}</definedName>
    <definedName name="X" hidden="1">{#N/A,#N/A,TRUE,"자재관리";#N/A,#N/A,TRUE,"품질"}</definedName>
    <definedName name="y" localSheetId="0" hidden="1">{"'용역비'!$A$4:$C$8"}</definedName>
    <definedName name="y" localSheetId="2" hidden="1">{"'용역비'!$A$4:$C$8"}</definedName>
    <definedName name="y" hidden="1">{"'용역비'!$A$4:$C$8"}</definedName>
    <definedName name="YA" localSheetId="0">[22]약품공급2!#REF!</definedName>
    <definedName name="YA" localSheetId="1">[22]약품공급2!#REF!</definedName>
    <definedName name="YA" localSheetId="2">[22]약품공급2!#REF!</definedName>
    <definedName name="YA" localSheetId="5">[22]약품공급2!#REF!</definedName>
    <definedName name="YA" localSheetId="3">[22]약품공급2!#REF!</definedName>
    <definedName name="YA">[22]약품공급2!#REF!</definedName>
    <definedName name="YFU" localSheetId="0" hidden="1">{"'용역비'!$A$4:$C$8"}</definedName>
    <definedName name="YFU" localSheetId="2" hidden="1">{"'용역비'!$A$4:$C$8"}</definedName>
    <definedName name="YFU" hidden="1">{"'용역비'!$A$4:$C$8"}</definedName>
    <definedName name="YL" localSheetId="0" hidden="1">{"'용역비'!$A$4:$C$8"}</definedName>
    <definedName name="YL" localSheetId="2" hidden="1">{"'용역비'!$A$4:$C$8"}</definedName>
    <definedName name="YL" hidden="1">{"'용역비'!$A$4:$C$8"}</definedName>
    <definedName name="yu" localSheetId="0" hidden="1">{"'용역비'!$A$4:$C$8"}</definedName>
    <definedName name="yu" localSheetId="2" hidden="1">{"'용역비'!$A$4:$C$8"}</definedName>
    <definedName name="yu" hidden="1">{"'용역비'!$A$4:$C$8"}</definedName>
    <definedName name="YUK" localSheetId="0" hidden="1">{"'용역비'!$A$4:$C$8"}</definedName>
    <definedName name="YUK" localSheetId="2" hidden="1">{"'용역비'!$A$4:$C$8"}</definedName>
    <definedName name="YUK" hidden="1">{"'용역비'!$A$4:$C$8"}</definedName>
    <definedName name="YUKOI" localSheetId="0" hidden="1">{"'용역비'!$A$4:$C$8"}</definedName>
    <definedName name="YUKOI" localSheetId="2" hidden="1">{"'용역비'!$A$4:$C$8"}</definedName>
    <definedName name="YUKOI" hidden="1">{"'용역비'!$A$4:$C$8"}</definedName>
    <definedName name="Z_18B7B7A5_CB81_11D4_B8D9_00D0B79CFA38_.wvu.FilterData" localSheetId="0" hidden="1">#REF!</definedName>
    <definedName name="Z_18B7B7A5_CB81_11D4_B8D9_00D0B79CFA38_.wvu.FilterData" localSheetId="2" hidden="1">#REF!</definedName>
    <definedName name="Z_18B7B7A5_CB81_11D4_B8D9_00D0B79CFA38_.wvu.FilterData" localSheetId="5" hidden="1">#REF!</definedName>
    <definedName name="Z_18B7B7A5_CB81_11D4_B8D9_00D0B79CFA38_.wvu.FilterData" localSheetId="3" hidden="1">#REF!</definedName>
    <definedName name="Z_18B7B7A5_CB81_11D4_B8D9_00D0B79CFA38_.wvu.FilterData" hidden="1">#REF!</definedName>
    <definedName name="Z_1E68EE86_CB81_11D4_8D98_0008C73BAB8A_.wvu.FilterData" localSheetId="0" hidden="1">#REF!</definedName>
    <definedName name="Z_1E68EE86_CB81_11D4_8D98_0008C73BAB8A_.wvu.FilterData" localSheetId="2" hidden="1">#REF!</definedName>
    <definedName name="Z_1E68EE86_CB81_11D4_8D98_0008C73BAB8A_.wvu.FilterData" localSheetId="5" hidden="1">#REF!</definedName>
    <definedName name="Z_1E68EE86_CB81_11D4_8D98_0008C73BAB8A_.wvu.FilterData" localSheetId="3" hidden="1">#REF!</definedName>
    <definedName name="Z_1E68EE86_CB81_11D4_8D98_0008C73BAB8A_.wvu.FilterData" hidden="1">#REF!</definedName>
    <definedName name="Z_6C188702_CB61_11D4_8F58_00508BF61DE6_.wvu.FilterData" localSheetId="0" hidden="1">#REF!</definedName>
    <definedName name="Z_6C188702_CB61_11D4_8F58_00508BF61DE6_.wvu.FilterData" localSheetId="2" hidden="1">#REF!</definedName>
    <definedName name="Z_6C188702_CB61_11D4_8F58_00508BF61DE6_.wvu.FilterData" localSheetId="5" hidden="1">#REF!</definedName>
    <definedName name="Z_6C188702_CB61_11D4_8F58_00508BF61DE6_.wvu.FilterData" localSheetId="3" hidden="1">#REF!</definedName>
    <definedName name="Z_6C188702_CB61_11D4_8F58_00508BF61DE6_.wvu.FilterData" hidden="1">#REF!</definedName>
    <definedName name="Z_A56863A1_CC32_11D4_8E20_00D0B79C982E_.wvu.FilterData" localSheetId="0" hidden="1">#REF!</definedName>
    <definedName name="Z_A56863A1_CC32_11D4_8E20_00D0B79C982E_.wvu.FilterData" localSheetId="2" hidden="1">#REF!</definedName>
    <definedName name="Z_A56863A1_CC32_11D4_8E20_00D0B79C982E_.wvu.FilterData" localSheetId="5" hidden="1">#REF!</definedName>
    <definedName name="Z_A56863A1_CC32_11D4_8E20_00D0B79C982E_.wvu.FilterData" localSheetId="3" hidden="1">#REF!</definedName>
    <definedName name="Z_A56863A1_CC32_11D4_8E20_00D0B79C982E_.wvu.FilterData" hidden="1">#REF!</definedName>
    <definedName name="zzz" localSheetId="0" hidden="1">{#N/A,#N/A,FALSE,"이력서&amp;자기소개서"}</definedName>
    <definedName name="zzz" localSheetId="2" hidden="1">{#N/A,#N/A,FALSE,"이력서&amp;자기소개서"}</definedName>
    <definedName name="zzz" hidden="1">{#N/A,#N/A,FALSE,"이력서&amp;자기소개서"}</definedName>
    <definedName name="ㄱㄱ" localSheetId="0" hidden="1">{"'용역비'!$A$4:$C$8"}</definedName>
    <definedName name="ㄱㄱ" localSheetId="2" hidden="1">{"'용역비'!$A$4:$C$8"}</definedName>
    <definedName name="ㄱㄱ" hidden="1">{"'용역비'!$A$4:$C$8"}</definedName>
    <definedName name="ㄱㄱㄱ" localSheetId="0" hidden="1">{"'용역비'!$A$4:$C$8"}</definedName>
    <definedName name="ㄱㄱㄱ" localSheetId="2" hidden="1">{"'용역비'!$A$4:$C$8"}</definedName>
    <definedName name="ㄱㄱㄱ" hidden="1">{"'용역비'!$A$4:$C$8"}</definedName>
    <definedName name="ㄱㄱㄱㄱㄱ" localSheetId="0" hidden="1">{#N/A,#N/A,FALSE,"교리2"}</definedName>
    <definedName name="ㄱㄱㄱㄱㄱ" localSheetId="2" hidden="1">{#N/A,#N/A,FALSE,"교리2"}</definedName>
    <definedName name="ㄱㄱㄱㄱㄱ" hidden="1">{#N/A,#N/A,FALSE,"교리2"}</definedName>
    <definedName name="ㄱㄱㄱㄱㄱㄱ" localSheetId="0" hidden="1">{"'용역비'!$A$4:$C$8"}</definedName>
    <definedName name="ㄱㄱㄱㄱㄱㄱ" localSheetId="2" hidden="1">{"'용역비'!$A$4:$C$8"}</definedName>
    <definedName name="ㄱㄱㄱㄱㄱㄱ" hidden="1">{"'용역비'!$A$4:$C$8"}</definedName>
    <definedName name="ㄱㅎ" localSheetId="0" hidden="1">{"'용역비'!$A$4:$C$8"}</definedName>
    <definedName name="ㄱㅎ" localSheetId="2" hidden="1">{"'용역비'!$A$4:$C$8"}</definedName>
    <definedName name="ㄱㅎ" hidden="1">{"'용역비'!$A$4:$C$8"}</definedName>
    <definedName name="가" localSheetId="0">#REF!</definedName>
    <definedName name="가" localSheetId="1">#REF!</definedName>
    <definedName name="가" localSheetId="2">#REF!</definedName>
    <definedName name="가" localSheetId="5">#REF!</definedName>
    <definedName name="가" localSheetId="3">#REF!</definedName>
    <definedName name="가">#REF!</definedName>
    <definedName name="가감금액비교표" localSheetId="0">[23]!StartSeller</definedName>
    <definedName name="가감금액비교표" localSheetId="1">[23]!StartSeller</definedName>
    <definedName name="가감금액비교표" localSheetId="2">[23]!StartSeller</definedName>
    <definedName name="가감금액비교표" localSheetId="5">[23]!StartSeller</definedName>
    <definedName name="가감금액비교표" localSheetId="3">[23]!StartSeller</definedName>
    <definedName name="가감금액비교표">[23]!StartSeller</definedName>
    <definedName name="간지3" localSheetId="0" hidden="1">{"'용역비'!$A$4:$C$8"}</definedName>
    <definedName name="간지3" localSheetId="2" hidden="1">{"'용역비'!$A$4:$C$8"}</definedName>
    <definedName name="간지3" hidden="1">{"'용역비'!$A$4:$C$8"}</definedName>
    <definedName name="감가" localSheetId="0" hidden="1">{"'2분기예산별'!$B$2:$O$38"}</definedName>
    <definedName name="감가" localSheetId="2" hidden="1">{"'2분기예산별'!$B$2:$O$38"}</definedName>
    <definedName name="감가" hidden="1">{"'2분기예산별'!$B$2:$O$38"}</definedName>
    <definedName name="감가3" localSheetId="0" hidden="1">{"'2분기예산별'!$B$2:$O$38"}</definedName>
    <definedName name="감가3" localSheetId="2" hidden="1">{"'2분기예산별'!$B$2:$O$38"}</definedName>
    <definedName name="감가3" hidden="1">{"'2분기예산별'!$B$2:$O$38"}</definedName>
    <definedName name="감가상각미화" localSheetId="0" hidden="1">{#N/A,#N/A,FALSE,"이력서&amp;자기소개서"}</definedName>
    <definedName name="감가상각미화" localSheetId="2" hidden="1">{#N/A,#N/A,FALSE,"이력서&amp;자기소개서"}</definedName>
    <definedName name="감가상각미화" hidden="1">{#N/A,#N/A,FALSE,"이력서&amp;자기소개서"}</definedName>
    <definedName name="감복만" localSheetId="0" hidden="1">{#N/A,#N/A,FALSE,"교리2"}</definedName>
    <definedName name="감복만" localSheetId="2" hidden="1">{#N/A,#N/A,FALSE,"교리2"}</definedName>
    <definedName name="감복만" hidden="1">{#N/A,#N/A,FALSE,"교리2"}</definedName>
    <definedName name="감승주" localSheetId="0" hidden="1">{#N/A,#N/A,FALSE,"교리2"}</definedName>
    <definedName name="감승주" localSheetId="2" hidden="1">{#N/A,#N/A,FALSE,"교리2"}</definedName>
    <definedName name="감승주" hidden="1">{#N/A,#N/A,FALSE,"교리2"}</definedName>
    <definedName name="갑지" localSheetId="0" hidden="1">[24]내역서!#REF!</definedName>
    <definedName name="갑지" localSheetId="2" hidden="1">[24]내역서!#REF!</definedName>
    <definedName name="갑지" localSheetId="5" hidden="1">[24]내역서!#REF!</definedName>
    <definedName name="갑지" localSheetId="3" hidden="1">[24]내역서!#REF!</definedName>
    <definedName name="갑지" hidden="1">[24]내역서!#REF!</definedName>
    <definedName name="강남" localSheetId="0" hidden="1">{#N/A,#N/A,FALSE,"97년 투자계획 세부내역 "}</definedName>
    <definedName name="강남" localSheetId="2" hidden="1">{#N/A,#N/A,FALSE,"97년 투자계획 세부내역 "}</definedName>
    <definedName name="강남" hidden="1">{#N/A,#N/A,FALSE,"97년 투자계획 세부내역 "}</definedName>
    <definedName name="강북" localSheetId="0" hidden="1">{#N/A,#N/A,FALSE,"97년 투자계획 세부내역 "}</definedName>
    <definedName name="강북" localSheetId="2" hidden="1">{#N/A,#N/A,FALSE,"97년 투자계획 세부내역 "}</definedName>
    <definedName name="강북" hidden="1">{#N/A,#N/A,FALSE,"97년 투자계획 세부내역 "}</definedName>
    <definedName name="강서" localSheetId="0" hidden="1">{#N/A,#N/A,FALSE,"97년 투자계획 세부내역 "}</definedName>
    <definedName name="강서" localSheetId="2" hidden="1">{#N/A,#N/A,FALSE,"97년 투자계획 세부내역 "}</definedName>
    <definedName name="강서" hidden="1">{#N/A,#N/A,FALSE,"97년 투자계획 세부내역 "}</definedName>
    <definedName name="개요_본사" localSheetId="0" hidden="1">{#N/A,#N/A,FALSE,"97년 투자계획 세부내역 "}</definedName>
    <definedName name="개요_본사" localSheetId="2" hidden="1">{#N/A,#N/A,FALSE,"97년 투자계획 세부내역 "}</definedName>
    <definedName name="개요_본사" hidden="1">{#N/A,#N/A,FALSE,"97년 투자계획 세부내역 "}</definedName>
    <definedName name="거" localSheetId="0" hidden="1">{#N/A,#N/A,FALSE,"97년 투자계획 세부내역 "}</definedName>
    <definedName name="거" localSheetId="2" hidden="1">{#N/A,#N/A,FALSE,"97년 투자계획 세부내역 "}</definedName>
    <definedName name="거" hidden="1">{#N/A,#N/A,FALSE,"97년 투자계획 세부내역 "}</definedName>
    <definedName name="건비" localSheetId="0" hidden="1">{"'2분기예산별'!$B$2:$O$38"}</definedName>
    <definedName name="건비" localSheetId="2" hidden="1">{"'2분기예산별'!$B$2:$O$38"}</definedName>
    <definedName name="건비" hidden="1">{"'2분기예산별'!$B$2:$O$38"}</definedName>
    <definedName name="겨격" localSheetId="0" hidden="1">#REF!</definedName>
    <definedName name="겨격" localSheetId="2" hidden="1">#REF!</definedName>
    <definedName name="겨격" localSheetId="5" hidden="1">#REF!</definedName>
    <definedName name="겨격" localSheetId="3" hidden="1">#REF!</definedName>
    <definedName name="겨격" hidden="1">#REF!</definedName>
    <definedName name="견적금액">#N/A</definedName>
    <definedName name="견적금액비교">[25]소비자가!$I$46:$J$1593</definedName>
    <definedName name="견적서" localSheetId="0">[7]!StartSeller</definedName>
    <definedName name="견적서" localSheetId="1">[7]!StartSeller</definedName>
    <definedName name="견적서" localSheetId="2">[7]!StartSeller</definedName>
    <definedName name="견적서" localSheetId="5">[7]!StartSeller</definedName>
    <definedName name="견적서" localSheetId="3">[7]!StartSeller</definedName>
    <definedName name="견적서">[7]!StartSeller</definedName>
    <definedName name="견적서2" localSheetId="0">[7]!견적서2</definedName>
    <definedName name="견적서2" localSheetId="1">[7]!견적서2</definedName>
    <definedName name="견적서2" localSheetId="2">[7]!견적서2</definedName>
    <definedName name="견적서2" localSheetId="5">[7]!견적서2</definedName>
    <definedName name="견적서2" localSheetId="3">[7]!견적서2</definedName>
    <definedName name="견적서2">[7]!견적서2</definedName>
    <definedName name="견적서B" localSheetId="0">[7]!StartSeller</definedName>
    <definedName name="견적서B" localSheetId="1">[7]!StartSeller</definedName>
    <definedName name="견적서B" localSheetId="2">[7]!StartSeller</definedName>
    <definedName name="견적서B" localSheetId="5">[7]!StartSeller</definedName>
    <definedName name="견적서B" localSheetId="3">[7]!StartSeller</definedName>
    <definedName name="견적서B">[7]!StartSeller</definedName>
    <definedName name="견적조건" localSheetId="0" hidden="1">{#N/A,#N/A,FALSE,"CCTV"}</definedName>
    <definedName name="견적조건" localSheetId="2" hidden="1">{#N/A,#N/A,FALSE,"CCTV"}</definedName>
    <definedName name="견적조건" hidden="1">{#N/A,#N/A,FALSE,"CCTV"}</definedName>
    <definedName name="견적조건8" localSheetId="0" hidden="1">{#N/A,#N/A,FALSE,"CCTV"}</definedName>
    <definedName name="견적조건8" localSheetId="2" hidden="1">{#N/A,#N/A,FALSE,"CCTV"}</definedName>
    <definedName name="견적조건8" hidden="1">{#N/A,#N/A,FALSE,"CCTV"}</definedName>
    <definedName name="결제">#N/A</definedName>
    <definedName name="결제금액">#N/A</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비집계" localSheetId="0" hidden="1">{"'용역비'!$A$4:$C$8"}</definedName>
    <definedName name="경비집계" localSheetId="2" hidden="1">{"'용역비'!$A$4:$C$8"}</definedName>
    <definedName name="경비집계" hidden="1">{"'용역비'!$A$4:$C$8"}</definedName>
    <definedName name="경산" localSheetId="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경산" localSheetId="2"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경산"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경수" localSheetId="0" hidden="1">{#N/A,#N/A,FALSE,"도급대비시행율";#N/A,#N/A,FALSE,"결의서";#N/A,#N/A,FALSE,"내역서";#N/A,#N/A,FALSE,"도급예상"}</definedName>
    <definedName name="경수" localSheetId="2"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2" hidden="1">{#N/A,#N/A,FALSE,"자재관리";#N/A,#N/A,FALSE,"자재관리";#N/A,#N/A,FALSE,"자재관리"}</definedName>
    <definedName name="경영목표2" hidden="1">{#N/A,#N/A,FALSE,"자재관리";#N/A,#N/A,FALSE,"자재관리";#N/A,#N/A,FALSE,"자재관리"}</definedName>
    <definedName name="경쟁사동향" localSheetId="0" hidden="1">{#N/A,#N/A,FALSE,"97년 투자계획 세부내역 "}</definedName>
    <definedName name="경쟁사동향" localSheetId="2" hidden="1">{#N/A,#N/A,FALSE,"97년 투자계획 세부내역 "}</definedName>
    <definedName name="경쟁사동향" hidden="1">{#N/A,#N/A,FALSE,"97년 투자계획 세부내역 "}</definedName>
    <definedName name="고" localSheetId="0" hidden="1">{"'통신지'!$A$1:$J$41"}</definedName>
    <definedName name="고" localSheetId="2" hidden="1">{"'통신지'!$A$1:$J$41"}</definedName>
    <definedName name="고" hidden="1">{"'통신지'!$A$1:$J$41"}</definedName>
    <definedName name="고고" localSheetId="0" hidden="1">{"'통신지'!$A$1:$J$41"}</definedName>
    <definedName name="고고" localSheetId="2" hidden="1">{"'통신지'!$A$1:$J$41"}</definedName>
    <definedName name="고고" hidden="1">{"'통신지'!$A$1:$J$41"}</definedName>
    <definedName name="고재석" localSheetId="0" hidden="1">{#N/A,#N/A,FALSE,"97년 투자계획 세부내역 "}</definedName>
    <definedName name="고재석" localSheetId="2" hidden="1">{#N/A,#N/A,FALSE,"97년 투자계획 세부내역 "}</definedName>
    <definedName name="고재석" hidden="1">{#N/A,#N/A,FALSE,"97년 투자계획 세부내역 "}</definedName>
    <definedName name="공간" hidden="1">5</definedName>
    <definedName name="공량">[26]갑지!$I$2</definedName>
    <definedName name="공문" localSheetId="0" hidden="1">{#N/A,#N/A,FALSE,"자재관리";#N/A,#N/A,FALSE,"자재관리";#N/A,#N/A,FALSE,"자재관리"}</definedName>
    <definedName name="공문" localSheetId="2"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2" hidden="1">{#N/A,#N/A,FALSE,"자재관리";#N/A,#N/A,FALSE,"자재관리";#N/A,#N/A,FALSE,"자재관리"}</definedName>
    <definedName name="공문1" hidden="1">{#N/A,#N/A,FALSE,"자재관리";#N/A,#N/A,FALSE,"자재관리";#N/A,#N/A,FALSE,"자재관리"}</definedName>
    <definedName name="공사명__삼성본관_지하주차장_도장공사" localSheetId="0">#REF!</definedName>
    <definedName name="공사명__삼성본관_지하주차장_도장공사" localSheetId="1">#REF!</definedName>
    <definedName name="공사명__삼성본관_지하주차장_도장공사" localSheetId="2">#REF!</definedName>
    <definedName name="공사명__삼성본관_지하주차장_도장공사" localSheetId="5">#REF!</definedName>
    <definedName name="공사명__삼성본관_지하주차장_도장공사" localSheetId="3">#REF!</definedName>
    <definedName name="공사명__삼성본관_지하주차장_도장공사">#REF!</definedName>
    <definedName name="공사잔금">#N/A</definedName>
    <definedName name="공양식" localSheetId="0" hidden="1">{#N/A,#N/A,FALSE,"교리2"}</definedName>
    <definedName name="공양식" localSheetId="2" hidden="1">{#N/A,#N/A,FALSE,"교리2"}</definedName>
    <definedName name="공양식" hidden="1">{#N/A,#N/A,FALSE,"교리2"}</definedName>
    <definedName name="공정표" localSheetId="0">'[15]Customer Databas'!#REF!</definedName>
    <definedName name="공정표" localSheetId="1">'[15]Customer Databas'!#REF!</definedName>
    <definedName name="공정표" localSheetId="2">'[15]Customer Databas'!#REF!</definedName>
    <definedName name="공정표" localSheetId="5">'[15]Customer Databas'!#REF!</definedName>
    <definedName name="공정표" localSheetId="3">'[15]Customer Databas'!#REF!</definedName>
    <definedName name="공정표">'[15]Customer Databas'!#REF!</definedName>
    <definedName name="공종">#N/A</definedName>
    <definedName name="공주2" localSheetId="0" hidden="1">{#N/A,#N/A,FALSE,"동부"}</definedName>
    <definedName name="공주2" localSheetId="2" hidden="1">{#N/A,#N/A,FALSE,"동부"}</definedName>
    <definedName name="공주2" hidden="1">{#N/A,#N/A,FALSE,"동부"}</definedName>
    <definedName name="공지" localSheetId="0">#REF!</definedName>
    <definedName name="공지" localSheetId="1">#REF!</definedName>
    <definedName name="공지" localSheetId="2">#REF!</definedName>
    <definedName name="공지" localSheetId="5">#REF!</definedName>
    <definedName name="공지" localSheetId="3">#REF!</definedName>
    <definedName name="공지">#REF!</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자관" localSheetId="0" hidden="1">{#N/A,#N/A,FALSE,"신청통보";#N/A,#N/A,FALSE,"기성확인서";#N/A,#N/A,FALSE,"기성내역서"}</definedName>
    <definedName name="구자관" localSheetId="2" hidden="1">{#N/A,#N/A,FALSE,"신청통보";#N/A,#N/A,FALSE,"기성확인서";#N/A,#N/A,FALSE,"기성내역서"}</definedName>
    <definedName name="구자관" hidden="1">{#N/A,#N/A,FALSE,"신청통보";#N/A,#N/A,FALSE,"기성확인서";#N/A,#N/A,FALSE,"기성내역서"}</definedName>
    <definedName name="국기원" localSheetId="0">[7]!국기원</definedName>
    <definedName name="국기원" localSheetId="1">[7]!국기원</definedName>
    <definedName name="국기원" localSheetId="2">[7]!국기원</definedName>
    <definedName name="국기원" localSheetId="5">[7]!국기원</definedName>
    <definedName name="국기원" localSheetId="3">[7]!국기원</definedName>
    <definedName name="국기원">[7]!국기원</definedName>
    <definedName name="권대협" localSheetId="0" hidden="1">{#N/A,#N/A,FALSE,"CCTV"}</definedName>
    <definedName name="권대협" localSheetId="2" hidden="1">{#N/A,#N/A,FALSE,"CCTV"}</definedName>
    <definedName name="권대협" hidden="1">{#N/A,#N/A,FALSE,"CCTV"}</definedName>
    <definedName name="규격">#N/A</definedName>
    <definedName name="근무_부서" localSheetId="0">#REF!</definedName>
    <definedName name="근무_부서" localSheetId="1">#REF!</definedName>
    <definedName name="근무_부서" localSheetId="2">#REF!</definedName>
    <definedName name="근무_부서" localSheetId="5">#REF!</definedName>
    <definedName name="근무_부서" localSheetId="3">#REF!</definedName>
    <definedName name="근무_부서">#REF!</definedName>
    <definedName name="글쎄" localSheetId="0" hidden="1">{#N/A,#N/A,FALSE,"97년 투자계획 세부내역 "}</definedName>
    <definedName name="글쎄" localSheetId="2" hidden="1">{#N/A,#N/A,FALSE,"97년 투자계획 세부내역 "}</definedName>
    <definedName name="글쎄" hidden="1">{#N/A,#N/A,FALSE,"97년 투자계획 세부내역 "}</definedName>
    <definedName name="금액" localSheetId="0">#REF!</definedName>
    <definedName name="금액" localSheetId="1">#REF!</definedName>
    <definedName name="금액" localSheetId="2">#REF!</definedName>
    <definedName name="금액" localSheetId="5">#REF!</definedName>
    <definedName name="금액" localSheetId="3">#REF!</definedName>
    <definedName name="금액">#REF!</definedName>
    <definedName name="급여" localSheetId="0">#REF!</definedName>
    <definedName name="급여" localSheetId="1">#REF!</definedName>
    <definedName name="급여" localSheetId="2">#REF!</definedName>
    <definedName name="급여" localSheetId="5">#REF!</definedName>
    <definedName name="급여" localSheetId="3">#REF!</definedName>
    <definedName name="급여">#REF!</definedName>
    <definedName name="기" localSheetId="0" hidden="1">{#N/A,#N/A,TRUE,"자재관리";#N/A,#N/A,TRUE,"품질"}</definedName>
    <definedName name="기" localSheetId="2" hidden="1">{#N/A,#N/A,TRUE,"자재관리";#N/A,#N/A,TRUE,"품질"}</definedName>
    <definedName name="기" hidden="1">{#N/A,#N/A,TRUE,"자재관리";#N/A,#N/A,TRUE,"품질"}</definedName>
    <definedName name="기계단가1" localSheetId="0" hidden="1">{#N/A,#N/A,FALSE,"전력간선"}</definedName>
    <definedName name="기계단가1" localSheetId="2" hidden="1">{#N/A,#N/A,FALSE,"전력간선"}</definedName>
    <definedName name="기계단가1" hidden="1">{#N/A,#N/A,FALSE,"전력간선"}</definedName>
    <definedName name="기성2" localSheetId="0">#REF!</definedName>
    <definedName name="기성2" localSheetId="1">#REF!</definedName>
    <definedName name="기성2" localSheetId="2">#REF!</definedName>
    <definedName name="기성2" localSheetId="5">#REF!</definedName>
    <definedName name="기성2" localSheetId="3">#REF!</definedName>
    <definedName name="기성2">#REF!</definedName>
    <definedName name="기성3" localSheetId="0" hidden="1">{#N/A,#N/A,FALSE,"CCTV"}</definedName>
    <definedName name="기성3" localSheetId="2" hidden="1">{#N/A,#N/A,FALSE,"CCTV"}</definedName>
    <definedName name="기성3" hidden="1">{#N/A,#N/A,FALSE,"CCTV"}</definedName>
    <definedName name="기성갑" localSheetId="0" hidden="1">#REF!</definedName>
    <definedName name="기성갑" localSheetId="2" hidden="1">#REF!</definedName>
    <definedName name="기성갑" localSheetId="5" hidden="1">#REF!</definedName>
    <definedName name="기성갑" localSheetId="3" hidden="1">#REF!</definedName>
    <definedName name="기성갑" hidden="1">#REF!</definedName>
    <definedName name="기술료산출표" localSheetId="0" hidden="1">{"'용역비'!$A$4:$C$8"}</definedName>
    <definedName name="기술료산출표" localSheetId="2" hidden="1">{"'용역비'!$A$4:$C$8"}</definedName>
    <definedName name="기술료산출표" hidden="1">{"'용역비'!$A$4:$C$8"}</definedName>
    <definedName name="기안갑" localSheetId="0">#REF!</definedName>
    <definedName name="기안갑" localSheetId="1">#REF!</definedName>
    <definedName name="기안갑" localSheetId="2">#REF!</definedName>
    <definedName name="기안갑" localSheetId="5">#REF!</definedName>
    <definedName name="기안갑" localSheetId="3">#REF!</definedName>
    <definedName name="기안갑">#REF!</definedName>
    <definedName name="기안을" localSheetId="0">#REF!</definedName>
    <definedName name="기안을" localSheetId="1">#REF!</definedName>
    <definedName name="기안을" localSheetId="2">#REF!</definedName>
    <definedName name="기안을" localSheetId="5">#REF!</definedName>
    <definedName name="기안을" localSheetId="3">#REF!</definedName>
    <definedName name="기안을">#REF!</definedName>
    <definedName name="기전내역" localSheetId="0">[7]!StartSeller</definedName>
    <definedName name="기전내역" localSheetId="1">[7]!StartSeller</definedName>
    <definedName name="기전내역" localSheetId="2">[7]!StartSeller</definedName>
    <definedName name="기전내역" localSheetId="5">[7]!StartSeller</definedName>
    <definedName name="기전내역" localSheetId="3">[7]!StartSeller</definedName>
    <definedName name="기전내역">[7]!StartSeller</definedName>
    <definedName name="기타경비" localSheetId="0" hidden="1">{#N/A,#N/A,TRUE,"토적및재료집계";#N/A,#N/A,TRUE,"토적및재료집계";#N/A,#N/A,TRUE,"단위량"}</definedName>
    <definedName name="기타경비" localSheetId="2" hidden="1">{#N/A,#N/A,TRUE,"토적및재료집계";#N/A,#N/A,TRUE,"토적및재료집계";#N/A,#N/A,TRUE,"단위량"}</definedName>
    <definedName name="기타경비" hidden="1">{#N/A,#N/A,TRUE,"토적및재료집계";#N/A,#N/A,TRUE,"토적및재료집계";#N/A,#N/A,TRUE,"단위량"}</definedName>
    <definedName name="기타세" localSheetId="0">[27]납부서!#REF!</definedName>
    <definedName name="기타세" localSheetId="1">[27]납부서!#REF!</definedName>
    <definedName name="기타세" localSheetId="2">[27]납부서!#REF!</definedName>
    <definedName name="기타세" localSheetId="5">[27]납부서!#REF!</definedName>
    <definedName name="기타세" localSheetId="3">[27]납부서!#REF!</definedName>
    <definedName name="기타세">[27]납부서!#REF!</definedName>
    <definedName name="기타주민세" localSheetId="0">[27]납부서!#REF!</definedName>
    <definedName name="기타주민세" localSheetId="1">[27]납부서!#REF!</definedName>
    <definedName name="기타주민세" localSheetId="2">[27]납부서!#REF!</definedName>
    <definedName name="기타주민세" localSheetId="5">[27]납부서!#REF!</definedName>
    <definedName name="기타주민세" localSheetId="3">[27]납부서!#REF!</definedName>
    <definedName name="기타주민세">[27]납부서!#REF!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2"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 localSheetId="0" hidden="1">{#N/A,#N/A,FALSE,"97년 투자계획 세부내역 "}</definedName>
    <definedName name="김" localSheetId="2" hidden="1">{#N/A,#N/A,FALSE,"97년 투자계획 세부내역 "}</definedName>
    <definedName name="김" hidden="1">{#N/A,#N/A,FALSE,"97년 투자계획 세부내역 "}</definedName>
    <definedName name="김봉만" localSheetId="0" hidden="1">{#N/A,#N/A,FALSE,"교리2"}</definedName>
    <definedName name="김봉만" localSheetId="2" hidden="1">{#N/A,#N/A,FALSE,"교리2"}</definedName>
    <definedName name="김봉만" hidden="1">{#N/A,#N/A,FALSE,"교리2"}</definedName>
    <definedName name="김승주" localSheetId="0" hidden="1">{#N/A,#N/A,FALSE,"교리2"}</definedName>
    <definedName name="김승주" localSheetId="2" hidden="1">{#N/A,#N/A,FALSE,"교리2"}</definedName>
    <definedName name="김승주" hidden="1">{#N/A,#N/A,FALSE,"교리2"}</definedName>
    <definedName name="ㄳㄱ" localSheetId="0" hidden="1">{"'용역비'!$A$4:$C$8"}</definedName>
    <definedName name="ㄳㄱ" localSheetId="2" hidden="1">{"'용역비'!$A$4:$C$8"}</definedName>
    <definedName name="ㄳㄱ" hidden="1">{"'용역비'!$A$4:$C$8"}</definedName>
    <definedName name="ㄳㄳㄳㄳ" localSheetId="0" hidden="1">{"'용역비'!$A$4:$C$8"}</definedName>
    <definedName name="ㄳㄳㄳㄳ" localSheetId="2" hidden="1">{"'용역비'!$A$4:$C$8"}</definedName>
    <definedName name="ㄳㄳㄳㄳ" hidden="1">{"'용역비'!$A$4:$C$8"}</definedName>
    <definedName name="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0" hidden="1">[28]내역서!#REF!</definedName>
    <definedName name="ㄴㄴ" localSheetId="2" hidden="1">[28]내역서!#REF!</definedName>
    <definedName name="ㄴㄴ" localSheetId="5" hidden="1">[28]내역서!#REF!</definedName>
    <definedName name="ㄴㄴ" localSheetId="3" hidden="1">[28]내역서!#REF!</definedName>
    <definedName name="ㄴㄴ" hidden="1">[28]내역서!#REF!</definedName>
    <definedName name="ㄴㄴㄴ" localSheetId="0" hidden="1">{#N/A,#N/A,FALSE,"자재관리";#N/A,#N/A,FALSE,"자재관리";#N/A,#N/A,FALSE,"자재관리"}</definedName>
    <definedName name="ㄴㄴㄴ" localSheetId="2" hidden="1">{#N/A,#N/A,FALSE,"자재관리";#N/A,#N/A,FALSE,"자재관리";#N/A,#N/A,FALSE,"자재관리"}</definedName>
    <definedName name="ㄴㄴㄴ" hidden="1">{#N/A,#N/A,FALSE,"자재관리";#N/A,#N/A,FALSE,"자재관리";#N/A,#N/A,FALSE,"자재관리"}</definedName>
    <definedName name="ㄴㄴㄴㄴㄴ" localSheetId="0" hidden="1">{#N/A,#N/A,TRUE,"자재관리";#N/A,#N/A,TRUE,"품질"}</definedName>
    <definedName name="ㄴㄴㄴㄴㄴ" localSheetId="2" hidden="1">{#N/A,#N/A,TRUE,"자재관리";#N/A,#N/A,TRUE,"품질"}</definedName>
    <definedName name="ㄴㄴㄴㄴㄴ" hidden="1">{#N/A,#N/A,TRUE,"자재관리";#N/A,#N/A,TRUE,"품질"}</definedName>
    <definedName name="ㄴㅁㅁㅁ" localSheetId="0" hidden="1">{#N/A,#N/A,FALSE,"자재관리";#N/A,#N/A,FALSE,"자재관리";#N/A,#N/A,FALSE,"자재관리"}</definedName>
    <definedName name="ㄴㅁㅁㅁ" localSheetId="2" hidden="1">{#N/A,#N/A,FALSE,"자재관리";#N/A,#N/A,FALSE,"자재관리";#N/A,#N/A,FALSE,"자재관리"}</definedName>
    <definedName name="ㄴㅁㅁㅁ" hidden="1">{#N/A,#N/A,FALSE,"자재관리";#N/A,#N/A,FALSE,"자재관리";#N/A,#N/A,FALSE,"자재관리"}</definedName>
    <definedName name="ㄴㅇㄴ" localSheetId="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ㄴㅇㄴ" localSheetId="2"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ㄴㅇㄴ"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ㄴㅇㄹ" localSheetId="0" hidden="1">{"'용역비'!$A$4:$C$8"}</definedName>
    <definedName name="ㄴㅇㄹ" localSheetId="2" hidden="1">{"'용역비'!$A$4:$C$8"}</definedName>
    <definedName name="ㄴㅇㄹ" hidden="1">{"'용역비'!$A$4:$C$8"}</definedName>
    <definedName name="ㄴㅇㄹㅇㄴㄹㅇㄴㄹ" localSheetId="0" hidden="1">{"'용역비'!$A$4:$C$8"}</definedName>
    <definedName name="ㄴㅇㄹㅇㄴㄹㅇㄴㄹ" localSheetId="2" hidden="1">{"'용역비'!$A$4:$C$8"}</definedName>
    <definedName name="ㄴㅇㄹㅇㄴㄹㅇㄴㄹ" hidden="1">{"'용역비'!$A$4:$C$8"}</definedName>
    <definedName name="ㄴㅇㄻㄴㅇㄹ" localSheetId="0" hidden="1">{"'용역비'!$A$4:$C$8"}</definedName>
    <definedName name="ㄴㅇㄻㄴㅇㄹ" localSheetId="2" hidden="1">{"'용역비'!$A$4:$C$8"}</definedName>
    <definedName name="ㄴㅇㄻㄴㅇㄹ" hidden="1">{"'용역비'!$A$4:$C$8"}</definedName>
    <definedName name="ㄴ촘여ㅣㄷ" localSheetId="0">[7]!StartSeller</definedName>
    <definedName name="ㄴ촘여ㅣㄷ" localSheetId="1">[7]!StartSeller</definedName>
    <definedName name="ㄴ촘여ㅣㄷ" localSheetId="2">[7]!StartSeller</definedName>
    <definedName name="ㄴ촘여ㅣㄷ" localSheetId="5">[7]!StartSeller</definedName>
    <definedName name="ㄴ촘여ㅣㄷ" localSheetId="3">[7]!StartSeller</definedName>
    <definedName name="ㄴ촘여ㅣㄷ">[7]!StartSeller</definedName>
    <definedName name="ㄴㅌㄴㅌ" localSheetId="0" hidden="1">{#N/A,#N/A,FALSE,"CCTV"}</definedName>
    <definedName name="ㄴㅌㄴㅌ" localSheetId="2" hidden="1">{#N/A,#N/A,FALSE,"CCTV"}</definedName>
    <definedName name="ㄴㅌㄴㅌ" hidden="1">{#N/A,#N/A,FALSE,"CCTV"}</definedName>
    <definedName name="나" localSheetId="0" hidden="1">{#N/A,#N/A,FALSE,"교리2"}</definedName>
    <definedName name="나" localSheetId="2" hidden="1">{#N/A,#N/A,FALSE,"교리2"}</definedName>
    <definedName name="나" hidden="1">{#N/A,#N/A,FALSE,"교리2"}</definedName>
    <definedName name="나도">[29]내역!$AH$3</definedName>
    <definedName name="내역" localSheetId="0" hidden="1">[2]금융!#REF!</definedName>
    <definedName name="내역" localSheetId="1" hidden="1">[2]금융!#REF!</definedName>
    <definedName name="내역" localSheetId="2" hidden="1">[2]금융!#REF!</definedName>
    <definedName name="내역" localSheetId="5" hidden="1">[2]금융!#REF!</definedName>
    <definedName name="내역" localSheetId="3" hidden="1">[2]금융!#REF!</definedName>
    <definedName name="내역" hidden="1">[2]금융!#REF!</definedName>
    <definedName name="내역1228" localSheetId="0">[7]!StartSeller</definedName>
    <definedName name="내역1228" localSheetId="1">[7]!StartSeller</definedName>
    <definedName name="내역1228" localSheetId="2">[7]!StartSeller</definedName>
    <definedName name="내역1228" localSheetId="5">[7]!StartSeller</definedName>
    <definedName name="내역1228" localSheetId="3">[7]!StartSeller</definedName>
    <definedName name="내역1228">[7]!StartSeller</definedName>
    <definedName name="내역2" localSheetId="0">[7]!StartSeller</definedName>
    <definedName name="내역2" localSheetId="1">[7]!StartSeller</definedName>
    <definedName name="내역2" localSheetId="2">[7]!StartSeller</definedName>
    <definedName name="내역2" localSheetId="5">[7]!StartSeller</definedName>
    <definedName name="내역2" localSheetId="3">[7]!StartSeller</definedName>
    <definedName name="내역2">[7]!StartSeller</definedName>
    <definedName name="내역3" localSheetId="0">[7]!StartSeller</definedName>
    <definedName name="내역3" localSheetId="1">[7]!StartSeller</definedName>
    <definedName name="내역3" localSheetId="2">[7]!StartSeller</definedName>
    <definedName name="내역3" localSheetId="5">[7]!StartSeller</definedName>
    <definedName name="내역3" localSheetId="3">[7]!StartSeller</definedName>
    <definedName name="내역3">[7]!StartSeller</definedName>
    <definedName name="내역3개층" localSheetId="0">[7]!StartChart</definedName>
    <definedName name="내역3개층" localSheetId="1">[7]!StartChart</definedName>
    <definedName name="내역3개층" localSheetId="2">[7]!StartChart</definedName>
    <definedName name="내역3개층" localSheetId="5">[7]!StartChart</definedName>
    <definedName name="내역3개층" localSheetId="3">[7]!StartChart</definedName>
    <definedName name="내역3개층">[7]!StartChart</definedName>
    <definedName name="내역4" localSheetId="0">[7]!StartSeller</definedName>
    <definedName name="내역4" localSheetId="1">[7]!StartSeller</definedName>
    <definedName name="내역4" localSheetId="2">[7]!StartSeller</definedName>
    <definedName name="내역4" localSheetId="5">[7]!StartSeller</definedName>
    <definedName name="내역4" localSheetId="3">[7]!StartSeller</definedName>
    <definedName name="내역4">[7]!StartSeller</definedName>
    <definedName name="내역5" localSheetId="0">[7]!StartSeller</definedName>
    <definedName name="내역5" localSheetId="1">[7]!StartSeller</definedName>
    <definedName name="내역5" localSheetId="2">[7]!StartSeller</definedName>
    <definedName name="내역5" localSheetId="5">[7]!StartSeller</definedName>
    <definedName name="내역5" localSheetId="3">[7]!StartSeller</definedName>
    <definedName name="내역5">[7]!StartSeller</definedName>
    <definedName name="내역서" localSheetId="0">#REF!</definedName>
    <definedName name="내역서" localSheetId="1">#REF!</definedName>
    <definedName name="내역서" localSheetId="2">#REF!</definedName>
    <definedName name="내역서" localSheetId="5">#REF!</definedName>
    <definedName name="내역서" localSheetId="3">#REF!</definedName>
    <definedName name="내역서">#REF!</definedName>
    <definedName name="년간용역비비교" localSheetId="0" hidden="1">{"'용역비'!$A$4:$C$8"}</definedName>
    <definedName name="년간용역비비교" localSheetId="2" hidden="1">{"'용역비'!$A$4:$C$8"}</definedName>
    <definedName name="년간용역비비교" hidden="1">{"'용역비'!$A$4:$C$8"}</definedName>
    <definedName name="노무공량" localSheetId="0">#REF!</definedName>
    <definedName name="노무공량" localSheetId="1">#REF!</definedName>
    <definedName name="노무공량" localSheetId="2">#REF!</definedName>
    <definedName name="노무공량" localSheetId="5">#REF!</definedName>
    <definedName name="노무공량" localSheetId="3">#REF!</definedName>
    <definedName name="노무공량">#REF!</definedName>
    <definedName name="ㄷ" localSheetId="0" hidden="1">{#N/A,#N/A,TRUE,"토적및재료집계";#N/A,#N/A,TRUE,"토적및재료집계";#N/A,#N/A,TRUE,"단위량"}</definedName>
    <definedName name="ㄷ" localSheetId="2" hidden="1">{#N/A,#N/A,TRUE,"토적및재료집계";#N/A,#N/A,TRUE,"토적및재료집계";#N/A,#N/A,TRUE,"단위량"}</definedName>
    <definedName name="ㄷ" hidden="1">{#N/A,#N/A,TRUE,"토적및재료집계";#N/A,#N/A,TRUE,"토적및재료집계";#N/A,#N/A,TRUE,"단위량"}</definedName>
    <definedName name="ㄷ6ㅓ" localSheetId="0" hidden="1">{"'용역비'!$A$4:$C$8"}</definedName>
    <definedName name="ㄷ6ㅓ" localSheetId="2" hidden="1">{"'용역비'!$A$4:$C$8"}</definedName>
    <definedName name="ㄷ6ㅓ" hidden="1">{"'용역비'!$A$4:$C$8"}</definedName>
    <definedName name="ㄷㄱㄷㄱㄷㄱ" localSheetId="0" hidden="1">{"'용역비'!$A$4:$C$8"}</definedName>
    <definedName name="ㄷㄱㄷㄱㄷㄱ" localSheetId="2" hidden="1">{"'용역비'!$A$4:$C$8"}</definedName>
    <definedName name="ㄷㄱㄷㄱㄷㄱ" hidden="1">{"'용역비'!$A$4:$C$8"}</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ㄱㄱ" localSheetId="0" hidden="1">{"'용역비'!$A$4:$C$8"}</definedName>
    <definedName name="ㄷㄷㄱㄱ" localSheetId="2" hidden="1">{"'용역비'!$A$4:$C$8"}</definedName>
    <definedName name="ㄷㄷㄱㄱ" hidden="1">{"'용역비'!$A$4:$C$8"}</definedName>
    <definedName name="ㄷㄷㄷㄷㄷ" localSheetId="0" hidden="1">{#N/A,#N/A,FALSE,"동부"}</definedName>
    <definedName name="ㄷㄷㄷㄷㄷ" localSheetId="2" hidden="1">{#N/A,#N/A,FALSE,"동부"}</definedName>
    <definedName name="ㄷㄷㄷㄷㄷ" hidden="1">{#N/A,#N/A,FALSE,"동부"}</definedName>
    <definedName name="ㄷㄷㄷㄷㅈㅈㅈㅈ" localSheetId="0" hidden="1">{"'통신지'!$A$1:$J$41"}</definedName>
    <definedName name="ㄷㄷㄷㄷㅈㅈㅈㅈ" localSheetId="2" hidden="1">{"'통신지'!$A$1:$J$41"}</definedName>
    <definedName name="ㄷㄷㄷㄷㅈㅈㅈㅈ" hidden="1">{"'통신지'!$A$1:$J$41"}</definedName>
    <definedName name="ㄷㅍㅂ" localSheetId="0" hidden="1">{"'용역비'!$A$4:$C$8"}</definedName>
    <definedName name="ㄷㅍㅂ" localSheetId="2" hidden="1">{"'용역비'!$A$4:$C$8"}</definedName>
    <definedName name="ㄷㅍㅂ" hidden="1">{"'용역비'!$A$4:$C$8"}</definedName>
    <definedName name="단가산출서" localSheetId="0" hidden="1">{#N/A,#N/A,FALSE,"전력간선"}</definedName>
    <definedName name="단가산출서" localSheetId="2" hidden="1">{#N/A,#N/A,FALSE,"전력간선"}</definedName>
    <definedName name="단가산출서" hidden="1">{#N/A,#N/A,FALSE,"전력간선"}</definedName>
    <definedName name="단위">#N/A</definedName>
    <definedName name="대구" localSheetId="0" hidden="1">{#N/A,#N/A,TRUE,"대 차 대 조 표"}</definedName>
    <definedName name="대구" localSheetId="2" hidden="1">{#N/A,#N/A,TRUE,"대 차 대 조 표"}</definedName>
    <definedName name="대구" hidden="1">{#N/A,#N/A,TRUE,"대 차 대 조 표"}</definedName>
    <definedName name="대구200203빌딩별임차현황" localSheetId="0" hidden="1">{#N/A,#N/A,FALSE,"동부"}</definedName>
    <definedName name="대구200203빌딩별임차현황" localSheetId="2" hidden="1">{#N/A,#N/A,FALSE,"동부"}</definedName>
    <definedName name="대구200203빌딩별임차현황" hidden="1">{#N/A,#N/A,FALSE,"동부"}</definedName>
    <definedName name="대구200207" localSheetId="0" hidden="1">{#N/A,#N/A,FALSE,"동부"}</definedName>
    <definedName name="대구200207" localSheetId="2" hidden="1">{#N/A,#N/A,FALSE,"동부"}</definedName>
    <definedName name="대구200207" hidden="1">{#N/A,#N/A,FALSE,"동부"}</definedName>
    <definedName name="대구대구" localSheetId="0" hidden="1">{#N/A,#N/A,FALSE,"동부"}</definedName>
    <definedName name="대구대구" localSheetId="2" hidden="1">{#N/A,#N/A,FALSE,"동부"}</definedName>
    <definedName name="대구대구" hidden="1">{#N/A,#N/A,FALSE,"동부"}</definedName>
    <definedName name="대덕" localSheetId="0" hidden="1">{#N/A,#N/A,FALSE,"CCTV"}</definedName>
    <definedName name="대덕" localSheetId="2" hidden="1">{#N/A,#N/A,FALSE,"CCTV"}</definedName>
    <definedName name="대덕" hidden="1">{#N/A,#N/A,FALSE,"CCTV"}</definedName>
    <definedName name="대비" localSheetId="0" hidden="1">{#N/A,#N/A,FALSE,"CCTV"}</definedName>
    <definedName name="대비" localSheetId="2" hidden="1">{#N/A,#N/A,FALSE,"CCTV"}</definedName>
    <definedName name="대비" hidden="1">{#N/A,#N/A,FALSE,"CCTV"}</definedName>
    <definedName name="대흥" localSheetId="0" hidden="1">{#N/A,#N/A,TRUE,"대 차 대 조 표"}</definedName>
    <definedName name="대흥" localSheetId="2" hidden="1">{#N/A,#N/A,TRUE,"대 차 대 조 표"}</definedName>
    <definedName name="대흥" hidden="1">{#N/A,#N/A,TRUE,"대 차 대 조 표"}</definedName>
    <definedName name="돼지" localSheetId="0" hidden="1">{#N/A,#N/A,TRUE,"대 차 대 조 표"}</definedName>
    <definedName name="돼지" localSheetId="2" hidden="1">{#N/A,#N/A,TRUE,"대 차 대 조 표"}</definedName>
    <definedName name="돼지" hidden="1">{#N/A,#N/A,TRUE,"대 차 대 조 표"}</definedName>
    <definedName name="등급급여인상" localSheetId="0" hidden="1">#REF!</definedName>
    <definedName name="등급급여인상" localSheetId="2" hidden="1">#REF!</definedName>
    <definedName name="등급급여인상" localSheetId="5" hidden="1">#REF!</definedName>
    <definedName name="등급급여인상" localSheetId="3" hidden="1">#REF!</definedName>
    <definedName name="등급급여인상" hidden="1">#REF!</definedName>
    <definedName name="ㄹ" localSheetId="0" hidden="1">{#N/A,#N/A,TRUE,"토적및재료집계";#N/A,#N/A,TRUE,"토적및재료집계";#N/A,#N/A,TRUE,"단위량"}</definedName>
    <definedName name="ㄹ" localSheetId="2" hidden="1">{#N/A,#N/A,TRUE,"토적및재료집계";#N/A,#N/A,TRUE,"토적및재료집계";#N/A,#N/A,TRUE,"단위량"}</definedName>
    <definedName name="ㄹ" hidden="1">{#N/A,#N/A,TRUE,"토적및재료집계";#N/A,#N/A,TRUE,"토적및재료집계";#N/A,#N/A,TRUE,"단위량"}</definedName>
    <definedName name="ㄹ32" localSheetId="0" hidden="1">#REF!</definedName>
    <definedName name="ㄹ32" localSheetId="2" hidden="1">#REF!</definedName>
    <definedName name="ㄹ32" localSheetId="5" hidden="1">#REF!</definedName>
    <definedName name="ㄹ32" localSheetId="3" hidden="1">#REF!</definedName>
    <definedName name="ㄹ32" hidden="1">#REF!</definedName>
    <definedName name="ㄹㄹ" localSheetId="0" hidden="1">{"'용역비'!$A$4:$C$8"}</definedName>
    <definedName name="ㄹㄹ" localSheetId="2" hidden="1">{"'용역비'!$A$4:$C$8"}</definedName>
    <definedName name="ㄹㄹ" hidden="1">{"'용역비'!$A$4:$C$8"}</definedName>
    <definedName name="ㄹㄹㄷㄹ" localSheetId="0" hidden="1">{#N/A,#N/A,TRUE,"대 차 대 조 표"}</definedName>
    <definedName name="ㄹㄹㄷㄹ" localSheetId="2" hidden="1">{#N/A,#N/A,TRUE,"대 차 대 조 표"}</definedName>
    <definedName name="ㄹㄹㄷㄹ" hidden="1">{#N/A,#N/A,TRUE,"대 차 대 조 표"}</definedName>
    <definedName name="ㄹㄹㄹ" localSheetId="0" hidden="1">#REF!</definedName>
    <definedName name="ㄹㄹㄹ" localSheetId="1" hidden="1">#REF!</definedName>
    <definedName name="ㄹㄹㄹ" localSheetId="2" hidden="1">#REF!</definedName>
    <definedName name="ㄹㄹㄹ" localSheetId="5" hidden="1">#REF!</definedName>
    <definedName name="ㄹㄹㄹ" localSheetId="3" hidden="1">#REF!</definedName>
    <definedName name="ㄹㄹㄹ" hidden="1">#REF!</definedName>
    <definedName name="ㄹ하ㅓ" localSheetId="0">#REF!</definedName>
    <definedName name="ㄹ하ㅓ" localSheetId="1">#REF!</definedName>
    <definedName name="ㄹ하ㅓ" localSheetId="2">#REF!</definedName>
    <definedName name="ㄹ하ㅓ" localSheetId="5">#REF!</definedName>
    <definedName name="ㄹ하ㅓ" localSheetId="3">#REF!</definedName>
    <definedName name="ㄹ하ㅓ">#REF!</definedName>
    <definedName name="ㄹ혻" localSheetId="0" hidden="1">{"'용역비'!$A$4:$C$8"}</definedName>
    <definedName name="ㄹ혻" localSheetId="2" hidden="1">{"'용역비'!$A$4:$C$8"}</definedName>
    <definedName name="ㄹ혻" hidden="1">{"'용역비'!$A$4:$C$8"}</definedName>
    <definedName name="러헐" localSheetId="0" hidden="1">{#N/A,#N/A,FALSE,"도급대비시행율";#N/A,#N/A,FALSE,"결의서";#N/A,#N/A,FALSE,"내역서";#N/A,#N/A,FALSE,"도급예상"}</definedName>
    <definedName name="러헐" localSheetId="2" hidden="1">{#N/A,#N/A,FALSE,"도급대비시행율";#N/A,#N/A,FALSE,"결의서";#N/A,#N/A,FALSE,"내역서";#N/A,#N/A,FALSE,"도급예상"}</definedName>
    <definedName name="러헐" hidden="1">{#N/A,#N/A,FALSE,"도급대비시행율";#N/A,#N/A,FALSE,"결의서";#N/A,#N/A,FALSE,"내역서";#N/A,#N/A,FALSE,"도급예상"}</definedName>
    <definedName name="료" localSheetId="0" hidden="1">{"'용역비'!$A$4:$C$8"}</definedName>
    <definedName name="료" localSheetId="2" hidden="1">{"'용역비'!$A$4:$C$8"}</definedName>
    <definedName name="료" hidden="1">{"'용역비'!$A$4:$C$8"}</definedName>
    <definedName name="ㅀ" localSheetId="0" hidden="1">[30]내역서!#REF!</definedName>
    <definedName name="ㅀ" localSheetId="2" hidden="1">[30]내역서!#REF!</definedName>
    <definedName name="ㅀ" localSheetId="5" hidden="1">[30]내역서!#REF!</definedName>
    <definedName name="ㅀ" localSheetId="3" hidden="1">[30]내역서!#REF!</definedName>
    <definedName name="ㅀ" hidden="1">[30]내역서!#REF!</definedName>
    <definedName name="ㅀ허" localSheetId="0" hidden="1">{#N/A,#N/A,FALSE,"CCTV"}</definedName>
    <definedName name="ㅀ허" localSheetId="2" hidden="1">{#N/A,#N/A,FALSE,"CCTV"}</definedName>
    <definedName name="ㅀ허" hidden="1">{#N/A,#N/A,FALSE,"CCTV"}</definedName>
    <definedName name="ㅁ" localSheetId="0" hidden="1">{#N/A,#N/A,FALSE,"자재관리";#N/A,#N/A,FALSE,"자재관리";#N/A,#N/A,FALSE,"자재관리"}</definedName>
    <definedName name="ㅁ" localSheetId="2" hidden="1">{#N/A,#N/A,FALSE,"자재관리";#N/A,#N/A,FALSE,"자재관리";#N/A,#N/A,FALSE,"자재관리"}</definedName>
    <definedName name="ㅁ" hidden="1">{#N/A,#N/A,FALSE,"자재관리";#N/A,#N/A,FALSE,"자재관리";#N/A,#N/A,FALSE,"자재관리"}</definedName>
    <definedName name="ㅁ01" localSheetId="0">#REF!</definedName>
    <definedName name="ㅁ01" localSheetId="1">#REF!</definedName>
    <definedName name="ㅁ01" localSheetId="2">#REF!</definedName>
    <definedName name="ㅁ01" localSheetId="5">#REF!</definedName>
    <definedName name="ㅁ01" localSheetId="3">#REF!</definedName>
    <definedName name="ㅁ01">#REF!</definedName>
    <definedName name="ㅁㄱㄷ" localSheetId="0" hidden="1">{#N/A,#N/A,FALSE,"자재관리";#N/A,#N/A,FALSE,"자재관리";#N/A,#N/A,FALSE,"자재관리"}</definedName>
    <definedName name="ㅁㄱㄷ" localSheetId="2" hidden="1">{#N/A,#N/A,FALSE,"자재관리";#N/A,#N/A,FALSE,"자재관리";#N/A,#N/A,FALSE,"자재관리"}</definedName>
    <definedName name="ㅁㄱㄷ" hidden="1">{#N/A,#N/A,FALSE,"자재관리";#N/A,#N/A,FALSE,"자재관리";#N/A,#N/A,FALSE,"자재관리"}</definedName>
    <definedName name="ㅁㄴㅇㄻㄴㅇㄹㄴㅁㅎㄴㅇㅎ" localSheetId="0" hidden="1">{"'용역비'!$A$4:$C$8"}</definedName>
    <definedName name="ㅁㄴㅇㄻㄴㅇㄹㄴㅁㅎㄴㅇㅎ" localSheetId="2" hidden="1">{"'용역비'!$A$4:$C$8"}</definedName>
    <definedName name="ㅁㄴㅇㄻㄴㅇㄹㄴㅁㅎㄴㅇㅎ" hidden="1">{"'용역비'!$A$4:$C$8"}</definedName>
    <definedName name="ㅁㄴㅇㅁ" localSheetId="0" hidden="1">{"'용역비'!$A$4:$C$8"}</definedName>
    <definedName name="ㅁㄴㅇㅁ" localSheetId="2" hidden="1">{"'용역비'!$A$4:$C$8"}</definedName>
    <definedName name="ㅁㄴㅇㅁ" hidden="1">{"'용역비'!$A$4:$C$8"}</definedName>
    <definedName name="ㅁㅁ" localSheetId="0" hidden="1">{#N/A,#N/A,FALSE,"전력간선"}</definedName>
    <definedName name="ㅁㅁ" localSheetId="2" hidden="1">{#N/A,#N/A,FALSE,"전력간선"}</definedName>
    <definedName name="ㅁㅁ" hidden="1">{#N/A,#N/A,FALSE,"전력간선"}</definedName>
    <definedName name="ㅁㅁㅁ" localSheetId="0">[7]!ㅁㅁㅁ</definedName>
    <definedName name="ㅁㅁㅁ" localSheetId="1">[7]!ㅁㅁㅁ</definedName>
    <definedName name="ㅁㅁㅁ" localSheetId="2">[7]!ㅁㅁㅁ</definedName>
    <definedName name="ㅁㅁㅁ" localSheetId="5">[7]!ㅁㅁㅁ</definedName>
    <definedName name="ㅁㅁㅁ" localSheetId="3">[7]!ㅁㅁㅁ</definedName>
    <definedName name="ㅁㅁㅁ">[7]!ㅁㅁㅁ</definedName>
    <definedName name="ㅁㅁㅁㅁ"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ㅁㅁㅁ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ㅁㅁㅁㅁㅁㅁㅁㅁ" localSheetId="0" hidden="1">{"'용역비'!$A$4:$C$8"}</definedName>
    <definedName name="ㅁㅁㅁㅁㅁㅁㅁㅁㅁㅁㅁㅁㅁㅁ" localSheetId="2" hidden="1">{"'용역비'!$A$4:$C$8"}</definedName>
    <definedName name="ㅁㅁㅁㅁㅁㅁㅁㅁㅁㅁㅁㅁㅁㅁ" hidden="1">{"'용역비'!$A$4:$C$8"}</definedName>
    <definedName name="ㅁㅁㅁㅂ" localSheetId="0" hidden="1">{"'용역비'!$A$4:$C$8"}</definedName>
    <definedName name="ㅁㅁㅁㅂ" localSheetId="2" hidden="1">{"'용역비'!$A$4:$C$8"}</definedName>
    <definedName name="ㅁㅁㅁㅂ" hidden="1">{"'용역비'!$A$4:$C$8"}</definedName>
    <definedName name="ㅁㅇ" localSheetId="0" hidden="1">{#N/A,#N/A,FALSE,"자재관리";#N/A,#N/A,FALSE,"자재관리";#N/A,#N/A,FALSE,"자재관리"}</definedName>
    <definedName name="ㅁㅇ" localSheetId="2" hidden="1">{#N/A,#N/A,FALSE,"자재관리";#N/A,#N/A,FALSE,"자재관리";#N/A,#N/A,FALSE,"자재관리"}</definedName>
    <definedName name="ㅁㅇ" hidden="1">{#N/A,#N/A,FALSE,"자재관리";#N/A,#N/A,FALSE,"자재관리";#N/A,#N/A,FALSE,"자재관리"}</definedName>
    <definedName name="ㅁㅇㅁㄴㅇ" localSheetId="0" hidden="1">{"'용역비'!$A$4:$C$8"}</definedName>
    <definedName name="ㅁㅇㅁㄴㅇ" localSheetId="2" hidden="1">{"'용역비'!$A$4:$C$8"}</definedName>
    <definedName name="ㅁㅇㅁㄴㅇ" hidden="1">{"'용역비'!$A$4:$C$8"}</definedName>
    <definedName name="만" localSheetId="0">[31]환산!#REF!</definedName>
    <definedName name="만" localSheetId="1">[31]환산!#REF!</definedName>
    <definedName name="만" localSheetId="2">[31]환산!#REF!</definedName>
    <definedName name="만" localSheetId="5">[31]환산!#REF!</definedName>
    <definedName name="만" localSheetId="3">[31]환산!#REF!</definedName>
    <definedName name="만">[31]환산!#REF!</definedName>
    <definedName name="매매일">[32]기본사항!$G$21</definedName>
    <definedName name="매매주식수">[32]기본사항!$G$18</definedName>
    <definedName name="멋저" localSheetId="0">[7]!멋저</definedName>
    <definedName name="멋저" localSheetId="1">[7]!멋저</definedName>
    <definedName name="멋저" localSheetId="2">[7]!멋저</definedName>
    <definedName name="멋저" localSheetId="5">[7]!멋저</definedName>
    <definedName name="멋저" localSheetId="3">[7]!멋저</definedName>
    <definedName name="멋저">[7]!멋저</definedName>
    <definedName name="메롱" localSheetId="0" hidden="1">{#N/A,#N/A,FALSE,"동부"}</definedName>
    <definedName name="메롱" localSheetId="2" hidden="1">{#N/A,#N/A,FALSE,"동부"}</definedName>
    <definedName name="메롱" hidden="1">{#N/A,#N/A,FALSE,"동부"}</definedName>
    <definedName name="명칭" localSheetId="0">[33]내역!#REF!</definedName>
    <definedName name="명칭" localSheetId="1">[33]내역!#REF!</definedName>
    <definedName name="명칭" localSheetId="2">[33]내역!#REF!</definedName>
    <definedName name="명칭" localSheetId="5">[33]내역!#REF!</definedName>
    <definedName name="명칭" localSheetId="3">[33]내역!#REF!</definedName>
    <definedName name="명칭">[33]내역!#REF!</definedName>
    <definedName name="모빌랙A" localSheetId="0">[7]!모빌랙A</definedName>
    <definedName name="모빌랙A" localSheetId="1">[7]!모빌랙A</definedName>
    <definedName name="모빌랙A" localSheetId="2">[7]!모빌랙A</definedName>
    <definedName name="모빌랙A" localSheetId="5">[7]!모빌랙A</definedName>
    <definedName name="모빌랙A" localSheetId="3">[7]!모빌랙A</definedName>
    <definedName name="모빌랙A">[7]!모빌랙A</definedName>
    <definedName name="목표" localSheetId="0" hidden="1">{#N/A,#N/A,FALSE,"자재관리";#N/A,#N/A,FALSE,"자재관리";#N/A,#N/A,FALSE,"자재관리"}</definedName>
    <definedName name="목표" localSheetId="2" hidden="1">{#N/A,#N/A,FALSE,"자재관리";#N/A,#N/A,FALSE,"자재관리";#N/A,#N/A,FALSE,"자재관리"}</definedName>
    <definedName name="목표" hidden="1">{#N/A,#N/A,FALSE,"자재관리";#N/A,#N/A,FALSE,"자재관리";#N/A,#N/A,FALSE,"자재관리"}</definedName>
    <definedName name="문자열" localSheetId="0">#REF!</definedName>
    <definedName name="문자열" localSheetId="1">#REF!</definedName>
    <definedName name="문자열" localSheetId="2">#REF!</definedName>
    <definedName name="문자열" localSheetId="5">#REF!</definedName>
    <definedName name="문자열" localSheetId="3">#REF!</definedName>
    <definedName name="문자열">#REF!</definedName>
    <definedName name="물가자료" localSheetId="0">#REF!</definedName>
    <definedName name="물가자료" localSheetId="1">#REF!</definedName>
    <definedName name="물가자료" localSheetId="2">#REF!</definedName>
    <definedName name="물가자료" localSheetId="5">#REF!</definedName>
    <definedName name="물가자료" localSheetId="3">#REF!</definedName>
    <definedName name="물가자료">#REF!</definedName>
    <definedName name="미화" localSheetId="0" hidden="1">{#N/A,#N/A,FALSE,"이력서&amp;자기소개서"}</definedName>
    <definedName name="미화" localSheetId="2" hidden="1">{#N/A,#N/A,FALSE,"이력서&amp;자기소개서"}</definedName>
    <definedName name="미화" hidden="1">{#N/A,#N/A,FALSE,"이력서&amp;자기소개서"}</definedName>
    <definedName name="미화2" localSheetId="0" hidden="1">{#N/A,#N/A,FALSE,"이력서&amp;자기소개서"}</definedName>
    <definedName name="미화2" localSheetId="2" hidden="1">{#N/A,#N/A,FALSE,"이력서&amp;자기소개서"}</definedName>
    <definedName name="미화2" hidden="1">{#N/A,#N/A,FALSE,"이력서&amp;자기소개서"}</definedName>
    <definedName name="미화원" localSheetId="0" hidden="1">{#N/A,#N/A,FALSE,"이력서&amp;자기소개서"}</definedName>
    <definedName name="미화원" localSheetId="2" hidden="1">{#N/A,#N/A,FALSE,"이력서&amp;자기소개서"}</definedName>
    <definedName name="미화원" hidden="1">{#N/A,#N/A,FALSE,"이력서&amp;자기소개서"}</definedName>
    <definedName name="ㅂㅁㅋ" localSheetId="0" hidden="1">{"'용역비'!$A$4:$C$8"}</definedName>
    <definedName name="ㅂㅁㅋ" localSheetId="2" hidden="1">{"'용역비'!$A$4:$C$8"}</definedName>
    <definedName name="ㅂㅁㅋ" hidden="1">{"'용역비'!$A$4:$C$8"}</definedName>
    <definedName name="ㅂㅂ"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ㅂ" localSheetId="0">[34]집계!#REF!</definedName>
    <definedName name="ㅂㅂㅂ" localSheetId="1">[34]집계!#REF!</definedName>
    <definedName name="ㅂㅂㅂ" localSheetId="2">[34]집계!#REF!</definedName>
    <definedName name="ㅂㅂㅂ" localSheetId="5">[34]집계!#REF!</definedName>
    <definedName name="ㅂㅂㅂ" localSheetId="3">[34]집계!#REF!</definedName>
    <definedName name="ㅂㅂㅂ">[34]집계!#REF!</definedName>
    <definedName name="ㅂㅂㅂㅂㅂ" localSheetId="0" hidden="1">{"'별표'!$N$220"}</definedName>
    <definedName name="ㅂㅂㅂㅂㅂ" localSheetId="2" hidden="1">{"'별표'!$N$220"}</definedName>
    <definedName name="ㅂㅂㅂㅂㅂ" hidden="1">{"'별표'!$N$220"}</definedName>
    <definedName name="ㅂㅂㅂㅂㅂㅂ" localSheetId="0" hidden="1">{"'용역비'!$A$4:$C$8"}</definedName>
    <definedName name="ㅂㅂㅂㅂㅂㅂ" localSheetId="2" hidden="1">{"'용역비'!$A$4:$C$8"}</definedName>
    <definedName name="ㅂㅂㅂㅂㅂㅂ" hidden="1">{"'용역비'!$A$4:$C$8"}</definedName>
    <definedName name="ㅂㅋ" localSheetId="0" hidden="1">{"'용역비'!$A$4:$C$8"}</definedName>
    <definedName name="ㅂㅋ" localSheetId="2" hidden="1">{"'용역비'!$A$4:$C$8"}</definedName>
    <definedName name="ㅂㅋ" hidden="1">{"'용역비'!$A$4:$C$8"}</definedName>
    <definedName name="발주금액">#N/A</definedName>
    <definedName name="발행회사명">[32]기본사항!$G$16</definedName>
    <definedName name="방류펌프" localSheetId="0">#REF!</definedName>
    <definedName name="방류펌프" localSheetId="1">#REF!</definedName>
    <definedName name="방류펌프" localSheetId="2">#REF!</definedName>
    <definedName name="방류펌프" localSheetId="5">#REF!</definedName>
    <definedName name="방류펌프" localSheetId="3">#REF!</definedName>
    <definedName name="방류펌프">#REF!</definedName>
    <definedName name="배분전" localSheetId="0" hidden="1">{#N/A,#N/A,TRUE,"대 차 대 조 표"}</definedName>
    <definedName name="배분전" localSheetId="2" hidden="1">{#N/A,#N/A,TRUE,"대 차 대 조 표"}</definedName>
    <definedName name="배분전" hidden="1">{#N/A,#N/A,TRUE,"대 차 대 조 표"}</definedName>
    <definedName name="백" localSheetId="0">[31]환산!#REF!</definedName>
    <definedName name="백" localSheetId="1">[31]환산!#REF!</definedName>
    <definedName name="백" localSheetId="2">[31]환산!#REF!</definedName>
    <definedName name="백" localSheetId="5">[31]환산!#REF!</definedName>
    <definedName name="백" localSheetId="3">[31]환산!#REF!</definedName>
    <definedName name="백">[31]환산!#REF!</definedName>
    <definedName name="백만" localSheetId="0">[31]환산!#REF!</definedName>
    <definedName name="백만" localSheetId="1">[31]환산!#REF!</definedName>
    <definedName name="백만" localSheetId="2">[31]환산!#REF!</definedName>
    <definedName name="백만" localSheetId="5">[31]환산!#REF!</definedName>
    <definedName name="백만" localSheetId="3">[31]환산!#REF!</definedName>
    <definedName name="백만">[31]환산!#REF!</definedName>
    <definedName name="번호" localSheetId="0">#REF!</definedName>
    <definedName name="번호" localSheetId="1">#REF!</definedName>
    <definedName name="번호" localSheetId="2">#REF!</definedName>
    <definedName name="번호" localSheetId="5">#REF!</definedName>
    <definedName name="번호" localSheetId="3">#REF!</definedName>
    <definedName name="번호">#REF!</definedName>
    <definedName name="법인세" localSheetId="0">[27]납부서!#REF!</definedName>
    <definedName name="법인세" localSheetId="1">[27]납부서!#REF!</definedName>
    <definedName name="법인세" localSheetId="2">[27]납부서!#REF!</definedName>
    <definedName name="법인세" localSheetId="5">[27]납부서!#REF!</definedName>
    <definedName name="법인세" localSheetId="3">[27]납부서!#REF!</definedName>
    <definedName name="법인세">[27]납부서!#REF!</definedName>
    <definedName name="법인주민세" localSheetId="0">[27]납부서!#REF!</definedName>
    <definedName name="법인주민세" localSheetId="1">[27]납부서!#REF!</definedName>
    <definedName name="법인주민세" localSheetId="2">[27]납부서!#REF!</definedName>
    <definedName name="법인주민세" localSheetId="5">[27]납부서!#REF!</definedName>
    <definedName name="법인주민세" localSheetId="3">[27]납부서!#REF!</definedName>
    <definedName name="법인주민세">[27]납부서!#REF!</definedName>
    <definedName name="병" localSheetId="0">[7]!StartSeller</definedName>
    <definedName name="병" localSheetId="1">[7]!StartSeller</definedName>
    <definedName name="병" localSheetId="2">[7]!StartSeller</definedName>
    <definedName name="병" localSheetId="5">[7]!StartSeller</definedName>
    <definedName name="병" localSheetId="3">[7]!StartSeller</definedName>
    <definedName name="병">[7]!StartSeller</definedName>
    <definedName name="보수내역" localSheetId="0">[7]!StartChart</definedName>
    <definedName name="보수내역" localSheetId="1">[7]!StartChart</definedName>
    <definedName name="보수내역" localSheetId="2">[7]!StartChart</definedName>
    <definedName name="보수내역" localSheetId="5">[7]!StartChart</definedName>
    <definedName name="보수내역" localSheetId="3">[7]!StartChart</definedName>
    <definedName name="보수내역">[7]!StartChart</definedName>
    <definedName name="본상" localSheetId="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본상" localSheetId="2"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본상"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본점소재지">[32]기본사항!$G$17</definedName>
    <definedName name="부서" localSheetId="0">#REF!</definedName>
    <definedName name="부서" localSheetId="1">#REF!</definedName>
    <definedName name="부서" localSheetId="2">#REF!</definedName>
    <definedName name="부서" localSheetId="5">#REF!</definedName>
    <definedName name="부서" localSheetId="3">#REF!</definedName>
    <definedName name="부서">#REF!</definedName>
    <definedName name="비" localSheetId="0" hidden="1">{#N/A,#N/A,FALSE,"동부"}</definedName>
    <definedName name="비" localSheetId="2" hidden="1">{#N/A,#N/A,FALSE,"동부"}</definedName>
    <definedName name="비" hidden="1">{#N/A,#N/A,FALSE,"동부"}</definedName>
    <definedName name="비교" localSheetId="0" hidden="1">{#N/A,#N/A,FALSE,"이력서&amp;자기소개서"}</definedName>
    <definedName name="비교" localSheetId="2" hidden="1">{#N/A,#N/A,FALSE,"이력서&amp;자기소개서"}</definedName>
    <definedName name="비교" hidden="1">{#N/A,#N/A,FALSE,"이력서&amp;자기소개서"}</definedName>
    <definedName name="비교표">[35]소비자가!$I$46:$J$1593</definedName>
    <definedName name="비용" localSheetId="0" hidden="1">{"'용역비'!$A$4:$C$8"}</definedName>
    <definedName name="비용" localSheetId="2" hidden="1">{"'용역비'!$A$4:$C$8"}</definedName>
    <definedName name="비용" hidden="1">{"'용역비'!$A$4:$C$8"}</definedName>
    <definedName name="빌" localSheetId="0" hidden="1">{#N/A,#N/A,FALSE,"동부"}</definedName>
    <definedName name="빌" localSheetId="2" hidden="1">{#N/A,#N/A,FALSE,"동부"}</definedName>
    <definedName name="빌" hidden="1">{#N/A,#N/A,FALSE,"동부"}</definedName>
    <definedName name="빌딩" localSheetId="0" hidden="1">{#N/A,#N/A,FALSE,"동부"}</definedName>
    <definedName name="빌딩" localSheetId="2" hidden="1">{#N/A,#N/A,FALSE,"동부"}</definedName>
    <definedName name="빌딩" hidden="1">{#N/A,#N/A,FALSE,"동부"}</definedName>
    <definedName name="빌딩2" localSheetId="0" hidden="1">{#N/A,#N/A,FALSE,"동부"}</definedName>
    <definedName name="빌딩2" localSheetId="2" hidden="1">{#N/A,#N/A,FALSE,"동부"}</definedName>
    <definedName name="빌딩2" hidden="1">{#N/A,#N/A,FALSE,"동부"}</definedName>
    <definedName name="빌딩별2" localSheetId="0" hidden="1">{#N/A,#N/A,FALSE,"동부"}</definedName>
    <definedName name="빌딩별2" localSheetId="2" hidden="1">{#N/A,#N/A,FALSE,"동부"}</definedName>
    <definedName name="빌딩별2" hidden="1">{#N/A,#N/A,FALSE,"동부"}</definedName>
    <definedName name="빌딩별강남" localSheetId="0" hidden="1">{#N/A,#N/A,FALSE,"동부"}</definedName>
    <definedName name="빌딩별강남" localSheetId="2" hidden="1">{#N/A,#N/A,FALSE,"동부"}</definedName>
    <definedName name="빌딩별강남" hidden="1">{#N/A,#N/A,FALSE,"동부"}</definedName>
    <definedName name="ㅅ" localSheetId="0" hidden="1">{#N/A,#N/A,FALSE,"자재관리";#N/A,#N/A,FALSE,"자재관리";#N/A,#N/A,FALSE,"자재관리"}</definedName>
    <definedName name="ㅅ" localSheetId="2" hidden="1">{#N/A,#N/A,FALSE,"자재관리";#N/A,#N/A,FALSE,"자재관리";#N/A,#N/A,FALSE,"자재관리"}</definedName>
    <definedName name="ㅅ" hidden="1">{#N/A,#N/A,FALSE,"자재관리";#N/A,#N/A,FALSE,"자재관리";#N/A,#N/A,FALSE,"자재관리"}</definedName>
    <definedName name="ㅅㅅㅅㅅㅅ"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ㅅㅅㅅㅅ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사급자재비" localSheetId="0">#REF!</definedName>
    <definedName name="사급자재비" localSheetId="1">#REF!</definedName>
    <definedName name="사급자재비" localSheetId="2">#REF!</definedName>
    <definedName name="사급자재비" localSheetId="5">#REF!</definedName>
    <definedName name="사급자재비" localSheetId="3">#REF!</definedName>
    <definedName name="사급자재비">#REF!</definedName>
    <definedName name="사옥보수" localSheetId="0" hidden="1">{#N/A,#N/A,FALSE,"97년 투자계획 세부내역 "}</definedName>
    <definedName name="사옥보수" localSheetId="2" hidden="1">{#N/A,#N/A,FALSE,"97년 투자계획 세부내역 "}</definedName>
    <definedName name="사옥보수" hidden="1">{#N/A,#N/A,FALSE,"97년 투자계획 세부내역 "}</definedName>
    <definedName name="산출내역" localSheetId="0">#REF!</definedName>
    <definedName name="산출내역" localSheetId="1">#REF!</definedName>
    <definedName name="산출내역" localSheetId="2">#REF!</definedName>
    <definedName name="산출내역" localSheetId="5">#REF!</definedName>
    <definedName name="산출내역" localSheetId="3">#REF!</definedName>
    <definedName name="산출내역">#REF!</definedName>
    <definedName name="서울" localSheetId="0" hidden="1">{#N/A,#N/A,FALSE,"97년 투자계획 세부내역 "}</definedName>
    <definedName name="서울" localSheetId="2" hidden="1">{#N/A,#N/A,FALSE,"97년 투자계획 세부내역 "}</definedName>
    <definedName name="서울" hidden="1">{#N/A,#N/A,FALSE,"97년 투자계획 세부내역 "}</definedName>
    <definedName name="서원열" localSheetId="0" hidden="1">{#N/A,#N/A,FALSE,"자재관리";#N/A,#N/A,FALSE,"자재관리";#N/A,#N/A,FALSE,"자재관리"}</definedName>
    <definedName name="서원열" localSheetId="2"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2" hidden="1">{#N/A,#N/A,FALSE,"자재관리";#N/A,#N/A,FALSE,"자재관리";#N/A,#N/A,FALSE,"자재관리"}</definedName>
    <definedName name="서원영" hidden="1">{#N/A,#N/A,FALSE,"자재관리";#N/A,#N/A,FALSE,"자재관리";#N/A,#N/A,FALSE,"자재관리"}</definedName>
    <definedName name="서초" localSheetId="0" hidden="1">{#N/A,#N/A,TRUE,"대 차 대 조 표"}</definedName>
    <definedName name="서초" localSheetId="2" hidden="1">{#N/A,#N/A,TRUE,"대 차 대 조 표"}</definedName>
    <definedName name="서초" hidden="1">{#N/A,#N/A,TRUE,"대 차 대 조 표"}</definedName>
    <definedName name="서초2" localSheetId="0" hidden="1">{#N/A,#N/A,TRUE,"대 차 대 조 표"}</definedName>
    <definedName name="서초2" localSheetId="2" hidden="1">{#N/A,#N/A,TRUE,"대 차 대 조 표"}</definedName>
    <definedName name="서초2" hidden="1">{#N/A,#N/A,TRUE,"대 차 대 조 표"}</definedName>
    <definedName name="서초해동" localSheetId="0" hidden="1">{#N/A,#N/A,TRUE,"대 차 대 조 표"}</definedName>
    <definedName name="서초해동" localSheetId="2" hidden="1">{#N/A,#N/A,TRUE,"대 차 대 조 표"}</definedName>
    <definedName name="서초해동" hidden="1">{#N/A,#N/A,TRUE,"대 차 대 조 표"}</definedName>
    <definedName name="세금계산서">#N/A</definedName>
    <definedName name="세부내역서1" localSheetId="0" hidden="1">{#N/A,#N/A,TRUE,"대 차 대 조 표"}</definedName>
    <definedName name="세부내역서1" localSheetId="2" hidden="1">{#N/A,#N/A,TRUE,"대 차 대 조 표"}</definedName>
    <definedName name="세부내역서1" hidden="1">{#N/A,#N/A,TRUE,"대 차 대 조 표"}</definedName>
    <definedName name="세현" localSheetId="0" hidden="1">{#N/A,#N/A,FALSE,"자재관리";#N/A,#N/A,FALSE,"자재관리";#N/A,#N/A,FALSE,"자재관리"}</definedName>
    <definedName name="세현" localSheetId="2" hidden="1">{#N/A,#N/A,FALSE,"자재관리";#N/A,#N/A,FALSE,"자재관리";#N/A,#N/A,FALSE,"자재관리"}</definedName>
    <definedName name="세현" hidden="1">{#N/A,#N/A,FALSE,"자재관리";#N/A,#N/A,FALSE,"자재관리";#N/A,#N/A,FALSE,"자재관리"}</definedName>
    <definedName name="소" localSheetId="0">#REF!</definedName>
    <definedName name="소" localSheetId="1">#REF!</definedName>
    <definedName name="소" localSheetId="2">#REF!</definedName>
    <definedName name="소" localSheetId="5">#REF!</definedName>
    <definedName name="소" localSheetId="3">#REF!</definedName>
    <definedName name="소">#REF!</definedName>
    <definedName name="소방" localSheetId="0">#REF!</definedName>
    <definedName name="소방" localSheetId="1">#REF!</definedName>
    <definedName name="소방" localSheetId="2">#REF!</definedName>
    <definedName name="소방" localSheetId="5">#REF!</definedName>
    <definedName name="소방" localSheetId="3">#REF!</definedName>
    <definedName name="소방">#REF!</definedName>
    <definedName name="소방2" localSheetId="0">#REF!</definedName>
    <definedName name="소방2" localSheetId="1">#REF!</definedName>
    <definedName name="소방2" localSheetId="2">#REF!</definedName>
    <definedName name="소방2" localSheetId="5">#REF!</definedName>
    <definedName name="소방2" localSheetId="3">#REF!</definedName>
    <definedName name="소방2">#REF!</definedName>
    <definedName name="소유사옥" localSheetId="0" hidden="1">{#N/A,#N/A,FALSE,"97년 투자계획 세부내역 "}</definedName>
    <definedName name="소유사옥" localSheetId="2" hidden="1">{#N/A,#N/A,FALSE,"97년 투자계획 세부내역 "}</definedName>
    <definedName name="소유사옥" hidden="1">{#N/A,#N/A,FALSE,"97년 투자계획 세부내역 "}</definedName>
    <definedName name="소유사옥보수1" localSheetId="0" hidden="1">{#N/A,#N/A,FALSE,"97년 투자계획 세부내역 "}</definedName>
    <definedName name="소유사옥보수1" localSheetId="2" hidden="1">{#N/A,#N/A,FALSE,"97년 투자계획 세부내역 "}</definedName>
    <definedName name="소유사옥보수1" hidden="1">{#N/A,#N/A,FALSE,"97년 투자계획 세부내역 "}</definedName>
    <definedName name="소화갑지" localSheetId="0" hidden="1">{#N/A,#N/A,FALSE,"CCTV"}</definedName>
    <definedName name="소화갑지" localSheetId="2" hidden="1">{#N/A,#N/A,FALSE,"CCTV"}</definedName>
    <definedName name="소화갑지" hidden="1">{#N/A,#N/A,FALSE,"CCTV"}</definedName>
    <definedName name="솔" localSheetId="0" hidden="1">{#N/A,#N/A,TRUE,"대 차 대 조 표"}</definedName>
    <definedName name="솔" localSheetId="2" hidden="1">{#N/A,#N/A,TRUE,"대 차 대 조 표"}</definedName>
    <definedName name="솔" hidden="1">{#N/A,#N/A,TRUE,"대 차 대 조 표"}</definedName>
    <definedName name="수량">#N/A</definedName>
    <definedName name="수식" localSheetId="0">#REF!</definedName>
    <definedName name="수식" localSheetId="1">#REF!</definedName>
    <definedName name="수식" localSheetId="2">#REF!</definedName>
    <definedName name="수식" localSheetId="5">#REF!</definedName>
    <definedName name="수식" localSheetId="3">#REF!</definedName>
    <definedName name="수식">#REF!</definedName>
    <definedName name="수입" localSheetId="0" hidden="1">{#N/A,#N/A,TRUE,"대 차 대 조 표"}</definedName>
    <definedName name="수입" localSheetId="2" hidden="1">{#N/A,#N/A,TRUE,"대 차 대 조 표"}</definedName>
    <definedName name="수입" hidden="1">{#N/A,#N/A,TRUE,"대 차 대 조 표"}</definedName>
    <definedName name="스케줄" localSheetId="0">[7]!StartChart</definedName>
    <definedName name="스케줄" localSheetId="1">[7]!StartChart</definedName>
    <definedName name="스케줄" localSheetId="2">[7]!StartChart</definedName>
    <definedName name="스케줄" localSheetId="5">[7]!StartChart</definedName>
    <definedName name="스케줄" localSheetId="3">[7]!StartChart</definedName>
    <definedName name="스케줄">[7]!StartChart</definedName>
    <definedName name="식" localSheetId="0">#REF!</definedName>
    <definedName name="식" localSheetId="1">#REF!</definedName>
    <definedName name="식" localSheetId="2">#REF!</definedName>
    <definedName name="식" localSheetId="5">#REF!</definedName>
    <definedName name="식" localSheetId="3">#REF!</definedName>
    <definedName name="식">#REF!</definedName>
    <definedName name="신고분장" localSheetId="0" hidden="1">{"'통신지'!$A$1:$J$41"}</definedName>
    <definedName name="신고분장" localSheetId="2" hidden="1">{"'통신지'!$A$1:$J$41"}</definedName>
    <definedName name="신고분장" hidden="1">{"'통신지'!$A$1:$J$41"}</definedName>
    <definedName name="신고일">[36]입력!$G$22</definedName>
    <definedName name="실제급여" localSheetId="0" hidden="1">{#N/A,#N/A,TRUE,"대 차 대 조 표"}</definedName>
    <definedName name="실제급여" localSheetId="2" hidden="1">{#N/A,#N/A,TRUE,"대 차 대 조 표"}</definedName>
    <definedName name="실제급여" hidden="1">{#N/A,#N/A,TRUE,"대 차 대 조 표"}</definedName>
    <definedName name="십" localSheetId="0">[31]환산!#REF!</definedName>
    <definedName name="십" localSheetId="1">[31]환산!#REF!</definedName>
    <definedName name="십" localSheetId="2">[31]환산!#REF!</definedName>
    <definedName name="십" localSheetId="5">[31]환산!#REF!</definedName>
    <definedName name="십" localSheetId="3">[31]환산!#REF!</definedName>
    <definedName name="십">[31]환산!#REF!</definedName>
    <definedName name="십만" localSheetId="0">[31]환산!#REF!</definedName>
    <definedName name="십만" localSheetId="1">[31]환산!#REF!</definedName>
    <definedName name="십만" localSheetId="2">[31]환산!#REF!</definedName>
    <definedName name="십만" localSheetId="5">[31]환산!#REF!</definedName>
    <definedName name="십만" localSheetId="3">[31]환산!#REF!</definedName>
    <definedName name="십만">[31]환산!#REF!</definedName>
    <definedName name="씨엔에이치" localSheetId="0" hidden="1">{#N/A,#N/A,TRUE,"대 차 대 조 표"}</definedName>
    <definedName name="씨엔에이치" localSheetId="2" hidden="1">{#N/A,#N/A,TRUE,"대 차 대 조 표"}</definedName>
    <definedName name="씨엔에이치" hidden="1">{#N/A,#N/A,TRUE,"대 차 대 조 표"}</definedName>
    <definedName name="ㅇ" localSheetId="0" hidden="1">{#N/A,#N/A,TRUE,"자재관리";#N/A,#N/A,TRUE,"품질"}</definedName>
    <definedName name="ㅇ" localSheetId="2" hidden="1">{#N/A,#N/A,TRUE,"자재관리";#N/A,#N/A,TRUE,"품질"}</definedName>
    <definedName name="ㅇ" hidden="1">{#N/A,#N/A,TRUE,"자재관리";#N/A,#N/A,TRUE,"품질"}</definedName>
    <definedName name="ㅇㄴ" localSheetId="0" hidden="1">{"'용역비'!$A$4:$C$8"}</definedName>
    <definedName name="ㅇㄴ" localSheetId="2" hidden="1">{"'용역비'!$A$4:$C$8"}</definedName>
    <definedName name="ㅇㄴ" hidden="1">{"'용역비'!$A$4:$C$8"}</definedName>
    <definedName name="ㅇㄴㅇㄴ" localSheetId="0" hidden="1">{#N/A,#N/A,FALSE,"CCTV"}</definedName>
    <definedName name="ㅇㄴㅇㄴ" localSheetId="2" hidden="1">{#N/A,#N/A,FALSE,"CCTV"}</definedName>
    <definedName name="ㅇㄴㅇㄴ" hidden="1">{#N/A,#N/A,FALSE,"CCTV"}</definedName>
    <definedName name="ㅇㄹ" localSheetId="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ㅇㄹ" localSheetId="2"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ㅇㄹ"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ㅇㄹㄹ" localSheetId="0" hidden="1">#REF!</definedName>
    <definedName name="ㅇㄹㄹ" localSheetId="1" hidden="1">#REF!</definedName>
    <definedName name="ㅇㄹㄹ" localSheetId="2" hidden="1">#REF!</definedName>
    <definedName name="ㅇㄹㄹ" localSheetId="5" hidden="1">#REF!</definedName>
    <definedName name="ㅇㄹㄹ" localSheetId="3" hidden="1">#REF!</definedName>
    <definedName name="ㅇㄹㄹ" hidden="1">#REF!</definedName>
    <definedName name="ㅇㅁ" localSheetId="0" hidden="1">{"'용역비'!$A$4:$C$8"}</definedName>
    <definedName name="ㅇㅁ" localSheetId="2" hidden="1">{"'용역비'!$A$4:$C$8"}</definedName>
    <definedName name="ㅇㅁ" hidden="1">{"'용역비'!$A$4:$C$8"}</definedName>
    <definedName name="ㅇㅇ" localSheetId="0" hidden="1">{#N/A,#N/A,FALSE,"자재관리";#N/A,#N/A,FALSE,"자재관리";#N/A,#N/A,FALSE,"자재관리"}</definedName>
    <definedName name="ㅇㅇ" localSheetId="2" hidden="1">{#N/A,#N/A,FALSE,"자재관리";#N/A,#N/A,FALSE,"자재관리";#N/A,#N/A,FALSE,"자재관리"}</definedName>
    <definedName name="ㅇㅇ" hidden="1">{#N/A,#N/A,FALSE,"자재관리";#N/A,#N/A,FALSE,"자재관리";#N/A,#N/A,FALSE,"자재관리"}</definedName>
    <definedName name="ㅇㅇㄹㄴㅁㄹ" localSheetId="0" hidden="1">{#N/A,#N/A,FALSE,"자재관리";#N/A,#N/A,FALSE,"자재관리";#N/A,#N/A,FALSE,"자재관리"}</definedName>
    <definedName name="ㅇㅇㄹㄴㅁㄹ" localSheetId="2"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2" hidden="1">{#N/A,#N/A,TRUE,"자재관리";#N/A,#N/A,TRUE,"품질"}</definedName>
    <definedName name="ㅇㅇㅇㅇㅇ" hidden="1">{#N/A,#N/A,TRUE,"자재관리";#N/A,#N/A,TRUE,"품질"}</definedName>
    <definedName name="ㅇㅎㅁ" localSheetId="0" hidden="1">{#N/A,#N/A,FALSE,"97년 투자계획 세부내역 "}</definedName>
    <definedName name="ㅇㅎㅁ" localSheetId="2" hidden="1">{#N/A,#N/A,FALSE,"97년 투자계획 세부내역 "}</definedName>
    <definedName name="ㅇㅎㅁ" hidden="1">{#N/A,#N/A,FALSE,"97년 투자계획 세부내역 "}</definedName>
    <definedName name="ㅇㅎㅇㅎ" localSheetId="0" hidden="1">{"'용역비'!$A$4:$C$8"}</definedName>
    <definedName name="ㅇㅎㅇㅎ" localSheetId="2" hidden="1">{"'용역비'!$A$4:$C$8"}</definedName>
    <definedName name="ㅇㅎㅇㅎ" hidden="1">{"'용역비'!$A$4:$C$8"}</definedName>
    <definedName name="ㅇ호" localSheetId="0" hidden="1">{"'용역비'!$A$4:$C$8"}</definedName>
    <definedName name="ㅇ호" localSheetId="2" hidden="1">{"'용역비'!$A$4:$C$8"}</definedName>
    <definedName name="ㅇ호" hidden="1">{"'용역비'!$A$4:$C$8"}</definedName>
    <definedName name="ㅇ호ㅓ" localSheetId="0" hidden="1">{"'용역비'!$A$4:$C$8"}</definedName>
    <definedName name="ㅇ호ㅓ" localSheetId="2" hidden="1">{"'용역비'!$A$4:$C$8"}</definedName>
    <definedName name="ㅇ호ㅓ" hidden="1">{"'용역비'!$A$4:$C$8"}</definedName>
    <definedName name="ㅇ호ㅓㅇㅎ" localSheetId="0" hidden="1">{"'용역비'!$A$4:$C$8"}</definedName>
    <definedName name="ㅇ호ㅓㅇㅎ" localSheetId="2" hidden="1">{"'용역비'!$A$4:$C$8"}</definedName>
    <definedName name="ㅇ호ㅓㅇㅎ" hidden="1">{"'용역비'!$A$4:$C$8"}</definedName>
    <definedName name="ㅇ호ㅓㅇ호ㅓ" localSheetId="0" hidden="1">{"'용역비'!$A$4:$C$8"}</definedName>
    <definedName name="ㅇ호ㅓㅇ호ㅓ" localSheetId="2" hidden="1">{"'용역비'!$A$4:$C$8"}</definedName>
    <definedName name="ㅇ호ㅓㅇ호ㅓ" hidden="1">{"'용역비'!$A$4:$C$8"}</definedName>
    <definedName name="ㅇ호ㅓㅎ" localSheetId="0" hidden="1">{"'용역비'!$A$4:$C$8"}</definedName>
    <definedName name="ㅇ호ㅓㅎ" localSheetId="2" hidden="1">{"'용역비'!$A$4:$C$8"}</definedName>
    <definedName name="ㅇ호ㅓㅎ" hidden="1">{"'용역비'!$A$4:$C$8"}</definedName>
    <definedName name="ㅇ호ㅓ호ㅓ" localSheetId="0" hidden="1">{"'용역비'!$A$4:$C$8"}</definedName>
    <definedName name="ㅇ호ㅓ호ㅓ" localSheetId="2" hidden="1">{"'용역비'!$A$4:$C$8"}</definedName>
    <definedName name="ㅇ호ㅓ호ㅓ" hidden="1">{"'용역비'!$A$4:$C$8"}</definedName>
    <definedName name="아" localSheetId="0" hidden="1">{#N/A,#N/A,FALSE,"자재관리";#N/A,#N/A,FALSE,"자재관리";#N/A,#N/A,FALSE,"자재관리"}</definedName>
    <definedName name="아" localSheetId="2" hidden="1">{#N/A,#N/A,FALSE,"자재관리";#N/A,#N/A,FALSE,"자재관리";#N/A,#N/A,FALSE,"자재관리"}</definedName>
    <definedName name="아" hidden="1">{#N/A,#N/A,FALSE,"자재관리";#N/A,#N/A,FALSE,"자재관리";#N/A,#N/A,FALSE,"자재관리"}</definedName>
    <definedName name="아마도" localSheetId="0" hidden="1">{#N/A,#N/A,FALSE,"97년 투자계획 세부내역 "}</definedName>
    <definedName name="아마도" localSheetId="2" hidden="1">{#N/A,#N/A,FALSE,"97년 투자계획 세부내역 "}</definedName>
    <definedName name="아마도" hidden="1">{#N/A,#N/A,FALSE,"97년 투자계획 세부내역 "}</definedName>
    <definedName name="아이템별투자" localSheetId="0" hidden="1">{#N/A,#N/A,FALSE,"자재관리";#N/A,#N/A,FALSE,"자재관리";#N/A,#N/A,FALSE,"자재관리"}</definedName>
    <definedName name="아이템별투자" localSheetId="2" hidden="1">{#N/A,#N/A,FALSE,"자재관리";#N/A,#N/A,FALSE,"자재관리";#N/A,#N/A,FALSE,"자재관리"}</definedName>
    <definedName name="아이템별투자" hidden="1">{#N/A,#N/A,FALSE,"자재관리";#N/A,#N/A,FALSE,"자재관리";#N/A,#N/A,FALSE,"자재관리"}</definedName>
    <definedName name="안전관리" localSheetId="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안전관리" localSheetId="2"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안전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암거" localSheetId="0" hidden="1">#REF!</definedName>
    <definedName name="암거" localSheetId="2" hidden="1">#REF!</definedName>
    <definedName name="암거" localSheetId="5" hidden="1">#REF!</definedName>
    <definedName name="암거" localSheetId="3" hidden="1">#REF!</definedName>
    <definedName name="암거" hidden="1">#REF!</definedName>
    <definedName name="암사" localSheetId="0" hidden="1">{#N/A,#N/A,TRUE,"대 차 대 조 표"}</definedName>
    <definedName name="암사" localSheetId="2" hidden="1">{#N/A,#N/A,TRUE,"대 차 대 조 표"}</definedName>
    <definedName name="암사" hidden="1">{#N/A,#N/A,TRUE,"대 차 대 조 표"}</definedName>
    <definedName name="앙" localSheetId="0" hidden="1">{#N/A,#N/A,FALSE,"자재관리";#N/A,#N/A,FALSE,"자재관리";#N/A,#N/A,FALSE,"자재관리"}</definedName>
    <definedName name="앙" localSheetId="2" hidden="1">{#N/A,#N/A,FALSE,"자재관리";#N/A,#N/A,FALSE,"자재관리";#N/A,#N/A,FALSE,"자재관리"}</definedName>
    <definedName name="앙" hidden="1">{#N/A,#N/A,FALSE,"자재관리";#N/A,#N/A,FALSE,"자재관리";#N/A,#N/A,FALSE,"자재관리"}</definedName>
    <definedName name="양" localSheetId="0" hidden="1">{#N/A,#N/A,FALSE,"자재관리";#N/A,#N/A,FALSE,"자재관리";#N/A,#N/A,FALSE,"자재관리"}</definedName>
    <definedName name="양" localSheetId="2" hidden="1">{#N/A,#N/A,FALSE,"자재관리";#N/A,#N/A,FALSE,"자재관리";#N/A,#N/A,FALSE,"자재관리"}</definedName>
    <definedName name="양" hidden="1">{#N/A,#N/A,FALSE,"자재관리";#N/A,#N/A,FALSE,"자재관리";#N/A,#N/A,FALSE,"자재관리"}</definedName>
    <definedName name="양도자">[32]기본사항!$G$2</definedName>
    <definedName name="양도자등록번호">[36]입력!$G$3</definedName>
    <definedName name="양도자사업자번호">[36]입력!$G$7</definedName>
    <definedName name="양도자상호">[36]입력!$G$6</definedName>
    <definedName name="양도자주소">[36]입력!$G$4</definedName>
    <definedName name="양수자">[36]입력!$G$10</definedName>
    <definedName name="양수자등록번호">[36]입력!$G$11</definedName>
    <definedName name="양수자사업자번호">[36]입력!$G$14</definedName>
    <definedName name="양수자상호">[36]입력!$G$13</definedName>
    <definedName name="양수자주소">[36]입력!$G$12</definedName>
    <definedName name="어" localSheetId="0" hidden="1">{"'용역비'!$A$4:$C$8"}</definedName>
    <definedName name="어" localSheetId="2" hidden="1">{"'용역비'!$A$4:$C$8"}</definedName>
    <definedName name="어" hidden="1">{"'용역비'!$A$4:$C$8"}</definedName>
    <definedName name="어쭈구리" localSheetId="0" hidden="1">{#N/A,#N/A,FALSE,"교리2"}</definedName>
    <definedName name="어쭈구리" localSheetId="2" hidden="1">{#N/A,#N/A,FALSE,"교리2"}</definedName>
    <definedName name="어쭈구리" hidden="1">{#N/A,#N/A,FALSE,"교리2"}</definedName>
    <definedName name="업" localSheetId="0"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무" localSheetId="0" hidden="1">{#N/A,#N/A,TRUE,"대 차 대 조 표"}</definedName>
    <definedName name="업무" localSheetId="2" hidden="1">{#N/A,#N/A,TRUE,"대 차 대 조 표"}</definedName>
    <definedName name="업무" hidden="1">{#N/A,#N/A,TRUE,"대 차 대 조 표"}</definedName>
    <definedName name="업무계획표" localSheetId="0" hidden="1">{#N/A,#N/A,TRUE,"대 차 대 조 표"}</definedName>
    <definedName name="업무계획표" localSheetId="2" hidden="1">{#N/A,#N/A,TRUE,"대 차 대 조 표"}</definedName>
    <definedName name="업무계획표" hidden="1">{#N/A,#N/A,TRUE,"대 차 대 조 표"}</definedName>
    <definedName name="업무계획표01" localSheetId="0" hidden="1">{#N/A,#N/A,TRUE,"대 차 대 조 표"}</definedName>
    <definedName name="업무계획표01" localSheetId="2" hidden="1">{#N/A,#N/A,TRUE,"대 차 대 조 표"}</definedName>
    <definedName name="업무계획표01" hidden="1">{#N/A,#N/A,TRUE,"대 차 대 조 표"}</definedName>
    <definedName name="업소용" localSheetId="0" hidden="1">{#N/A,#N/A,TRUE,"자재관리";#N/A,#N/A,TRUE,"품질"}</definedName>
    <definedName name="업소용" localSheetId="2"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2" hidden="1">{#N/A,#N/A,FALSE,"자재관리";#N/A,#N/A,FALSE,"자재관리";#N/A,#N/A,FALSE,"자재관리"}</definedName>
    <definedName name="업소용생산1팀" hidden="1">{#N/A,#N/A,FALSE,"자재관리";#N/A,#N/A,FALSE,"자재관리";#N/A,#N/A,FALSE,"자재관리"}</definedName>
    <definedName name="역삼4월" localSheetId="0" hidden="1">{#N/A,#N/A,TRUE,"대 차 대 조 표"}</definedName>
    <definedName name="역삼4월" localSheetId="2" hidden="1">{#N/A,#N/A,TRUE,"대 차 대 조 표"}</definedName>
    <definedName name="역삼4월" hidden="1">{#N/A,#N/A,TRUE,"대 차 대 조 표"}</definedName>
    <definedName name="역삼5월" localSheetId="0" hidden="1">{#N/A,#N/A,TRUE,"대 차 대 조 표"}</definedName>
    <definedName name="역삼5월" localSheetId="2" hidden="1">{#N/A,#N/A,TRUE,"대 차 대 조 표"}</definedName>
    <definedName name="역삼5월" hidden="1">{#N/A,#N/A,TRUE,"대 차 대 조 표"}</definedName>
    <definedName name="역삼5월청구" localSheetId="0" hidden="1">{#N/A,#N/A,TRUE,"대 차 대 조 표"}</definedName>
    <definedName name="역삼5월청구" localSheetId="2" hidden="1">{#N/A,#N/A,TRUE,"대 차 대 조 표"}</definedName>
    <definedName name="역삼5월청구" hidden="1">{#N/A,#N/A,TRUE,"대 차 대 조 표"}</definedName>
    <definedName name="역삼계" localSheetId="0" hidden="1">{#N/A,#N/A,TRUE,"대 차 대 조 표"}</definedName>
    <definedName name="역삼계" localSheetId="2" hidden="1">{#N/A,#N/A,TRUE,"대 차 대 조 표"}</definedName>
    <definedName name="역삼계" hidden="1">{#N/A,#N/A,TRUE,"대 차 대 조 표"}</definedName>
    <definedName name="영업인건배부" localSheetId="0" hidden="1">{#N/A,#N/A,FALSE,"97년 투자계획 세부내역 "}</definedName>
    <definedName name="영업인건배부" localSheetId="2" hidden="1">{#N/A,#N/A,FALSE,"97년 투자계획 세부내역 "}</definedName>
    <definedName name="영업인건배부" hidden="1">{#N/A,#N/A,FALSE,"97년 투자계획 세부내역 "}</definedName>
    <definedName name="영업인건비배부" localSheetId="0" hidden="1">{#N/A,#N/A,FALSE,"97년 투자계획 세부내역 "}</definedName>
    <definedName name="영업인건비배부" localSheetId="2" hidden="1">{#N/A,#N/A,FALSE,"97년 투자계획 세부내역 "}</definedName>
    <definedName name="영업인건비배부" hidden="1">{#N/A,#N/A,FALSE,"97년 투자계획 세부내역 "}</definedName>
    <definedName name="예상" localSheetId="0" hidden="1">{#N/A,#N/A,FALSE,"97년 투자계획 세부내역 "}</definedName>
    <definedName name="예상" localSheetId="2" hidden="1">{#N/A,#N/A,FALSE,"97년 투자계획 세부내역 "}</definedName>
    <definedName name="예상" hidden="1">{#N/A,#N/A,FALSE,"97년 투자계획 세부내역 "}</definedName>
    <definedName name="예상도급내역" localSheetId="0" hidden="1">{#N/A,#N/A,FALSE,"CCTV"}</definedName>
    <definedName name="예상도급내역" localSheetId="2" hidden="1">{#N/A,#N/A,FALSE,"CCTV"}</definedName>
    <definedName name="예상도급내역" hidden="1">{#N/A,#N/A,FALSE,"CCTV"}</definedName>
    <definedName name="예제_데이터" localSheetId="0">#REF!</definedName>
    <definedName name="예제_데이터" localSheetId="1">#REF!</definedName>
    <definedName name="예제_데이터" localSheetId="2">#REF!</definedName>
    <definedName name="예제_데이터" localSheetId="5">#REF!</definedName>
    <definedName name="예제_데이터" localSheetId="3">#REF!</definedName>
    <definedName name="예제_데이터">#REF!</definedName>
    <definedName name="오서방" localSheetId="0" hidden="1">{#N/A,#N/A,FALSE,"97년 투자계획 세부내역 "}</definedName>
    <definedName name="오서방" localSheetId="2" hidden="1">{#N/A,#N/A,FALSE,"97년 투자계획 세부내역 "}</definedName>
    <definedName name="오서방" hidden="1">{#N/A,#N/A,FALSE,"97년 투자계획 세부내역 "}</definedName>
    <definedName name="오세범" localSheetId="0" hidden="1">{#N/A,#N/A,FALSE,"97년 투자계획 세부내역 "}</definedName>
    <definedName name="오세범" localSheetId="2" hidden="1">{#N/A,#N/A,FALSE,"97년 투자계획 세부내역 "}</definedName>
    <definedName name="오세범" hidden="1">{#N/A,#N/A,FALSE,"97년 투자계획 세부내역 "}</definedName>
    <definedName name="오세범1" localSheetId="0" hidden="1">{#N/A,#N/A,FALSE,"97년 투자계획 세부내역 "}</definedName>
    <definedName name="오세범1" localSheetId="2" hidden="1">{#N/A,#N/A,FALSE,"97년 투자계획 세부내역 "}</definedName>
    <definedName name="오세범1" hidden="1">{#N/A,#N/A,FALSE,"97년 투자계획 세부내역 "}</definedName>
    <definedName name="오세범2" localSheetId="0" hidden="1">{#N/A,#N/A,FALSE,"97년 투자계획 세부내역 "}</definedName>
    <definedName name="오세범2" localSheetId="2" hidden="1">{#N/A,#N/A,FALSE,"97년 투자계획 세부내역 "}</definedName>
    <definedName name="오세범2" hidden="1">{#N/A,#N/A,FALSE,"97년 투자계획 세부내역 "}</definedName>
    <definedName name="오세범3" localSheetId="0" hidden="1">{#N/A,#N/A,FALSE,"97년 투자계획 세부내역 "}</definedName>
    <definedName name="오세범3" localSheetId="2" hidden="1">{#N/A,#N/A,FALSE,"97년 투자계획 세부내역 "}</definedName>
    <definedName name="오세범3" hidden="1">{#N/A,#N/A,FALSE,"97년 투자계획 세부내역 "}</definedName>
    <definedName name="완료품의" localSheetId="0">#REF!</definedName>
    <definedName name="완료품의" localSheetId="1">#REF!</definedName>
    <definedName name="완료품의" localSheetId="2">#REF!</definedName>
    <definedName name="완료품의" localSheetId="5">#REF!</definedName>
    <definedName name="완료품의" localSheetId="3">#REF!</definedName>
    <definedName name="완료품의">#REF!</definedName>
    <definedName name="우인보고표지" localSheetId="0" hidden="1">{#N/A,#N/A,FALSE,"자재관리";#N/A,#N/A,FALSE,"자재관리";#N/A,#N/A,FALSE,"자재관리"}</definedName>
    <definedName name="우인보고표지" localSheetId="2"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2" hidden="1">{#N/A,#N/A,TRUE,"자재관리";#N/A,#N/A,TRUE,"품질"}</definedName>
    <definedName name="우인표지" hidden="1">{#N/A,#N/A,TRUE,"자재관리";#N/A,#N/A,TRUE,"품질"}</definedName>
    <definedName name="우후" localSheetId="0" hidden="1">{"'별표'!$N$220"}</definedName>
    <definedName name="우후" localSheetId="2" hidden="1">{"'별표'!$N$220"}</definedName>
    <definedName name="우후" hidden="1">{"'별표'!$N$220"}</definedName>
    <definedName name="원" localSheetId="0">[31]환산!#REF!</definedName>
    <definedName name="원" localSheetId="1">[31]환산!#REF!</definedName>
    <definedName name="원" localSheetId="2">[31]환산!#REF!</definedName>
    <definedName name="원" localSheetId="5">[31]환산!#REF!</definedName>
    <definedName name="원" localSheetId="3">[31]환산!#REF!</definedName>
    <definedName name="원">[31]환산!#REF!</definedName>
    <definedName name="원가" localSheetId="0">#REF!</definedName>
    <definedName name="원가" localSheetId="1">#REF!</definedName>
    <definedName name="원가" localSheetId="2">#REF!</definedName>
    <definedName name="원가" localSheetId="5">#REF!</definedName>
    <definedName name="원가" localSheetId="3">#REF!</definedName>
    <definedName name="원가">#REF!</definedName>
    <definedName name="원가TABLE" localSheetId="0" hidden="1">{#N/A,#N/A,TRUE,"자재관리";#N/A,#N/A,TRUE,"품질"}</definedName>
    <definedName name="원가TABLE" localSheetId="2" hidden="1">{#N/A,#N/A,TRUE,"자재관리";#N/A,#N/A,TRUE,"품질"}</definedName>
    <definedName name="원가TABLE" hidden="1">{#N/A,#N/A,TRUE,"자재관리";#N/A,#N/A,TRUE,"품질"}</definedName>
    <definedName name="원본2" localSheetId="0" hidden="1">#REF!</definedName>
    <definedName name="원본2" localSheetId="2" hidden="1">#REF!</definedName>
    <definedName name="원본2" localSheetId="5" hidden="1">#REF!</definedName>
    <definedName name="원본2" localSheetId="3" hidden="1">#REF!</definedName>
    <definedName name="원본2" hidden="1">#REF!</definedName>
    <definedName name="월별매출3" localSheetId="0" hidden="1">{#N/A,#N/A,FALSE,"97년 투자계획 세부내역 "}</definedName>
    <definedName name="월별매출3" localSheetId="2" hidden="1">{#N/A,#N/A,FALSE,"97년 투자계획 세부내역 "}</definedName>
    <definedName name="월별매출3" hidden="1">{#N/A,#N/A,FALSE,"97년 투자계획 세부내역 "}</definedName>
    <definedName name="위생관리" localSheetId="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위생관리" localSheetId="2"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위생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유" localSheetId="0" hidden="1">{#N/A,#N/A,FALSE,"97년 투자계획 세부내역 "}</definedName>
    <definedName name="유" localSheetId="2" hidden="1">{#N/A,#N/A,FALSE,"97년 투자계획 세부내역 "}</definedName>
    <definedName name="유" hidden="1">{#N/A,#N/A,FALSE,"97년 투자계획 세부내역 "}</definedName>
    <definedName name="유지니" localSheetId="0" hidden="1">{#N/A,#N/A,FALSE,"97년 투자계획 세부내역 "}</definedName>
    <definedName name="유지니" localSheetId="2" hidden="1">{#N/A,#N/A,FALSE,"97년 투자계획 세부내역 "}</definedName>
    <definedName name="유지니" hidden="1">{#N/A,#N/A,FALSE,"97년 투자계획 세부내역 "}</definedName>
    <definedName name="유지니네" localSheetId="0" hidden="1">{#N/A,#N/A,FALSE,"97년 투자계획 세부내역 "}</definedName>
    <definedName name="유지니네" localSheetId="2" hidden="1">{#N/A,#N/A,FALSE,"97년 투자계획 세부내역 "}</definedName>
    <definedName name="유지니네" hidden="1">{#N/A,#N/A,FALSE,"97년 투자계획 세부내역 "}</definedName>
    <definedName name="유지니다" localSheetId="0" hidden="1">{#N/A,#N/A,FALSE,"97년 투자계획 세부내역 "}</definedName>
    <definedName name="유지니다" localSheetId="2" hidden="1">{#N/A,#N/A,FALSE,"97년 투자계획 세부내역 "}</definedName>
    <definedName name="유지니다" hidden="1">{#N/A,#N/A,FALSE,"97년 투자계획 세부내역 "}</definedName>
    <definedName name="유진" localSheetId="0" hidden="1">{#N/A,#N/A,FALSE,"이력서&amp;자기소개서"}</definedName>
    <definedName name="유진" localSheetId="2" hidden="1">{#N/A,#N/A,FALSE,"이력서&amp;자기소개서"}</definedName>
    <definedName name="유진" hidden="1">{#N/A,#N/A,FALSE,"이력서&amp;자기소개서"}</definedName>
    <definedName name="육삼시티" localSheetId="0" hidden="1">{#N/A,#N/A,FALSE,"97년 투자계획 세부내역 "}</definedName>
    <definedName name="육삼시티" localSheetId="2" hidden="1">{#N/A,#N/A,FALSE,"97년 투자계획 세부내역 "}</definedName>
    <definedName name="육삼시티" hidden="1">{#N/A,#N/A,FALSE,"97년 투자계획 세부내역 "}</definedName>
    <definedName name="을" localSheetId="0">[7]!StartSeller</definedName>
    <definedName name="을" localSheetId="1">[7]!StartSeller</definedName>
    <definedName name="을" localSheetId="2">[7]!StartSeller</definedName>
    <definedName name="을" localSheetId="5">[7]!StartSeller</definedName>
    <definedName name="을" localSheetId="3">[7]!StartSeller</definedName>
    <definedName name="을">[7]!StartSeller</definedName>
    <definedName name="이" localSheetId="0" hidden="1">{#N/A,#N/A,FALSE,"자재관리";#N/A,#N/A,FALSE,"자재관리";#N/A,#N/A,FALSE,"자재관리"}</definedName>
    <definedName name="이" localSheetId="2" hidden="1">{#N/A,#N/A,FALSE,"자재관리";#N/A,#N/A,FALSE,"자재관리";#N/A,#N/A,FALSE,"자재관리"}</definedName>
    <definedName name="이" hidden="1">{#N/A,#N/A,FALSE,"자재관리";#N/A,#N/A,FALSE,"자재관리";#N/A,#N/A,FALSE,"자재관리"}</definedName>
    <definedName name="이름" localSheetId="0">#REF!</definedName>
    <definedName name="이름" localSheetId="1">#REF!</definedName>
    <definedName name="이름" localSheetId="2">#REF!</definedName>
    <definedName name="이름" localSheetId="5">#REF!</definedName>
    <definedName name="이름" localSheetId="3">#REF!</definedName>
    <definedName name="이름">#REF!</definedName>
    <definedName name="이봉해" localSheetId="0" hidden="1">{#N/A,#N/A,FALSE,"자재관리";#N/A,#N/A,FALSE,"자재관리";#N/A,#N/A,FALSE,"자재관리"}</definedName>
    <definedName name="이봉해" localSheetId="2" hidden="1">{#N/A,#N/A,FALSE,"자재관리";#N/A,#N/A,FALSE,"자재관리";#N/A,#N/A,FALSE,"자재관리"}</definedName>
    <definedName name="이봉해" hidden="1">{#N/A,#N/A,FALSE,"자재관리";#N/A,#N/A,FALSE,"자재관리";#N/A,#N/A,FALSE,"자재관리"}</definedName>
    <definedName name="이읏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이읏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호버" localSheetId="0" hidden="1">{#N/A,#N/A,FALSE,"97년 투자계획 세부내역 "}</definedName>
    <definedName name="이호버" localSheetId="2" hidden="1">{#N/A,#N/A,FALSE,"97년 투자계획 세부내역 "}</definedName>
    <definedName name="이호버" hidden="1">{#N/A,#N/A,FALSE,"97년 투자계획 세부내역 "}</definedName>
    <definedName name="인건비" localSheetId="0">#REF!</definedName>
    <definedName name="인건비" localSheetId="1">#REF!</definedName>
    <definedName name="인건비" localSheetId="2">#REF!</definedName>
    <definedName name="인건비" localSheetId="5">#REF!</definedName>
    <definedName name="인건비" localSheetId="3">#REF!</definedName>
    <definedName name="인건비">#REF!</definedName>
    <definedName name="인건비1" localSheetId="0" hidden="1">{"'2분기예산별'!$B$2:$O$38"}</definedName>
    <definedName name="인건비1" localSheetId="2" hidden="1">{"'2분기예산별'!$B$2:$O$38"}</definedName>
    <definedName name="인건비1" hidden="1">{"'2분기예산별'!$B$2:$O$38"}</definedName>
    <definedName name="인건비내역" localSheetId="0" hidden="1">[37]내역서!#REF!</definedName>
    <definedName name="인건비내역" localSheetId="2" hidden="1">[37]내역서!#REF!</definedName>
    <definedName name="인건비내역" localSheetId="5" hidden="1">[37]내역서!#REF!</definedName>
    <definedName name="인건비내역" localSheetId="3" hidden="1">[37]내역서!#REF!</definedName>
    <definedName name="인건비내역" hidden="1">[37]내역서!#REF!</definedName>
    <definedName name="인터베스트공정" localSheetId="0">[7]!StartChart</definedName>
    <definedName name="인터베스트공정" localSheetId="1">[7]!StartChart</definedName>
    <definedName name="인터베스트공정" localSheetId="2">[7]!StartChart</definedName>
    <definedName name="인터베스트공정" localSheetId="5">[7]!StartChart</definedName>
    <definedName name="인터베스트공정" localSheetId="3">[7]!StartChart</definedName>
    <definedName name="인터베스트공정">[7]!StartChart</definedName>
    <definedName name="인터베스트스케쥴" localSheetId="0">[7]!StartSeller</definedName>
    <definedName name="인터베스트스케쥴" localSheetId="1">[7]!StartSeller</definedName>
    <definedName name="인터베스트스케쥴" localSheetId="2">[7]!StartSeller</definedName>
    <definedName name="인터베스트스케쥴" localSheetId="5">[7]!StartSeller</definedName>
    <definedName name="인터베스트스케쥴" localSheetId="3">[7]!StartSeller</definedName>
    <definedName name="인터베스트스케쥴">[7]!StartSeller</definedName>
    <definedName name="일" localSheetId="0" hidden="1">{#N/A,#N/A,FALSE,"도급대비시행율";#N/A,#N/A,FALSE,"결의서";#N/A,#N/A,FALSE,"내역서";#N/A,#N/A,FALSE,"도급예상"}</definedName>
    <definedName name="일" localSheetId="2" hidden="1">{#N/A,#N/A,FALSE,"도급대비시행율";#N/A,#N/A,FALSE,"결의서";#N/A,#N/A,FALSE,"내역서";#N/A,#N/A,FALSE,"도급예상"}</definedName>
    <definedName name="일" hidden="1">{#N/A,#N/A,FALSE,"도급대비시행율";#N/A,#N/A,FALSE,"결의서";#N/A,#N/A,FALSE,"내역서";#N/A,#N/A,FALSE,"도급예상"}</definedName>
    <definedName name="일위대가" localSheetId="0">[7]!일위대가</definedName>
    <definedName name="일위대가" localSheetId="1">[7]!일위대가</definedName>
    <definedName name="일위대가" localSheetId="2">[7]!일위대가</definedName>
    <definedName name="일위대가" localSheetId="5">[7]!일위대가</definedName>
    <definedName name="일위대가" localSheetId="3">[7]!일위대가</definedName>
    <definedName name="일위대가">[7]!일위대가</definedName>
    <definedName name="임종원" localSheetId="0">[7]!StartSeller</definedName>
    <definedName name="임종원" localSheetId="1">[7]!StartSeller</definedName>
    <definedName name="임종원" localSheetId="2">[7]!StartSeller</definedName>
    <definedName name="임종원" localSheetId="5">[7]!StartSeller</definedName>
    <definedName name="임종원" localSheetId="3">[7]!StartSeller</definedName>
    <definedName name="임종원">[7]!StartSeller</definedName>
    <definedName name="임차풀" localSheetId="0" hidden="1">{#N/A,#N/A,FALSE,"동부"}</definedName>
    <definedName name="임차풀" localSheetId="2" hidden="1">{#N/A,#N/A,FALSE,"동부"}</definedName>
    <definedName name="임차풀" hidden="1">{#N/A,#N/A,FALSE,"동부"}</definedName>
    <definedName name="ㅈ" localSheetId="0" hidden="1">{#N/A,#N/A,FALSE,"자재관리";#N/A,#N/A,FALSE,"자재관리";#N/A,#N/A,FALSE,"자재관리"}</definedName>
    <definedName name="ㅈ" localSheetId="2" hidden="1">{#N/A,#N/A,FALSE,"자재관리";#N/A,#N/A,FALSE,"자재관리";#N/A,#N/A,FALSE,"자재관리"}</definedName>
    <definedName name="ㅈ" hidden="1">{#N/A,#N/A,FALSE,"자재관리";#N/A,#N/A,FALSE,"자재관리";#N/A,#N/A,FALSE,"자재관리"}</definedName>
    <definedName name="ㅈ26" localSheetId="0">#REF!</definedName>
    <definedName name="ㅈ26" localSheetId="1">#REF!</definedName>
    <definedName name="ㅈ26" localSheetId="2">#REF!</definedName>
    <definedName name="ㅈ26" localSheetId="5">#REF!</definedName>
    <definedName name="ㅈ26" localSheetId="3">#REF!</definedName>
    <definedName name="ㅈ26">#REF!</definedName>
    <definedName name="ㅈ56ㅕ" localSheetId="0" hidden="1">{"'용역비'!$A$4:$C$8"}</definedName>
    <definedName name="ㅈ56ㅕ" localSheetId="2" hidden="1">{"'용역비'!$A$4:$C$8"}</definedName>
    <definedName name="ㅈ56ㅕ" hidden="1">{"'용역비'!$A$4:$C$8"}</definedName>
    <definedName name="ㅈㄷㄱ" localSheetId="0">[38]약품공급2!#REF!</definedName>
    <definedName name="ㅈㄷㄱ" localSheetId="1">[38]약품공급2!#REF!</definedName>
    <definedName name="ㅈㄷㄱ" localSheetId="2">[38]약품공급2!#REF!</definedName>
    <definedName name="ㅈㄷㄱ" localSheetId="5">[38]약품공급2!#REF!</definedName>
    <definedName name="ㅈㄷㄱ" localSheetId="3">[38]약품공급2!#REF!</definedName>
    <definedName name="ㅈㄷㄱ">[38]약품공급2!#REF!</definedName>
    <definedName name="ㅈㄷㄱㄷㄱㄷ" localSheetId="0" hidden="1">{"'용역비'!$A$4:$C$8"}</definedName>
    <definedName name="ㅈㄷㄱㄷㄱㄷ" localSheetId="2" hidden="1">{"'용역비'!$A$4:$C$8"}</definedName>
    <definedName name="ㅈㄷㄱㄷㄱㄷ" hidden="1">{"'용역비'!$A$4:$C$8"}</definedName>
    <definedName name="ㅈㄷㅈㄷ" localSheetId="0" hidden="1">{"'통신지'!$A$1:$J$41"}</definedName>
    <definedName name="ㅈㄷㅈㄷ" localSheetId="2" hidden="1">{"'통신지'!$A$1:$J$41"}</definedName>
    <definedName name="ㅈㄷㅈㄷ" hidden="1">{"'통신지'!$A$1:$J$41"}</definedName>
    <definedName name="ㅈㅇ" localSheetId="0" hidden="1">{"'용역비'!$A$4:$C$8"}</definedName>
    <definedName name="ㅈㅇ" localSheetId="2" hidden="1">{"'용역비'!$A$4:$C$8"}</definedName>
    <definedName name="ㅈㅇ" hidden="1">{"'용역비'!$A$4:$C$8"}</definedName>
    <definedName name="ㅈㅈㅈ" localSheetId="0">#REF!</definedName>
    <definedName name="ㅈㅈㅈ" localSheetId="1">#REF!</definedName>
    <definedName name="ㅈㅈㅈ" localSheetId="2">#REF!</definedName>
    <definedName name="ㅈㅈㅈ" localSheetId="5">#REF!</definedName>
    <definedName name="ㅈㅈㅈ" localSheetId="3">#REF!</definedName>
    <definedName name="ㅈㅈㅈ">#REF!</definedName>
    <definedName name="ㅈㅈㅈㅈㅈㅈ" localSheetId="0" hidden="1">{"'용역비'!$A$4:$C$8"}</definedName>
    <definedName name="ㅈㅈㅈㅈㅈㅈ" localSheetId="2" hidden="1">{"'용역비'!$A$4:$C$8"}</definedName>
    <definedName name="ㅈㅈㅈㅈㅈㅈ" hidden="1">{"'용역비'!$A$4:$C$8"}</definedName>
    <definedName name="자본건축총괄" localSheetId="0" hidden="1">{#N/A,#N/A,FALSE,"97년 투자계획 세부내역 "}</definedName>
    <definedName name="자본건축총괄" localSheetId="2" hidden="1">{#N/A,#N/A,FALSE,"97년 투자계획 세부내역 "}</definedName>
    <definedName name="자본건축총괄" hidden="1">{#N/A,#N/A,FALSE,"97년 투자계획 세부내역 "}</definedName>
    <definedName name="자유세" localSheetId="0">[27]납부서!#REF!</definedName>
    <definedName name="자유세" localSheetId="1">[27]납부서!#REF!</definedName>
    <definedName name="자유세" localSheetId="2">[27]납부서!#REF!</definedName>
    <definedName name="자유세" localSheetId="5">[27]납부서!#REF!</definedName>
    <definedName name="자유세" localSheetId="3">[27]납부서!#REF!</definedName>
    <definedName name="자유세">[27]납부서!#REF!</definedName>
    <definedName name="자유주민세" localSheetId="0">[27]납부서!#REF!</definedName>
    <definedName name="자유주민세" localSheetId="1">[27]납부서!#REF!</definedName>
    <definedName name="자유주민세" localSheetId="2">[27]납부서!#REF!</definedName>
    <definedName name="자유주민세" localSheetId="5">[27]납부서!#REF!</definedName>
    <definedName name="자유주민세" localSheetId="3">[27]납부서!#REF!</definedName>
    <definedName name="자유주민세">[27]납부서!#REF!</definedName>
    <definedName name="자재비" localSheetId="0">#REF!</definedName>
    <definedName name="자재비" localSheetId="1">#REF!</definedName>
    <definedName name="자재비" localSheetId="2">#REF!</definedName>
    <definedName name="자재비" localSheetId="5">#REF!</definedName>
    <definedName name="자재비" localSheetId="3">#REF!</definedName>
    <definedName name="자재비">#REF!</definedName>
    <definedName name="잔" localSheetId="0">'[18]98지급계획'!#REF!</definedName>
    <definedName name="잔" localSheetId="1">'[18]98지급계획'!#REF!</definedName>
    <definedName name="잔" localSheetId="2">'[18]98지급계획'!#REF!</definedName>
    <definedName name="잔" localSheetId="5">'[18]98지급계획'!#REF!</definedName>
    <definedName name="잔" localSheetId="3">'[18]98지급계획'!#REF!</definedName>
    <definedName name="잔">'[18]98지급계획'!#REF!</definedName>
    <definedName name="재료" localSheetId="0" hidden="1">{#N/A,#N/A,FALSE,"자재관리";#N/A,#N/A,FALSE,"자재관리";#N/A,#N/A,FALSE,"자재관리"}</definedName>
    <definedName name="재료" localSheetId="2"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2" hidden="1">{#N/A,#N/A,FALSE,"자재관리";#N/A,#N/A,FALSE,"자재관리";#N/A,#N/A,FALSE,"자재관리"}</definedName>
    <definedName name="재료비1" hidden="1">{#N/A,#N/A,FALSE,"자재관리";#N/A,#N/A,FALSE,"자재관리";#N/A,#N/A,FALSE,"자재관리"}</definedName>
    <definedName name="전" localSheetId="0" hidden="1">{#N/A,#N/A,FALSE,"97년 투자계획 세부내역 "}</definedName>
    <definedName name="전" localSheetId="2" hidden="1">{#N/A,#N/A,FALSE,"97년 투자계획 세부내역 "}</definedName>
    <definedName name="전" hidden="1">{#N/A,#N/A,FALSE,"97년 투자계획 세부내역 "}</definedName>
    <definedName name="전기" localSheetId="0" hidden="1">{#N/A,#N/A,FALSE,"97년 투자계획 세부내역 "}</definedName>
    <definedName name="전기" localSheetId="2" hidden="1">{#N/A,#N/A,FALSE,"97년 투자계획 세부내역 "}</definedName>
    <definedName name="전기" hidden="1">{#N/A,#N/A,FALSE,"97년 투자계획 세부내역 "}</definedName>
    <definedName name="전기내역" localSheetId="0" hidden="1">{#N/A,#N/A,FALSE,"CCTV"}</definedName>
    <definedName name="전기내역" localSheetId="2" hidden="1">{#N/A,#N/A,FALSE,"CCTV"}</definedName>
    <definedName name="전기내역" hidden="1">{#N/A,#N/A,FALSE,"CCTV"}</definedName>
    <definedName name="전년" localSheetId="0" hidden="1">{#N/A,#N/A,FALSE,"자재관리";#N/A,#N/A,FALSE,"자재관리";#N/A,#N/A,FALSE,"자재관리"}</definedName>
    <definedName name="전년" localSheetId="2"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2" hidden="1">{#N/A,#N/A,FALSE,"자재관리";#N/A,#N/A,FALSE,"자재관리";#N/A,#N/A,FALSE,"자재관리"}</definedName>
    <definedName name="전년월" hidden="1">{#N/A,#N/A,FALSE,"자재관리";#N/A,#N/A,FALSE,"자재관리";#N/A,#N/A,FALSE,"자재관리"}</definedName>
    <definedName name="전용원" localSheetId="0" hidden="1">{#N/A,#N/A,FALSE,"97년 투자계획 세부내역 "}</definedName>
    <definedName name="전용원" localSheetId="2" hidden="1">{#N/A,#N/A,FALSE,"97년 투자계획 세부내역 "}</definedName>
    <definedName name="전용원" hidden="1">{#N/A,#N/A,FALSE,"97년 투자계획 세부내역 "}</definedName>
    <definedName name="전화">[32]기본사항!$G$5</definedName>
    <definedName name="정리" localSheetId="0" hidden="1">{#N/A,#N/A,TRUE,"대 차 대 조 표"}</definedName>
    <definedName name="정리" localSheetId="2" hidden="1">{#N/A,#N/A,TRUE,"대 차 대 조 표"}</definedName>
    <definedName name="정리" hidden="1">{#N/A,#N/A,TRUE,"대 차 대 조 표"}</definedName>
    <definedName name="정모" localSheetId="0">[39]약품공급2!#REF!</definedName>
    <definedName name="정모" localSheetId="1">[39]약품공급2!#REF!</definedName>
    <definedName name="정모" localSheetId="2">[39]약품공급2!#REF!</definedName>
    <definedName name="정모" localSheetId="5">[39]약품공급2!#REF!</definedName>
    <definedName name="정모" localSheetId="3">[39]약품공급2!#REF!</definedName>
    <definedName name="정모">[39]약품공급2!#REF!</definedName>
    <definedName name="정산내영" localSheetId="0">#REF!</definedName>
    <definedName name="정산내영" localSheetId="1">#REF!</definedName>
    <definedName name="정산내영" localSheetId="2">#REF!</definedName>
    <definedName name="정산내영" localSheetId="5">#REF!</definedName>
    <definedName name="정산내영" localSheetId="3">#REF!</definedName>
    <definedName name="정산내영">#REF!</definedName>
    <definedName name="제경비산출표" localSheetId="0" hidden="1">{"'용역비'!$A$4:$C$8"}</definedName>
    <definedName name="제경비산출표" localSheetId="2" hidden="1">{"'용역비'!$A$4:$C$8"}</definedName>
    <definedName name="제경비산출표" hidden="1">{"'용역비'!$A$4:$C$8"}</definedName>
    <definedName name="제작비" localSheetId="0">#REF!</definedName>
    <definedName name="제작비" localSheetId="1">#REF!</definedName>
    <definedName name="제작비" localSheetId="2">#REF!</definedName>
    <definedName name="제작비" localSheetId="5">#REF!</definedName>
    <definedName name="제작비" localSheetId="3">#REF!</definedName>
    <definedName name="제작비">#REF!</definedName>
    <definedName name="제출" localSheetId="0">[7]!제출</definedName>
    <definedName name="제출" localSheetId="1">[7]!제출</definedName>
    <definedName name="제출" localSheetId="2">[7]!제출</definedName>
    <definedName name="제출" localSheetId="5">[7]!제출</definedName>
    <definedName name="제출" localSheetId="3">[7]!제출</definedName>
    <definedName name="제출">[7]!제출</definedName>
    <definedName name="조경" localSheetId="0" hidden="1">{#N/A,#N/A,FALSE,"이력서&amp;자기소개서"}</definedName>
    <definedName name="조경" localSheetId="2" hidden="1">{#N/A,#N/A,FALSE,"이력서&amp;자기소개서"}</definedName>
    <definedName name="조경" hidden="1">{#N/A,#N/A,FALSE,"이력서&amp;자기소개서"}</definedName>
    <definedName name="조창현" localSheetId="0" hidden="1">{#N/A,#N/A,FALSE,"교리2"}</definedName>
    <definedName name="조창현" localSheetId="2" hidden="1">{#N/A,#N/A,FALSE,"교리2"}</definedName>
    <definedName name="조창현" hidden="1">{#N/A,#N/A,FALSE,"교리2"}</definedName>
    <definedName name="좋아" localSheetId="0">[7]!좋아</definedName>
    <definedName name="좋아" localSheetId="1">[7]!좋아</definedName>
    <definedName name="좋아" localSheetId="2">[7]!좋아</definedName>
    <definedName name="좋아" localSheetId="5">[7]!좋아</definedName>
    <definedName name="좋아" localSheetId="3">[7]!좋아</definedName>
    <definedName name="좋아">[7]!좋아</definedName>
    <definedName name="주" localSheetId="0">[7]!주</definedName>
    <definedName name="주" localSheetId="1">[7]!주</definedName>
    <definedName name="주" localSheetId="2">[7]!주</definedName>
    <definedName name="주" localSheetId="5">[7]!주</definedName>
    <definedName name="주" localSheetId="3">[7]!주</definedName>
    <definedName name="주">[7]!주</definedName>
    <definedName name="주당매매가액">[36]입력!$G$20</definedName>
    <definedName name="주당액면가액">[36]입력!$G$19</definedName>
    <definedName name="중앙" localSheetId="0">[7]!StartSeller</definedName>
    <definedName name="중앙" localSheetId="1">[7]!StartSeller</definedName>
    <definedName name="중앙" localSheetId="2">[7]!StartSeller</definedName>
    <definedName name="중앙" localSheetId="5">[7]!StartSeller</definedName>
    <definedName name="중앙" localSheetId="3">[7]!StartSeller</definedName>
    <definedName name="중앙">[7]!StartSeller</definedName>
    <definedName name="증감분석96계획95실적" localSheetId="0" hidden="1">{#N/A,#N/A,FALSE,"97년 투자계획 세부내역 "}</definedName>
    <definedName name="증감분석96계획95실적" localSheetId="2" hidden="1">{#N/A,#N/A,FALSE,"97년 투자계획 세부내역 "}</definedName>
    <definedName name="증감분석96계획95실적" hidden="1">{#N/A,#N/A,FALSE,"97년 투자계획 세부내역 "}</definedName>
    <definedName name="증감비교" localSheetId="0">'[40]Customer Databas'!#REF!</definedName>
    <definedName name="증감비교" localSheetId="1">'[40]Customer Databas'!#REF!</definedName>
    <definedName name="증감비교" localSheetId="2">'[40]Customer Databas'!#REF!</definedName>
    <definedName name="증감비교" localSheetId="5">'[40]Customer Databas'!#REF!</definedName>
    <definedName name="증감비교" localSheetId="3">'[40]Customer Databas'!#REF!</definedName>
    <definedName name="증감비교">'[40]Customer Databas'!#REF!</definedName>
    <definedName name="지원동" localSheetId="0" hidden="1">{#N/A,#N/A,TRUE,"대 차 대 조 표"}</definedName>
    <definedName name="지원동" localSheetId="2" hidden="1">{#N/A,#N/A,TRUE,"대 차 대 조 표"}</definedName>
    <definedName name="지원동" hidden="1">{#N/A,#N/A,TRUE,"대 차 대 조 표"}</definedName>
    <definedName name="직매54P" localSheetId="0" hidden="1">{#N/A,#N/A,TRUE,"토적및재료집계";#N/A,#N/A,TRUE,"토적및재료집계";#N/A,#N/A,TRUE,"단위량"}</definedName>
    <definedName name="직매54P" localSheetId="2" hidden="1">{#N/A,#N/A,TRUE,"토적및재료집계";#N/A,#N/A,TRUE,"토적및재료집계";#N/A,#N/A,TRUE,"단위량"}</definedName>
    <definedName name="직매54P" hidden="1">{#N/A,#N/A,TRUE,"토적및재료집계";#N/A,#N/A,TRUE,"토적및재료집계";#N/A,#N/A,TRUE,"단위량"}</definedName>
    <definedName name="직재" localSheetId="0" hidden="1">{"'용역비'!$A$4:$C$8"}</definedName>
    <definedName name="직재" localSheetId="2" hidden="1">{"'용역비'!$A$4:$C$8"}</definedName>
    <definedName name="직재" hidden="1">{"'용역비'!$A$4:$C$8"}</definedName>
    <definedName name="직접경비1" localSheetId="0" hidden="1">{"'용역비'!$A$4:$C$8"}</definedName>
    <definedName name="직접경비1" localSheetId="2" hidden="1">{"'용역비'!$A$4:$C$8"}</definedName>
    <definedName name="직접경비1" hidden="1">{"'용역비'!$A$4:$C$8"}</definedName>
    <definedName name="직접인건비A" localSheetId="0" hidden="1">{"'2분기예산별'!$B$2:$O$38"}</definedName>
    <definedName name="직접인건비A" localSheetId="2" hidden="1">{"'2분기예산별'!$B$2:$O$38"}</definedName>
    <definedName name="직접인건비A" hidden="1">{"'2분기예산별'!$B$2:$O$38"}</definedName>
    <definedName name="직접인건비세부내역A" localSheetId="0" hidden="1">{"'2분기예산별'!$B$2:$O$38"}</definedName>
    <definedName name="직접인건비세부내역A" localSheetId="2" hidden="1">{"'2분기예산별'!$B$2:$O$38"}</definedName>
    <definedName name="직접인건비세부내역A" hidden="1">{"'2분기예산별'!$B$2:$O$38"}</definedName>
    <definedName name="직종별" localSheetId="0">#REF!</definedName>
    <definedName name="직종별" localSheetId="1">#REF!</definedName>
    <definedName name="직종별" localSheetId="2">#REF!</definedName>
    <definedName name="직종별" localSheetId="5">#REF!</definedName>
    <definedName name="직종별" localSheetId="3">#REF!</definedName>
    <definedName name="직종별">#REF!</definedName>
    <definedName name="직종별1">[41]asd!$B$1:$B$65536</definedName>
    <definedName name="진우1" localSheetId="0" hidden="1">{#N/A,#N/A,FALSE,"자재관리";#N/A,#N/A,FALSE,"자재관리";#N/A,#N/A,FALSE,"자재관리"}</definedName>
    <definedName name="진우1" localSheetId="2" hidden="1">{#N/A,#N/A,FALSE,"자재관리";#N/A,#N/A,FALSE,"자재관리";#N/A,#N/A,FALSE,"자재관리"}</definedName>
    <definedName name="진우1" hidden="1">{#N/A,#N/A,FALSE,"자재관리";#N/A,#N/A,FALSE,"자재관리";#N/A,#N/A,FALSE,"자재관리"}</definedName>
    <definedName name="진행사항보고.xls" localSheetId="0" hidden="1">{#N/A,#N/A,FALSE,"97년 투자계획 세부내역 "}</definedName>
    <definedName name="진행사항보고.xls" localSheetId="2" hidden="1">{#N/A,#N/A,FALSE,"97년 투자계획 세부내역 "}</definedName>
    <definedName name="진행사항보고.xls" hidden="1">{#N/A,#N/A,FALSE,"97년 투자계획 세부내역 "}</definedName>
    <definedName name="ㅊㅊㅊ" localSheetId="0">[7]!StartSeller</definedName>
    <definedName name="ㅊㅊㅊ" localSheetId="1">[7]!StartSeller</definedName>
    <definedName name="ㅊㅊㅊ" localSheetId="2">[7]!StartSeller</definedName>
    <definedName name="ㅊㅊㅊ" localSheetId="5">[7]!StartSeller</definedName>
    <definedName name="ㅊㅊㅊ" localSheetId="3">[7]!StartSeller</definedName>
    <definedName name="ㅊㅊㅊ">[7]!StartSeller</definedName>
    <definedName name="차량SVC" localSheetId="0" hidden="1">{#N/A,#N/A,FALSE,"UNIT";#N/A,#N/A,FALSE,"UNIT";#N/A,#N/A,FALSE,"계정"}</definedName>
    <definedName name="차량SVC" localSheetId="2" hidden="1">{#N/A,#N/A,FALSE,"UNIT";#N/A,#N/A,FALSE,"UNIT";#N/A,#N/A,FALSE,"계정"}</definedName>
    <definedName name="차량SVC" hidden="1">{#N/A,#N/A,FALSE,"UNIT";#N/A,#N/A,FALSE,"UNIT";#N/A,#N/A,FALSE,"계정"}</definedName>
    <definedName name="천" localSheetId="0">[31]환산!#REF!</definedName>
    <definedName name="천" localSheetId="1">[31]환산!#REF!</definedName>
    <definedName name="천" localSheetId="2">[31]환산!#REF!</definedName>
    <definedName name="천" localSheetId="5">[31]환산!#REF!</definedName>
    <definedName name="천" localSheetId="3">[31]환산!#REF!</definedName>
    <definedName name="천">[31]환산!#REF!</definedName>
    <definedName name="체육관" localSheetId="0" hidden="1">{#N/A,#N/A,TRUE,"대 차 대 조 표"}</definedName>
    <definedName name="체육관" localSheetId="2" hidden="1">{#N/A,#N/A,TRUE,"대 차 대 조 표"}</definedName>
    <definedName name="체육관" hidden="1">{#N/A,#N/A,TRUE,"대 차 대 조 표"}</definedName>
    <definedName name="총" localSheetId="0" hidden="1">{#N/A,#N/A,FALSE,"이력서&amp;자기소개서"}</definedName>
    <definedName name="총" localSheetId="2" hidden="1">{#N/A,#N/A,FALSE,"이력서&amp;자기소개서"}</definedName>
    <definedName name="총" hidden="1">{#N/A,#N/A,FALSE,"이력서&amp;자기소개서"}</definedName>
    <definedName name="총괄표" localSheetId="0" hidden="1">{"'2분기예산별'!$B$2:$O$38"}</definedName>
    <definedName name="총괄표" localSheetId="2" hidden="1">{"'2분기예산별'!$B$2:$O$38"}</definedName>
    <definedName name="총괄표" hidden="1">{"'2분기예산별'!$B$2:$O$38"}</definedName>
    <definedName name="총매매가액">[36]입력!$G$23</definedName>
    <definedName name="최종" localSheetId="0">[7]!최종</definedName>
    <definedName name="최종" localSheetId="1">[7]!최종</definedName>
    <definedName name="최종" localSheetId="2">[7]!최종</definedName>
    <definedName name="최종" localSheetId="5">[7]!최종</definedName>
    <definedName name="최종" localSheetId="3">[7]!최종</definedName>
    <definedName name="최종">[7]!최종</definedName>
    <definedName name="최종분" localSheetId="0" hidden="1">{#N/A,#N/A,TRUE,"대 차 대 조 표"}</definedName>
    <definedName name="최종분" localSheetId="2" hidden="1">{#N/A,#N/A,TRUE,"대 차 대 조 표"}</definedName>
    <definedName name="최종분" hidden="1">{#N/A,#N/A,TRUE,"대 차 대 조 표"}</definedName>
    <definedName name="추진">[42]갑지!$A$1:$R$47</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치" localSheetId="0" hidden="1">{#N/A,#N/A,FALSE,"97년 투자계획 세부내역 "}</definedName>
    <definedName name="치" localSheetId="2" hidden="1">{#N/A,#N/A,FALSE,"97년 투자계획 세부내역 "}</definedName>
    <definedName name="치" hidden="1">{#N/A,#N/A,FALSE,"97년 투자계획 세부내역 "}</definedName>
    <definedName name="ㅋㅋㅋ"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0" hidden="1">{#N/A,#N/A,TRUE,"대 차 대 조 표"}</definedName>
    <definedName name="ㅋㅋㅋㅋ" localSheetId="2" hidden="1">{#N/A,#N/A,TRUE,"대 차 대 조 표"}</definedName>
    <definedName name="ㅋㅋㅋㅋ" hidden="1">{#N/A,#N/A,TRUE,"대 차 대 조 표"}</definedName>
    <definedName name="ㅋㅌ" localSheetId="0" hidden="1">{"'용역비'!$A$4:$C$8"}</definedName>
    <definedName name="ㅋㅌ" localSheetId="2" hidden="1">{"'용역비'!$A$4:$C$8"}</definedName>
    <definedName name="ㅋㅌ" hidden="1">{"'용역비'!$A$4:$C$8"}</definedName>
    <definedName name="케이블간지" localSheetId="0" hidden="1">{#N/A,#N/A,TRUE,"토적및재료집계";#N/A,#N/A,TRUE,"토적및재료집계";#N/A,#N/A,TRUE,"단위량"}</definedName>
    <definedName name="케이블간지" localSheetId="2" hidden="1">{#N/A,#N/A,TRUE,"토적및재료집계";#N/A,#N/A,TRUE,"토적및재료집계";#N/A,#N/A,TRUE,"단위량"}</definedName>
    <definedName name="케이블간지" hidden="1">{#N/A,#N/A,TRUE,"토적및재료집계";#N/A,#N/A,TRUE,"토적및재료집계";#N/A,#N/A,TRUE,"단위량"}</definedName>
    <definedName name="코크랩총괄예산" localSheetId="0" hidden="1">{#N/A,#N/A,FALSE,"이력서&amp;자기소개서"}</definedName>
    <definedName name="코크랩총괄예산" localSheetId="2" hidden="1">{#N/A,#N/A,FALSE,"이력서&amp;자기소개서"}</definedName>
    <definedName name="코크랩총괄예산" hidden="1">{#N/A,#N/A,FALSE,"이력서&amp;자기소개서"}</definedName>
    <definedName name="ㅌㅇㅁ너롬ㅈ" localSheetId="0">[7]!ㅌㅇㅁ너롬ㅈ</definedName>
    <definedName name="ㅌㅇㅁ너롬ㅈ" localSheetId="1">[7]!ㅌㅇㅁ너롬ㅈ</definedName>
    <definedName name="ㅌㅇㅁ너롬ㅈ" localSheetId="2">[7]!ㅌㅇㅁ너롬ㅈ</definedName>
    <definedName name="ㅌㅇㅁ너롬ㅈ" localSheetId="5">[7]!ㅌㅇㅁ너롬ㅈ</definedName>
    <definedName name="ㅌㅇㅁ너롬ㅈ" localSheetId="3">[7]!ㅌㅇㅁ너롬ㅈ</definedName>
    <definedName name="ㅌㅇㅁ너롬ㅈ">[7]!ㅌㅇㅁ너롬ㅈ</definedName>
    <definedName name="ㅌㅍㅊㅇㅌㅎ" localSheetId="0"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hidden="1">{#N/A,#N/A,FALSE,"도급대비시행율";#N/A,#N/A,FALSE,"결의서";#N/A,#N/A,FALSE,"내역서";#N/A,#N/A,FALSE,"도급예상"}</definedName>
    <definedName name="통합본관" localSheetId="0" hidden="1">#REF!</definedName>
    <definedName name="통합본관" localSheetId="2" hidden="1">#REF!</definedName>
    <definedName name="통합본관" localSheetId="5" hidden="1">#REF!</definedName>
    <definedName name="통합본관" localSheetId="3" hidden="1">#REF!</definedName>
    <definedName name="통합본관" hidden="1">#REF!</definedName>
    <definedName name="퇴직세" localSheetId="0">[27]납부서!#REF!</definedName>
    <definedName name="퇴직세" localSheetId="1">[27]납부서!#REF!</definedName>
    <definedName name="퇴직세" localSheetId="2">[27]납부서!#REF!</definedName>
    <definedName name="퇴직세" localSheetId="5">[27]납부서!#REF!</definedName>
    <definedName name="퇴직세" localSheetId="3">[27]납부서!#REF!</definedName>
    <definedName name="퇴직세">[27]납부서!#REF!</definedName>
    <definedName name="퇴직주민세" localSheetId="0">[27]납부서!#REF!</definedName>
    <definedName name="퇴직주민세" localSheetId="1">[27]납부서!#REF!</definedName>
    <definedName name="퇴직주민세" localSheetId="2">[27]납부서!#REF!</definedName>
    <definedName name="퇴직주민세" localSheetId="5">[27]납부서!#REF!</definedName>
    <definedName name="퇴직주민세" localSheetId="3">[27]납부서!#REF!</definedName>
    <definedName name="퇴직주민세">[27]납부서!#REF!</definedName>
    <definedName name="투자" localSheetId="0" hidden="1">{#N/A,#N/A,FALSE,"97년 투자계획 세부내역 "}</definedName>
    <definedName name="투자" localSheetId="2" hidden="1">{#N/A,#N/A,FALSE,"97년 투자계획 세부내역 "}</definedName>
    <definedName name="투자" hidden="1">{#N/A,#N/A,FALSE,"97년 투자계획 세부내역 "}</definedName>
    <definedName name="투자및자재" localSheetId="0" hidden="1">{#N/A,#N/A,FALSE,"자재관리";#N/A,#N/A,FALSE,"자재관리";#N/A,#N/A,FALSE,"자재관리"}</definedName>
    <definedName name="투자및자재" localSheetId="2"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2"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2" hidden="1">{#N/A,#N/A,FALSE,"자재관리";#N/A,#N/A,FALSE,"자재관리";#N/A,#N/A,FALSE,"자재관리"}</definedName>
    <definedName name="팀별" hidden="1">{#N/A,#N/A,FALSE,"자재관리";#N/A,#N/A,FALSE,"자재관리";#N/A,#N/A,FALSE,"자재관리"}</definedName>
    <definedName name="판매액" localSheetId="0">#REF!</definedName>
    <definedName name="판매액" localSheetId="1">#REF!</definedName>
    <definedName name="판매액" localSheetId="2">#REF!</definedName>
    <definedName name="판매액" localSheetId="5">#REF!</definedName>
    <definedName name="판매액" localSheetId="3">#REF!</definedName>
    <definedName name="판매액">#REF!</definedName>
    <definedName name="펌프장" localSheetId="0">[39]약품공급2!#REF!</definedName>
    <definedName name="펌프장" localSheetId="1">[39]약품공급2!#REF!</definedName>
    <definedName name="펌프장" localSheetId="2">[39]약품공급2!#REF!</definedName>
    <definedName name="펌프장" localSheetId="5">[39]약품공급2!#REF!</definedName>
    <definedName name="펌프장" localSheetId="3">[39]약품공급2!#REF!</definedName>
    <definedName name="펌프장">[39]약품공급2!#REF!</definedName>
    <definedName name="평균이자율" localSheetId="0" hidden="1">[43]이자율!#REF!</definedName>
    <definedName name="평균이자율" localSheetId="2" hidden="1">[43]이자율!#REF!</definedName>
    <definedName name="평균이자율" localSheetId="5" hidden="1">[43]이자율!#REF!</definedName>
    <definedName name="평균이자율" localSheetId="3" hidden="1">[43]이자율!#REF!</definedName>
    <definedName name="평균이자율" hidden="1">[43]이자율!#REF!</definedName>
    <definedName name="포스코" localSheetId="0" hidden="1">{#N/A,#N/A,TRUE,"대 차 대 조 표"}</definedName>
    <definedName name="포스코" localSheetId="2" hidden="1">{#N/A,#N/A,TRUE,"대 차 대 조 표"}</definedName>
    <definedName name="포스코" hidden="1">{#N/A,#N/A,TRUE,"대 차 대 조 표"}</definedName>
    <definedName name="표지" localSheetId="0" hidden="1">{#N/A,#N/A,FALSE,"동부"}</definedName>
    <definedName name="표지" localSheetId="2" hidden="1">{#N/A,#N/A,FALSE,"동부"}</definedName>
    <definedName name="표지" hidden="1">{#N/A,#N/A,FALSE,"동부"}</definedName>
    <definedName name="표지1" localSheetId="0" hidden="1">{#N/A,#N/A,FALSE,"자재관리";#N/A,#N/A,FALSE,"자재관리";#N/A,#N/A,FALSE,"자재관리"}</definedName>
    <definedName name="표지1" localSheetId="2" hidden="1">{#N/A,#N/A,FALSE,"자재관리";#N/A,#N/A,FALSE,"자재관리";#N/A,#N/A,FALSE,"자재관리"}</definedName>
    <definedName name="표지1" hidden="1">{#N/A,#N/A,FALSE,"자재관리";#N/A,#N/A,FALSE,"자재관리";#N/A,#N/A,FALSE,"자재관리"}</definedName>
    <definedName name="풀" localSheetId="0" hidden="1">{#N/A,#N/A,FALSE,"동부"}</definedName>
    <definedName name="풀" localSheetId="2" hidden="1">{#N/A,#N/A,FALSE,"동부"}</definedName>
    <definedName name="풀" hidden="1">{#N/A,#N/A,FALSE,"동부"}</definedName>
    <definedName name="품_______명" localSheetId="0">#REF!</definedName>
    <definedName name="품_______명" localSheetId="1">#REF!</definedName>
    <definedName name="품_______명" localSheetId="2">#REF!</definedName>
    <definedName name="품_______명" localSheetId="5">#REF!</definedName>
    <definedName name="품_______명" localSheetId="3">#REF!</definedName>
    <definedName name="품_______명">#REF!</definedName>
    <definedName name="품위서" localSheetId="0">#REF!</definedName>
    <definedName name="품위서" localSheetId="1">#REF!</definedName>
    <definedName name="품위서" localSheetId="2">#REF!</definedName>
    <definedName name="품위서" localSheetId="5">#REF!</definedName>
    <definedName name="품위서" localSheetId="3">#REF!</definedName>
    <definedName name="품위서">#REF!</definedName>
    <definedName name="ㅎ" localSheetId="0" hidden="1">{#N/A,#N/A,TRUE,"자재관리";#N/A,#N/A,TRUE,"품질"}</definedName>
    <definedName name="ㅎ" localSheetId="2" hidden="1">{#N/A,#N/A,TRUE,"자재관리";#N/A,#N/A,TRUE,"품질"}</definedName>
    <definedName name="ㅎ" hidden="1">{#N/A,#N/A,TRUE,"자재관리";#N/A,#N/A,TRUE,"품질"}</definedName>
    <definedName name="ㅎㄱ" localSheetId="0" hidden="1">{"'용역비'!$A$4:$C$8"}</definedName>
    <definedName name="ㅎㄱ" localSheetId="2" hidden="1">{"'용역비'!$A$4:$C$8"}</definedName>
    <definedName name="ㅎㄱ" hidden="1">{"'용역비'!$A$4:$C$8"}</definedName>
    <definedName name="ㅎㄱㅎ" localSheetId="0" hidden="1">{"'용역비'!$A$4:$C$8"}</definedName>
    <definedName name="ㅎㄱㅎ" localSheetId="2" hidden="1">{"'용역비'!$A$4:$C$8"}</definedName>
    <definedName name="ㅎㄱㅎ" hidden="1">{"'용역비'!$A$4:$C$8"}</definedName>
    <definedName name="ㅎㄱㅎㄱㅎㄱㅎ" localSheetId="0" hidden="1">{"'용역비'!$A$4:$C$8"}</definedName>
    <definedName name="ㅎㄱㅎㄱㅎㄱㅎ" localSheetId="2" hidden="1">{"'용역비'!$A$4:$C$8"}</definedName>
    <definedName name="ㅎㄱㅎㄱㅎㄱㅎ" hidden="1">{"'용역비'!$A$4:$C$8"}</definedName>
    <definedName name="ㅎㄹㄴ" localSheetId="0" hidden="1">{#N/A,#N/A,FALSE,"97년 투자계획 세부내역 "}</definedName>
    <definedName name="ㅎㄹㄴ" localSheetId="2" hidden="1">{#N/A,#N/A,FALSE,"97년 투자계획 세부내역 "}</definedName>
    <definedName name="ㅎㄹㄴ" hidden="1">{#N/A,#N/A,FALSE,"97년 투자계획 세부내역 "}</definedName>
    <definedName name="ㅎㅀㅀㅀㅀㄹ" localSheetId="0" hidden="1">{#N/A,#N/A,FALSE,"CCTV"}</definedName>
    <definedName name="ㅎㅀㅀㅀㅀㄹ" localSheetId="2" hidden="1">{#N/A,#N/A,FALSE,"CCTV"}</definedName>
    <definedName name="ㅎㅀㅀㅀㅀㄹ" hidden="1">{#N/A,#N/A,FALSE,"CCTV"}</definedName>
    <definedName name="ㅎㅇ" localSheetId="0" hidden="1">{"'용역비'!$A$4:$C$8"}</definedName>
    <definedName name="ㅎㅇ" localSheetId="2" hidden="1">{"'용역비'!$A$4:$C$8"}</definedName>
    <definedName name="ㅎㅇ" hidden="1">{"'용역비'!$A$4:$C$8"}</definedName>
    <definedName name="ㅎ오" localSheetId="0" hidden="1">{"'용역비'!$A$4:$C$8"}</definedName>
    <definedName name="ㅎ오" localSheetId="2" hidden="1">{"'용역비'!$A$4:$C$8"}</definedName>
    <definedName name="ㅎ오" hidden="1">{"'용역비'!$A$4:$C$8"}</definedName>
    <definedName name="ㅎㅎㅎㅎㅎㅎㅎ" localSheetId="0" hidden="1">{#N/A,#N/A,FALSE,"교리2"}</definedName>
    <definedName name="ㅎㅎㅎㅎㅎㅎㅎ" localSheetId="2" hidden="1">{#N/A,#N/A,FALSE,"교리2"}</definedName>
    <definedName name="ㅎㅎㅎㅎㅎㅎㅎ" hidden="1">{#N/A,#N/A,FALSE,"교리2"}</definedName>
    <definedName name="하도업체명">#N/A</definedName>
    <definedName name="하도원가" localSheetId="0">#REF!</definedName>
    <definedName name="하도원가" localSheetId="1">#REF!</definedName>
    <definedName name="하도원가" localSheetId="2">#REF!</definedName>
    <definedName name="하도원가" localSheetId="5">#REF!</definedName>
    <definedName name="하도원가" localSheetId="3">#REF!</definedName>
    <definedName name="하도원가">#REF!</definedName>
    <definedName name="하이" localSheetId="0" hidden="1">[44]내역서!#REF!</definedName>
    <definedName name="하이" localSheetId="2" hidden="1">[44]내역서!#REF!</definedName>
    <definedName name="하이" localSheetId="5" hidden="1">[44]내역서!#REF!</definedName>
    <definedName name="하이" localSheetId="3" hidden="1">[44]내역서!#REF!</definedName>
    <definedName name="하이" hidden="1">[44]내역서!#REF!</definedName>
    <definedName name="할증율" localSheetId="0">#REF!</definedName>
    <definedName name="할증율" localSheetId="1">#REF!</definedName>
    <definedName name="할증율" localSheetId="2">#REF!</definedName>
    <definedName name="할증율" localSheetId="5">#REF!</definedName>
    <definedName name="할증율" localSheetId="3">#REF!</definedName>
    <definedName name="할증율">#REF!</definedName>
    <definedName name="함안" localSheetId="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함안" localSheetId="2"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함안"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현대산업" localSheetId="0">[7]!현대산업</definedName>
    <definedName name="현대산업" localSheetId="1">[7]!현대산업</definedName>
    <definedName name="현대산업" localSheetId="2">[7]!현대산업</definedName>
    <definedName name="현대산업" localSheetId="5">[7]!현대산업</definedName>
    <definedName name="현대산업" localSheetId="3">[7]!현대산업</definedName>
    <definedName name="현대산업">[7]!현대산업</definedName>
    <definedName name="현조" localSheetId="0" hidden="1">#REF!</definedName>
    <definedName name="현조" localSheetId="2" hidden="1">#REF!</definedName>
    <definedName name="현조" localSheetId="5" hidden="1">#REF!</definedName>
    <definedName name="현조" localSheetId="3" hidden="1">#REF!</definedName>
    <definedName name="현조" hidden="1">#REF!</definedName>
    <definedName name="현찰계약금">#N/A</definedName>
    <definedName name="호ㅓ" localSheetId="0" hidden="1">{"'용역비'!$A$4:$C$8"}</definedName>
    <definedName name="호ㅓ" localSheetId="2" hidden="1">{"'용역비'!$A$4:$C$8"}</definedName>
    <definedName name="호ㅓ" hidden="1">{"'용역비'!$A$4:$C$8"}</definedName>
    <definedName name="홈에버用" localSheetId="0" hidden="1">{#N/A,#N/A,FALSE,"손익표지";#N/A,#N/A,FALSE,"손익계산";#N/A,#N/A,FALSE,"일반관리비";#N/A,#N/A,FALSE,"영업외수익";#N/A,#N/A,FALSE,"영업외비용";#N/A,#N/A,FALSE,"매출액";#N/A,#N/A,FALSE,"요약손익";#N/A,#N/A,FALSE,"요약대차";#N/A,#N/A,FALSE,"매출채권현황";#N/A,#N/A,FALSE,"매출채권명세"}</definedName>
    <definedName name="홈에버用"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홈에버用" hidden="1">{#N/A,#N/A,FALSE,"손익표지";#N/A,#N/A,FALSE,"손익계산";#N/A,#N/A,FALSE,"일반관리비";#N/A,#N/A,FALSE,"영업외수익";#N/A,#N/A,FALSE,"영업외비용";#N/A,#N/A,FALSE,"매출액";#N/A,#N/A,FALSE,"요약손익";#N/A,#N/A,FALSE,"요약대차";#N/A,#N/A,FALSE,"매출채권현황";#N/A,#N/A,FALSE,"매출채권명세"}</definedName>
    <definedName name="홍ㅇ호" localSheetId="0" hidden="1">{"'용역비'!$A$4:$C$8"}</definedName>
    <definedName name="홍ㅇ호" localSheetId="2" hidden="1">{"'용역비'!$A$4:$C$8"}</definedName>
    <definedName name="홍ㅇ호" hidden="1">{"'용역비'!$A$4:$C$8"}</definedName>
    <definedName name="환경관리" localSheetId="0"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환경관리" localSheetId="2"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환경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ㅏㅊ험ㅎ" localSheetId="0">#REF!</definedName>
    <definedName name="ㅏㅊ험ㅎ" localSheetId="1">#REF!</definedName>
    <definedName name="ㅏㅊ험ㅎ" localSheetId="2">#REF!</definedName>
    <definedName name="ㅏㅊ험ㅎ" localSheetId="5">#REF!</definedName>
    <definedName name="ㅏㅊ험ㅎ" localSheetId="3">#REF!</definedName>
    <definedName name="ㅏㅊ험ㅎ">#REF!</definedName>
    <definedName name="ㅏㅏ" localSheetId="0" hidden="1">{#N/A,#N/A,FALSE,"이력서&amp;자기소개서"}</definedName>
    <definedName name="ㅏㅏ" localSheetId="2" hidden="1">{#N/A,#N/A,FALSE,"이력서&amp;자기소개서"}</definedName>
    <definedName name="ㅏㅏ" hidden="1">{#N/A,#N/A,FALSE,"이력서&amp;자기소개서"}</definedName>
    <definedName name="ㅏㅏㅏ" localSheetId="0" hidden="1">{"'Sheet1'!$E$23","'Sheet1'!$A$3:$H$19","'Sheet1'!$A$1:$H$19"}</definedName>
    <definedName name="ㅏㅏㅏ" localSheetId="2"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2" hidden="1">{#N/A,#N/A,FALSE,"전력간선"}</definedName>
    <definedName name="ㅏㅓㅗ" hidden="1">{#N/A,#N/A,FALSE,"전력간선"}</definedName>
    <definedName name="ㅑㅑ" localSheetId="0" hidden="1">{"'용역비'!$A$4:$C$8"}</definedName>
    <definedName name="ㅑㅑ" localSheetId="2" hidden="1">{"'용역비'!$A$4:$C$8"}</definedName>
    <definedName name="ㅑㅑ" hidden="1">{"'용역비'!$A$4:$C$8"}</definedName>
    <definedName name="ㅑㅑㅑ" localSheetId="0" hidden="1">{"'용역비'!$A$4:$C$8"}</definedName>
    <definedName name="ㅑㅑㅑ" localSheetId="2" hidden="1">{"'용역비'!$A$4:$C$8"}</definedName>
    <definedName name="ㅑㅑㅑ" hidden="1">{"'용역비'!$A$4:$C$8"}</definedName>
    <definedName name="ㅑㅑㅑㅑㅑ" localSheetId="0" hidden="1">{"'용역비'!$A$4:$C$8"}</definedName>
    <definedName name="ㅑㅑㅑㅑㅑ" localSheetId="2" hidden="1">{"'용역비'!$A$4:$C$8"}</definedName>
    <definedName name="ㅑㅑㅑㅑㅑ" hidden="1">{"'용역비'!$A$4:$C$8"}</definedName>
    <definedName name="ㅑㅑㅑㅑㅑㅑ" localSheetId="0" hidden="1">{"'용역비'!$A$4:$C$8"}</definedName>
    <definedName name="ㅑㅑㅑㅑㅑㅑ" localSheetId="2" hidden="1">{"'용역비'!$A$4:$C$8"}</definedName>
    <definedName name="ㅑㅑㅑㅑㅑㅑ" hidden="1">{"'용역비'!$A$4:$C$8"}</definedName>
    <definedName name="ㅑㅕㅕ" localSheetId="0" hidden="1">{"'용역비'!$A$4:$C$8"}</definedName>
    <definedName name="ㅑㅕㅕ" localSheetId="2" hidden="1">{"'용역비'!$A$4:$C$8"}</definedName>
    <definedName name="ㅑㅕㅕ" hidden="1">{"'용역비'!$A$4:$C$8"}</definedName>
    <definedName name="ㅓㅓㅓ" localSheetId="0" hidden="1">{#N/A,#N/A,FALSE,"97년 투자계획 세부내역 "}</definedName>
    <definedName name="ㅓㅓㅓ" localSheetId="2" hidden="1">{#N/A,#N/A,FALSE,"97년 투자계획 세부내역 "}</definedName>
    <definedName name="ㅓㅓㅓ" hidden="1">{#N/A,#N/A,FALSE,"97년 투자계획 세부내역 "}</definedName>
    <definedName name="ㅓㅕㅗㅓ" localSheetId="0">[7]!ㅓㅕㅗㅓ</definedName>
    <definedName name="ㅓㅕㅗㅓ" localSheetId="1">[7]!ㅓㅕㅗㅓ</definedName>
    <definedName name="ㅓㅕㅗㅓ" localSheetId="2">[7]!ㅓㅕㅗㅓ</definedName>
    <definedName name="ㅓㅕㅗㅓ" localSheetId="5">[7]!ㅓㅕㅗㅓ</definedName>
    <definedName name="ㅓㅕㅗㅓ" localSheetId="3">[7]!ㅓㅕㅗㅓ</definedName>
    <definedName name="ㅓㅕㅗㅓ">[7]!ㅓㅕㅗㅓ</definedName>
    <definedName name="ㅔㅣ" localSheetId="0" hidden="1">{"'용역비'!$A$4:$C$8"}</definedName>
    <definedName name="ㅔㅣ" localSheetId="2" hidden="1">{"'용역비'!$A$4:$C$8"}</definedName>
    <definedName name="ㅔㅣ" hidden="1">{"'용역비'!$A$4:$C$8"}</definedName>
    <definedName name="ㅛ" localSheetId="0" hidden="1">{#N/A,#N/A,FALSE,"자재관리";#N/A,#N/A,FALSE,"자재관리";#N/A,#N/A,FALSE,"자재관리"}</definedName>
    <definedName name="ㅛ" localSheetId="2" hidden="1">{#N/A,#N/A,FALSE,"자재관리";#N/A,#N/A,FALSE,"자재관리";#N/A,#N/A,FALSE,"자재관리"}</definedName>
    <definedName name="ㅛ" hidden="1">{#N/A,#N/A,FALSE,"자재관리";#N/A,#N/A,FALSE,"자재관리";#N/A,#N/A,FALSE,"자재관리"}</definedName>
    <definedName name="ㅛㅛ" localSheetId="0" hidden="1">{"'용역비'!$A$4:$C$8"}</definedName>
    <definedName name="ㅛㅛ" localSheetId="2" hidden="1">{"'용역비'!$A$4:$C$8"}</definedName>
    <definedName name="ㅛㅛ" hidden="1">{"'용역비'!$A$4:$C$8"}</definedName>
    <definedName name="ㅛㅛㅛ"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ㅛㅛㅛ"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ㅛㅛㅛ" hidden="1">{#N/A,#N/A,FALSE,"손익표지";#N/A,#N/A,FALSE,"손익계산";#N/A,#N/A,FALSE,"일반관리비";#N/A,#N/A,FALSE,"영업외수익";#N/A,#N/A,FALSE,"영업외비용";#N/A,#N/A,FALSE,"매출액";#N/A,#N/A,FALSE,"요약손익";#N/A,#N/A,FALSE,"요약대차";#N/A,#N/A,FALSE,"매출채권현황";#N/A,#N/A,FALSE,"매출채권명세"}</definedName>
    <definedName name="ㅜㅊ4263"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ㅜㅊ426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hidden="1">{#N/A,#N/A,FALSE,"CCTV"}</definedName>
    <definedName name="ㅠㄱ" localSheetId="0" hidden="1">{"'용역비'!$A$4:$C$8"}</definedName>
    <definedName name="ㅠㄱ" localSheetId="2" hidden="1">{"'용역비'!$A$4:$C$8"}</definedName>
    <definedName name="ㅠㄱ" hidden="1">{"'용역비'!$A$4:$C$8"}</definedName>
    <definedName name="ㅠㅠㅠ" localSheetId="0" hidden="1">{#N/A,#N/A,FALSE,"동부"}</definedName>
    <definedName name="ㅠㅠㅠ" localSheetId="2" hidden="1">{#N/A,#N/A,FALSE,"동부"}</definedName>
    <definedName name="ㅠㅠㅠ" hidden="1">{#N/A,#N/A,FALSE,"동부"}</definedName>
    <definedName name="ㅡㅗ" localSheetId="0" hidden="1">{#N/A,#N/A,FALSE,"전력간선"}</definedName>
    <definedName name="ㅡㅗ" localSheetId="2" hidden="1">{#N/A,#N/A,FALSE,"전력간선"}</definedName>
    <definedName name="ㅡㅗ" hidden="1">{#N/A,#N/A,FALSE,"전력간선"}</definedName>
    <definedName name="ㅡㅡ" localSheetId="0" hidden="1">{"'용역비'!$A$4:$C$8"}</definedName>
    <definedName name="ㅡㅡ" localSheetId="2" hidden="1">{"'용역비'!$A$4:$C$8"}</definedName>
    <definedName name="ㅡㅡ" hidden="1">{"'용역비'!$A$4:$C$8"}</definedName>
    <definedName name="ㅡㅡㅡ" localSheetId="0">[7]!ㅡㅡㅡ</definedName>
    <definedName name="ㅡㅡㅡ" localSheetId="1">[7]!ㅡㅡㅡ</definedName>
    <definedName name="ㅡㅡㅡ" localSheetId="2">[7]!ㅡㅡㅡ</definedName>
    <definedName name="ㅡㅡㅡ" localSheetId="5">[7]!ㅡㅡㅡ</definedName>
    <definedName name="ㅡㅡㅡ" localSheetId="3">[7]!ㅡㅡㅡ</definedName>
    <definedName name="ㅡㅡㅡ">[7]!ㅡㅡㅡ</definedName>
    <definedName name="ㅣ394" localSheetId="0">#REF!</definedName>
    <definedName name="ㅣ394" localSheetId="1">#REF!</definedName>
    <definedName name="ㅣ394" localSheetId="2">#REF!</definedName>
    <definedName name="ㅣ394" localSheetId="5">#REF!</definedName>
    <definedName name="ㅣ394" localSheetId="3">#REF!</definedName>
    <definedName name="ㅣ394">#REF!</definedName>
    <definedName name="ㅣㅏㅏ" localSheetId="0" hidden="1">{#N/A,#N/A,FALSE,"97년 투자계획 세부내역 "}</definedName>
    <definedName name="ㅣㅏㅏ" localSheetId="2" hidden="1">{#N/A,#N/A,FALSE,"97년 투자계획 세부내역 "}</definedName>
    <definedName name="ㅣㅏㅏ" hidden="1">{#N/A,#N/A,FALSE,"97년 투자계획 세부내역 "}</definedName>
    <definedName name="ㅣㅣㅣ" hidden="1">25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4" i="3" l="1"/>
  <c r="N23" i="3"/>
  <c r="L25" i="3"/>
  <c r="N25" i="3" s="1"/>
  <c r="K25" i="3"/>
  <c r="L24" i="3"/>
  <c r="K24" i="3"/>
  <c r="L23" i="3"/>
  <c r="K23" i="3"/>
  <c r="K22" i="3"/>
  <c r="K26" i="3" s="1"/>
  <c r="L21" i="3"/>
  <c r="N21" i="3" s="1"/>
  <c r="K21" i="3"/>
  <c r="L20" i="3"/>
  <c r="N20" i="3" s="1"/>
  <c r="K20" i="3"/>
  <c r="L19" i="3"/>
  <c r="N19" i="3" s="1"/>
  <c r="K19" i="3"/>
  <c r="K18" i="3"/>
  <c r="L12" i="3"/>
  <c r="D16" i="2" s="1"/>
  <c r="L11" i="3"/>
  <c r="M11" i="3" s="1"/>
  <c r="N11" i="3" s="1"/>
  <c r="L10" i="3"/>
  <c r="M10" i="3" s="1"/>
  <c r="N10" i="3" s="1"/>
  <c r="L8" i="3"/>
  <c r="D12" i="2" s="1"/>
  <c r="L7" i="3"/>
  <c r="D11" i="2" s="1"/>
  <c r="L6" i="3"/>
  <c r="D10" i="2" s="1"/>
  <c r="K12" i="3"/>
  <c r="K11" i="3"/>
  <c r="K10" i="3"/>
  <c r="K9" i="3"/>
  <c r="C13" i="2" s="1"/>
  <c r="K8" i="3"/>
  <c r="K7" i="3"/>
  <c r="K6" i="3"/>
  <c r="K5" i="3"/>
  <c r="C9" i="2" s="1"/>
  <c r="A17" i="2"/>
  <c r="A13" i="2"/>
  <c r="A9" i="2"/>
  <c r="M12" i="3" l="1"/>
  <c r="N12" i="3"/>
  <c r="F16" i="2" s="1"/>
  <c r="M8" i="3"/>
  <c r="E12" i="2" s="1"/>
  <c r="M6" i="3"/>
  <c r="N6" i="3" s="1"/>
  <c r="M7" i="3"/>
  <c r="N7" i="3" s="1"/>
  <c r="E15" i="2"/>
  <c r="E14" i="2"/>
  <c r="K13" i="3"/>
  <c r="C17" i="2" s="1"/>
  <c r="L18" i="3"/>
  <c r="L22" i="3"/>
  <c r="N18" i="3"/>
  <c r="N22" i="3"/>
  <c r="K27" i="3"/>
  <c r="N27" i="3" s="1"/>
  <c r="L27" i="3"/>
  <c r="L14" i="3"/>
  <c r="L5" i="3"/>
  <c r="K14" i="3"/>
  <c r="E16" i="2"/>
  <c r="L9" i="3"/>
  <c r="D13" i="2" s="1"/>
  <c r="D14" i="2"/>
  <c r="D15" i="2"/>
  <c r="E11" i="2" l="1"/>
  <c r="N8" i="3"/>
  <c r="N5" i="3" s="1"/>
  <c r="E10" i="2"/>
  <c r="L26" i="3"/>
  <c r="L15" i="3"/>
  <c r="D19" i="2" s="1"/>
  <c r="L28" i="3"/>
  <c r="C18" i="2"/>
  <c r="L13" i="3"/>
  <c r="D17" i="2" s="1"/>
  <c r="M14" i="3"/>
  <c r="E18" i="2" s="1"/>
  <c r="N9" i="3"/>
  <c r="D18" i="2"/>
  <c r="D9" i="2"/>
  <c r="N26" i="3" l="1"/>
  <c r="N28" i="3" s="1"/>
  <c r="N14" i="3"/>
  <c r="N13" i="3" l="1"/>
  <c r="F17" i="2" s="1"/>
  <c r="F18" i="2"/>
  <c r="N15" i="3" l="1"/>
  <c r="N29" i="3" s="1"/>
  <c r="M29" i="3" s="1"/>
  <c r="F15" i="2" l="1"/>
  <c r="F14" i="2"/>
  <c r="F11" i="2"/>
  <c r="F12" i="2"/>
  <c r="F13" i="2" l="1"/>
  <c r="C16" i="2"/>
  <c r="C15" i="2"/>
  <c r="C14" i="2"/>
  <c r="C11" i="2"/>
  <c r="C12" i="2"/>
  <c r="C10" i="2"/>
  <c r="F9" i="2" l="1"/>
  <c r="F10" i="2"/>
  <c r="F19" i="2" l="1"/>
  <c r="F20" i="2" l="1"/>
  <c r="F21" i="2" s="1"/>
  <c r="B3" i="2" s="1"/>
</calcChain>
</file>

<file path=xl/sharedStrings.xml><?xml version="1.0" encoding="utf-8"?>
<sst xmlns="http://schemas.openxmlformats.org/spreadsheetml/2006/main" count="245" uniqueCount="128">
  <si>
    <t>7~30면</t>
    <phoneticPr fontId="2" type="noConversion"/>
  </si>
  <si>
    <t>2~3면</t>
    <phoneticPr fontId="2" type="noConversion"/>
  </si>
  <si>
    <t>4~6면</t>
    <phoneticPr fontId="2" type="noConversion"/>
  </si>
  <si>
    <t>월납</t>
    <phoneticPr fontId="2" type="noConversion"/>
  </si>
  <si>
    <t>견     적     서</t>
  </si>
  <si>
    <t>귀중</t>
    <phoneticPr fontId="2" type="noConversion"/>
  </si>
  <si>
    <t>사업자등록번호 : 707 - 86 - 02404</t>
    <phoneticPr fontId="2" type="noConversion"/>
  </si>
  <si>
    <t>견적 금액 :</t>
    <phoneticPr fontId="10" type="noConversion"/>
  </si>
  <si>
    <t xml:space="preserve">상호 : ㈜에스앤아이코퍼레이션         대표자 : 형 원 준     </t>
    <phoneticPr fontId="2" type="noConversion"/>
  </si>
  <si>
    <t>견적 제출일자 :</t>
    <phoneticPr fontId="2" type="noConversion"/>
  </si>
  <si>
    <t>주소 : 서울 강서구 마곡중앙로 150 D&amp;O강서사옥</t>
    <phoneticPr fontId="2" type="noConversion"/>
  </si>
  <si>
    <t xml:space="preserve">견적 유효기간 : </t>
    <phoneticPr fontId="2" type="noConversion"/>
  </si>
  <si>
    <t>견적 제출일로부터 30일</t>
    <phoneticPr fontId="10" type="noConversion"/>
  </si>
  <si>
    <t>T. 1661-1119  www.sni.co.kr</t>
    <phoneticPr fontId="2" type="noConversion"/>
  </si>
  <si>
    <t>비  고</t>
    <phoneticPr fontId="10" type="noConversion"/>
  </si>
  <si>
    <t>단가</t>
  </si>
  <si>
    <t>금    액</t>
    <phoneticPr fontId="10" type="noConversion"/>
  </si>
  <si>
    <t>36개월약정</t>
    <phoneticPr fontId="2" type="noConversion"/>
  </si>
  <si>
    <t>60개월약정</t>
    <phoneticPr fontId="2" type="noConversion"/>
  </si>
  <si>
    <t>구      분</t>
    <phoneticPr fontId="10" type="noConversion"/>
  </si>
  <si>
    <t>구   분</t>
    <phoneticPr fontId="10" type="noConversion"/>
  </si>
  <si>
    <t>B1F</t>
    <phoneticPr fontId="2" type="noConversion"/>
  </si>
  <si>
    <t>B2F</t>
  </si>
  <si>
    <t>B3F</t>
  </si>
  <si>
    <t>B4F</t>
  </si>
  <si>
    <t>B5F</t>
  </si>
  <si>
    <t>B6F</t>
  </si>
  <si>
    <t>B7F</t>
  </si>
  <si>
    <t>기타</t>
    <phoneticPr fontId="2" type="noConversion"/>
  </si>
  <si>
    <t>24개월약정</t>
    <phoneticPr fontId="2" type="noConversion"/>
  </si>
  <si>
    <t>정기점검</t>
    <phoneticPr fontId="2" type="noConversion"/>
  </si>
  <si>
    <t>소모품/부속품교체비용</t>
    <phoneticPr fontId="2" type="noConversion"/>
  </si>
  <si>
    <t>일시납</t>
    <phoneticPr fontId="2" type="noConversion"/>
  </si>
  <si>
    <t>대금지급조건</t>
    <phoneticPr fontId="2" type="noConversion"/>
  </si>
  <si>
    <t>[옵션] 정기점검서비스</t>
    <phoneticPr fontId="2" type="noConversion"/>
  </si>
  <si>
    <t>구분</t>
    <phoneticPr fontId="2" type="noConversion"/>
  </si>
  <si>
    <t>고객부담금 (주차1면당)</t>
    <phoneticPr fontId="2" type="noConversion"/>
  </si>
  <si>
    <t>월 11,000원
(VAT별도)</t>
    <phoneticPr fontId="2" type="noConversion"/>
  </si>
  <si>
    <t>12,000,000원/1면
(VAT별도)</t>
    <phoneticPr fontId="2" type="noConversion"/>
  </si>
  <si>
    <t>11,000,000원/1면
(VAT별도)</t>
    <phoneticPr fontId="2" type="noConversion"/>
  </si>
  <si>
    <r>
      <t xml:space="preserve">9,000,000원/1면
</t>
    </r>
    <r>
      <rPr>
        <sz val="11"/>
        <color theme="1"/>
        <rFont val="맑은 고딕"/>
        <family val="3"/>
        <charset val="129"/>
        <scheme val="minor"/>
      </rPr>
      <t>(VAT별도)</t>
    </r>
    <phoneticPr fontId="2" type="noConversion"/>
  </si>
  <si>
    <t>■ 연속 주차면수가 4면~6면인 상품</t>
    <phoneticPr fontId="2" type="noConversion"/>
  </si>
  <si>
    <t>■ 연속 주차면수가 2면~3면인 상품</t>
    <phoneticPr fontId="2" type="noConversion"/>
  </si>
  <si>
    <t>■ 연속 주차면수가 7면~30면인 상품</t>
    <phoneticPr fontId="2" type="noConversion"/>
  </si>
  <si>
    <r>
      <t xml:space="preserve">13,500,000원/1면
</t>
    </r>
    <r>
      <rPr>
        <sz val="11"/>
        <color theme="1"/>
        <rFont val="맑은 고딕"/>
        <family val="3"/>
        <charset val="129"/>
        <scheme val="minor"/>
      </rPr>
      <t>(VAT별도)</t>
    </r>
    <phoneticPr fontId="2" type="noConversion"/>
  </si>
  <si>
    <t>16,000,000원/1면
(VAT별도)</t>
    <phoneticPr fontId="2" type="noConversion"/>
  </si>
  <si>
    <t>19,500,000원/1면
(VAT별도)</t>
    <phoneticPr fontId="2" type="noConversion"/>
  </si>
  <si>
    <r>
      <t xml:space="preserve">10,000,000원/1면
</t>
    </r>
    <r>
      <rPr>
        <sz val="11"/>
        <color theme="1"/>
        <rFont val="맑은 고딕"/>
        <family val="3"/>
        <charset val="129"/>
        <scheme val="minor"/>
      </rPr>
      <t>(VAT별도)</t>
    </r>
    <phoneticPr fontId="2" type="noConversion"/>
  </si>
  <si>
    <t>11,500,000원/1면
(VAT별도)</t>
    <phoneticPr fontId="2" type="noConversion"/>
  </si>
  <si>
    <t>13,500,000원/1면
(VAT별도)</t>
    <phoneticPr fontId="2" type="noConversion"/>
  </si>
  <si>
    <t>36개월 분납</t>
    <phoneticPr fontId="2" type="noConversion"/>
  </si>
  <si>
    <t>60개월 분납</t>
    <phoneticPr fontId="2" type="noConversion"/>
  </si>
  <si>
    <t>무상 1년</t>
    <phoneticPr fontId="2" type="noConversion"/>
  </si>
  <si>
    <t>무상 3년</t>
    <phoneticPr fontId="2" type="noConversion"/>
  </si>
  <si>
    <t>무상 5년</t>
    <phoneticPr fontId="2" type="noConversion"/>
  </si>
  <si>
    <t>고객 부담</t>
    <phoneticPr fontId="2" type="noConversion"/>
  </si>
  <si>
    <t>3년 12회 포함</t>
    <phoneticPr fontId="2" type="noConversion"/>
  </si>
  <si>
    <t>5년 20회 포함</t>
    <phoneticPr fontId="2" type="noConversion"/>
  </si>
  <si>
    <t>년 4회 포함</t>
    <phoneticPr fontId="2" type="noConversion"/>
  </si>
  <si>
    <t>월 50,000원
(VAT별도)</t>
    <phoneticPr fontId="2" type="noConversion"/>
  </si>
  <si>
    <t>월 20,000원
(VAT별도)</t>
    <phoneticPr fontId="2" type="noConversion"/>
  </si>
  <si>
    <t>[추가 비용이 발생할 수 있는 경우]</t>
    <phoneticPr fontId="2" type="noConversion"/>
  </si>
  <si>
    <t>[연속 주차면수 이해]</t>
    <phoneticPr fontId="2" type="noConversion"/>
  </si>
  <si>
    <t xml:space="preserve">  1. 1면 공사의 경우는 공사단가가 지나치게 높아서 상품화하지 못하였습니다.</t>
    <phoneticPr fontId="2" type="noConversion"/>
  </si>
  <si>
    <t xml:space="preserve">   2. 설치 여건에 따라서 추가적인 비용이 발생합니다.</t>
    <phoneticPr fontId="2" type="noConversion"/>
  </si>
  <si>
    <t>1. [옵션] 정기점검서비스는 약정기간 만료 후, 점검을 원하시는 경우 참고하실 수 있는 금액입니다. 약정 종료 시점에 물가 및 임금 인상율에 따라서 변동될 수 있습니다.</t>
    <phoneticPr fontId="2" type="noConversion"/>
  </si>
  <si>
    <t>B1F</t>
  </si>
  <si>
    <t>노즐플레이트 공사</t>
    <phoneticPr fontId="10" type="noConversion"/>
  </si>
  <si>
    <t>정기점검 서비스</t>
    <phoneticPr fontId="10" type="noConversion"/>
  </si>
  <si>
    <t>"노플공사+점검" 구간별 면당 판매가</t>
    <phoneticPr fontId="10" type="noConversion"/>
  </si>
  <si>
    <t>원격관제공사 구간별 면당 판매가</t>
    <phoneticPr fontId="10" type="noConversion"/>
  </si>
  <si>
    <t>원격관제 공사</t>
    <phoneticPr fontId="10" type="noConversion"/>
  </si>
  <si>
    <t>원격관제 서비스 (RMS)</t>
    <phoneticPr fontId="10" type="noConversion"/>
  </si>
  <si>
    <t>원격관제 서비스 (AI CCTV)</t>
    <phoneticPr fontId="10" type="noConversion"/>
  </si>
  <si>
    <t>면수</t>
    <phoneticPr fontId="10" type="noConversion"/>
  </si>
  <si>
    <t>공사매출</t>
    <phoneticPr fontId="10" type="noConversion"/>
  </si>
  <si>
    <t>공사원가</t>
    <phoneticPr fontId="10" type="noConversion"/>
  </si>
  <si>
    <t>면당 원가</t>
    <phoneticPr fontId="10" type="noConversion"/>
  </si>
  <si>
    <t>월매출</t>
    <phoneticPr fontId="10" type="noConversion"/>
  </si>
  <si>
    <t>면당 판매가(단품)</t>
    <phoneticPr fontId="10" type="noConversion"/>
  </si>
  <si>
    <t>월원가</t>
    <phoneticPr fontId="10" type="noConversion"/>
  </si>
  <si>
    <t>[▶1 Step] 기본상품 약정 입력</t>
    <phoneticPr fontId="10" type="noConversion"/>
  </si>
  <si>
    <t>[▶2 Step] 권장상품 약정 입력</t>
    <phoneticPr fontId="10" type="noConversion"/>
  </si>
  <si>
    <t>전기차 진화 시스템</t>
    <phoneticPr fontId="2" type="noConversion"/>
  </si>
  <si>
    <t>원격 관제 시스템</t>
    <phoneticPr fontId="2" type="noConversion"/>
  </si>
  <si>
    <t>[▶3 Step] 설치장소 및 필요수량(연속공간 기준) 입력</t>
    <phoneticPr fontId="10" type="noConversion"/>
  </si>
  <si>
    <t>지하 층위치</t>
    <phoneticPr fontId="2" type="noConversion"/>
  </si>
  <si>
    <t>연속된 주차면수</t>
    <phoneticPr fontId="2" type="noConversion"/>
  </si>
  <si>
    <t>[참고]
① 연속된 주차면수는 한 줄로 연결된 주차공간을 지칭하며, 층을 달리하거나 
    주차장의 동측과 서측 등으로 분리된 경우는 별도의 연속 주차면수로 인식합니다.
② 주차면수 30면을 초과하는 경우는 S&amp;I corp. 담당자와 상의하여 주십시오.	
③ 주차면수 1면 상품은 고객 수용단가를 맞출 수 없어서 판매를 할 수 없습니다.</t>
    <phoneticPr fontId="2" type="noConversion"/>
  </si>
  <si>
    <t>(단위:원)</t>
    <phoneticPr fontId="2" type="noConversion"/>
  </si>
  <si>
    <t>(단위: 원)</t>
    <phoneticPr fontId="10" type="noConversion"/>
  </si>
  <si>
    <t>영업 담당자
(소속/성명)</t>
    <phoneticPr fontId="10" type="noConversion"/>
  </si>
  <si>
    <t>부가가치세</t>
    <phoneticPr fontId="10" type="noConversion"/>
  </si>
  <si>
    <t>공 급 가 액</t>
    <phoneticPr fontId="10" type="noConversion"/>
  </si>
  <si>
    <t>공 급 가 액</t>
    <phoneticPr fontId="15" type="noConversion"/>
  </si>
  <si>
    <t>공 급 대 가</t>
    <phoneticPr fontId="15" type="noConversion"/>
  </si>
  <si>
    <t>주차면 수</t>
    <phoneticPr fontId="10" type="noConversion"/>
  </si>
  <si>
    <t>참고 사항</t>
    <phoneticPr fontId="11" type="noConversion"/>
  </si>
  <si>
    <t>약정 개월
/ 층 위치</t>
    <phoneticPr fontId="2" type="noConversion"/>
  </si>
  <si>
    <t>약정 개월
/ 층 위치</t>
    <phoneticPr fontId="10" type="noConversion"/>
  </si>
  <si>
    <t xml:space="preserve"> ① 상기 견적은 연속적으로 연결된 주차면수를 기준으로 책정되었습니다.
 ② 기본 공사 조건( 급수배관거리 50m, 분전반거리 50m )으로 산출된 견적으로,  급수배관 및 분전반의 거리가
     기본 조건을 초과하거나 급수배관이 적정압력(4kg/㎠) 이하일 경우는 가압 설비 등 추가 비용이 발생될 수
     있습니다.</t>
    <phoneticPr fontId="10" type="noConversion"/>
  </si>
  <si>
    <t>■ 견적 내역</t>
    <phoneticPr fontId="2" type="noConversion"/>
  </si>
  <si>
    <t>■ 견적 시뮬레이터</t>
    <phoneticPr fontId="2" type="noConversion"/>
  </si>
  <si>
    <t xml:space="preserve">■ 전기차 진화 시스템 (주차 1면당 금액) </t>
    <phoneticPr fontId="2" type="noConversion"/>
  </si>
  <si>
    <t>무약정</t>
    <phoneticPr fontId="2" type="noConversion"/>
  </si>
  <si>
    <t>36개월 약정</t>
    <phoneticPr fontId="2" type="noConversion"/>
  </si>
  <si>
    <t>60개월 약정</t>
    <phoneticPr fontId="2" type="noConversion"/>
  </si>
  <si>
    <t>2~3면 규모</t>
    <phoneticPr fontId="2" type="noConversion"/>
  </si>
  <si>
    <t>4~6면 규모</t>
    <phoneticPr fontId="2" type="noConversion"/>
  </si>
  <si>
    <t>7~30면 규모</t>
    <phoneticPr fontId="2" type="noConversion"/>
  </si>
  <si>
    <t>(단위: 원,VAT별도)</t>
    <phoneticPr fontId="2" type="noConversion"/>
  </si>
  <si>
    <t xml:space="preserve">■ 원격관제시스템 월 운영서비스료 (주차 1면당 금액) </t>
    <phoneticPr fontId="2" type="noConversion"/>
  </si>
  <si>
    <t xml:space="preserve">■ 원격 관제 시스템 (주차 1면당 금액) </t>
    <phoneticPr fontId="2" type="noConversion"/>
  </si>
  <si>
    <t>3. 원격관제시스템 월 운영서비스료</t>
    <phoneticPr fontId="10" type="noConversion"/>
  </si>
  <si>
    <t>1. 전기차 진화 시스템 구축비</t>
    <phoneticPr fontId="10" type="noConversion"/>
  </si>
  <si>
    <t>2. 원격 관제 시스템 구축비</t>
    <phoneticPr fontId="10" type="noConversion"/>
  </si>
  <si>
    <t>※ 포함내용 : 년 4회 점검</t>
    <phoneticPr fontId="2" type="noConversion"/>
  </si>
  <si>
    <t>※ 미포함내용 : 시스템 유지관리에 필요한 소모품 및 부속품 교체 비용</t>
    <phoneticPr fontId="2" type="noConversion"/>
  </si>
  <si>
    <t>□ 정기점검 월 서비스료 (주차 1면당 금액)</t>
    <phoneticPr fontId="2" type="noConversion"/>
  </si>
  <si>
    <t>■ 직영 및 채널 판매가격 (대외비)</t>
    <phoneticPr fontId="2" type="noConversion"/>
  </si>
  <si>
    <t>■ 샌디몰 표준판매가격</t>
    <phoneticPr fontId="2" type="noConversion"/>
  </si>
  <si>
    <t>무약정</t>
    <phoneticPr fontId="10" type="noConversion"/>
  </si>
  <si>
    <t>3년약정</t>
    <phoneticPr fontId="10" type="noConversion"/>
  </si>
  <si>
    <t>5년약정</t>
    <phoneticPr fontId="10" type="noConversion"/>
  </si>
  <si>
    <t>2년약정</t>
    <phoneticPr fontId="10" type="noConversion"/>
  </si>
  <si>
    <t>단가</t>
    <phoneticPr fontId="2" type="noConversion"/>
  </si>
  <si>
    <t>매 출 원 가</t>
    <phoneticPr fontId="10" type="noConversion"/>
  </si>
  <si>
    <t>매총1</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</si>
</sst>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176" formatCode="yyyy&quot;년&quot;\ m&quot;월&quot;\ d&quot;일&quot;;@"/>
    <numFmt numFmtId="177" formatCode="&quot;₩&quot;#,##0"/>
    <numFmt numFmtId="178" formatCode="[DBNum4]&quot;일&quot;&quot;금&quot;[$-412]General&quot;원&quot;&quot;정&quot;"/>
    <numFmt numFmtId="179" formatCode="#,##0_ "/>
    <numFmt numFmtId="180" formatCode="0_);[Red]\(0\)"/>
    <numFmt numFmtId="182" formatCode="General\ &quot;개월&quot;"/>
  </numFmts>
  <fonts count="30">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name val="돋움"/>
      <family val="3"/>
      <charset val="129"/>
    </font>
    <font>
      <b/>
      <sz val="28"/>
      <name val="Pretendard"/>
      <family val="3"/>
      <charset val="129"/>
    </font>
    <font>
      <sz val="11"/>
      <color theme="1"/>
      <name val="Pretendard"/>
      <family val="3"/>
      <charset val="129"/>
    </font>
    <font>
      <sz val="12"/>
      <color theme="1"/>
      <name val="바탕체"/>
      <family val="2"/>
      <charset val="129"/>
    </font>
    <font>
      <sz val="10"/>
      <color theme="1"/>
      <name val="Pretendard"/>
      <family val="3"/>
      <charset val="129"/>
    </font>
    <font>
      <b/>
      <sz val="10"/>
      <name val="Pretendard"/>
      <family val="3"/>
      <charset val="129"/>
    </font>
    <font>
      <sz val="10"/>
      <name val="Pretendard"/>
      <family val="3"/>
      <charset val="129"/>
    </font>
    <font>
      <sz val="8"/>
      <name val="바탕체"/>
      <family val="2"/>
      <charset val="129"/>
    </font>
    <font>
      <sz val="8"/>
      <name val="돋움"/>
      <family val="3"/>
      <charset val="129"/>
    </font>
    <font>
      <sz val="12"/>
      <name val="바탕체"/>
      <family val="1"/>
      <charset val="129"/>
    </font>
    <font>
      <sz val="10"/>
      <name val="Arial"/>
      <family val="2"/>
    </font>
    <font>
      <b/>
      <sz val="12"/>
      <name val="Pretendard"/>
      <family val="3"/>
      <charset val="129"/>
    </font>
    <font>
      <sz val="8"/>
      <name val="HY울릉도L"/>
      <family val="1"/>
      <charset val="129"/>
    </font>
    <font>
      <sz val="9"/>
      <color rgb="FF000000"/>
      <name val="Malgun Gothic"/>
      <family val="3"/>
      <charset val="129"/>
    </font>
    <font>
      <sz val="11"/>
      <color theme="1"/>
      <name val="맑은 고딕"/>
      <family val="3"/>
      <charset val="129"/>
      <scheme val="minor"/>
    </font>
    <font>
      <b/>
      <sz val="12"/>
      <color theme="1"/>
      <name val="맑은 고딕"/>
      <family val="3"/>
      <charset val="129"/>
      <scheme val="minor"/>
    </font>
    <font>
      <sz val="11"/>
      <name val="맑은 고딕"/>
      <family val="3"/>
      <charset val="129"/>
      <scheme val="minor"/>
    </font>
    <font>
      <b/>
      <sz val="14"/>
      <color theme="1"/>
      <name val="맑은 고딕"/>
      <family val="3"/>
      <charset val="129"/>
      <scheme val="minor"/>
    </font>
    <font>
      <b/>
      <sz val="12"/>
      <name val="맑은 고딕"/>
      <family val="3"/>
      <charset val="129"/>
      <scheme val="minor"/>
    </font>
    <font>
      <b/>
      <sz val="11"/>
      <color theme="0"/>
      <name val="맑은 고딕"/>
      <family val="3"/>
      <charset val="129"/>
      <scheme val="minor"/>
    </font>
    <font>
      <b/>
      <sz val="11"/>
      <color theme="1"/>
      <name val="맑은 고딕"/>
      <family val="3"/>
      <charset val="129"/>
      <scheme val="minor"/>
    </font>
    <font>
      <b/>
      <sz val="16"/>
      <color theme="1"/>
      <name val="맑은 고딕"/>
      <family val="3"/>
      <charset val="129"/>
      <scheme val="minor"/>
    </font>
    <font>
      <sz val="12"/>
      <color theme="1"/>
      <name val="맑은 고딕"/>
      <family val="3"/>
      <charset val="129"/>
      <scheme val="minor"/>
    </font>
    <font>
      <b/>
      <sz val="11"/>
      <name val="Pretendard"/>
      <family val="3"/>
      <charset val="129"/>
    </font>
    <font>
      <sz val="11"/>
      <name val="Pretendard"/>
      <family val="3"/>
      <charset val="129"/>
    </font>
    <font>
      <b/>
      <sz val="11"/>
      <color theme="1"/>
      <name val="Pretendard"/>
      <family val="3"/>
      <charset val="129"/>
    </font>
    <font>
      <sz val="10"/>
      <color theme="1"/>
      <name val="맑은 고딕"/>
      <family val="3"/>
      <charset val="129"/>
      <scheme val="minor"/>
    </font>
  </fonts>
  <fills count="12">
    <fill>
      <patternFill patternType="none"/>
    </fill>
    <fill>
      <patternFill patternType="gray125"/>
    </fill>
    <fill>
      <patternFill patternType="solid">
        <fgColor theme="4" tint="0.79998168889431442"/>
        <bgColor indexed="64"/>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92D050"/>
        <bgColor indexed="64"/>
      </patternFill>
    </fill>
    <fill>
      <patternFill patternType="solid">
        <fgColor theme="1" tint="0.34998626667073579"/>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auto="1"/>
      </bottom>
      <diagonal/>
    </border>
    <border>
      <left style="thin">
        <color indexed="64"/>
      </left>
      <right style="thin">
        <color indexed="64"/>
      </right>
      <top style="hair">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0"/>
      </bottom>
      <diagonal/>
    </border>
    <border>
      <left style="thin">
        <color theme="0"/>
      </left>
      <right style="thin">
        <color theme="1"/>
      </right>
      <top style="thin">
        <color theme="1"/>
      </top>
      <bottom style="thin">
        <color theme="1"/>
      </bottom>
      <diagonal/>
    </border>
    <border>
      <left style="thin">
        <color theme="1"/>
      </left>
      <right style="thin">
        <color theme="0"/>
      </right>
      <top style="thin">
        <color theme="1"/>
      </top>
      <bottom style="thin">
        <color theme="1"/>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indexed="64"/>
      </left>
      <right style="thin">
        <color indexed="64"/>
      </right>
      <top style="hair">
        <color indexed="64"/>
      </top>
      <bottom/>
      <diagonal/>
    </border>
    <border>
      <left style="hair">
        <color indexed="64"/>
      </left>
      <right style="thin">
        <color indexed="64"/>
      </right>
      <top/>
      <bottom/>
      <diagonal/>
    </border>
    <border>
      <left style="hair">
        <color indexed="64"/>
      </left>
      <right style="thin">
        <color indexed="64"/>
      </right>
      <top/>
      <bottom style="thin">
        <color indexed="64"/>
      </bottom>
      <diagonal/>
    </border>
    <border>
      <left style="hair">
        <color indexed="64"/>
      </left>
      <right style="thin">
        <color indexed="64"/>
      </right>
      <top style="hair">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s>
  <cellStyleXfs count="10">
    <xf numFmtId="0" fontId="0" fillId="0" borderId="0">
      <alignment vertical="center"/>
    </xf>
    <xf numFmtId="41" fontId="1" fillId="0" borderId="0" applyFont="0" applyFill="0" applyBorder="0" applyAlignment="0" applyProtection="0">
      <alignment vertical="center"/>
    </xf>
    <xf numFmtId="41" fontId="3" fillId="0" borderId="0" applyFont="0" applyFill="0" applyBorder="0" applyAlignment="0" applyProtection="0">
      <alignment vertical="center"/>
    </xf>
    <xf numFmtId="0" fontId="1" fillId="0" borderId="0">
      <alignment vertical="center"/>
    </xf>
    <xf numFmtId="0" fontId="6" fillId="0" borderId="0">
      <alignment vertical="center"/>
    </xf>
    <xf numFmtId="41" fontId="6" fillId="0" borderId="0" applyFont="0" applyFill="0" applyBorder="0" applyAlignment="0" applyProtection="0">
      <alignment vertical="center"/>
    </xf>
    <xf numFmtId="0" fontId="12" fillId="0" borderId="0"/>
    <xf numFmtId="0" fontId="13" fillId="0" borderId="0"/>
    <xf numFmtId="9" fontId="6" fillId="0" borderId="0" applyFont="0" applyFill="0" applyBorder="0" applyAlignment="0" applyProtection="0">
      <alignment vertical="center"/>
    </xf>
    <xf numFmtId="0" fontId="1" fillId="0" borderId="0">
      <alignment vertical="center"/>
    </xf>
  </cellStyleXfs>
  <cellXfs count="199">
    <xf numFmtId="0" fontId="0" fillId="0" borderId="0" xfId="0">
      <alignment vertical="center"/>
    </xf>
    <xf numFmtId="41" fontId="0" fillId="0" borderId="0" xfId="1" applyFont="1">
      <alignment vertical="center"/>
    </xf>
    <xf numFmtId="41" fontId="0" fillId="2" borderId="1" xfId="1" applyFont="1" applyFill="1" applyBorder="1">
      <alignment vertical="center"/>
    </xf>
    <xf numFmtId="41" fontId="0" fillId="0" borderId="1" xfId="1" applyFont="1" applyBorder="1">
      <alignment vertical="center"/>
    </xf>
    <xf numFmtId="41" fontId="0" fillId="2" borderId="1" xfId="1" applyFont="1" applyFill="1" applyBorder="1" applyAlignment="1">
      <alignment horizontal="center" vertical="center"/>
    </xf>
    <xf numFmtId="0" fontId="5" fillId="0" borderId="0" xfId="3" applyFont="1">
      <alignment vertical="center"/>
    </xf>
    <xf numFmtId="41" fontId="8" fillId="3" borderId="0" xfId="2" applyFont="1" applyFill="1" applyBorder="1" applyAlignment="1">
      <alignment horizontal="center" vertical="center"/>
    </xf>
    <xf numFmtId="0" fontId="7" fillId="0" borderId="2" xfId="4" applyFont="1" applyBorder="1">
      <alignment vertical="center"/>
    </xf>
    <xf numFmtId="0" fontId="9" fillId="0" borderId="3" xfId="4" applyFont="1" applyBorder="1" applyAlignment="1">
      <alignment vertical="center"/>
    </xf>
    <xf numFmtId="0" fontId="7" fillId="0" borderId="3" xfId="4" applyFont="1" applyBorder="1" applyAlignment="1">
      <alignment vertical="center"/>
    </xf>
    <xf numFmtId="0" fontId="7" fillId="0" borderId="3" xfId="4" applyFont="1" applyBorder="1">
      <alignment vertical="center"/>
    </xf>
    <xf numFmtId="0" fontId="7" fillId="0" borderId="3" xfId="4" applyFont="1" applyBorder="1" applyAlignment="1">
      <alignment horizontal="left" vertical="center"/>
    </xf>
    <xf numFmtId="0" fontId="5" fillId="0" borderId="0" xfId="4" applyFont="1" applyBorder="1" applyAlignment="1">
      <alignment vertical="center"/>
    </xf>
    <xf numFmtId="41" fontId="4" fillId="3" borderId="0" xfId="2" applyFont="1" applyFill="1" applyBorder="1" applyAlignment="1">
      <alignment horizontal="center" vertical="center"/>
    </xf>
    <xf numFmtId="41" fontId="8" fillId="3" borderId="2" xfId="2" applyFont="1" applyFill="1" applyBorder="1" applyAlignment="1">
      <alignment horizontal="center" vertical="center"/>
    </xf>
    <xf numFmtId="177" fontId="8" fillId="3" borderId="2" xfId="6" applyNumberFormat="1" applyFont="1" applyFill="1" applyBorder="1" applyAlignment="1">
      <alignment horizontal="left" vertical="center"/>
    </xf>
    <xf numFmtId="0" fontId="14" fillId="3" borderId="2" xfId="7" applyFont="1" applyFill="1" applyBorder="1"/>
    <xf numFmtId="41" fontId="8" fillId="6" borderId="6" xfId="5" applyFont="1" applyFill="1" applyBorder="1">
      <alignment vertical="center"/>
    </xf>
    <xf numFmtId="41" fontId="8" fillId="6" borderId="1" xfId="5" applyFont="1" applyFill="1" applyBorder="1">
      <alignment vertical="center"/>
    </xf>
    <xf numFmtId="41" fontId="8" fillId="3" borderId="0" xfId="2" applyFont="1" applyFill="1">
      <alignment vertical="center"/>
    </xf>
    <xf numFmtId="41" fontId="8" fillId="3" borderId="1" xfId="2" applyFont="1" applyFill="1" applyBorder="1" applyAlignment="1">
      <alignment horizontal="center" vertical="center" wrapText="1"/>
    </xf>
    <xf numFmtId="0" fontId="7" fillId="0" borderId="2" xfId="4" applyFont="1" applyBorder="1" applyAlignment="1">
      <alignment horizontal="left" vertical="center"/>
    </xf>
    <xf numFmtId="41" fontId="8" fillId="6" borderId="6" xfId="2" applyFont="1" applyFill="1" applyBorder="1" applyAlignment="1">
      <alignment horizontal="center" vertical="center"/>
    </xf>
    <xf numFmtId="41" fontId="8" fillId="6" borderId="1" xfId="2" applyFont="1" applyFill="1" applyBorder="1" applyAlignment="1">
      <alignment vertical="center"/>
    </xf>
    <xf numFmtId="0" fontId="17" fillId="0" borderId="0" xfId="9" applyFont="1" applyAlignment="1">
      <alignment vertical="center"/>
    </xf>
    <xf numFmtId="0" fontId="18" fillId="0" borderId="0" xfId="9" applyFont="1" applyAlignment="1">
      <alignment vertical="center"/>
    </xf>
    <xf numFmtId="0" fontId="19" fillId="0" borderId="0" xfId="9" applyFont="1" applyAlignment="1">
      <alignment vertical="center"/>
    </xf>
    <xf numFmtId="0" fontId="21" fillId="0" borderId="0" xfId="9" applyFont="1" applyAlignment="1">
      <alignment vertical="center"/>
    </xf>
    <xf numFmtId="0" fontId="21" fillId="0" borderId="0" xfId="9" applyFont="1" applyAlignment="1">
      <alignment vertical="top"/>
    </xf>
    <xf numFmtId="41" fontId="19" fillId="0" borderId="0" xfId="5" applyFont="1" applyAlignment="1">
      <alignment vertical="center"/>
    </xf>
    <xf numFmtId="41" fontId="8" fillId="5" borderId="1" xfId="2" applyFont="1" applyFill="1" applyBorder="1" applyAlignment="1">
      <alignment horizontal="center" vertical="center" wrapText="1"/>
    </xf>
    <xf numFmtId="41" fontId="8" fillId="6" borderId="6" xfId="2" applyFont="1" applyFill="1" applyBorder="1" applyAlignment="1">
      <alignment vertical="center"/>
    </xf>
    <xf numFmtId="41" fontId="8" fillId="5" borderId="1" xfId="2" applyFont="1" applyFill="1" applyBorder="1" applyAlignment="1">
      <alignment horizontal="center" vertical="center"/>
    </xf>
    <xf numFmtId="0" fontId="17" fillId="0" borderId="1" xfId="9" applyFont="1" applyBorder="1" applyAlignment="1">
      <alignment horizontal="center" vertical="center"/>
    </xf>
    <xf numFmtId="0" fontId="19" fillId="4" borderId="1" xfId="9" applyFont="1" applyFill="1" applyBorder="1" applyAlignment="1">
      <alignment horizontal="center" vertical="center"/>
    </xf>
    <xf numFmtId="41" fontId="0" fillId="5" borderId="1" xfId="1" applyFont="1" applyFill="1" applyBorder="1" applyAlignment="1">
      <alignment horizontal="center" vertical="center"/>
    </xf>
    <xf numFmtId="41" fontId="0" fillId="0" borderId="1" xfId="1" applyFont="1" applyBorder="1" applyAlignment="1">
      <alignment horizontal="center" vertical="center"/>
    </xf>
    <xf numFmtId="41" fontId="23" fillId="8" borderId="1" xfId="1" applyFont="1" applyFill="1" applyBorder="1" applyAlignment="1">
      <alignment horizontal="center" vertical="center"/>
    </xf>
    <xf numFmtId="41" fontId="23" fillId="8" borderId="1" xfId="1" applyFont="1" applyFill="1" applyBorder="1" applyAlignment="1">
      <alignment horizontal="center" vertical="center" wrapText="1"/>
    </xf>
    <xf numFmtId="41" fontId="0" fillId="0" borderId="1" xfId="1" applyFont="1" applyBorder="1" applyAlignment="1">
      <alignment horizontal="center" vertical="center" wrapText="1"/>
    </xf>
    <xf numFmtId="41" fontId="20" fillId="0" borderId="0" xfId="1" applyFont="1">
      <alignment vertical="center"/>
    </xf>
    <xf numFmtId="0" fontId="17" fillId="0" borderId="0" xfId="4" applyFont="1" applyAlignment="1">
      <alignment vertical="center"/>
    </xf>
    <xf numFmtId="0" fontId="17" fillId="0" borderId="0" xfId="4" applyFont="1" applyBorder="1" applyAlignment="1">
      <alignment vertical="center"/>
    </xf>
    <xf numFmtId="0" fontId="17" fillId="5" borderId="14" xfId="4" applyFont="1" applyFill="1" applyBorder="1" applyAlignment="1">
      <alignment horizontal="center" vertical="center"/>
    </xf>
    <xf numFmtId="0" fontId="17" fillId="5" borderId="9" xfId="4" applyFont="1" applyFill="1" applyBorder="1" applyAlignment="1">
      <alignment horizontal="right" vertical="center"/>
    </xf>
    <xf numFmtId="0" fontId="17" fillId="5" borderId="0" xfId="4" applyFont="1" applyFill="1" applyBorder="1" applyAlignment="1">
      <alignment horizontal="right" vertical="center"/>
    </xf>
    <xf numFmtId="0" fontId="17" fillId="10" borderId="14" xfId="4" applyFont="1" applyFill="1" applyBorder="1" applyAlignment="1">
      <alignment horizontal="right" vertical="center"/>
    </xf>
    <xf numFmtId="0" fontId="17" fillId="5" borderId="8" xfId="4" applyFont="1" applyFill="1" applyBorder="1" applyAlignment="1">
      <alignment horizontal="right" vertical="center"/>
    </xf>
    <xf numFmtId="0" fontId="17" fillId="9" borderId="13" xfId="4" applyFont="1" applyFill="1" applyBorder="1" applyAlignment="1">
      <alignment horizontal="right" vertical="center"/>
    </xf>
    <xf numFmtId="0" fontId="17" fillId="10" borderId="13" xfId="4" applyFont="1" applyFill="1" applyBorder="1" applyAlignment="1">
      <alignment horizontal="right" vertical="center"/>
    </xf>
    <xf numFmtId="0" fontId="17" fillId="9" borderId="8" xfId="4" applyFont="1" applyFill="1" applyBorder="1" applyAlignment="1">
      <alignment horizontal="right" vertical="center"/>
    </xf>
    <xf numFmtId="0" fontId="17" fillId="9" borderId="0" xfId="4" applyFont="1" applyFill="1" applyBorder="1" applyAlignment="1">
      <alignment horizontal="right" vertical="center"/>
    </xf>
    <xf numFmtId="0" fontId="17" fillId="9" borderId="17" xfId="4" applyFont="1" applyFill="1" applyBorder="1" applyAlignment="1">
      <alignment horizontal="right" vertical="center"/>
    </xf>
    <xf numFmtId="0" fontId="17" fillId="9" borderId="9" xfId="4" applyFont="1" applyFill="1" applyBorder="1" applyAlignment="1">
      <alignment horizontal="right" vertical="center"/>
    </xf>
    <xf numFmtId="0" fontId="17" fillId="5" borderId="12" xfId="4" applyFont="1" applyFill="1" applyBorder="1" applyAlignment="1">
      <alignment horizontal="right" vertical="center"/>
    </xf>
    <xf numFmtId="0" fontId="17" fillId="0" borderId="0" xfId="4" applyFont="1" applyAlignment="1">
      <alignment horizontal="right" vertical="center"/>
    </xf>
    <xf numFmtId="0" fontId="17" fillId="11" borderId="16" xfId="4" applyFont="1" applyFill="1" applyBorder="1" applyAlignment="1">
      <alignment vertical="center"/>
    </xf>
    <xf numFmtId="179" fontId="17" fillId="11" borderId="2" xfId="4" applyNumberFormat="1" applyFont="1" applyFill="1" applyBorder="1" applyAlignment="1">
      <alignment vertical="center"/>
    </xf>
    <xf numFmtId="179" fontId="17" fillId="11" borderId="16" xfId="4" applyNumberFormat="1" applyFont="1" applyFill="1" applyBorder="1" applyAlignment="1">
      <alignment vertical="center"/>
    </xf>
    <xf numFmtId="179" fontId="17" fillId="11" borderId="15" xfId="4" applyNumberFormat="1" applyFont="1" applyFill="1" applyBorder="1" applyAlignment="1">
      <alignment vertical="center"/>
    </xf>
    <xf numFmtId="179" fontId="17" fillId="11" borderId="19" xfId="4" applyNumberFormat="1" applyFont="1" applyFill="1" applyBorder="1" applyAlignment="1">
      <alignment vertical="center"/>
    </xf>
    <xf numFmtId="0" fontId="17" fillId="5" borderId="14" xfId="4" applyFont="1" applyFill="1" applyBorder="1" applyAlignment="1">
      <alignment vertical="center"/>
    </xf>
    <xf numFmtId="179" fontId="17" fillId="0" borderId="13" xfId="4" applyNumberFormat="1" applyFont="1" applyBorder="1" applyAlignment="1">
      <alignment vertical="center"/>
    </xf>
    <xf numFmtId="179" fontId="17" fillId="0" borderId="14" xfId="4" applyNumberFormat="1" applyFont="1" applyBorder="1" applyAlignment="1">
      <alignment vertical="center"/>
    </xf>
    <xf numFmtId="179" fontId="17" fillId="0" borderId="12" xfId="4" applyNumberFormat="1" applyFont="1" applyBorder="1" applyAlignment="1">
      <alignment vertical="center"/>
    </xf>
    <xf numFmtId="179" fontId="17" fillId="0" borderId="20" xfId="4" applyNumberFormat="1" applyFont="1" applyBorder="1" applyAlignment="1">
      <alignment vertical="center"/>
    </xf>
    <xf numFmtId="179" fontId="17" fillId="0" borderId="14" xfId="4" applyNumberFormat="1" applyFont="1" applyFill="1" applyBorder="1" applyAlignment="1">
      <alignment vertical="center"/>
    </xf>
    <xf numFmtId="0" fontId="17" fillId="5" borderId="16" xfId="4" applyFont="1" applyFill="1" applyBorder="1" applyAlignment="1">
      <alignment vertical="center"/>
    </xf>
    <xf numFmtId="179" fontId="17" fillId="0" borderId="2" xfId="4" applyNumberFormat="1" applyFont="1" applyBorder="1" applyAlignment="1">
      <alignment vertical="center"/>
    </xf>
    <xf numFmtId="179" fontId="17" fillId="0" borderId="16" xfId="4" applyNumberFormat="1" applyFont="1" applyBorder="1" applyAlignment="1">
      <alignment vertical="center"/>
    </xf>
    <xf numFmtId="179" fontId="17" fillId="0" borderId="15" xfId="4" applyNumberFormat="1" applyFont="1" applyBorder="1" applyAlignment="1">
      <alignment vertical="center"/>
    </xf>
    <xf numFmtId="179" fontId="17" fillId="0" borderId="19" xfId="4" applyNumberFormat="1" applyFont="1" applyBorder="1" applyAlignment="1">
      <alignment vertical="center"/>
    </xf>
    <xf numFmtId="179" fontId="17" fillId="0" borderId="16" xfId="4" applyNumberFormat="1" applyFont="1" applyFill="1" applyBorder="1" applyAlignment="1">
      <alignment vertical="center"/>
    </xf>
    <xf numFmtId="0" fontId="17" fillId="5" borderId="9" xfId="4" applyFont="1" applyFill="1" applyBorder="1" applyAlignment="1">
      <alignment vertical="center"/>
    </xf>
    <xf numFmtId="179" fontId="17" fillId="0" borderId="0" xfId="4" applyNumberFormat="1" applyFont="1" applyBorder="1" applyAlignment="1">
      <alignment vertical="center"/>
    </xf>
    <xf numFmtId="179" fontId="17" fillId="0" borderId="9" xfId="4" applyNumberFormat="1" applyFont="1" applyBorder="1" applyAlignment="1">
      <alignment vertical="center"/>
    </xf>
    <xf numFmtId="179" fontId="17" fillId="0" borderId="8" xfId="4" applyNumberFormat="1" applyFont="1" applyFill="1" applyBorder="1" applyAlignment="1">
      <alignment vertical="center"/>
    </xf>
    <xf numFmtId="179" fontId="17" fillId="0" borderId="8" xfId="4" applyNumberFormat="1" applyFont="1" applyBorder="1" applyAlignment="1">
      <alignment vertical="center"/>
    </xf>
    <xf numFmtId="179" fontId="17" fillId="0" borderId="17" xfId="4" applyNumberFormat="1" applyFont="1" applyBorder="1" applyAlignment="1">
      <alignment vertical="center"/>
    </xf>
    <xf numFmtId="179" fontId="17" fillId="0" borderId="0" xfId="4" applyNumberFormat="1" applyFont="1" applyFill="1" applyBorder="1" applyAlignment="1">
      <alignment vertical="center"/>
    </xf>
    <xf numFmtId="179" fontId="17" fillId="0" borderId="9" xfId="4" applyNumberFormat="1" applyFont="1" applyFill="1" applyBorder="1" applyAlignment="1">
      <alignment vertical="center"/>
    </xf>
    <xf numFmtId="179" fontId="17" fillId="0" borderId="15" xfId="4" applyNumberFormat="1" applyFont="1" applyFill="1" applyBorder="1" applyAlignment="1">
      <alignment vertical="center"/>
    </xf>
    <xf numFmtId="179" fontId="17" fillId="0" borderId="2" xfId="4" applyNumberFormat="1" applyFont="1" applyFill="1" applyBorder="1" applyAlignment="1">
      <alignment vertical="center"/>
    </xf>
    <xf numFmtId="0" fontId="17" fillId="0" borderId="0" xfId="4" applyFont="1" applyAlignment="1">
      <alignment horizontal="center" vertical="center"/>
    </xf>
    <xf numFmtId="0" fontId="17" fillId="0" borderId="0" xfId="4" applyFont="1" applyBorder="1" applyAlignment="1">
      <alignment horizontal="center" vertical="center"/>
    </xf>
    <xf numFmtId="180" fontId="17" fillId="0" borderId="0" xfId="4" applyNumberFormat="1" applyFont="1" applyBorder="1" applyAlignment="1">
      <alignment horizontal="center" vertical="center"/>
    </xf>
    <xf numFmtId="180" fontId="17" fillId="0" borderId="0" xfId="4" applyNumberFormat="1" applyFont="1" applyAlignment="1">
      <alignment horizontal="center" vertical="center"/>
    </xf>
    <xf numFmtId="41" fontId="4" fillId="3" borderId="0" xfId="2" applyFont="1" applyFill="1" applyBorder="1" applyAlignment="1">
      <alignment horizontal="center" vertical="center"/>
    </xf>
    <xf numFmtId="0" fontId="7" fillId="6" borderId="2" xfId="4" applyFont="1" applyFill="1" applyBorder="1" applyAlignment="1">
      <alignment horizontal="center" vertical="center"/>
    </xf>
    <xf numFmtId="176" fontId="7" fillId="6" borderId="3" xfId="4" applyNumberFormat="1" applyFont="1" applyFill="1" applyBorder="1" applyAlignment="1">
      <alignment horizontal="left" vertical="center"/>
    </xf>
    <xf numFmtId="41" fontId="9" fillId="6" borderId="4" xfId="2" applyFont="1" applyFill="1" applyBorder="1" applyAlignment="1">
      <alignment horizontal="left" vertical="center"/>
    </xf>
    <xf numFmtId="41" fontId="9" fillId="6" borderId="3" xfId="2" applyFont="1" applyFill="1" applyBorder="1" applyAlignment="1">
      <alignment horizontal="left" vertical="center"/>
    </xf>
    <xf numFmtId="41" fontId="9" fillId="6" borderId="5" xfId="2" applyFont="1" applyFill="1" applyBorder="1" applyAlignment="1">
      <alignment horizontal="left" vertical="center"/>
    </xf>
    <xf numFmtId="41" fontId="8" fillId="3" borderId="0" xfId="2" applyFont="1" applyFill="1" applyBorder="1" applyAlignment="1">
      <alignment horizontal="center" vertical="center"/>
    </xf>
    <xf numFmtId="41" fontId="8" fillId="6" borderId="4" xfId="2" applyFont="1" applyFill="1" applyBorder="1" applyAlignment="1">
      <alignment horizontal="center" vertical="center"/>
    </xf>
    <xf numFmtId="41" fontId="8" fillId="6" borderId="5" xfId="2" applyFont="1" applyFill="1" applyBorder="1" applyAlignment="1">
      <alignment horizontal="center" vertical="center"/>
    </xf>
    <xf numFmtId="0" fontId="17" fillId="5" borderId="4" xfId="4" applyFont="1" applyFill="1" applyBorder="1" applyAlignment="1">
      <alignment horizontal="center" vertical="center"/>
    </xf>
    <xf numFmtId="0" fontId="17" fillId="5" borderId="3" xfId="4" applyFont="1" applyFill="1" applyBorder="1" applyAlignment="1">
      <alignment horizontal="center" vertical="center"/>
    </xf>
    <xf numFmtId="0" fontId="17" fillId="5" borderId="5" xfId="4" applyFont="1" applyFill="1" applyBorder="1" applyAlignment="1">
      <alignment horizontal="center" vertical="center"/>
    </xf>
    <xf numFmtId="0" fontId="17" fillId="9" borderId="4" xfId="4" applyFont="1" applyFill="1" applyBorder="1" applyAlignment="1">
      <alignment horizontal="center" vertical="center"/>
    </xf>
    <xf numFmtId="0" fontId="17" fillId="9" borderId="3" xfId="4" applyFont="1" applyFill="1" applyBorder="1" applyAlignment="1">
      <alignment horizontal="center" vertical="center"/>
    </xf>
    <xf numFmtId="0" fontId="17" fillId="9" borderId="18" xfId="4" applyFont="1" applyFill="1" applyBorder="1" applyAlignment="1">
      <alignment horizontal="center" vertical="center"/>
    </xf>
    <xf numFmtId="0" fontId="17" fillId="9" borderId="5" xfId="4" applyFont="1" applyFill="1" applyBorder="1" applyAlignment="1">
      <alignment horizontal="center" vertical="center"/>
    </xf>
    <xf numFmtId="0" fontId="22" fillId="7" borderId="22" xfId="9" applyFont="1" applyFill="1" applyBorder="1" applyAlignment="1">
      <alignment horizontal="center" vertical="center"/>
    </xf>
    <xf numFmtId="0" fontId="22" fillId="7" borderId="23" xfId="9" applyFont="1" applyFill="1" applyBorder="1" applyAlignment="1">
      <alignment horizontal="center" vertical="center"/>
    </xf>
    <xf numFmtId="0" fontId="22" fillId="7" borderId="24" xfId="9" applyFont="1" applyFill="1" applyBorder="1" applyAlignment="1">
      <alignment horizontal="center" vertical="center"/>
    </xf>
    <xf numFmtId="0" fontId="17" fillId="0" borderId="12" xfId="9" applyFont="1" applyBorder="1" applyAlignment="1">
      <alignment horizontal="left" vertical="center" wrapText="1"/>
    </xf>
    <xf numFmtId="41" fontId="8" fillId="6" borderId="25" xfId="2" applyFont="1" applyFill="1" applyBorder="1" applyAlignment="1">
      <alignment vertical="center"/>
    </xf>
    <xf numFmtId="41" fontId="8" fillId="6" borderId="25" xfId="5" applyFont="1" applyFill="1" applyBorder="1">
      <alignment vertical="center"/>
    </xf>
    <xf numFmtId="41" fontId="8" fillId="6" borderId="28" xfId="2" applyFont="1" applyFill="1" applyBorder="1" applyAlignment="1">
      <alignment vertical="center"/>
    </xf>
    <xf numFmtId="41" fontId="8" fillId="6" borderId="28" xfId="5" applyFont="1" applyFill="1" applyBorder="1">
      <alignment vertical="center"/>
    </xf>
    <xf numFmtId="41" fontId="8" fillId="6" borderId="29" xfId="5" applyFont="1" applyFill="1" applyBorder="1">
      <alignment vertical="center"/>
    </xf>
    <xf numFmtId="41" fontId="8" fillId="5" borderId="4" xfId="2" applyFont="1" applyFill="1" applyBorder="1" applyAlignment="1">
      <alignment horizontal="center" vertical="center" wrapText="1"/>
    </xf>
    <xf numFmtId="41" fontId="8" fillId="6" borderId="25" xfId="2" applyFont="1" applyFill="1" applyBorder="1" applyAlignment="1">
      <alignment horizontal="center" vertical="center"/>
    </xf>
    <xf numFmtId="0" fontId="24" fillId="0" borderId="0" xfId="9" applyFont="1" applyAlignment="1">
      <alignment vertical="center"/>
    </xf>
    <xf numFmtId="0" fontId="25" fillId="0" borderId="0" xfId="9" applyFont="1" applyAlignment="1">
      <alignment vertical="center"/>
    </xf>
    <xf numFmtId="0" fontId="17" fillId="0" borderId="14" xfId="9" applyFont="1" applyBorder="1" applyAlignment="1">
      <alignment horizontal="left" vertical="center" wrapText="1"/>
    </xf>
    <xf numFmtId="0" fontId="17" fillId="0" borderId="8" xfId="9" applyFont="1" applyBorder="1" applyAlignment="1">
      <alignment horizontal="left" vertical="center" wrapText="1"/>
    </xf>
    <xf numFmtId="0" fontId="17" fillId="0" borderId="9" xfId="9" applyFont="1" applyBorder="1" applyAlignment="1">
      <alignment horizontal="left" vertical="center" wrapText="1"/>
    </xf>
    <xf numFmtId="0" fontId="17" fillId="0" borderId="15" xfId="9" applyFont="1" applyBorder="1" applyAlignment="1">
      <alignment horizontal="left" vertical="center" wrapText="1"/>
    </xf>
    <xf numFmtId="0" fontId="17" fillId="0" borderId="16" xfId="9" applyFont="1" applyBorder="1" applyAlignment="1">
      <alignment horizontal="left" vertical="center" wrapText="1"/>
    </xf>
    <xf numFmtId="41" fontId="8" fillId="6" borderId="14" xfId="2" applyFont="1" applyFill="1" applyBorder="1" applyAlignment="1">
      <alignment horizontal="center" vertical="center"/>
    </xf>
    <xf numFmtId="41" fontId="8" fillId="3" borderId="25" xfId="2" applyFont="1" applyFill="1" applyBorder="1" applyAlignment="1">
      <alignment vertical="center"/>
    </xf>
    <xf numFmtId="41" fontId="8" fillId="0" borderId="15" xfId="2" applyFont="1" applyFill="1" applyBorder="1" applyAlignment="1">
      <alignment vertical="center"/>
    </xf>
    <xf numFmtId="41" fontId="8" fillId="6" borderId="26" xfId="2" applyFont="1" applyFill="1" applyBorder="1" applyAlignment="1">
      <alignment horizontal="center" vertical="center"/>
    </xf>
    <xf numFmtId="41" fontId="8" fillId="6" borderId="34" xfId="2" applyFont="1" applyFill="1" applyBorder="1" applyAlignment="1">
      <alignment vertical="center"/>
    </xf>
    <xf numFmtId="41" fontId="8" fillId="3" borderId="37" xfId="2" applyFont="1" applyFill="1" applyBorder="1" applyAlignment="1">
      <alignment vertical="center"/>
    </xf>
    <xf numFmtId="41" fontId="9" fillId="0" borderId="16" xfId="2" applyFont="1" applyFill="1" applyBorder="1" applyAlignment="1">
      <alignment vertical="center"/>
    </xf>
    <xf numFmtId="41" fontId="9" fillId="0" borderId="15" xfId="2" applyFont="1" applyFill="1" applyBorder="1" applyAlignment="1">
      <alignment vertical="center"/>
    </xf>
    <xf numFmtId="41" fontId="9" fillId="0" borderId="21" xfId="2" applyFont="1" applyFill="1" applyBorder="1" applyAlignment="1">
      <alignment vertical="center"/>
    </xf>
    <xf numFmtId="41" fontId="9" fillId="0" borderId="21" xfId="5" applyFont="1" applyFill="1" applyBorder="1">
      <alignment vertical="center"/>
    </xf>
    <xf numFmtId="41" fontId="26" fillId="5" borderId="1" xfId="2" applyFont="1" applyFill="1" applyBorder="1" applyAlignment="1">
      <alignment horizontal="center" vertical="center"/>
    </xf>
    <xf numFmtId="41" fontId="26" fillId="5" borderId="4" xfId="2" applyFont="1" applyFill="1" applyBorder="1" applyAlignment="1">
      <alignment horizontal="center" vertical="center" wrapText="1"/>
    </xf>
    <xf numFmtId="41" fontId="26" fillId="5" borderId="1" xfId="2" applyFont="1" applyFill="1" applyBorder="1" applyAlignment="1">
      <alignment horizontal="center" vertical="center" wrapText="1"/>
    </xf>
    <xf numFmtId="41" fontId="26" fillId="5" borderId="1" xfId="2" applyFont="1" applyFill="1" applyBorder="1" applyAlignment="1">
      <alignment horizontal="center" vertical="center"/>
    </xf>
    <xf numFmtId="41" fontId="26" fillId="6" borderId="12" xfId="2" applyFont="1" applyFill="1" applyBorder="1" applyAlignment="1">
      <alignment horizontal="left" vertical="center"/>
    </xf>
    <xf numFmtId="41" fontId="26" fillId="6" borderId="13" xfId="2" applyFont="1" applyFill="1" applyBorder="1" applyAlignment="1">
      <alignment horizontal="left" vertical="center"/>
    </xf>
    <xf numFmtId="41" fontId="26" fillId="6" borderId="12" xfId="2" applyFont="1" applyFill="1" applyBorder="1" applyAlignment="1">
      <alignment vertical="center"/>
    </xf>
    <xf numFmtId="41" fontId="26" fillId="6" borderId="13" xfId="2" applyFont="1" applyFill="1" applyBorder="1" applyAlignment="1">
      <alignment vertical="center"/>
    </xf>
    <xf numFmtId="41" fontId="26" fillId="6" borderId="26" xfId="2" applyFont="1" applyFill="1" applyBorder="1" applyAlignment="1">
      <alignment horizontal="center" vertical="center"/>
    </xf>
    <xf numFmtId="41" fontId="26" fillId="6" borderId="27" xfId="2" applyFont="1" applyFill="1" applyBorder="1" applyAlignment="1">
      <alignment horizontal="center" vertical="center"/>
    </xf>
    <xf numFmtId="41" fontId="27" fillId="0" borderId="35" xfId="2" applyFont="1" applyFill="1" applyBorder="1" applyAlignment="1">
      <alignment horizontal="center" vertical="center"/>
    </xf>
    <xf numFmtId="41" fontId="27" fillId="0" borderId="36" xfId="2" applyFont="1" applyFill="1" applyBorder="1" applyAlignment="1">
      <alignment horizontal="center" vertical="center"/>
    </xf>
    <xf numFmtId="41" fontId="27" fillId="0" borderId="15" xfId="2" applyFont="1" applyFill="1" applyBorder="1" applyAlignment="1">
      <alignment horizontal="center" vertical="center"/>
    </xf>
    <xf numFmtId="41" fontId="27" fillId="0" borderId="16" xfId="2" applyFont="1" applyFill="1" applyBorder="1" applyAlignment="1">
      <alignment horizontal="center" vertical="center"/>
    </xf>
    <xf numFmtId="41" fontId="9" fillId="3" borderId="8" xfId="2" applyFont="1" applyFill="1" applyBorder="1" applyAlignment="1">
      <alignment horizontal="left" vertical="center" indent="1"/>
    </xf>
    <xf numFmtId="41" fontId="9" fillId="3" borderId="0" xfId="2" applyFont="1" applyFill="1" applyBorder="1" applyAlignment="1">
      <alignment horizontal="left" vertical="center" indent="1"/>
    </xf>
    <xf numFmtId="41" fontId="9" fillId="3" borderId="25" xfId="2" applyFont="1" applyFill="1" applyBorder="1" applyAlignment="1">
      <alignment vertical="center"/>
    </xf>
    <xf numFmtId="41" fontId="9" fillId="3" borderId="25" xfId="5" applyFont="1" applyFill="1" applyBorder="1" applyAlignment="1">
      <alignment vertical="center"/>
    </xf>
    <xf numFmtId="41" fontId="9" fillId="3" borderId="10" xfId="2" applyFont="1" applyFill="1" applyBorder="1" applyAlignment="1">
      <alignment vertical="center"/>
    </xf>
    <xf numFmtId="41" fontId="9" fillId="3" borderId="10" xfId="5" applyFont="1" applyFill="1" applyBorder="1" applyAlignment="1">
      <alignment vertical="center"/>
    </xf>
    <xf numFmtId="41" fontId="9" fillId="3" borderId="15" xfId="2" applyFont="1" applyFill="1" applyBorder="1" applyAlignment="1">
      <alignment horizontal="left" vertical="center" indent="1"/>
    </xf>
    <xf numFmtId="41" fontId="9" fillId="3" borderId="2" xfId="2" applyFont="1" applyFill="1" applyBorder="1" applyAlignment="1">
      <alignment horizontal="left" vertical="center" indent="1"/>
    </xf>
    <xf numFmtId="41" fontId="9" fillId="3" borderId="21" xfId="2" applyFont="1" applyFill="1" applyBorder="1" applyAlignment="1">
      <alignment vertical="center"/>
    </xf>
    <xf numFmtId="41" fontId="9" fillId="3" borderId="21" xfId="5" applyFont="1" applyFill="1" applyBorder="1" applyAlignment="1">
      <alignment vertical="center"/>
    </xf>
    <xf numFmtId="41" fontId="9" fillId="4" borderId="8" xfId="2" applyFont="1" applyFill="1" applyBorder="1" applyAlignment="1">
      <alignment horizontal="left" vertical="center" indent="1"/>
    </xf>
    <xf numFmtId="41" fontId="9" fillId="4" borderId="0" xfId="2" applyFont="1" applyFill="1" applyBorder="1" applyAlignment="1">
      <alignment horizontal="left" vertical="center" indent="1"/>
    </xf>
    <xf numFmtId="41" fontId="9" fillId="4" borderId="25" xfId="2" applyFont="1" applyFill="1" applyBorder="1" applyAlignment="1">
      <alignment vertical="center"/>
    </xf>
    <xf numFmtId="41" fontId="9" fillId="4" borderId="25" xfId="5" applyFont="1" applyFill="1" applyBorder="1">
      <alignment vertical="center"/>
    </xf>
    <xf numFmtId="41" fontId="9" fillId="3" borderId="25" xfId="2" applyFont="1" applyFill="1" applyBorder="1" applyAlignment="1">
      <alignment horizontal="center" vertical="center"/>
    </xf>
    <xf numFmtId="41" fontId="9" fillId="3" borderId="10" xfId="2" applyFont="1" applyFill="1" applyBorder="1" applyAlignment="1">
      <alignment horizontal="center" vertical="center"/>
    </xf>
    <xf numFmtId="41" fontId="9" fillId="3" borderId="21" xfId="2" applyFont="1" applyFill="1" applyBorder="1" applyAlignment="1">
      <alignment horizontal="center" vertical="center"/>
    </xf>
    <xf numFmtId="182" fontId="9" fillId="4" borderId="25" xfId="2" applyNumberFormat="1" applyFont="1" applyFill="1" applyBorder="1" applyAlignment="1">
      <alignment horizontal="center" vertical="center"/>
    </xf>
    <xf numFmtId="41" fontId="9" fillId="4" borderId="2" xfId="2" applyFont="1" applyFill="1" applyBorder="1" applyAlignment="1">
      <alignment horizontal="right" vertical="center"/>
    </xf>
    <xf numFmtId="178" fontId="28" fillId="0" borderId="3" xfId="4" applyNumberFormat="1" applyFont="1" applyBorder="1" applyAlignment="1">
      <alignment horizontal="right" vertical="center"/>
    </xf>
    <xf numFmtId="9" fontId="9" fillId="0" borderId="21" xfId="5" applyNumberFormat="1" applyFont="1" applyFill="1" applyBorder="1" applyAlignment="1">
      <alignment horizontal="center" vertical="center"/>
    </xf>
    <xf numFmtId="41" fontId="8" fillId="3" borderId="10" xfId="2" applyFont="1" applyFill="1" applyBorder="1" applyAlignment="1">
      <alignment vertical="center"/>
    </xf>
    <xf numFmtId="41" fontId="8" fillId="3" borderId="10" xfId="2" applyFont="1" applyFill="1" applyBorder="1" applyAlignment="1">
      <alignment horizontal="center" vertical="center"/>
    </xf>
    <xf numFmtId="41" fontId="8" fillId="3" borderId="21" xfId="2" applyFont="1" applyFill="1" applyBorder="1" applyAlignment="1">
      <alignment horizontal="center" vertical="center"/>
    </xf>
    <xf numFmtId="41" fontId="8" fillId="3" borderId="38" xfId="2" applyFont="1" applyFill="1" applyBorder="1" applyAlignment="1">
      <alignment vertical="center"/>
    </xf>
    <xf numFmtId="0" fontId="27" fillId="3" borderId="4" xfId="2" applyNumberFormat="1" applyFont="1" applyFill="1" applyBorder="1" applyAlignment="1">
      <alignment horizontal="left" vertical="center" wrapText="1"/>
    </xf>
    <xf numFmtId="0" fontId="27" fillId="3" borderId="3" xfId="2" applyNumberFormat="1" applyFont="1" applyFill="1" applyBorder="1" applyAlignment="1">
      <alignment horizontal="left" vertical="center" wrapText="1"/>
    </xf>
    <xf numFmtId="0" fontId="27" fillId="3" borderId="5" xfId="2" applyNumberFormat="1" applyFont="1" applyFill="1" applyBorder="1" applyAlignment="1">
      <alignment horizontal="left" vertical="center" wrapText="1"/>
    </xf>
    <xf numFmtId="41" fontId="8" fillId="6" borderId="12" xfId="2" applyFont="1" applyFill="1" applyBorder="1" applyAlignment="1">
      <alignment vertical="center"/>
    </xf>
    <xf numFmtId="0" fontId="7" fillId="6" borderId="14" xfId="9" applyFont="1" applyFill="1" applyBorder="1" applyAlignment="1">
      <alignment horizontal="center" vertical="center"/>
    </xf>
    <xf numFmtId="41" fontId="8" fillId="0" borderId="8" xfId="2" applyFont="1" applyFill="1" applyBorder="1" applyAlignment="1">
      <alignment vertical="center"/>
    </xf>
    <xf numFmtId="41" fontId="9" fillId="3" borderId="30" xfId="2" applyFont="1" applyFill="1" applyBorder="1" applyAlignment="1">
      <alignment horizontal="center" vertical="center"/>
    </xf>
    <xf numFmtId="41" fontId="9" fillId="3" borderId="7" xfId="2" applyFont="1" applyFill="1" applyBorder="1" applyAlignment="1">
      <alignment vertical="center"/>
    </xf>
    <xf numFmtId="41" fontId="9" fillId="3" borderId="7" xfId="5" applyFont="1" applyFill="1" applyBorder="1" applyAlignment="1">
      <alignment vertical="center"/>
    </xf>
    <xf numFmtId="41" fontId="9" fillId="3" borderId="31" xfId="2" applyFont="1" applyFill="1" applyBorder="1" applyAlignment="1">
      <alignment horizontal="center" vertical="center"/>
    </xf>
    <xf numFmtId="41" fontId="9" fillId="3" borderId="32" xfId="2" applyFont="1" applyFill="1" applyBorder="1" applyAlignment="1">
      <alignment horizontal="center" vertical="center"/>
    </xf>
    <xf numFmtId="41" fontId="8" fillId="6" borderId="8" xfId="2" applyFont="1" applyFill="1" applyBorder="1" applyAlignment="1">
      <alignment vertical="center"/>
    </xf>
    <xf numFmtId="0" fontId="29" fillId="6" borderId="0" xfId="9" applyFont="1" applyFill="1" applyBorder="1" applyAlignment="1">
      <alignment horizontal="center" vertical="center"/>
    </xf>
    <xf numFmtId="41" fontId="9" fillId="3" borderId="11" xfId="2" applyFont="1" applyFill="1" applyBorder="1" applyAlignment="1">
      <alignment vertical="center"/>
    </xf>
    <xf numFmtId="182" fontId="9" fillId="3" borderId="33" xfId="5" applyNumberFormat="1" applyFont="1" applyFill="1" applyBorder="1" applyAlignment="1">
      <alignment horizontal="center" vertical="center"/>
    </xf>
    <xf numFmtId="41" fontId="8" fillId="6" borderId="34" xfId="2" applyFont="1" applyFill="1" applyBorder="1" applyAlignment="1">
      <alignment horizontal="center" vertical="center"/>
    </xf>
    <xf numFmtId="0" fontId="29" fillId="0" borderId="0" xfId="9" applyFont="1" applyAlignment="1">
      <alignment horizontal="right" vertical="center"/>
    </xf>
    <xf numFmtId="0" fontId="17" fillId="8" borderId="1" xfId="9" applyFont="1" applyFill="1" applyBorder="1" applyAlignment="1">
      <alignment horizontal="center" vertical="center"/>
    </xf>
    <xf numFmtId="0" fontId="17" fillId="8" borderId="21" xfId="9" applyFont="1" applyFill="1" applyBorder="1" applyAlignment="1">
      <alignment horizontal="center" vertical="center"/>
    </xf>
    <xf numFmtId="0" fontId="18" fillId="8" borderId="0" xfId="9" applyFont="1" applyFill="1" applyAlignment="1">
      <alignment vertical="center"/>
    </xf>
    <xf numFmtId="0" fontId="21" fillId="8" borderId="0" xfId="9" applyFont="1" applyFill="1" applyAlignment="1">
      <alignment vertical="center"/>
    </xf>
    <xf numFmtId="41" fontId="0" fillId="0" borderId="12" xfId="1" applyFont="1" applyBorder="1">
      <alignment vertical="center"/>
    </xf>
    <xf numFmtId="41" fontId="0" fillId="0" borderId="13" xfId="1" applyFont="1" applyBorder="1">
      <alignment vertical="center"/>
    </xf>
    <xf numFmtId="41" fontId="0" fillId="0" borderId="14" xfId="1" applyFont="1" applyBorder="1">
      <alignment vertical="center"/>
    </xf>
    <xf numFmtId="41" fontId="0" fillId="0" borderId="15" xfId="1" applyFont="1" applyBorder="1">
      <alignment vertical="center"/>
    </xf>
    <xf numFmtId="41" fontId="0" fillId="0" borderId="2" xfId="1" applyFont="1" applyBorder="1">
      <alignment vertical="center"/>
    </xf>
    <xf numFmtId="41" fontId="0" fillId="0" borderId="16" xfId="1" applyFont="1" applyBorder="1">
      <alignment vertical="center"/>
    </xf>
    <xf numFmtId="182" fontId="9" fillId="3" borderId="30" xfId="5" applyNumberFormat="1" applyFont="1" applyFill="1" applyBorder="1" applyAlignment="1">
      <alignment horizontal="center" vertical="center"/>
    </xf>
    <xf numFmtId="10" fontId="8" fillId="6" borderId="1" xfId="5" applyNumberFormat="1" applyFont="1" applyFill="1" applyBorder="1" applyAlignment="1">
      <alignment horizontal="center" vertical="center"/>
    </xf>
  </cellXfs>
  <cellStyles count="10">
    <cellStyle name="백분율 2" xfId="8" xr:uid="{56202E10-5F23-4149-9D31-02C563C46258}"/>
    <cellStyle name="쉼표 [0]" xfId="1" builtinId="6"/>
    <cellStyle name="쉼표 [0] 16" xfId="2" xr:uid="{001826A3-30CD-4B4A-98AA-906F74407A90}"/>
    <cellStyle name="쉼표 [0] 2" xfId="5" xr:uid="{D560E60E-645F-44BE-B223-BC4936EC9CBB}"/>
    <cellStyle name="표준" xfId="0" builtinId="0"/>
    <cellStyle name="표준 2" xfId="4" xr:uid="{B6035958-173B-4100-827E-288E9B8FDB1A}"/>
    <cellStyle name="표준 3" xfId="3" xr:uid="{392E1830-0D1D-4091-A324-7C71D5AF79B2}"/>
    <cellStyle name="표준 4" xfId="9" xr:uid="{3CE77D21-AEB9-4942-954C-D1E127AE764A}"/>
    <cellStyle name="표준_오맥-화이자 개보수공사 설비견적서(제출)070718" xfId="7" xr:uid="{95507B29-59F0-4AA4-A14C-A799CA9F70CB}"/>
    <cellStyle name="표준_추가국제빌딩" xfId="6" xr:uid="{6A88A0E1-BC51-428B-A27B-ACACCA49D4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externalLink" Target="externalLinks/externalLink20.xml"/><Relationship Id="rId39" Type="http://schemas.openxmlformats.org/officeDocument/2006/relationships/externalLink" Target="externalLinks/externalLink33.xml"/><Relationship Id="rId21" Type="http://schemas.openxmlformats.org/officeDocument/2006/relationships/externalLink" Target="externalLinks/externalLink15.xml"/><Relationship Id="rId34" Type="http://schemas.openxmlformats.org/officeDocument/2006/relationships/externalLink" Target="externalLinks/externalLink28.xml"/><Relationship Id="rId42" Type="http://schemas.openxmlformats.org/officeDocument/2006/relationships/externalLink" Target="externalLinks/externalLink36.xml"/><Relationship Id="rId47" Type="http://schemas.openxmlformats.org/officeDocument/2006/relationships/externalLink" Target="externalLinks/externalLink41.xml"/><Relationship Id="rId50" Type="http://schemas.openxmlformats.org/officeDocument/2006/relationships/externalLink" Target="externalLinks/externalLink44.xml"/><Relationship Id="rId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externalLink" Target="externalLinks/externalLink10.xml"/><Relationship Id="rId29" Type="http://schemas.openxmlformats.org/officeDocument/2006/relationships/externalLink" Target="externalLinks/externalLink23.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externalLink" Target="externalLinks/externalLink26.xml"/><Relationship Id="rId37" Type="http://schemas.openxmlformats.org/officeDocument/2006/relationships/externalLink" Target="externalLinks/externalLink31.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31" Type="http://schemas.openxmlformats.org/officeDocument/2006/relationships/externalLink" Target="externalLinks/externalLink25.xml"/><Relationship Id="rId44" Type="http://schemas.openxmlformats.org/officeDocument/2006/relationships/externalLink" Target="externalLinks/externalLink38.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43" Type="http://schemas.openxmlformats.org/officeDocument/2006/relationships/externalLink" Target="externalLinks/externalLink37.xml"/><Relationship Id="rId48" Type="http://schemas.openxmlformats.org/officeDocument/2006/relationships/externalLink" Target="externalLinks/externalLink42.xml"/><Relationship Id="rId8" Type="http://schemas.openxmlformats.org/officeDocument/2006/relationships/externalLink" Target="externalLinks/externalLink2.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externalLink" Target="externalLinks/externalLink27.xml"/><Relationship Id="rId38" Type="http://schemas.openxmlformats.org/officeDocument/2006/relationships/externalLink" Target="externalLinks/externalLink32.xml"/><Relationship Id="rId46" Type="http://schemas.openxmlformats.org/officeDocument/2006/relationships/externalLink" Target="externalLinks/externalLink40.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externalLink" Target="externalLinks/externalLink30.xml"/><Relationship Id="rId49" Type="http://schemas.openxmlformats.org/officeDocument/2006/relationships/externalLink" Target="externalLinks/externalLink43.xml"/></Relationships>
</file>

<file path=xl/ctrlProps/ctrlProp1.xml><?xml version="1.0" encoding="utf-8"?>
<formControlPr xmlns="http://schemas.microsoft.com/office/spreadsheetml/2009/9/main" objectType="Radio" checked="Checked" firstButton="1" fmlaLink="$P$3"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checked="Checked" firstButton="1" fmlaLink="$P$4"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GBox"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433916</xdr:colOff>
      <xdr:row>2</xdr:row>
      <xdr:rowOff>22593</xdr:rowOff>
    </xdr:from>
    <xdr:to>
      <xdr:col>7</xdr:col>
      <xdr:colOff>13134</xdr:colOff>
      <xdr:row>3</xdr:row>
      <xdr:rowOff>275168</xdr:rowOff>
    </xdr:to>
    <xdr:pic>
      <xdr:nvPicPr>
        <xdr:cNvPr id="2" name="그림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clrChange>
            <a:clrFrom>
              <a:srgbClr val="FCFCFC"/>
            </a:clrFrom>
            <a:clrTo>
              <a:srgbClr val="FCFCFC">
                <a:alpha val="0"/>
              </a:srgbClr>
            </a:clrTo>
          </a:clrChange>
          <a:extLst>
            <a:ext uri="{28A0092B-C50C-407E-A947-70E740481C1C}">
              <a14:useLocalDpi xmlns:a14="http://schemas.microsoft.com/office/drawing/2010/main" val="0"/>
            </a:ext>
          </a:extLst>
        </a:blip>
        <a:stretch>
          <a:fillRect/>
        </a:stretch>
      </xdr:blipFill>
      <xdr:spPr>
        <a:xfrm>
          <a:off x="6646333" y="1112676"/>
          <a:ext cx="605801" cy="6441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2</xdr:col>
          <xdr:colOff>425452</xdr:colOff>
          <xdr:row>5</xdr:row>
          <xdr:rowOff>273052</xdr:rowOff>
        </xdr:from>
        <xdr:to>
          <xdr:col>2</xdr:col>
          <xdr:colOff>1591735</xdr:colOff>
          <xdr:row>6</xdr:row>
          <xdr:rowOff>192618</xdr:rowOff>
        </xdr:to>
        <xdr:sp macro="" textlink="">
          <xdr:nvSpPr>
            <xdr:cNvPr id="3075" name="Option Button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무약정</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2</xdr:col>
          <xdr:colOff>425452</xdr:colOff>
          <xdr:row>7</xdr:row>
          <xdr:rowOff>108481</xdr:rowOff>
        </xdr:from>
        <xdr:to>
          <xdr:col>2</xdr:col>
          <xdr:colOff>1789644</xdr:colOff>
          <xdr:row>8</xdr:row>
          <xdr:rowOff>28048</xdr:rowOff>
        </xdr:to>
        <xdr:sp macro="" textlink="">
          <xdr:nvSpPr>
            <xdr:cNvPr id="3076" name="Option Button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36개월(3년) 약정</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2</xdr:col>
          <xdr:colOff>425452</xdr:colOff>
          <xdr:row>8</xdr:row>
          <xdr:rowOff>271994</xdr:rowOff>
        </xdr:from>
        <xdr:to>
          <xdr:col>2</xdr:col>
          <xdr:colOff>1869018</xdr:colOff>
          <xdr:row>9</xdr:row>
          <xdr:rowOff>172510</xdr:rowOff>
        </xdr:to>
        <xdr:sp macro="" textlink="">
          <xdr:nvSpPr>
            <xdr:cNvPr id="3077" name="Option Button 5" hidden="1">
              <a:extLst>
                <a:ext uri="{63B3BB69-23CF-44E3-9099-C40C66FF867C}">
                  <a14:compatExt spid="_x0000_s3077"/>
                </a:ext>
                <a:ext uri="{FF2B5EF4-FFF2-40B4-BE49-F238E27FC236}">
                  <a16:creationId xmlns:a16="http://schemas.microsoft.com/office/drawing/2014/main" id="{00000000-0008-0000-01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60개월(5년) 약정</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440267</xdr:colOff>
          <xdr:row>5</xdr:row>
          <xdr:rowOff>234953</xdr:rowOff>
        </xdr:from>
        <xdr:to>
          <xdr:col>4</xdr:col>
          <xdr:colOff>1606550</xdr:colOff>
          <xdr:row>6</xdr:row>
          <xdr:rowOff>154519</xdr:rowOff>
        </xdr:to>
        <xdr:sp macro="" textlink="">
          <xdr:nvSpPr>
            <xdr:cNvPr id="3080" name="Option Button 8" hidden="1">
              <a:extLst>
                <a:ext uri="{63B3BB69-23CF-44E3-9099-C40C66FF867C}">
                  <a14:compatExt spid="_x0000_s3080"/>
                </a:ext>
                <a:ext uri="{FF2B5EF4-FFF2-40B4-BE49-F238E27FC236}">
                  <a16:creationId xmlns:a16="http://schemas.microsoft.com/office/drawing/2014/main" id="{00000000-0008-0000-01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무약정</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440267</xdr:colOff>
          <xdr:row>8</xdr:row>
          <xdr:rowOff>29106</xdr:rowOff>
        </xdr:from>
        <xdr:to>
          <xdr:col>4</xdr:col>
          <xdr:colOff>1798108</xdr:colOff>
          <xdr:row>8</xdr:row>
          <xdr:rowOff>286281</xdr:rowOff>
        </xdr:to>
        <xdr:sp macro="" textlink="">
          <xdr:nvSpPr>
            <xdr:cNvPr id="3081" name="Option Button 9" hidden="1">
              <a:extLst>
                <a:ext uri="{63B3BB69-23CF-44E3-9099-C40C66FF867C}">
                  <a14:compatExt spid="_x0000_s3081"/>
                </a:ext>
                <a:ext uri="{FF2B5EF4-FFF2-40B4-BE49-F238E27FC236}">
                  <a16:creationId xmlns:a16="http://schemas.microsoft.com/office/drawing/2014/main" id="{00000000-0008-0000-01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36개월(3년) 약정</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440267</xdr:colOff>
          <xdr:row>9</xdr:row>
          <xdr:rowOff>109274</xdr:rowOff>
        </xdr:from>
        <xdr:to>
          <xdr:col>4</xdr:col>
          <xdr:colOff>1891242</xdr:colOff>
          <xdr:row>10</xdr:row>
          <xdr:rowOff>9791</xdr:rowOff>
        </xdr:to>
        <xdr:sp macro="" textlink="">
          <xdr:nvSpPr>
            <xdr:cNvPr id="3082" name="Option Button 10" hidden="1">
              <a:extLst>
                <a:ext uri="{63B3BB69-23CF-44E3-9099-C40C66FF867C}">
                  <a14:compatExt spid="_x0000_s3082"/>
                </a:ext>
                <a:ext uri="{FF2B5EF4-FFF2-40B4-BE49-F238E27FC236}">
                  <a16:creationId xmlns:a16="http://schemas.microsoft.com/office/drawing/2014/main" id="{00000000-0008-0000-01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60개월(5년) 약정</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440267</xdr:colOff>
          <xdr:row>10</xdr:row>
          <xdr:rowOff>160867</xdr:rowOff>
        </xdr:from>
        <xdr:to>
          <xdr:col>4</xdr:col>
          <xdr:colOff>1368426</xdr:colOff>
          <xdr:row>11</xdr:row>
          <xdr:rowOff>80434</xdr:rowOff>
        </xdr:to>
        <xdr:sp macro="" textlink="">
          <xdr:nvSpPr>
            <xdr:cNvPr id="3084" name="Option Button 12" hidden="1">
              <a:extLst>
                <a:ext uri="{63B3BB69-23CF-44E3-9099-C40C66FF867C}">
                  <a14:compatExt spid="_x0000_s3084"/>
                </a:ext>
                <a:ext uri="{FF2B5EF4-FFF2-40B4-BE49-F238E27FC236}">
                  <a16:creationId xmlns:a16="http://schemas.microsoft.com/office/drawing/2014/main" id="{00000000-0008-0000-01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미선택</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4</xdr:col>
          <xdr:colOff>440267</xdr:colOff>
          <xdr:row>6</xdr:row>
          <xdr:rowOff>305595</xdr:rowOff>
        </xdr:from>
        <xdr:to>
          <xdr:col>4</xdr:col>
          <xdr:colOff>1890184</xdr:colOff>
          <xdr:row>7</xdr:row>
          <xdr:rowOff>206112</xdr:rowOff>
        </xdr:to>
        <xdr:sp macro="" textlink="">
          <xdr:nvSpPr>
            <xdr:cNvPr id="3094" name="Option Button 22" hidden="1">
              <a:extLst>
                <a:ext uri="{63B3BB69-23CF-44E3-9099-C40C66FF867C}">
                  <a14:compatExt spid="_x0000_s3094"/>
                </a:ext>
                <a:ext uri="{FF2B5EF4-FFF2-40B4-BE49-F238E27FC236}">
                  <a16:creationId xmlns:a16="http://schemas.microsoft.com/office/drawing/2014/main" id="{00000000-0008-0000-01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24개월(2년) 약정</a:t>
              </a:r>
            </a:p>
          </xdr:txBody>
        </xdr:sp>
        <xdr:clientData/>
      </xdr:twoCellAnchor>
    </mc:Choice>
    <mc:Fallback/>
  </mc:AlternateContent>
  <mc:AlternateContent xmlns:mc="http://schemas.openxmlformats.org/markup-compatibility/2006">
    <mc:Choice xmlns:a14="http://schemas.microsoft.com/office/drawing/2010/main" Requires="a14">
      <xdr:twoCellAnchor editAs="absolute">
        <xdr:from>
          <xdr:col>1</xdr:col>
          <xdr:colOff>236009</xdr:colOff>
          <xdr:row>5</xdr:row>
          <xdr:rowOff>66679</xdr:rowOff>
        </xdr:from>
        <xdr:to>
          <xdr:col>3</xdr:col>
          <xdr:colOff>0</xdr:colOff>
          <xdr:row>11</xdr:row>
          <xdr:rowOff>296337</xdr:rowOff>
        </xdr:to>
        <xdr:sp macro="" textlink="">
          <xdr:nvSpPr>
            <xdr:cNvPr id="3107" name="Group Box 35" hidden="1">
              <a:extLst>
                <a:ext uri="{63B3BB69-23CF-44E3-9099-C40C66FF867C}">
                  <a14:compatExt spid="_x0000_s3107"/>
                </a:ext>
                <a:ext uri="{FF2B5EF4-FFF2-40B4-BE49-F238E27FC236}">
                  <a16:creationId xmlns:a16="http://schemas.microsoft.com/office/drawing/2014/main" id="{00000000-0008-0000-0100-000023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3</xdr:col>
          <xdr:colOff>107951</xdr:colOff>
          <xdr:row>5</xdr:row>
          <xdr:rowOff>59269</xdr:rowOff>
        </xdr:from>
        <xdr:to>
          <xdr:col>5</xdr:col>
          <xdr:colOff>1</xdr:colOff>
          <xdr:row>11</xdr:row>
          <xdr:rowOff>306919</xdr:rowOff>
        </xdr:to>
        <xdr:sp macro="" textlink="">
          <xdr:nvSpPr>
            <xdr:cNvPr id="3111" name="Group Box 39" hidden="1">
              <a:extLst>
                <a:ext uri="{63B3BB69-23CF-44E3-9099-C40C66FF867C}">
                  <a14:compatExt spid="_x0000_s3111"/>
                </a:ext>
                <a:ext uri="{FF2B5EF4-FFF2-40B4-BE49-F238E27FC236}">
                  <a16:creationId xmlns:a16="http://schemas.microsoft.com/office/drawing/2014/main" id="{00000000-0008-0000-0100-000027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ikyongsoo\DATA\&#51088;&#47308;&#44160;&#53664;\1&#49324;&#50629;&#49457;&#44160;&#53664;&#51088;&#47308;\&#44053;&#45224;&#44396;&#52397;&#44060;&#48156;\&#51312;&#45804;&#52397;&#48512;&#51648;&#44060;&#48156;\&#49340;&#49457;&#47932;&#49328;\&#49352;&#54028;&#51068;\A&#49373;&#47749;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8149;&#50857;&#48177;&#44284;&#51109;\EDATA\SINGLE\OFFICE40\temp\&#50689;&#51333;&#46020;IBC&#49892;&#54665;&#44208;&#511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My%20Documents\Excel&#44204;&#51201;\G\Good%20Morning%20&#51613;&#44428;-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7928;&#55148;&#49688;\C\My%20Documents\&#44204;&#51201;&#49436;\&#50724;&#54588;&#49828;\&#52980;&#54057;\DEUTSCHE021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49436;&#51221;&#45909;\&#51089;&#50629;&#46308;\C-96090\&#49444;&#44228;&#50696;&#49328;&#49436;\XLS\ALL-XLS\ULSAN\PRIC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RSEOFNP03\Departments\Image\&#44204;&#51201;&#51228;&#52636;\2012&#45380;&#46020;\&#51652;&#54665;Project\Sony%20Chemical%20Korea\&#44204;&#51201;&#49436;\Sony%20Chemical%20&#48708;&#44368;.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E08010\&#44277;&#50976;\WINDOWS\GI-LIS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08010\&#44277;&#50976;\WINDOWS\TEMP\$WC\SIL_MUN\GODO.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08010\&#44277;&#50976;\WINDOWS\DATA-97\ASAN-971\YONG-RAG\AS-YO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48149;&#51221;&#55148;\EXCEL&#44204;&#51201;\D\DLJ-F0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4053;&#46041;&#54840;\&#44053;&#46041;&#54840;\MSOFFICE\EXCEL\EXAMPLES\TEST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47928;&#55148;&#49688;\C\My%20Documents\DATA\HWANG\Emerson\My%20Documents\Specification\Ben%20Korea\&#45796;&#50896;(ZENEC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WORKSHOP.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44053;&#46041;&#54840;\&#44053;&#46041;&#54840;\data\XLS\dongaest\MSOFFICE\EXCEL\EXAMPLES\CUSTOME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3423\line\LEE\&#51221;&#49328;\&#48176;&#44288;&#51613;&#5262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2003&#45380;\&#51473;&#50521;\KT&#49688;&#46020;&#44428;%20&#44256;&#44061;1&#49468;&#53440;%2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1076;&#52285;&#49688;\&#54788;&#51116;\ahjkim\&#51109;&#44592;&#44228;&#54925;\&#50857;&#5164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Oa-b\c\WORK\Project\SamSung\changwon\&#44592;&#48376;&#49444;&#44228;\&#49352;%20&#54260;&#45908;\shcwae0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3423\line\SUK\LEE2\&#50696;&#49328;\&#45225;&#5440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1076;&#52285;&#49688;\&#54788;&#51116;\ahjkim\&#44592;&#53440;&#51088;&#47308;\&#45824;&#50808;&#44277;&#4792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IMOON\&#50756;&#46020;&#54616;&#49688;\DATA\YOUNGANG\CALSHEET\GODO.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8120;&#51648;\C\MSOFFICE\EXCEL\EXAMPLES\TEST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49436;&#48260;\D\EnEproj\&#44277;&#49324;&#51473;\&#50724;&#49328;&#49884;&#52397;\&#49884;&#44277;&#46020;\&#44228;&#49328;&#4943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47928;&#55148;&#49688;\C\My%20Documents\Data\Unigraphics\My%20Documents\DATA\HWANG\&#51228;&#45768;&#52852;\&#45796;&#50896;(ZENECA).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ocuments%20and%20Settings\pc\Local%20Settings\Temporary%20Internet%20Files\OLK4\&#54620;&#49556;&#48716;&#46377;%2014F%20NHN.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WINDOWS\Temporary%20Internet%20Files\Content.IE5\5X34ASQ8\My%20Documents\JOB\&#44553;&#50668;&#44288;&#47532;&#54532;&#47196;&#44536;&#47016;%202001%20v1_1\&#44553;&#50668;&#44288;&#47532;&#54532;&#47196;&#44536;&#47016;%202001%20v1.0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My%20Documents\&#44368;&#48372;&#51613;&#44428;\LOTUS\&#44144;&#51228;&#46020;\&#44144;&#51228;&#4602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2003&#45380;\&#51473;&#50521;\&#51060;&#51012;&#51456;\K.L.G\&#50504;&#55141;&#52488;&#46321;\&#45236;&#50669;\K.L.G\00-15(&#44160;&#45800;&#44256;)-16\&#45236;&#50669;\&#51109;&#54617;&#44148;&#49444;(&#54616;&#46020;&#44553;).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lgekrhqms18.lge.com/My%20Documents/&#44368;&#48372;&#51613;&#44428;/LOTUS/&#44144;&#51228;&#46020;/&#44144;&#51228;&#4602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WINDOWS\Temporary%20Internet%20Files\Content.IE5\5X34ASQ8\My%20Documents\JOB\&#44204;&#51201;(&#50672;&#49845;).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WINDOWS\Temporary%20Internet%20Files\Content.IE5\5X34ASQ8\My%20Documents\JOB\WINDOWS\TEMP\&#44553;&#50668;&#44288;&#47532;&#50672;&#49845;.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Documents%20and%20Settings\All%20Users\Documents\&#51060;&#51012;&#51456;\&#44277;&#49324;&#49436;&#47448;\&#45236;&#50669;\&#49444;&#44228;&#48320;&#44221;\&#49444;&#44228;&#48320;&#44221;&#45236;&#50669;(&#50504;&#55141;&#52488;).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notesm1.doosanheavy.com:1092/photo%20edit/&#50896;&#51088;&#4714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4889;&#47564;&#49453;\C\My%20Documents\Data\Unigraphics\My%20Documents\DATA\HWANG\&#51228;&#45768;&#52852;\&#45796;&#50896;(ZENEC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WINDOWS\Temporary%20Internet%20Files\Content.IE5\5X34ASQ8\My%20Documents\JOB\&#44553;&#50668;&#44288;&#47532;&#54532;&#47196;&#44536;&#47016;%202001%20v1_1\3-1.&#44592;&#53440;&#50629;&#47924;\&#51452;&#49885;&#50577;&#49688;&#46020;\&#51452;&#49885;&#50577;&#49688;&#46020;&#54532;&#47196;&#44536;&#47016;\&#51452;&#49885;&#50577;&#49688;&#46020;&#54532;&#47196;&#44536;&#47016;%20V2.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lgekrhqms28.lge.com/My%20Documents/&#44368;&#48372;&#51613;&#44428;/LOTUS/&#44144;&#51228;&#46020;/&#44144;&#51228;&#460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SE08010\&#44277;&#50976;\WINDOWS\TEMP\$WC\GODO.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SE08010\&#44277;&#50976;\DATA\YOUNGANG\CALSHEET\GODO.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51060;&#48120;&#51648;\C\DATA\XLS\DONGAEST\MSOFFICE\EXCEL\EXAMPLES\CUSTOMER.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SUNG\SharedDocs\USER\My%20Documents\NAME.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51204;&#54617;&#54665;-1\89%20&#51204;&#48120;&#44221;&#55148;\DOCUME~1\DOM1\LOCALS~1\Temp\windows\TEMP\2000&#45380;%20&#48516;&#44592;&#48372;&#44256;&#49436;\2000-1&#48516;&#4459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JJJ90\&#51116;&#51221;&#48512;\Windows\&#48148;&#53461;%20&#54868;&#47732;\&#51116;&#51221;&#48512;\&#51060;&#51088;&#48516;&#49437;\&#51648;&#44553;&#51060;&#51088;\98&#45380;&#44036;&#48516;&#4459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LOTUS\&#44144;&#51228;&#46020;\&#44144;&#51228;&#460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기초"/>
      <sheetName val="건축"/>
      <sheetName val="지표"/>
      <sheetName val="임대"/>
      <sheetName val="공정"/>
      <sheetName val="건설기간분석"/>
      <sheetName val="운영기간분석"/>
      <sheetName val="Dash Board"/>
      <sheetName val="목표세부명세"/>
      <sheetName val="Assumption"/>
      <sheetName val="A생명98"/>
      <sheetName val="TOWER 12TON"/>
      <sheetName val="TOWER 10TON"/>
      <sheetName val="JIB CRANE,HOIST"/>
      <sheetName val="손익"/>
      <sheetName val="현금흐름"/>
      <sheetName val="5층 건축물대장 등기 예정"/>
      <sheetName val="층별면적표-060411-5층 통합"/>
      <sheetName val="서피070607"/>
      <sheetName val="재원조달"/>
      <sheetName val="2F 회의실견적(5_14 일대)"/>
      <sheetName val="노무비"/>
      <sheetName val="Utility Usage YTN TOWER"/>
      <sheetName val="Dash_Board"/>
      <sheetName val="TOWER_12TON"/>
      <sheetName val="TOWER_10TON"/>
      <sheetName val="JIB_CRANE,HOIST"/>
      <sheetName val="5층_건축물대장_등기_예정"/>
      <sheetName val="층별면적표-060411-5층_통합"/>
      <sheetName val="시산표"/>
      <sheetName val="정부노임단가"/>
      <sheetName val="미납중도금후납시"/>
      <sheetName val="Base"/>
      <sheetName val="대구"/>
      <sheetName val="용연"/>
      <sheetName val="울산"/>
      <sheetName val="#REF"/>
      <sheetName val="구미"/>
      <sheetName val="광주"/>
      <sheetName val="언양"/>
      <sheetName val="진천"/>
      <sheetName val="중연"/>
      <sheetName val="대출금_분양율별민감도_토지비수익권"/>
      <sheetName val="손익분석"/>
      <sheetName val="사업보고"/>
      <sheetName val="CF"/>
      <sheetName val="A"/>
      <sheetName val="Dropdown list"/>
      <sheetName val="1ST"/>
      <sheetName val="Budget"/>
      <sheetName val="간이연락"/>
      <sheetName val="유림골조"/>
      <sheetName val="공통비(전체)"/>
      <sheetName val="유림총괄"/>
      <sheetName val="master"/>
      <sheetName val="Prices"/>
      <sheetName val="仲介業者"/>
      <sheetName val="DataWP"/>
      <sheetName val="Dash_Board1"/>
      <sheetName val="TOWER_12TON1"/>
      <sheetName val="TOWER_10TON1"/>
      <sheetName val="JIB_CRANE,HOIST1"/>
      <sheetName val="5층_건축물대장_등기_예정1"/>
      <sheetName val="층별면적표-060411-5층_통합1"/>
      <sheetName val="2F_회의실견적(5_14_일대)"/>
      <sheetName val="Utility_Usage_YTN_TOWER"/>
      <sheetName val="단독빌딩 총합계본"/>
      <sheetName val="일위대가(계측기설치)"/>
      <sheetName val="BCPAB"/>
      <sheetName val="fy09 ~12 erp"/>
      <sheetName val="fy09 erp"/>
      <sheetName val="Sheet1"/>
      <sheetName val="재료비"/>
      <sheetName val="list"/>
      <sheetName val="Raw data_카테고리별 매출"/>
      <sheetName val="Raw data_시설전체_일간,주간_매출&amp;트래픽"/>
      <sheetName val="Mapping"/>
      <sheetName val="Dash_Board2"/>
      <sheetName val="TOWER_12TON2"/>
      <sheetName val="TOWER_10TON2"/>
      <sheetName val="JIB_CRANE,HOIST2"/>
      <sheetName val="5층_건축물대장_등기_예정2"/>
      <sheetName val="층별면적표-060411-5층_통합2"/>
      <sheetName val="2F_회의실견적(5_14_일대)1"/>
      <sheetName val="Utility_Usage_YTN_TOWER1"/>
      <sheetName val="Dropdown_list"/>
      <sheetName val="fy09_~12_erp"/>
      <sheetName val="fy09_erp"/>
      <sheetName val="단독빌딩_총합계본"/>
      <sheetName val="Raw_data_카테고리별_매출"/>
      <sheetName val="Raw_data_시설전체_일간,주간_매출&amp;트래픽"/>
      <sheetName val="공문"/>
      <sheetName val="Sheet4"/>
      <sheetName val="7.Utility Analysis"/>
      <sheetName val="Operational Activities"/>
      <sheetName val="7_Utility_Analysis"/>
      <sheetName val="Operational_Activities"/>
      <sheetName val="I-Données_de_base"/>
      <sheetName val="BESOINS  MOS"/>
      <sheetName val="추가공정(내역서)"/>
      <sheetName val="建物概要 (2)"/>
      <sheetName val="표지"/>
      <sheetName val="날개벽수량표"/>
      <sheetName val="B"/>
      <sheetName val="기계"/>
      <sheetName val="기성내역"/>
      <sheetName val="인원계획-미화"/>
      <sheetName val="マスタ"/>
      <sheetName val="안산기계장치"/>
      <sheetName val="전담운영PM"/>
      <sheetName val="유효성검사"/>
      <sheetName val="내역서"/>
      <sheetName val=" 하이드파크 2022년 하반기 소방종합정밀점검 지적사항."/>
      <sheetName val="공통비총괄표"/>
      <sheetName val="입찰내역 발주처 양식"/>
      <sheetName val="단면 (2)"/>
      <sheetName val="단가조견표"/>
      <sheetName val="재무가정"/>
      <sheetName val="노임단가"/>
      <sheetName val="Preslinks"/>
      <sheetName val="gaeyo"/>
    </sheetNames>
    <sheetDataSet>
      <sheetData sheetId="0" refreshError="1"/>
      <sheetData sheetId="1" refreshError="1"/>
      <sheetData sheetId="2" refreshError="1"/>
      <sheetData sheetId="3" refreshError="1"/>
      <sheetData sheetId="4" refreshError="1"/>
      <sheetData sheetId="5" refreshError="1">
        <row r="25">
          <cell r="AH25" t="str">
            <v>진 척 도</v>
          </cell>
        </row>
        <row r="26">
          <cell r="AH26" t="str">
            <v>공통가설</v>
          </cell>
        </row>
        <row r="27">
          <cell r="AH27" t="str">
            <v>건축공사</v>
          </cell>
        </row>
        <row r="28">
          <cell r="AH28" t="str">
            <v>설비공사</v>
          </cell>
        </row>
        <row r="29">
          <cell r="AH29" t="str">
            <v>전기공사</v>
          </cell>
        </row>
        <row r="30">
          <cell r="AH30" t="str">
            <v>현관비등</v>
          </cell>
        </row>
        <row r="31">
          <cell r="AH31" t="str">
            <v>누계공정</v>
          </cell>
        </row>
        <row r="33">
          <cell r="AH33" t="str">
            <v>구  분</v>
          </cell>
        </row>
        <row r="34">
          <cell r="AH34" t="str">
            <v>진 척 도</v>
          </cell>
        </row>
        <row r="35">
          <cell r="AH35" t="str">
            <v>공통가설</v>
          </cell>
        </row>
        <row r="36">
          <cell r="AH36" t="str">
            <v>건축공사</v>
          </cell>
        </row>
        <row r="37">
          <cell r="AH37" t="str">
            <v>설비공사</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인수인계"/>
      <sheetName val="추가항목"/>
      <sheetName val="목차"/>
      <sheetName val="추가목표"/>
      <sheetName val="갑지"/>
      <sheetName val="요약"/>
      <sheetName val="대비"/>
      <sheetName val="분석"/>
      <sheetName val="금융"/>
      <sheetName val="기준"/>
      <sheetName val="공정"/>
      <sheetName val="정직"/>
      <sheetName val="임직"/>
      <sheetName val="단가"/>
      <sheetName val="보험안전"/>
      <sheetName val="안전반영"/>
      <sheetName val="제목"/>
      <sheetName val="공사수행방안"/>
      <sheetName val="교통대책내역"/>
      <sheetName val="공사개요"/>
      <sheetName val="실행철강하도"/>
      <sheetName val="중(1공구)"/>
      <sheetName val="중(2공구)"/>
      <sheetName val="실행(1공구)"/>
      <sheetName val="무늬목판넬단가분석 (2)"/>
      <sheetName val="도급액분석"/>
      <sheetName val="내역"/>
      <sheetName val="건축집계"/>
      <sheetName val="금액내역서"/>
      <sheetName val="#REF"/>
      <sheetName val="1공구(을)"/>
      <sheetName val="Sheet2"/>
      <sheetName val="타일"/>
      <sheetName val="소비자가"/>
      <sheetName val="영종도IBC실행결재"/>
      <sheetName val="하도급정산품의서"/>
      <sheetName val="집계표"/>
      <sheetName val="건축"/>
      <sheetName val="단가조사"/>
      <sheetName val="금호"/>
      <sheetName val="집계"/>
      <sheetName val="0226"/>
      <sheetName val="01"/>
      <sheetName val="유림골조"/>
      <sheetName val="공통부대비"/>
      <sheetName val="SUMMARY"/>
      <sheetName val="인사자료총집계"/>
      <sheetName val=" 견적서"/>
      <sheetName val="총괄"/>
      <sheetName val="선급금지급청구서"/>
      <sheetName val="목표세부명세"/>
      <sheetName val="공문"/>
      <sheetName val="입찰안"/>
      <sheetName val="구산초등학교"/>
      <sheetName val="220 (2)"/>
      <sheetName val="평3"/>
      <sheetName val="일위대가"/>
      <sheetName val="연령현황"/>
      <sheetName val="을-ATYPE"/>
      <sheetName val="내역서변경성원"/>
      <sheetName val="연습"/>
      <sheetName val="데이타"/>
      <sheetName val="식재인부"/>
      <sheetName val="연돌일위집계"/>
      <sheetName val="6PILE  (돌출)"/>
      <sheetName val="전기 내역서(1차)"/>
      <sheetName val="SG"/>
      <sheetName val="Breakdown"/>
      <sheetName val="UnitRate"/>
      <sheetName val="남양주부대"/>
      <sheetName val="Sheet1"/>
      <sheetName val="DATA2000"/>
      <sheetName val="설산1.나"/>
      <sheetName val="본사S"/>
      <sheetName val="전기"/>
      <sheetName val="ELECTRIC"/>
      <sheetName val="SCHEDULE"/>
      <sheetName val="CTEMCOST"/>
      <sheetName val="총물량"/>
      <sheetName val="금융비용"/>
      <sheetName val="무늬목판넬단가분석_(2)"/>
      <sheetName val="_견적서"/>
      <sheetName val="220_(2)"/>
      <sheetName val="6PILE__(돌출)"/>
      <sheetName val="전기_내역서(1차)"/>
      <sheetName val="설산1_나"/>
      <sheetName val="0.0ControlSheet"/>
      <sheetName val="부하계산서"/>
      <sheetName val="현장지지물물량"/>
      <sheetName val="정부노임단가"/>
      <sheetName val="단위세대물량"/>
      <sheetName val="물량표"/>
      <sheetName val="일위대가목차"/>
      <sheetName val="동해title"/>
      <sheetName val="총괄표"/>
      <sheetName val="교수설계"/>
      <sheetName val="품셈TABLE"/>
      <sheetName val="COVER"/>
      <sheetName val="Total"/>
      <sheetName val="갑지1"/>
      <sheetName val="토목내역서"/>
      <sheetName val="건축내역서"/>
      <sheetName val="기계내역서"/>
      <sheetName val="전기내역서"/>
      <sheetName val="통신내역서"/>
      <sheetName val="소방내역서"/>
      <sheetName val="수량산출"/>
      <sheetName val="A-4"/>
      <sheetName val="공종별집계표 0단계"/>
      <sheetName val="공사비증감"/>
      <sheetName val="정산합의서"/>
      <sheetName val="시중노임단가"/>
      <sheetName val="평가데이터"/>
      <sheetName val="Project Brief"/>
      <sheetName val="1-1"/>
      <sheetName val="간접"/>
      <sheetName val="간접비"/>
      <sheetName val="원가계산서(남측)"/>
      <sheetName val="가로등"/>
      <sheetName val="공사내역"/>
      <sheetName val="내역서"/>
      <sheetName val="설계내역서"/>
      <sheetName val="N賃率-職"/>
      <sheetName val="실행"/>
      <sheetName val="PAINT"/>
      <sheetName val="DATA"/>
      <sheetName val="개산공사비"/>
      <sheetName val="노임이"/>
      <sheetName val="1공구Ȩ_x0000_ꠀ"/>
      <sheetName val="1ST"/>
      <sheetName val="6호기"/>
      <sheetName val="선홈통"/>
      <sheetName val="공통비(전체)"/>
      <sheetName val="토목공사"/>
      <sheetName val="새공통(96임금인상기준)"/>
      <sheetName val="비교1"/>
      <sheetName val="유림총괄"/>
      <sheetName val="단가표"/>
      <sheetName val="의뢰서"/>
      <sheetName val="무늬목판넬단가분석_(2)1"/>
      <sheetName val="프랜트면허"/>
      <sheetName val="LIST"/>
      <sheetName val="표"/>
      <sheetName val="참조_세부공종코드"/>
      <sheetName val="Option"/>
      <sheetName val="1공구Ȩ"/>
      <sheetName val="아파트 "/>
      <sheetName val="경량공사물량산출서_05.10.xlsx"/>
      <sheetName val="TRE TABLE"/>
      <sheetName val="3.공통공사대비"/>
      <sheetName val="연수동"/>
      <sheetName val="차액보증"/>
      <sheetName val="갑지(추정)"/>
      <sheetName val="실행내역"/>
      <sheetName val="1.취수장"/>
      <sheetName val="시험연구비상각"/>
      <sheetName val="견적대비표"/>
      <sheetName val="1공구Ȩ_x005f_x0000_ꠀ"/>
      <sheetName val="Sheet4"/>
      <sheetName val="이음정착"/>
      <sheetName val="1공구Ȩ_x005f_x005f_x005f_x0000_ꠀ"/>
      <sheetName val="석공사"/>
      <sheetName val="조명시설"/>
      <sheetName val="내역표지"/>
      <sheetName val="부속동"/>
      <sheetName val="공현기준"/>
      <sheetName val="200"/>
      <sheetName val="득점현황"/>
      <sheetName val="소요자재"/>
      <sheetName val="일위대가 (호표)"/>
      <sheetName val="와동25-3(변경)"/>
      <sheetName val="조직도"/>
      <sheetName val="인원"/>
      <sheetName val="1공구Ȩ_x005f_x005f_x005f_x005f_x005f_x005f_x005f_x0000_ꠀ"/>
      <sheetName val="무늬목판넬단가분석_(2)2"/>
      <sheetName val="_견적서1"/>
      <sheetName val="220_(2)1"/>
      <sheetName val="6PILE__(돌출)1"/>
      <sheetName val="전기_내역서(1차)1"/>
      <sheetName val="설산1_나1"/>
      <sheetName val="0_0ControlSheet"/>
      <sheetName val="공종별집계표_0단계"/>
      <sheetName val="Project_Brief"/>
      <sheetName val="아파트_"/>
      <sheetName val="경량공사물량산출서_05_10_xlsx"/>
      <sheetName val="TRE_TABLE"/>
      <sheetName val="3_공통공사대비"/>
      <sheetName val="1_취수장"/>
      <sheetName val="부서코드표"/>
      <sheetName val="_x0002__x0000__x0000__x0000_x"/>
      <sheetName val="_x0000__x0000__x0000__x0001__x0000__x0000__x0008_ÁD¾Ç_x0000_¬_x0008__x0000__x0001_XÕÄ³ ®_x0015_È°ÀÔX"/>
      <sheetName val=""/>
      <sheetName val="_x0002_"/>
      <sheetName val="갑지(인테리어수량산출서)"/>
      <sheetName val="정렬"/>
      <sheetName val="자재단가"/>
      <sheetName val="입찰내역 발주처 양식"/>
      <sheetName val="_x0002__x0000__x0000__x0000_x‚"/>
      <sheetName val="_x0000__x0000__x0000__x0001__x0000__x0000__x0008_ŒÁD¾Ç_x0000_¬_x0008__x0000__x0001_XÕÄ³ ®_x0015_È°ÀˆÔX"/>
      <sheetName val="Sheet186"/>
      <sheetName val="1공구Ȩ_x005f_x005f_x005f_x005f_x005f_x005f_x005f_x005f_x0"/>
      <sheetName val="입찰"/>
      <sheetName val="현경"/>
      <sheetName val="공통가설"/>
      <sheetName val="Sheet5"/>
      <sheetName val="Details"/>
      <sheetName val="_x005f_x0002__x005f_x0000__x005f_x0000__x005f_x0000_x"/>
      <sheetName val="_x005f_x0000__x005f_x0000__x005f_x0000__x005f_x0001__x0"/>
      <sheetName val="_x005f_x0002_"/>
      <sheetName val="TOWER 12TON"/>
      <sheetName val="TOWER 10TON"/>
      <sheetName val="JIB CRANE,HOIST"/>
      <sheetName val="약품공급2"/>
      <sheetName val="Sheet3"/>
      <sheetName val="96노임기준"/>
      <sheetName val="_x0000__x0000__x0000__x0001__x0000__x0000__x0008_ÁD¾Ç_x0000_¬_x0008__x0000__x0001_XÕÄ³_x0009_®_x0015_È°ÀÔX"/>
      <sheetName val="무늬목판넬단가분석_(2)3"/>
      <sheetName val="_견적서2"/>
      <sheetName val="220_(2)2"/>
      <sheetName val="6PILE__(돌출)2"/>
      <sheetName val="전기_내역서(1차)2"/>
      <sheetName val="설산1_나2"/>
      <sheetName val="0_0ControlSheet1"/>
      <sheetName val="공종별집계표_0단계1"/>
      <sheetName val="Project_Brief1"/>
      <sheetName val="아파트_1"/>
      <sheetName val="경량공사물량산출서_05_10_xlsx1"/>
      <sheetName val="TRE_TABLE1"/>
      <sheetName val="3_공통공사대비1"/>
      <sheetName val="1_취수장1"/>
      <sheetName val="일위대가_(호표)"/>
      <sheetName val="x"/>
      <sheetName val="ÁD¾Ç¬XÕÄ³_®È°ÀÔX"/>
      <sheetName val="입찰내역_발주처_양식"/>
      <sheetName val="몰탈콘크리트"/>
      <sheetName val="철근집계"/>
      <sheetName val="을지"/>
      <sheetName val="MTO REV.2(ARMOR)"/>
      <sheetName val="시산표"/>
      <sheetName val="노임단가"/>
      <sheetName val="6MONTHS"/>
      <sheetName val="98지급계획"/>
      <sheetName val="실행내역서"/>
      <sheetName val="F4-F7"/>
      <sheetName val="RAB AR&amp;STR"/>
      <sheetName val="발주현황"/>
      <sheetName val="B동내역"/>
      <sheetName val="#3_일위대가목록"/>
      <sheetName val="8.PILE  (돌출)"/>
      <sheetName val="품셈"/>
      <sheetName val="무늬목판넬단가분석_(2)4"/>
      <sheetName val="_견적서3"/>
      <sheetName val="220_(2)3"/>
      <sheetName val="6PILE__(돌출)3"/>
      <sheetName val="전기_내역서(1차)3"/>
      <sheetName val="설산1_나3"/>
      <sheetName val="0_0ControlSheet2"/>
      <sheetName val="공종별집계표_0단계2"/>
      <sheetName val="Project_Brief2"/>
      <sheetName val="아파트_2"/>
      <sheetName val="경량공사물량산출서_05_10_xlsx2"/>
      <sheetName val="TRE_TABLE2"/>
      <sheetName val="3_공통공사대비2"/>
      <sheetName val="1_취수장2"/>
      <sheetName val="일위대가_(호표)1"/>
      <sheetName val="입찰내역_발주처_양식1"/>
      <sheetName val="x‚"/>
      <sheetName val="ŒÁD¾Ç¬XÕÄ³_®È°ÀˆÔX"/>
      <sheetName val="TOWER_12TON"/>
      <sheetName val="TOWER_10TON"/>
      <sheetName val="JIB_CRANE,HOIST"/>
      <sheetName val="ÁD¾Ç¬XÕÄ³ ®È°ÀÔX"/>
      <sheetName val="본선 토공 분배표"/>
      <sheetName val="공사요율"/>
      <sheetName val="MTO_REV_2(ARMOR)"/>
      <sheetName val="RAB_AR&amp;STR"/>
      <sheetName val="본선_토공_분배표"/>
      <sheetName val="급수 (LPM)"/>
      <sheetName val=" 냉각수펌프"/>
      <sheetName val="프로젝트"/>
      <sheetName val="VS P-Q"/>
      <sheetName val="답십리"/>
      <sheetName val="영등포1"/>
      <sheetName val="영등포-1"/>
      <sheetName val="길음7"/>
      <sheetName val="Repair"/>
      <sheetName val="Consumable"/>
      <sheetName val="Spare parts"/>
      <sheetName val="Recondition"/>
      <sheetName val="기본원칙"/>
      <sheetName val="주요지표"/>
      <sheetName val=" PL"/>
      <sheetName val="매출액명세"/>
      <sheetName val="매출원가명세"/>
      <sheetName val="매출이익명세"/>
      <sheetName val="인력계획"/>
      <sheetName val="인건비"/>
      <sheetName val="판관비-공통"/>
      <sheetName val="판관비-기타경비명세"/>
      <sheetName val="기타&amp;특별수지 명세"/>
      <sheetName val="매출채권산출"/>
      <sheetName val="재고자산산출"/>
      <sheetName val="수입계획"/>
      <sheetName val="매입채무산출"/>
      <sheetName val="투자계획"/>
      <sheetName val="이자비용"/>
      <sheetName val="BS"/>
      <sheetName val="BS계정"/>
      <sheetName val="ROIC"/>
      <sheetName val=" Cash Flow"/>
      <sheetName val="Sensible Indicator"/>
      <sheetName val="10현장조직"/>
      <sheetName val="전제조건"/>
      <sheetName val="관로내역원"/>
      <sheetName val="간지"/>
      <sheetName val="2006년 제조경비 추정"/>
      <sheetName val="제조경비 계획"/>
      <sheetName val="2006년 일반관리비 추정"/>
      <sheetName val="일반관리비계획"/>
      <sheetName val="지급수수료"/>
      <sheetName val="제작비"/>
      <sheetName val="잡급 (일반)"/>
      <sheetName val="복리후생비 (일반)"/>
      <sheetName val="여비교통비 (일반)"/>
      <sheetName val="통신비 (일반)"/>
      <sheetName val="세금과공과 (일반)"/>
      <sheetName val="지급임차료 (일반)"/>
      <sheetName val="감가상각비 (일반)"/>
      <sheetName val="수선비 (일반)"/>
      <sheetName val="보험료 (일반)"/>
      <sheetName val="접대비 (일반)"/>
      <sheetName val="광고선전비(일반)"/>
      <sheetName val="지급수수료 (일반)"/>
      <sheetName val="교육훈련비 (일반)"/>
      <sheetName val="도서인쇄비 (일반)"/>
      <sheetName val="사무비 (일반)"/>
      <sheetName val="소모품비 (일반)"/>
      <sheetName val="운반비 (일반)"/>
      <sheetName val="지급용역비 (일반)"/>
      <sheetName val="2000년1차"/>
      <sheetName val="2000전체분"/>
      <sheetName val="RE9604"/>
      <sheetName val="자금운용계획표"/>
      <sheetName val="자료"/>
      <sheetName val="101동"/>
      <sheetName val="조립지적"/>
      <sheetName val="해외 기술훈련비 (합계)"/>
      <sheetName val="첨부1"/>
      <sheetName val="Assumption"/>
      <sheetName val="종가"/>
      <sheetName val="당월금액"/>
      <sheetName val="자금운용표"/>
      <sheetName val="조명율표"/>
      <sheetName val="1유리"/>
      <sheetName val="재료집계표3"/>
      <sheetName val="매입"/>
      <sheetName val="지질조사"/>
      <sheetName val="견적조건"/>
      <sheetName val="잡철물"/>
      <sheetName val="조명일위"/>
      <sheetName val="세부내역"/>
      <sheetName val="비교손익계산서"/>
      <sheetName val="97출고현황(SEC)"/>
      <sheetName val="97입고현황(사내)"/>
      <sheetName val="97출고현황(매출분)"/>
      <sheetName val="채권채무조회서CS"/>
      <sheetName val="점유현황"/>
      <sheetName val="회사정보"/>
      <sheetName val="982월원안"/>
      <sheetName val="DATE"/>
      <sheetName val="8월차잔"/>
      <sheetName val="99총공사내역서"/>
      <sheetName val="controll"/>
      <sheetName val="1 자원총괄"/>
      <sheetName val="#REF!"/>
      <sheetName val="2000.05"/>
      <sheetName val="99년하반기"/>
      <sheetName val="호봉피치"/>
      <sheetName val="견적"/>
      <sheetName val="수 량 명 세 서 - 1"/>
      <sheetName val="4.전기"/>
      <sheetName val="설비2차"/>
      <sheetName val="배수내역"/>
      <sheetName val="무늬목판넬단가분석_(2)5"/>
      <sheetName val="_견적서4"/>
      <sheetName val="220_(2)4"/>
      <sheetName val="설산1_나4"/>
      <sheetName val="6PILE__(돌출)4"/>
      <sheetName val="전기_내역서(1차)4"/>
      <sheetName val="0_0ControlSheet3"/>
      <sheetName val="공종별집계표_0단계3"/>
      <sheetName val="Project_Brief3"/>
      <sheetName val="아파트_3"/>
      <sheetName val="경량공사물량산출서_05_10_xlsx3"/>
      <sheetName val="TRE_TABLE3"/>
      <sheetName val="3_공통공사대비3"/>
      <sheetName val="1_취수장3"/>
      <sheetName val="일위대가_(호표)2"/>
      <sheetName val="입찰내역_발주처_양식2"/>
      <sheetName val="TOWER_12TON1"/>
      <sheetName val="TOWER_10TON1"/>
      <sheetName val="JIB_CRANE,HOIST1"/>
      <sheetName val="MTO_REV_2(ARMOR)1"/>
      <sheetName val="RAB_AR&amp;STR1"/>
      <sheetName val="본선_토공_분배표1"/>
      <sheetName val="8_PILE__(돌출)"/>
      <sheetName val="ÁD¾Ç¬XÕÄ³_®È°ÀÔX1"/>
      <sheetName val="급수_(LPM)"/>
      <sheetName val="_냉각수펌프"/>
      <sheetName val="D-623D"/>
      <sheetName val="member design"/>
      <sheetName val="예가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refreshError="1"/>
      <sheetData sheetId="197"/>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refreshError="1"/>
      <sheetData sheetId="274" refreshError="1"/>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입찰안"/>
      <sheetName val="노임이"/>
      <sheetName val="노무비"/>
      <sheetName val="공통가설"/>
      <sheetName val="C-A(취합)파리"/>
      <sheetName val="첨부1"/>
      <sheetName val="시멘트"/>
      <sheetName val="ADR"/>
      <sheetName val="A4288"/>
      <sheetName val="간접"/>
      <sheetName val="집계표"/>
      <sheetName val="손익분석"/>
      <sheetName val="수입"/>
      <sheetName val="관로내역원"/>
      <sheetName val="손익"/>
      <sheetName val="현금흐름"/>
      <sheetName val="SUMMARY"/>
      <sheetName val="PAINT"/>
      <sheetName val="CTEMCOST"/>
      <sheetName val="ELECTRIC"/>
      <sheetName val="자바라1"/>
      <sheetName val="SG"/>
      <sheetName val="COL"/>
      <sheetName val="수정시산표"/>
      <sheetName val="주택"/>
      <sheetName val="주택(백만원)"/>
      <sheetName val="손익기01"/>
      <sheetName val="Sheet1"/>
      <sheetName val="동선(을)"/>
      <sheetName val="신공항A-9(원가수정)"/>
      <sheetName val="KUNGDEVI"/>
      <sheetName val="전계가"/>
      <sheetName val="예가표"/>
      <sheetName val="원가계산서"/>
      <sheetName val="금액내역서"/>
      <sheetName val="인사자료총집계"/>
      <sheetName val="그래프"/>
      <sheetName val="GDP"/>
      <sheetName val="5Traffic1"/>
      <sheetName val="부문인원3"/>
      <sheetName val="설계내역서"/>
      <sheetName val="공사개요"/>
      <sheetName val="실행내역"/>
      <sheetName val="내역"/>
      <sheetName val="금융비용"/>
      <sheetName val="공통비총괄표"/>
      <sheetName val="기계경비(시간당)"/>
      <sheetName val="램머"/>
      <sheetName val="호프"/>
      <sheetName val="현장관리비"/>
      <sheetName val="수주현황2월"/>
      <sheetName val="산근"/>
      <sheetName val="여흥"/>
      <sheetName val="감독1130"/>
      <sheetName val="APT"/>
      <sheetName val="b_balju (2)"/>
      <sheetName val="b_gunmul"/>
      <sheetName val="  한국 AMP ASP-23 판매가격  "/>
      <sheetName val="금융"/>
      <sheetName val="결재인"/>
      <sheetName val="변경실행(2차) "/>
      <sheetName val="CC Down load 0716"/>
      <sheetName val="화물2팀"/>
      <sheetName val="bm(CIcable)"/>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01"/>
      <sheetName val="단가"/>
      <sheetName val="나.출고"/>
      <sheetName val="나.입고"/>
      <sheetName val="8월차잔"/>
      <sheetName val="유동성사채"/>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공사비집계"/>
      <sheetName val="SCHEDULE"/>
      <sheetName val="ABUT수량-A1"/>
      <sheetName val="갑지(추정)"/>
      <sheetName val="견적의뢰"/>
      <sheetName val="화의-현금흐름"/>
      <sheetName val="#REF"/>
      <sheetName val="유림골조"/>
      <sheetName val="기본DATA"/>
      <sheetName val="추가예산"/>
      <sheetName val="노임단가"/>
      <sheetName val="982월원안"/>
      <sheetName val="내역서"/>
      <sheetName val="TR제작사양"/>
      <sheetName val="실행철강하도"/>
      <sheetName val="재료"/>
      <sheetName val="시산표(매출조정전)"/>
      <sheetName val="요약"/>
      <sheetName val="감가상각"/>
      <sheetName val="Training"/>
      <sheetName val="Facility Information"/>
      <sheetName val="General"/>
      <sheetName val="Instructions"/>
      <sheetName val="People"/>
      <sheetName val="Quality"/>
      <sheetName val="Risk"/>
      <sheetName val="주차"/>
      <sheetName val="인원계획-미화"/>
      <sheetName val="Sheet13"/>
      <sheetName val="Sheet14"/>
      <sheetName val="회사정보"/>
      <sheetName val="JUCKEYK"/>
      <sheetName val="DATA"/>
      <sheetName val="실적공사"/>
      <sheetName val="업무처리전"/>
      <sheetName val="총괄내역서"/>
      <sheetName val="공통부대관리"/>
      <sheetName val="MIJIBI"/>
      <sheetName val="익월수주전망"/>
      <sheetName val="입찰내역서"/>
      <sheetName val="A"/>
      <sheetName val="Prices"/>
      <sheetName val="장기대여금1"/>
      <sheetName val="SO416"/>
      <sheetName val="개발비자산성검토"/>
      <sheetName val="가공MH"/>
      <sheetName val="08년(Form1)"/>
      <sheetName val="지점장"/>
      <sheetName val="부서코드표"/>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Variables"/>
      <sheetName val="제조원가 원단위 분석"/>
      <sheetName val="종합표양식(품의 &amp; 입고)_2"/>
      <sheetName val="상각스케쥴(조정)"/>
      <sheetName val="원가관리 (동월대비)"/>
      <sheetName val="45,46"/>
      <sheetName val="방배동내역(리라)"/>
      <sheetName val="980731"/>
      <sheetName val="광곡세부내역"/>
      <sheetName val="2연암거"/>
      <sheetName val="경사수로집계표"/>
      <sheetName val="경사수로"/>
      <sheetName val="진입교량"/>
      <sheetName val="S&amp;R"/>
      <sheetName val="93"/>
      <sheetName val="2-2.매출분석"/>
      <sheetName val="중기조종사 단위단가"/>
      <sheetName val="6PILE  (돌출)"/>
      <sheetName val="기성청구 공문"/>
      <sheetName val="IW-LIST"/>
      <sheetName val="완제품3"/>
      <sheetName val="영동(D)"/>
      <sheetName val="비가동-20"/>
      <sheetName val="손익현황"/>
      <sheetName val="현황CODE"/>
      <sheetName val="SIL98"/>
      <sheetName val="예정(3)"/>
      <sheetName val="동원(3)"/>
      <sheetName val="점수계산1-2"/>
      <sheetName val="시산표"/>
      <sheetName val="역T형"/>
      <sheetName val="woo(mac)"/>
      <sheetName val="MIBK원단위"/>
      <sheetName val="RECIMAKE"/>
      <sheetName val="Proposal"/>
      <sheetName val="일위대가표"/>
      <sheetName val="Total"/>
      <sheetName val="XZLC004_PART2"/>
      <sheetName val="XZLC003_PART1"/>
      <sheetName val="토목검측서"/>
      <sheetName val="A-100전제"/>
      <sheetName val="몰드시스템 리스트"/>
      <sheetName val="정비손익"/>
      <sheetName val="200"/>
      <sheetName val="Calen"/>
      <sheetName val="Borrower"/>
      <sheetName val="7 (2)"/>
      <sheetName val="원가(통신)"/>
      <sheetName val="중요02월25일"/>
      <sheetName val="정산표"/>
      <sheetName val="월말명세0912"/>
      <sheetName val="11.외화채무증권(AFS,HTM)08"/>
      <sheetName val="Hedge09"/>
      <sheetName val="13.감액TEST_08"/>
      <sheetName val="해외채권"/>
      <sheetName val="BS09"/>
      <sheetName val="단가추이"/>
      <sheetName val="경유량추이"/>
      <sheetName val="단가산출"/>
      <sheetName val="Sheet1 (2)"/>
      <sheetName val="표지"/>
      <sheetName val="설비원가"/>
      <sheetName val="물량표"/>
      <sheetName val="表21 净利润调节表"/>
      <sheetName val="A-4"/>
      <sheetName val="SM1-09"/>
      <sheetName val="SM2-09"/>
      <sheetName val="BD-09"/>
      <sheetName val="CAUDIT"/>
      <sheetName val="조명시설"/>
      <sheetName val="원가계산하도"/>
      <sheetName val="총내역서"/>
      <sheetName val="2.총괄표"/>
      <sheetName val="일위대가"/>
      <sheetName val="LinerWt"/>
      <sheetName val="미드수량"/>
      <sheetName val="참조"/>
      <sheetName val="DATE"/>
      <sheetName val="대비표"/>
      <sheetName val="현장지지물물량"/>
      <sheetName val="97년추정손익계산서"/>
      <sheetName val="12년 CF(9월)"/>
      <sheetName val="골조시행"/>
      <sheetName val="업무연락"/>
      <sheetName val="Ethylene"/>
      <sheetName val="월별매출"/>
      <sheetName val="ChlorAlkali"/>
      <sheetName val="VXXXXXXX"/>
      <sheetName val="13월별BS"/>
      <sheetName val="RE9604"/>
      <sheetName val="평가제외"/>
      <sheetName val="집행내역"/>
      <sheetName val="양식3"/>
      <sheetName val="하수급견적대비"/>
      <sheetName val="재고현황"/>
      <sheetName val="발행제기"/>
      <sheetName val="2.대외공문"/>
      <sheetName val="퇴충"/>
      <sheetName val="요약PL"/>
      <sheetName val="교각계산"/>
      <sheetName val="37개월"/>
      <sheetName val="주형"/>
      <sheetName val="sum1 (2)"/>
      <sheetName val="적격"/>
      <sheetName val="3.바닥판설계"/>
      <sheetName val="단가표"/>
      <sheetName val="세부내역서"/>
      <sheetName val="D-623D"/>
      <sheetName val="BQMPALOC"/>
      <sheetName val="조경"/>
      <sheetName val="TRE TABLE"/>
      <sheetName val="C3"/>
      <sheetName val="입찰보고"/>
      <sheetName val="물량표(신)"/>
      <sheetName val="대공종"/>
      <sheetName val="slipsumpR"/>
      <sheetName val="참조시트"/>
      <sheetName val="월별수입"/>
      <sheetName val="차수"/>
      <sheetName val="담보"/>
      <sheetName val="1유리"/>
      <sheetName val="예적금"/>
      <sheetName val="월별손익"/>
      <sheetName val="매출"/>
      <sheetName val="공통비(전체)"/>
      <sheetName val="토목공사"/>
      <sheetName val="새공통(96임금인상기준)"/>
      <sheetName val="비교1"/>
      <sheetName val="유림총괄"/>
      <sheetName val="산출근거"/>
      <sheetName val="일위(토목)"/>
      <sheetName val="품셈TABLE"/>
      <sheetName val="슬래브"/>
      <sheetName val="품셈표"/>
      <sheetName val="갑근세납세필증명원"/>
      <sheetName val="적용건축"/>
      <sheetName val="주현(해보)"/>
      <sheetName val="주현(영광)"/>
      <sheetName val="_x0018__x0000_"/>
      <sheetName val=""/>
      <sheetName val="입출재고현황 (2)"/>
      <sheetName val="입찰내역 발주처 양식"/>
      <sheetName val="자재단가"/>
      <sheetName val="실행간접비용"/>
      <sheetName val="부속동"/>
      <sheetName val="부하계산서"/>
      <sheetName val="Utility Usage YTN TOWER"/>
      <sheetName val="Data Validation"/>
      <sheetName val="118.세금과공과"/>
      <sheetName val="수선비"/>
      <sheetName val="BEST"/>
      <sheetName val="통장출금액"/>
      <sheetName val="카메라"/>
      <sheetName val="실적"/>
      <sheetName val="CC_Down_load_0716"/>
      <sheetName val="변경실행(2차)_"/>
      <sheetName val="나_출고"/>
      <sheetName val="나_입고"/>
      <sheetName val="09년_인건비(속리산)"/>
      <sheetName val="합산목표(감가+57_5)"/>
      <sheetName val="기성청구_공문"/>
      <sheetName val="504전기실 동부하-L"/>
      <sheetName val="Sheet15"/>
      <sheetName val="Sheet9"/>
      <sheetName val="DUT-BAT1"/>
      <sheetName val="감가상각비"/>
      <sheetName val="양식(직판용)"/>
      <sheetName val="部署名"/>
      <sheetName val="車両別燃費及び油類単価"/>
      <sheetName val="1_종합손익(도급)1"/>
      <sheetName val="推移グラフ"/>
      <sheetName val="BAND(200)"/>
      <sheetName val="OUTER AREA(겹침없음)"/>
      <sheetName val="EG-09"/>
      <sheetName val="M3산출"/>
      <sheetName val="EL 표면적"/>
      <sheetName val="FAB"/>
      <sheetName val="Year"/>
      <sheetName val="조정내역"/>
      <sheetName val="CF6"/>
      <sheetName val="P.M 별"/>
      <sheetName val="FRQ"/>
      <sheetName val="기준"/>
      <sheetName val="공정"/>
      <sheetName val="설산1.나"/>
      <sheetName val="본사S"/>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__한국_AMP_ASP-23_판매가격__"/>
      <sheetName val="b_balju_(2)"/>
      <sheetName val="Facility_Information"/>
      <sheetName val="제조원가_원단위_분석"/>
      <sheetName val="종합표양식(품의_&amp;_입고)_2"/>
      <sheetName val="원가관리_(동월대비)"/>
      <sheetName val="2-2_매출분석"/>
      <sheetName val="6PILE__(돌출)"/>
      <sheetName val="중기조종사_단위단가"/>
      <sheetName val="몰드시스템_리스트"/>
      <sheetName val="7_(2)"/>
      <sheetName val="11_외화채무증권(AFS,HTM)08"/>
      <sheetName val="13_감액TEST_08"/>
      <sheetName val="Sheet1_(2)"/>
      <sheetName val="表21_净利润调节表"/>
      <sheetName val="0001new"/>
      <sheetName val="단가(반정3교-원주)"/>
      <sheetName val="월별예산"/>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설계명세서"/>
      <sheetName val="전신환매도율"/>
      <sheetName val="경비"/>
      <sheetName val="CC16-내역서"/>
      <sheetName val="Y-WORK"/>
      <sheetName val="건축내역"/>
      <sheetName val="공사비예산서(토목분)"/>
      <sheetName val="일위대가(계측기설치)"/>
      <sheetName val="목록"/>
      <sheetName val="중기"/>
      <sheetName val="연돌일위집계"/>
      <sheetName val="原価センタ"/>
      <sheetName val="수지"/>
      <sheetName val="국내총괄"/>
      <sheetName val="특판제외"/>
      <sheetName val="건축공사실행"/>
      <sheetName val="건축원가"/>
      <sheetName val="5사남"/>
      <sheetName val="020114"/>
      <sheetName val="0111월"/>
      <sheetName val="Sheet4"/>
      <sheetName val="주행"/>
      <sheetName val="신공"/>
      <sheetName val="Project Brief"/>
      <sheetName val="INPUT"/>
      <sheetName val="2.주요계수총괄"/>
      <sheetName val="현금"/>
      <sheetName val="자금추ȕ"/>
      <sheetName val="찍기"/>
      <sheetName val="단가일람"/>
      <sheetName val="단위량당중기"/>
      <sheetName val="수량집계표(舊)"/>
      <sheetName val="단면 (2)"/>
      <sheetName val="한강운반비"/>
      <sheetName val="05년말(건재)"/>
      <sheetName val="동절기투입(자재)"/>
      <sheetName val="부대공"/>
      <sheetName val="GAEYO"/>
      <sheetName val="22철거수량"/>
      <sheetName val="합천내역"/>
      <sheetName val="전기단가조사서"/>
      <sheetName val="MEMORY"/>
      <sheetName val="물량표S"/>
      <sheetName val="내역표지"/>
      <sheetName val="원가서"/>
      <sheetName val="공사비증감"/>
      <sheetName val="자금운용계획표"/>
      <sheetName val="cp-e1"/>
      <sheetName val="일위(PN)"/>
      <sheetName val="1.본사계정별"/>
      <sheetName val="YES-T"/>
      <sheetName val="1_종합손익(도급)2"/>
      <sheetName val="변경실행(2차)_1"/>
      <sheetName val="CC_Down_load_07161"/>
      <sheetName val="나_출고1"/>
      <sheetName val="나_입고1"/>
      <sheetName val="09년_인건비(속리산)1"/>
      <sheetName val="합산목표(감가+57_5)1"/>
      <sheetName val="12년_CF(9월)"/>
      <sheetName val="기성청구_공문1"/>
      <sheetName val="2_대외공문"/>
      <sheetName val="sum1_(2)"/>
      <sheetName val="3_바닥판설계"/>
      <sheetName val="504전기실_동부하-L"/>
      <sheetName val="2_총괄표"/>
      <sheetName val="OUTER_AREA(겹침없음)"/>
      <sheetName val="EL_표면적"/>
      <sheetName val="KAM설비"/>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Back Data 1"/>
      <sheetName val="1. 작성방식"/>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전도품의"/>
      <sheetName val="음료실행"/>
      <sheetName val="내역(한신APT)"/>
      <sheetName val="철골공사"/>
      <sheetName val="구성비"/>
      <sheetName val="분전함신설"/>
      <sheetName val="접지1종"/>
      <sheetName val="Sheet5"/>
      <sheetName val="설계명세서(선로)"/>
      <sheetName val="정부노임단가"/>
      <sheetName val="P-산#1-1(WOWA1)"/>
      <sheetName val="PIPE"/>
      <sheetName val="FLANGE"/>
      <sheetName val="VALVE"/>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09~10년 매출계획"/>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제1호"/>
      <sheetName val="차액보증"/>
      <sheetName val="공사내역"/>
      <sheetName val="1. 시공측량"/>
      <sheetName val="_x005f_x0018__x005f_x0000_"/>
      <sheetName val="자재목록"/>
      <sheetName val="BOX-1510"/>
      <sheetName val="경비2내역"/>
      <sheetName val="2_총괄표1"/>
      <sheetName val="OUTER_AREA(겹침없음)1"/>
      <sheetName val="EL_표면적1"/>
      <sheetName val="P_M_별"/>
      <sheetName val="근거 및 가정"/>
      <sheetName val="2 카드채권(대출포함)"/>
      <sheetName val="터파기및재료"/>
      <sheetName val="시화점실행"/>
      <sheetName val="품목"/>
      <sheetName val="FB25JN"/>
      <sheetName val="도"/>
      <sheetName val="의정부문예회관변경내역"/>
      <sheetName val="건축2"/>
      <sheetName val="직재"/>
      <sheetName val="PAD TR보호대기초"/>
      <sheetName val="HANDHOLE(2)"/>
      <sheetName val="가로등기초"/>
      <sheetName val="상가지급현황"/>
      <sheetName val="3본사"/>
      <sheetName val="98지급계획"/>
      <sheetName val="기초"/>
      <sheetName val="재무상태표"/>
      <sheetName val="대구경북"/>
      <sheetName val="월별손익현황"/>
      <sheetName val="서울서부"/>
      <sheetName val="부산경남"/>
      <sheetName val="서울동부"/>
      <sheetName val="인천경기"/>
      <sheetName val="중부본부"/>
      <sheetName val="호남본부"/>
      <sheetName val="15년"/>
      <sheetName val="16년"/>
      <sheetName val="총괄표"/>
      <sheetName val="수종별수량 (2)"/>
      <sheetName val="구간별수량"/>
      <sheetName val="_x005f_x0018_"/>
      <sheetName val="1.차입금"/>
      <sheetName val="choose"/>
      <sheetName val="위탁매매_1103"/>
      <sheetName val="자기매매_1103"/>
      <sheetName val="위탁매매_1109"/>
      <sheetName val="자기매매_1109"/>
      <sheetName val="FILE1"/>
      <sheetName val="FILE2"/>
      <sheetName val="6-5공구원본"/>
      <sheetName val="부대시행1"/>
      <sheetName val="부대시행1 (2)"/>
      <sheetName val="부대시행2"/>
      <sheetName val="부대토공"/>
      <sheetName val="부대철콘"/>
      <sheetName val="부대토공실"/>
      <sheetName val="부대철콘실"/>
      <sheetName val="Sheet8"/>
      <sheetName val="입찰내역_발주처_양식"/>
      <sheetName val="Data_Validation"/>
      <sheetName val="품목코드표"/>
      <sheetName val="해외 기술훈련비 (합계)"/>
      <sheetName val="접대비"/>
      <sheetName val="Bond"/>
      <sheetName val="최소가치(간편)-회계"/>
      <sheetName val="회사제시"/>
      <sheetName val="_x0018_?"/>
      <sheetName val="__"/>
      <sheetName val="Master"/>
      <sheetName val="Macro1"/>
      <sheetName val="설문 평가"/>
      <sheetName val="sheet6"/>
      <sheetName val="약품공급2"/>
      <sheetName val="인수기간별S"/>
      <sheetName val="본부유지율"/>
      <sheetName val="4-2물건누계"/>
      <sheetName val="자동차추정자료"/>
      <sheetName val="손해감소유형"/>
      <sheetName val="7"/>
      <sheetName val=" 견적서"/>
      <sheetName val="수량산출"/>
      <sheetName val="전선 및 전선관"/>
      <sheetName val="항목"/>
      <sheetName val="본문"/>
      <sheetName val="ETC"/>
      <sheetName val="95하U$가격"/>
      <sheetName val="3.6.2남양주택배"/>
      <sheetName val="Manual"/>
      <sheetName val="슬래԰"/>
      <sheetName val="슬래"/>
      <sheetName val="슬래렀"/>
      <sheetName val="슬래㰀"/>
      <sheetName val="슬래밀"/>
      <sheetName val="선급비용"/>
      <sheetName val="1월 예산"/>
      <sheetName val="슬래　"/>
      <sheetName val="슬래尀"/>
      <sheetName val="슬래⠀"/>
      <sheetName val="특외대"/>
      <sheetName val="슬래"/>
      <sheetName val="슬래堌"/>
      <sheetName val="슬래䰀"/>
      <sheetName val="11월"/>
      <sheetName val="슬래퀀"/>
      <sheetName val="슬래簀"/>
      <sheetName val="슬래瀀"/>
      <sheetName val="BD%_70s"/>
      <sheetName val="슬래鰀"/>
      <sheetName val="슬래뀀"/>
      <sheetName val="#1) 투자 구분"/>
      <sheetName val="전체철근집계"/>
      <sheetName val="명단원자료(이전)"/>
      <sheetName val="설치원가"/>
      <sheetName val="RAW"/>
      <sheetName val="노동부"/>
      <sheetName val="감액총괄표"/>
      <sheetName val="9GNG운반"/>
      <sheetName val="납부내역총괄표 (수정)"/>
      <sheetName val="배수공"/>
      <sheetName val="125PIECE"/>
      <sheetName val="부서별집계표"/>
      <sheetName val="금년실적"/>
      <sheetName val="원본"/>
      <sheetName val="B-1.기본정보"/>
      <sheetName val="소총괄표"/>
      <sheetName val="아파트연면적비율(참고1)"/>
      <sheetName val="연습"/>
      <sheetName val="기초정보"/>
      <sheetName val="1_종합손익(도급)4"/>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CC_Down_load_07163"/>
      <sheetName val="변경실행(2차)_3"/>
      <sheetName val="나_출고3"/>
      <sheetName val="나_입고3"/>
      <sheetName val="09년_인건비(속리산)3"/>
      <sheetName val="합산목표(감가+57_5)3"/>
      <sheetName val="b_balju_(2)2"/>
      <sheetName val="__한국_AMP_ASP-23_판매가격__2"/>
      <sheetName val="중기조종사_단위단가2"/>
      <sheetName val="6PILE__(돌출)2"/>
      <sheetName val="기성청구_공문3"/>
      <sheetName val="2_주요계수총괄"/>
      <sheetName val="제조원가_원단위_분석2"/>
      <sheetName val="종합표양식(품의_&amp;_입고)_22"/>
      <sheetName val="원가관리_(동월대비)2"/>
      <sheetName val="7_(2)2"/>
      <sheetName val="2-2_매출분석2"/>
      <sheetName val="몰드시스템_리스트2"/>
      <sheetName val="sum1_(2)2"/>
      <sheetName val="11_외화채무증권(AFS,HTM)082"/>
      <sheetName val="13_감액TEST_082"/>
      <sheetName val="Sheet1_(2)2"/>
      <sheetName val="3_바닥판설계2"/>
      <sheetName val="2_총괄표2"/>
      <sheetName val="12년_CF(9월)2"/>
      <sheetName val="Project_Brief"/>
      <sheetName val="表21_净利润调节表2"/>
      <sheetName val="입출재고현황_(2)"/>
      <sheetName val="2_대외공문2"/>
      <sheetName val="TRE_TABLE"/>
      <sheetName val="504전기실_동부하-L2"/>
      <sheetName val="OUTER_AREA(겹침없음)2"/>
      <sheetName val="EL_표면적2"/>
      <sheetName val="P_M_별1"/>
      <sheetName val="단면_(2)"/>
      <sheetName val="1_본사계정별"/>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Process_List"/>
      <sheetName val="제시_손익계산서"/>
      <sheetName val="업무연락_(2)"/>
      <sheetName val="M_7회차_담금_계획"/>
      <sheetName val="01_02월_성과급1"/>
      <sheetName val="09~10년_매출계획"/>
      <sheetName val="97_사업추정(WEKI)"/>
      <sheetName val="팀별_실적"/>
      <sheetName val="팀별_실적_(환산)"/>
      <sheetName val="6월_공정외주"/>
      <sheetName val="Tong_hop"/>
      <sheetName val="95_1_1이후취득자산(숨기기상태)"/>
      <sheetName val="1_MDF1공장"/>
      <sheetName val="Weekly Progress(계장)"/>
      <sheetName val="부하(성남)"/>
      <sheetName val="판가반영"/>
      <sheetName val="개산공사비"/>
      <sheetName val="선평원내역"/>
      <sheetName val="기둥(원형)"/>
      <sheetName val="화전내"/>
      <sheetName val="수량산출내역1115"/>
      <sheetName val="BID"/>
      <sheetName val="식재품셈"/>
      <sheetName val="表21_净利润夐#奜#"/>
      <sheetName val="要員用master"/>
      <sheetName val="TB"/>
      <sheetName val="PL"/>
      <sheetName val="CS"/>
      <sheetName val="예산계정INDEX"/>
      <sheetName val="환율change"/>
      <sheetName val="일반관리비"/>
      <sheetName val="보고서"/>
      <sheetName val="대투_보관자료 변경"/>
      <sheetName val="내수자재"/>
      <sheetName val="코드"/>
      <sheetName val="표)CFT장 조직별 배분"/>
      <sheetName val="Remark"/>
      <sheetName val="기술분류체계"/>
      <sheetName val="20180214 P&amp;T"/>
      <sheetName val="Ref. 중점 추진 과제별 상세"/>
      <sheetName val="작성요령"/>
      <sheetName val="호남본"/>
      <sheetName val="원가1"/>
      <sheetName val="원가2"/>
      <sheetName val="견적"/>
      <sheetName val="실행기성 갑지"/>
      <sheetName val="Eq. Mobilization"/>
      <sheetName val="TYPE-1"/>
      <sheetName val="선택창"/>
      <sheetName val="외주현황.wq1"/>
      <sheetName val="compare2"/>
      <sheetName val="Krw"/>
      <sheetName val="BS"/>
      <sheetName val="선택지"/>
      <sheetName val="Congfig"/>
      <sheetName val="Bank code"/>
      <sheetName val="총수율"/>
      <sheetName val="11"/>
      <sheetName val="予算実績管理現況"/>
      <sheetName val="Drop-down RAW"/>
      <sheetName val="조직필터"/>
      <sheetName val="Basic Information"/>
      <sheetName val="IS"/>
      <sheetName val="손익실적"/>
      <sheetName val="손익실적(매출원가)"/>
      <sheetName val="당년사별실적"/>
      <sheetName val="VXXXX"/>
      <sheetName val="탄산"/>
      <sheetName val="CODE生成机"/>
      <sheetName val="RE"/>
      <sheetName val="FP"/>
      <sheetName val="Exchange rate"/>
      <sheetName val="U_TYPE_1_"/>
      <sheetName val="설계조건"/>
      <sheetName val="기초견적가"/>
      <sheetName val="TANK"/>
      <sheetName val="조건표"/>
      <sheetName val="결과조달"/>
      <sheetName val="견적대비표"/>
      <sheetName val="포장복구집계"/>
      <sheetName val="간선계산"/>
      <sheetName val="AS복구"/>
      <sheetName val="2000년1차"/>
      <sheetName val="Code"/>
      <sheetName val="전기"/>
      <sheetName val="데이타"/>
      <sheetName val="ITEM"/>
      <sheetName val="일반공사"/>
      <sheetName val="터널조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변수값"/>
      <sheetName val="청천내"/>
      <sheetName val="요율"/>
      <sheetName val="2공구하도급내역서"/>
      <sheetName val="시설물"/>
      <sheetName val="연결임시"/>
      <sheetName val="구조물공"/>
      <sheetName val="부대tu"/>
      <sheetName val="9509"/>
      <sheetName val="투찰추정"/>
      <sheetName val="하부철근수량"/>
      <sheetName val="식재출력용"/>
      <sheetName val="가로등내역서"/>
      <sheetName val="저"/>
      <sheetName val="Baby일위대가"/>
      <sheetName val="실행대비"/>
      <sheetName val="지급자재"/>
      <sheetName val="노무비단가"/>
      <sheetName val="관리,공감"/>
      <sheetName val="식재인부"/>
      <sheetName val="입찰"/>
      <sheetName val="산출내역서"/>
      <sheetName val="4차원가계산서"/>
      <sheetName val="중기상차"/>
      <sheetName val="단가결정"/>
      <sheetName val="유지관리"/>
      <sheetName val="내역아"/>
      <sheetName val="여과지동"/>
      <sheetName val="울타리"/>
      <sheetName val="기초자료"/>
      <sheetName val="자재대"/>
      <sheetName val="조명율표"/>
      <sheetName val="원가"/>
      <sheetName val="공정코드"/>
      <sheetName val="토공"/>
      <sheetName val="총괄-1"/>
      <sheetName val="도급"/>
      <sheetName val="포장공"/>
      <sheetName val="설 계"/>
      <sheetName val="현경"/>
      <sheetName val="단가대비표"/>
      <sheetName val="소야공정계획표"/>
      <sheetName val="기계"/>
      <sheetName val="정화조"/>
      <sheetName val="토목"/>
      <sheetName val="F 월별기성수금현황 "/>
      <sheetName val="준검 내역서"/>
      <sheetName val="MAT"/>
      <sheetName val="설치자재"/>
      <sheetName val="종단계산"/>
      <sheetName val="산출근거(S4)"/>
      <sheetName val="2013.2월 연결대상"/>
      <sheetName val="BS_Package_내부거래"/>
      <sheetName val="PL_Package_내부거래"/>
      <sheetName val="최적단면"/>
      <sheetName val="기계경비"/>
      <sheetName val="배수내역"/>
      <sheetName val="터널전기"/>
      <sheetName val="토목주소"/>
      <sheetName val="프랜트면허"/>
      <sheetName val="Rev. Recon 1"/>
      <sheetName val="1.고객불만건수"/>
      <sheetName val="1.변경범위"/>
      <sheetName val="CF表示組替表"/>
      <sheetName val="FA-LISTING"/>
      <sheetName val="대투_보관자료_변경"/>
      <sheetName val="Back_Data_1"/>
      <sheetName val="※유형구분분류"/>
      <sheetName val="※类型区分分类"/>
      <sheetName val="첨부1(손익관리)"/>
      <sheetName val="카메라2"/>
      <sheetName val="카메라1"/>
      <sheetName val="첨부11(기계정지개선)"/>
      <sheetName val="카메라3"/>
      <sheetName val="카메라-생산실적"/>
      <sheetName val="카메라-생산실적분석"/>
      <sheetName val="고정자산-회사제시"/>
      <sheetName val="해외_기술훈련비_(합계)"/>
      <sheetName val="118_세금과공과"/>
      <sheetName val="수량산출서 갑지"/>
      <sheetName val="I一般比"/>
      <sheetName val="제-노임"/>
      <sheetName val="N賃率-職"/>
      <sheetName val="추정pl"/>
      <sheetName val="공사비_NDE"/>
      <sheetName val="도급예산내역서봉투"/>
      <sheetName val="공사원가계산서"/>
      <sheetName val="설계산출표지"/>
      <sheetName val="도급예산내역서총괄표"/>
      <sheetName val="을부담운반비"/>
      <sheetName val="운반비산출"/>
      <sheetName val="현장경비"/>
      <sheetName val="세금자료"/>
      <sheetName val="98수문일위"/>
      <sheetName val="KEY CODE"/>
      <sheetName val="2-1.강사료,교통비 지급명세"/>
      <sheetName val="13.포장용역비표준"/>
      <sheetName val="9.가공부자재표준"/>
      <sheetName val="8.ROLL표준(TSW)"/>
      <sheetName val="4.톤당조관량표준"/>
      <sheetName val="5.조관부자재표준"/>
      <sheetName val="97년"/>
      <sheetName val="????"/>
      <sheetName val="규"/>
      <sheetName val="규(3)"/>
      <sheetName val="소"/>
      <sheetName val="RE(2)"/>
      <sheetName val="4. Inj 투자상세내역"/>
      <sheetName val="3. Blow 투자 상세내역"/>
      <sheetName val="4__Inj_투자상세내역"/>
      <sheetName val="3__Blow_투자_상세내역"/>
      <sheetName val="Jul-Sep Actual cost (2)"/>
      <sheetName val="97실적"/>
      <sheetName val="을지"/>
      <sheetName val="npv"/>
      <sheetName val="13손익(실적)"/>
      <sheetName val="이름표시"/>
      <sheetName val="요일 테이블"/>
      <sheetName val="요일테이블"/>
      <sheetName val="요일_테이블"/>
      <sheetName val="요일 테이블 (2)"/>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目录"/>
      <sheetName val="Lists"/>
      <sheetName val="Step2_Correlation"/>
      <sheetName val="Step2_Histogram"/>
      <sheetName val="Roll Out_AQ"/>
      <sheetName val="DePara"/>
      <sheetName val="2004"/>
      <sheetName val="VPO"/>
      <sheetName val="Evolução mandamentos"/>
      <sheetName val="Prod"/>
      <sheetName val="Eficiencia"/>
      <sheetName val="Tabelas"/>
      <sheetName val="Planilha resultados"/>
      <sheetName val="Custo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3 ISo YTD"/>
      <sheetName val="GuV"/>
      <sheetName val="E 法规NC"/>
      <sheetName val="KPI与VIC"/>
      <sheetName val="Données LMU"/>
      <sheetName val="Brazil Sovereign"/>
      <sheetName val="Gauge"/>
      <sheetName val="Resumen Costo"/>
      <sheetName val="Production_REP_CURR"/>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5.1"/>
      <sheetName val="Extract Loss"/>
      <sheetName val="QA 跟踪记录表"/>
      <sheetName val="RG Depots"/>
      <sheetName val="Overview"/>
      <sheetName val="material data"/>
      <sheetName val="other data"/>
      <sheetName val="Como Estamos"/>
      <sheetName val="Front"/>
      <sheetName val="#REF!"/>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Volumen"/>
      <sheetName val="Parameters"/>
      <sheetName val="Cases"/>
      <sheetName val="Revenues"/>
      <sheetName val="Assumptions"/>
      <sheetName val="Raw Data"/>
      <sheetName val="10年KPI预算"/>
      <sheetName val="数据源"/>
      <sheetName val="EBM-2 GHQ"/>
      <sheetName val="Base PEF"/>
      <sheetName val="Canal"/>
      <sheetName val="Ajustes"/>
      <sheetName val="Placas"/>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MêsBase"/>
      <sheetName val="PREVISÃO"/>
      <sheetName val="12_1"/>
      <sheetName val="CVsku"/>
      <sheetName val="Financials"/>
      <sheetName val="Plan3"/>
      <sheetName val="Anual"/>
      <sheetName val="fabricas"/>
      <sheetName val="Plan1"/>
      <sheetName val="FRA"/>
      <sheetName val="COUPOM"/>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Testing Template Guidance"/>
      <sheetName val="Test Programs"/>
      <sheetName val="List"/>
      <sheetName val="VIC"/>
      <sheetName val="VLC"/>
      <sheetName val="BaseDados"/>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MOL"/>
      <sheetName val="Dados BLP"/>
      <sheetName val="Controls data"/>
      <sheetName val="核心经销商销量"/>
      <sheetName val="ValidDataDrops"/>
      <sheetName val="BLP"/>
      <sheetName val="FJJX Bud_IB"/>
      <sheetName val="DATOS"/>
      <sheetName val="look-up data"/>
      <sheetName val="Tabela1"/>
      <sheetName val="[손익기01.XL_x0000__x0000_DePara"/>
      <sheetName val="JOB PROFILE - LAS"/>
      <sheetName val="ARdistr (2)"/>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600ML"/>
      <sheetName val="producto"/>
      <sheetName val="Com (2PK)"/>
      <sheetName val="ctmg"/>
      <sheetName val="Asset"/>
      <sheetName val="MODELO"/>
      <sheetName val="ANS-Ap_Result_2003"/>
      <sheetName val="SupplyChainData"/>
      <sheetName val="Reasons"/>
      <sheetName val="Fun_Bl_Prod"/>
      <sheetName val="Calculos"/>
      <sheetName val="backlog"/>
      <sheetName val="Prd.Hierarchy(产品层次)"/>
      <sheetName val="Project Code"/>
      <sheetName val="Base_PEF"/>
      <sheetName val="Нарушения"/>
      <sheetName val="15년 BL 사계"/>
      <sheetName val="_손익기01.XL"/>
      <sheetName val="TargIS"/>
      <sheetName val="drop down list"/>
      <sheetName val="источник"/>
      <sheetName val="Fixed_ZBB"/>
      <sheetName val="E_法规NC"/>
      <sheetName val="3_ISo_YTD"/>
      <sheetName val="Données_LMU"/>
      <sheetName val="Brazil_Sovereign"/>
      <sheetName val="Base_de_Dados"/>
      <sheetName val="Resumen_Costo"/>
      <sheetName val="Extract_Loss"/>
      <sheetName val="TO_Data_Base7"/>
      <sheetName val="Groupings"/>
      <sheetName val="cat&amp;ee"/>
      <sheetName val="SKU"/>
      <sheetName val="[손익기01.XL_x005f_x0000__x005f_x0000_DePara"/>
      <sheetName val="ES部行动跟踪记录"/>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손익기01.XL"/>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Execution"/>
      <sheetName val="Tablas"/>
      <sheetName val="Income Stmt"/>
      <sheetName val="JOB_PROFILE_-_LAS"/>
      <sheetName val="Quarterly LBO Model"/>
      <sheetName val="_손익기01.XL_x005f_x0000__x005f_x0000_DePara"/>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요일_테이블1"/>
      <sheetName val="요일_테이블_(2)"/>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3_ISo_YTD1"/>
      <sheetName val="E_法规NC1"/>
      <sheetName val="Données_LMU1"/>
      <sheetName val="Brazil_Sovereign1"/>
      <sheetName val="Resumen_Costo1"/>
      <sheetName val="Fixed_ZBB1"/>
      <sheetName val="5_11"/>
      <sheetName val="Extract_Loss1"/>
      <sheetName val="QA_跟踪记录表1"/>
      <sheetName val="RG_Depots1"/>
      <sheetName val="material_data1"/>
      <sheetName val="other_data1"/>
      <sheetName val="Como_Estamos1"/>
      <sheetName val="Database_(RUR)Mar_YTD1"/>
      <sheetName val="SKU_Mapping1"/>
      <sheetName val="Drop_Down1"/>
      <sheetName val="Raw_Data1"/>
      <sheetName val="EBM-2_GHQ1"/>
      <sheetName val="Base_PEF1"/>
      <sheetName val="Base_de_Dados1"/>
      <sheetName val="Testing_Template_Guidance1"/>
      <sheetName val="Test_Programs1"/>
      <sheetName val="Dados_BLP1"/>
      <sheetName val="Controls_data3"/>
      <sheetName val="FJJX_Bud_IB"/>
      <sheetName val="look-up_data"/>
      <sheetName val="JOB_PROFILE_-_LAS1"/>
      <sheetName val="ARdistr_(2)1"/>
      <sheetName val="Prd_Hierarchy(产品层级)"/>
      <sheetName val="15년_BL_사계"/>
      <sheetName val="Com_(2PK)"/>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86월원안"/>
      <sheetName val="오승"/>
      <sheetName val="팀별"/>
      <sheetName val="Action-Log"/>
      <sheetName val="Classification 分类"/>
      <sheetName val="Figures Report"/>
      <sheetName val="Set Up"/>
      <sheetName val="CONFIG"/>
      <sheetName val="Fare prices"/>
      <sheetName val="Hotel prices"/>
      <sheetName val="Intro"/>
      <sheetName val="DropDowns"/>
      <sheetName val="CPT倒罐记录"/>
      <sheetName val="extent"/>
      <sheetName val="Tab"/>
      <sheetName val="Arm_PNP"/>
      <sheetName val="cl"/>
      <sheetName val="XLRpt_TempSheet"/>
      <sheetName val="Suporte_2"/>
      <sheetName val="tab STATUS DO PROCESSO "/>
      <sheetName val="Results"/>
      <sheetName val="Perf. Plan. Diário1"/>
      <sheetName val="In (2)"/>
      <sheetName val="slide 24 cat A"/>
      <sheetName val="slide 82 cat b"/>
      <sheetName val="Prog"/>
      <sheetName val="PLANNER6"/>
      <sheetName val="Hoja2"/>
      <sheetName val="Hoja3"/>
      <sheetName val="범주"/>
      <sheetName val="Incident 유형구분표"/>
      <sheetName val="Macro"/>
      <sheetName val="광주"/>
      <sheetName val="TNC(1안)"/>
      <sheetName val="CLASIFICACION DE AI"/>
      <sheetName val="Base da Datos"/>
      <sheetName val="Apoio"/>
      <sheetName val="SAM"/>
      <sheetName val="DAG"/>
      <sheetName val="Dados dos Produtos"/>
      <sheetName val="Maestro"/>
      <sheetName val="DD list"/>
      <sheetName val="3YP2016-Bottom up"/>
      <sheetName val="부서별12월추계액"/>
      <sheetName val="One_Pager"/>
      <sheetName val="DE-PARA"/>
      <sheetName val="FornecD"/>
      <sheetName val="FornecDAjustado"/>
      <sheetName val="Detalle"/>
      <sheetName val="auxiliar"/>
      <sheetName val="MASTER APP"/>
      <sheetName val="Hoja1"/>
      <sheetName val="Cond. Inseguros"/>
      <sheetName val="Comp. Inseguros"/>
      <sheetName val="Lista de datos"/>
      <sheetName val="Base de Datos"/>
      <sheetName val="Motivos"/>
      <sheetName val="Parametros"/>
      <sheetName val="Actionlog"/>
      <sheetName val="_손익기01.XL_x0000__x0000_DePara"/>
      <sheetName val="_손익기01_XLDePara"/>
      <sheetName val="link"/>
      <sheetName val="Vol-Rev"/>
      <sheetName val="来源"/>
      <sheetName val=" DD List"/>
      <sheetName val="Formula"/>
      <sheetName val="各支柱模块清单"/>
      <sheetName val="Share Price 2002"/>
      <sheetName val="隐患分析"/>
      <sheetName val="安全隐患"/>
      <sheetName val="班组分析"/>
      <sheetName val="源"/>
      <sheetName val="Clasif."/>
      <sheetName val="Lista CI"/>
      <sheetName val="Resumen"/>
      <sheetName val="BBDD"/>
      <sheetName val="Farol Acciones"/>
      <sheetName val="Lista de Entrenamientos"/>
      <sheetName val="Package-SubPackage"/>
      <sheetName val="Supply Cost Centers"/>
      <sheetName val="Basetables"/>
      <sheetName val="BEP 加薪 KPI"/>
      <sheetName val="유형(분류표)"/>
      <sheetName val="PREMISAS"/>
      <sheetName val="ACTION"/>
      <sheetName val="LE"/>
      <sheetName val="表3筛选项"/>
      <sheetName val="진천"/>
      <sheetName val="중연"/>
      <sheetName val="용연"/>
      <sheetName val="울산"/>
      <sheetName val="대구"/>
      <sheetName val="구미"/>
      <sheetName val="언양"/>
      <sheetName val="대차대조표"/>
      <sheetName val="입력자료"/>
      <sheetName val="기본"/>
      <sheetName val="10월_vs_12월_채권잔액"/>
      <sheetName val="2-2.투자"/>
      <sheetName val="기본연봉"/>
      <sheetName val="사원"/>
      <sheetName val="9-1차이내역"/>
      <sheetName val="Proj. Fin."/>
      <sheetName val="ITS Assumptions"/>
      <sheetName val="Proj__Fin_"/>
      <sheetName val="2-2_투자"/>
      <sheetName val="Master Data"/>
      <sheetName val="Bonuses"/>
      <sheetName val="HQ 급여 "/>
      <sheetName val="OF 급여"/>
      <sheetName val="F.Ma급여"/>
      <sheetName val="SMT 급여"/>
      <sheetName val="QC 급여"/>
      <sheetName val="Sam sung 급여"/>
      <sheetName val="Dlock 급여"/>
      <sheetName val=" thôi việc 급여"/>
      <sheetName val="Công smt"/>
      <sheetName val="Công smt (2)"/>
      <sheetName val="Detail smt"/>
      <sheetName val="Công QC"/>
      <sheetName val="Detail QC "/>
      <sheetName val="Công SS"/>
      <sheetName val="Detail SS"/>
      <sheetName val="Công FMa"/>
      <sheetName val="Detail FMa"/>
      <sheetName val="Công OF"/>
      <sheetName val="Detail OF"/>
      <sheetName val="Công Dlock"/>
      <sheetName val="Detail Dlock"/>
      <sheetName val="Công thôi việc"/>
      <sheetName val="Detail thôi"/>
      <sheetName val="EPOXY"/>
      <sheetName val="2007전체투자세액공제_2008년처분"/>
      <sheetName val="득점현황"/>
      <sheetName val="#5"/>
      <sheetName val="#3"/>
      <sheetName val="Appendix(권장,단체)"/>
      <sheetName val="환율표"/>
      <sheetName val="세액계산"/>
      <sheetName val="현용"/>
      <sheetName val="현장"/>
      <sheetName val="MH_생산"/>
      <sheetName val="구분List"/>
      <sheetName val="表21_净利润墨-닑⿕"/>
      <sheetName val="TO"/>
      <sheetName val="C2121"/>
      <sheetName val="C2123"/>
      <sheetName val="C2124"/>
      <sheetName val="C2125"/>
      <sheetName val="C2127"/>
      <sheetName val="C2122"/>
      <sheetName val="7.Utility Analysis"/>
      <sheetName val="Operational Activities"/>
      <sheetName val="상품입력"/>
      <sheetName val="월별자료"/>
      <sheetName val="기초정보 코드"/>
      <sheetName val="계좌정보"/>
      <sheetName val="수목단가"/>
      <sheetName val="시설수량표"/>
      <sheetName val="식재수량표"/>
      <sheetName val="조도계산서 (도서)"/>
      <sheetName val="날개수량1.5"/>
      <sheetName val="FitOutConfCentre"/>
      <sheetName val="전기자료"/>
      <sheetName val="Sheet10"/>
      <sheetName val="을-ATYPE"/>
      <sheetName val="대전-교대(A1-A2)"/>
      <sheetName val="CAT_5"/>
      <sheetName val="배열수식"/>
      <sheetName val="1"/>
      <sheetName val="EP0618"/>
      <sheetName val="C1.3.1"/>
      <sheetName val="부대공Ⅱ"/>
      <sheetName val="입찰내역 Ĉ_x0000__x0000_ᇆ"/>
      <sheetName val="입찰내역 Ĉ_x0000__x0000_ᇆ"/>
      <sheetName val="정보화기기매출"/>
      <sheetName val="Index"/>
      <sheetName val="중기일위대가"/>
      <sheetName val="sum_x0008__x0000__x000d__x0000__x0006__x0000_"/>
      <sheetName val="Ѐ܀ऀ܀؀਀؀Ԁ̀Ѐ̀Ѐࠀ܀ఀ؀܀"/>
      <sheetName val="진행 DATA (2)"/>
      <sheetName val="NG Item"/>
      <sheetName val="4.1 월별 에너지 사용량"/>
      <sheetName val="MEMO"/>
      <sheetName val="민감도분석"/>
      <sheetName val="LOG"/>
      <sheetName val="보고서 표"/>
      <sheetName val="0. 가정 및 결론"/>
      <sheetName val="1. 투자비"/>
      <sheetName val="2. Rent-roll"/>
      <sheetName val="3. Funding"/>
      <sheetName val="4. 운영수익"/>
      <sheetName val="5. 운영비용"/>
      <sheetName val="6.1 N+1년차 NOI 산정"/>
      <sheetName val="6. 부동산매각"/>
      <sheetName val="7. 보유세"/>
      <sheetName val="8. 교통유발부담금"/>
      <sheetName val="9. BS부속"/>
      <sheetName val="10. CF(M)"/>
      <sheetName val="11. IS(M)"/>
      <sheetName val="12. BS(M)"/>
      <sheetName val="14. IS(FY)"/>
      <sheetName val="13. CF(FY)"/>
      <sheetName val="15. BS(FY)"/>
      <sheetName val="16. RE(FY)"/>
      <sheetName val="코드관리"/>
      <sheetName val="오류항목"/>
      <sheetName val="입찰내역_발주처_양식1"/>
      <sheetName val="Data_Validation1"/>
      <sheetName val="부대시행1_(2)"/>
      <sheetName val="근거_및_가정"/>
      <sheetName val="2_카드채권(대출포함)"/>
      <sheetName val="1_차입금"/>
      <sheetName val="Utility_Usage_YTN_TOWER"/>
      <sheetName val="B-1_기본정보"/>
      <sheetName val="?"/>
      <sheetName val="PAD_TR보호대기초"/>
      <sheetName val="설문_평가"/>
      <sheetName val="_견적서"/>
      <sheetName val="カテゴリ表"/>
      <sheetName val="数据有效性"/>
      <sheetName val="Worker List"/>
      <sheetName val="GB-IC Villingen GG"/>
      <sheetName val="MC&amp;다변화"/>
      <sheetName val="Library"/>
      <sheetName val="BM_NEW2"/>
      <sheetName val="97손익계획"/>
      <sheetName val="가정"/>
      <sheetName val="공시용PL"/>
      <sheetName val="예산대실적_작성"/>
      <sheetName val="표시트"/>
      <sheetName val="SALE"/>
      <sheetName val="조정분개"/>
      <sheetName val="이테크_손익"/>
      <sheetName val="군장_손익"/>
      <sheetName val="에스엠지_손익"/>
      <sheetName val="인프라_손익"/>
      <sheetName val="중국연결_손익"/>
      <sheetName val="사우디_손익"/>
      <sheetName val="말레이_손익"/>
      <sheetName val="인니_손익"/>
      <sheetName val="연결손익요약(기획차이)"/>
      <sheetName val="연결손익요약(보고용)"/>
      <sheetName val="연결재무"/>
      <sheetName val="이테크_재무"/>
      <sheetName val="군장_재무"/>
      <sheetName val="에스엠지_재무"/>
      <sheetName val="인프라_재무"/>
      <sheetName val="중국연결_재무"/>
      <sheetName val="사우디_재무"/>
      <sheetName val="말레이_재무"/>
      <sheetName val="인니_재무"/>
      <sheetName val="CE(공)"/>
      <sheetName val="연결손익"/>
      <sheetName val="building"/>
      <sheetName val="TOWER 12TON"/>
      <sheetName val="TOWER 10TON"/>
      <sheetName val="JIB CRANE,HOIST"/>
      <sheetName val="6월 공嚺㓶가"/>
      <sheetName val="갑지"/>
      <sheetName val="부산제일극장"/>
      <sheetName val="MTP"/>
      <sheetName val="1_종합손익(도급)5"/>
      <sheetName val="1_종합손익(주택,개발)4"/>
      <sheetName val="2_실행예산4"/>
      <sheetName val="2_2과부족4"/>
      <sheetName val="2_3원가절감4"/>
      <sheetName val="8_외주비집행현황4"/>
      <sheetName val="9_자재비4"/>
      <sheetName val="10_현장집행4"/>
      <sheetName val="3_추가원가4"/>
      <sheetName val="3_추가원가_(2)4"/>
      <sheetName val="4_사전공사4"/>
      <sheetName val="5_추정공사비4"/>
      <sheetName val="6_금융비용4"/>
      <sheetName val="7_공사비집행현황(총괄)4"/>
      <sheetName val="11_1생산성4"/>
      <sheetName val="11_2인원산출4"/>
      <sheetName val="변경실행(2차)_4"/>
      <sheetName val="CC_Down_load_07164"/>
      <sheetName val="나_출고4"/>
      <sheetName val="나_입고4"/>
      <sheetName val="09년_인건비(속리산)4"/>
      <sheetName val="합산목표(감가+57_5)4"/>
      <sheetName val="__한국_AMP_ASP-23_판매가격__3"/>
      <sheetName val="제조원가_원단위_분석3"/>
      <sheetName val="종합표양식(품의_&amp;_입고)_23"/>
      <sheetName val="원가관리_(동월대비)3"/>
      <sheetName val="b_balju_(2)3"/>
      <sheetName val="2-2_매출분석3"/>
      <sheetName val="몰드시스템_리스트3"/>
      <sheetName val="7_(2)3"/>
      <sheetName val="11_외화채무증권(AFS,HTM)083"/>
      <sheetName val="13_감액TEST_083"/>
      <sheetName val="12년_CF(9월)3"/>
      <sheetName val="중기조종사_단위단가3"/>
      <sheetName val="6PILE__(돌출)3"/>
      <sheetName val="기성청구_공문4"/>
      <sheetName val="Sheet1_(2)3"/>
      <sheetName val="2_대외공문3"/>
      <sheetName val="表21_净利润调节表3"/>
      <sheetName val="sum1_(2)3"/>
      <sheetName val="3_바닥판설계3"/>
      <sheetName val="504전기실_동부하-L3"/>
      <sheetName val="2_총괄표3"/>
      <sheetName val="OUTER_AREA(겹침없음)3"/>
      <sheetName val="EL_표면적3"/>
      <sheetName val="P_M_별2"/>
      <sheetName val="09~10년_매출계획1"/>
      <sheetName val="전사_PL3"/>
      <sheetName val="자금_제외_PL3"/>
      <sheetName val="자금_PL3"/>
      <sheetName val="전사_BS3"/>
      <sheetName val="자금_제외_BS3"/>
      <sheetName val="자금_BS3"/>
      <sheetName val="BS_계정_설명3"/>
      <sheetName val="_Cash_Flow(전사)3"/>
      <sheetName val="_Cash_Flow(자금제외)3"/>
      <sheetName val="_Cash_Flow(자금)3"/>
      <sheetName val="ROIC_3"/>
      <sheetName val="인건비_명세3"/>
      <sheetName val="판관비_명세3"/>
      <sheetName val="OH_Cost경비(내역)3"/>
      <sheetName val="OH_Cost경비(배부기준)3"/>
      <sheetName val="기타수지&amp;특별손익_명세3"/>
      <sheetName val="입출재고현황_(2)1"/>
      <sheetName val="TRE_TABLE1"/>
      <sheetName val="Process_List2"/>
      <sheetName val="제시_손익계산서2"/>
      <sheetName val="업무연락_(2)2"/>
      <sheetName val="M_7회차_담금_계획2"/>
      <sheetName val="01_02월_성과급3"/>
      <sheetName val="97_사업추정(WEKI)1"/>
      <sheetName val="팀별_실적2"/>
      <sheetName val="팀별_실적_(환산)2"/>
      <sheetName val="6월_공정외주1"/>
      <sheetName val="2_주요계수총괄1"/>
      <sheetName val="1_본사계정별1"/>
      <sheetName val="118_세금과공과1"/>
      <sheetName val="Tong_hop1"/>
      <sheetName val="95_1_1이후취득자산(숨기기상태)1"/>
      <sheetName val="1_MDF1공장1"/>
      <sheetName val="3_6_2남양주택배"/>
      <sheetName val="Project_Brief1"/>
      <sheetName val="Back_Data_11"/>
      <sheetName val="Facility_Information1"/>
      <sheetName val="단면_(2)1"/>
      <sheetName val="1월_예산"/>
      <sheetName val="해외_기술훈련비_(합계)1"/>
      <sheetName val="#1)_투자_구분"/>
      <sheetName val="1__시공측량"/>
      <sheetName val="수종별수량_(2)"/>
      <sheetName val="설산1_나"/>
      <sheetName val="Weekly_Progress(계장)"/>
      <sheetName val="납부내역총괄표_(수정)"/>
      <sheetName val="전선_및_전선관"/>
      <sheetName val="KEY_CODE"/>
      <sheetName val="2013_2월_연결대상"/>
      <sheetName val="외주현황_wq1"/>
      <sheetName val="2-1_강사료,교통비_지급명세"/>
      <sheetName val="13_포장용역비표준"/>
      <sheetName val="9_가공부자재표준"/>
      <sheetName val="8_ROLL표준(TSW)"/>
      <sheetName val="4_톤당조관량표준"/>
      <sheetName val="5_조관부자재표준"/>
      <sheetName val="실행기성_갑지"/>
      <sheetName val="4__Inj_투자상세내역2"/>
      <sheetName val="3__Blow_투자_상세내역2"/>
      <sheetName val="Jul-Sep_Actual_cost_(2)"/>
      <sheetName val="요일_테이블2"/>
      <sheetName val="요일_테이블_(2)1"/>
      <sheetName val="TO_Data_Base10"/>
      <sheetName val="YTD_Summary9"/>
      <sheetName val="Month_Summary9"/>
      <sheetName val="Trial_Balance_MAY_20099"/>
      <sheetName val="TB_Pivot9"/>
      <sheetName val="total_per_LB_LB29"/>
      <sheetName val="Trial_Balance_Vlookup9"/>
      <sheetName val="Trial_Balance_APRIL_20099"/>
      <sheetName val="Roll_Out_AQ9"/>
      <sheetName val="Evolução_mandamentos9"/>
      <sheetName val="Planilha_resultados8"/>
      <sheetName val="Historico_20038"/>
      <sheetName val="Sig_Cycles_Accts_&amp;_Processes8"/>
      <sheetName val="3_ISo_YTD2"/>
      <sheetName val="E_法规NC2"/>
      <sheetName val="Données_LMU2"/>
      <sheetName val="Brazil_Sovereign2"/>
      <sheetName val="Resumen_Costo2"/>
      <sheetName val="Fixed_ZBB2"/>
      <sheetName val="5_12"/>
      <sheetName val="Extract_Loss2"/>
      <sheetName val="QA_跟踪记录表2"/>
      <sheetName val="RG_Depots2"/>
      <sheetName val="material_data2"/>
      <sheetName val="other_data2"/>
      <sheetName val="Como_Estamos2"/>
      <sheetName val="Database_(RUR)Mar_YTD2"/>
      <sheetName val="SKU_Mapping2"/>
      <sheetName val="Drop_Down2"/>
      <sheetName val="Raw_Data2"/>
      <sheetName val="EBM-2_GHQ2"/>
      <sheetName val="Base_PEF3"/>
      <sheetName val="Base_de_Dados2"/>
      <sheetName val="Testing_Template_Guidance2"/>
      <sheetName val="Test_Programs2"/>
      <sheetName val="Dados_BLP2"/>
      <sheetName val="Controls_data4"/>
      <sheetName val="FJJX_Bud_IB1"/>
      <sheetName val="look-up_data1"/>
      <sheetName val="JOB_PROFILE_-_LAS2"/>
      <sheetName val="ARdistr_(2)2"/>
      <sheetName val="Prd_Hierarchy(产品层级)1"/>
      <sheetName val="Com_(2PK)1"/>
      <sheetName val="Prd_Hierarchy(产品层次)1"/>
      <sheetName val="Project_Code1"/>
      <sheetName val="15년_BL_사계1"/>
      <sheetName val="_손익기01_XL1"/>
      <sheetName val="drop_down_list1"/>
      <sheetName val="[손익기01_XL_x005f_x0000__x005f_x0000_DePara1"/>
      <sheetName val="[손익기01_XL1"/>
      <sheetName val="Income_Stmt1"/>
      <sheetName val="Quarterly_LBO_Model1"/>
      <sheetName val="_손익기01_XL_x005f_x0000__x005f_x0000_DePara1"/>
      <sheetName val="Classification_分类"/>
      <sheetName val="Figures_Report"/>
      <sheetName val="Set_Up"/>
      <sheetName val="Fare_prices"/>
      <sheetName val="Hotel_prices"/>
      <sheetName val="tab_STATUS_DO_PROCESSO_"/>
      <sheetName val="Perf__Plan__Diário1"/>
      <sheetName val="In_(2)"/>
      <sheetName val="slide_24_cat_A"/>
      <sheetName val="slide_82_cat_b"/>
      <sheetName val="Incident_유형구분표"/>
      <sheetName val="CLASIFICACION_DE_AI"/>
      <sheetName val="Base_da_Datos"/>
      <sheetName val="Dados_dos_Produtos"/>
      <sheetName val="DD_list"/>
      <sheetName val="3YP2016-Bottom_up"/>
      <sheetName val="MASTER_APP"/>
      <sheetName val="Cond__Inseguros"/>
      <sheetName val="Comp__Inseguros"/>
      <sheetName val="Lista_de_datos"/>
      <sheetName val="Base_de_Datos"/>
      <sheetName val="_DD_List"/>
      <sheetName val="Share_Price_2002"/>
      <sheetName val="Clasif_"/>
      <sheetName val="Lista_CI"/>
      <sheetName val="Farol_Acciones"/>
      <sheetName val="Lista_de_Entrenamientos"/>
      <sheetName val="Supply_Cost_Centers"/>
      <sheetName val="BEP_加薪_KPI"/>
      <sheetName val="기본일위"/>
      <sheetName val="M&amp;Q Lead"/>
      <sheetName val="견적을지"/>
      <sheetName val="목록!"/>
      <sheetName val="마스터0919"/>
      <sheetName val="T6-6(7)"/>
      <sheetName val="月度設定"/>
      <sheetName val="카드채권(대출포함)"/>
      <sheetName val="공통"/>
      <sheetName val="STANDARD"/>
      <sheetName val="유효성검사"/>
      <sheetName val="support"/>
      <sheetName val="그룹자료"/>
      <sheetName val="임율자료"/>
      <sheetName val="7상품수"/>
      <sheetName val="생산성(2차)"/>
      <sheetName val="요약(1차)"/>
      <sheetName val="1월~9월"/>
      <sheetName val="한계원가"/>
      <sheetName val="공시용CF"/>
      <sheetName val="000000"/>
      <sheetName val="안산기계장치"/>
      <sheetName val="일위대가목차"/>
      <sheetName val="숨김"/>
      <sheetName val="A(Rev.3)"/>
      <sheetName val="분석가정"/>
      <sheetName val="설비등록׃⼫"/>
      <sheetName val="설비등록_x0010__x0000_"/>
      <sheetName val="_x0018__"/>
      <sheetName val="기성현황집계표"/>
      <sheetName val="특수선일위대가"/>
      <sheetName val="일위대가(목록)"/>
      <sheetName val="재료비"/>
      <sheetName val="견적내역서"/>
      <sheetName val="6호기"/>
      <sheetName val="pg15"/>
      <sheetName val="2.6 三无 (2)"/>
      <sheetName val="노임단가(공사)"/>
      <sheetName val="RES"/>
      <sheetName val="2.FM Fee_2차년도"/>
      <sheetName val="3.감가장비"/>
      <sheetName val="드롭다운"/>
      <sheetName val="Desal-E&amp;I"/>
      <sheetName val="Month-Report"/>
      <sheetName val="10매출"/>
      <sheetName val="_x005f_x005f_x005f_x0000__x005f_x005f_x005f_x0000_"/>
      <sheetName val="Cntmrs"/>
      <sheetName val="_x005f_x005f_x005f_x0000__x005f"/>
      <sheetName val="소주(苏州)"/>
      <sheetName val="공통부대비"/>
      <sheetName val="3.일반사상"/>
      <sheetName val="외부자료"/>
      <sheetName val="슬래_xd800_"/>
      <sheetName val="DCY"/>
      <sheetName val="DHS"/>
      <sheetName val="HHJ"/>
      <sheetName val="SWS-1"/>
      <sheetName val="부재료 비교(11년 vs 10년)"/>
      <sheetName val="INDICE"/>
      <sheetName val="Dashboard Prevención Riesgos "/>
      <sheetName val="Seguimiento"/>
      <sheetName val="TOP KPIs MTM"/>
      <sheetName val="PLAN DE ACCION"/>
      <sheetName val="Faro de Indicadores"/>
      <sheetName val="ORGANIGRAMA"/>
      <sheetName val="Catalog_Zone"/>
      <sheetName val="DropList"/>
      <sheetName val="Unidades SAC-REVENDA"/>
      <sheetName val="FornecM Check"/>
      <sheetName val="下拉清单"/>
      <sheetName val="工伤分类"/>
      <sheetName val="菜单"/>
      <sheetName val="Hazards Analysis-隐患分析"/>
      <sheetName val="요일_테이블3"/>
      <sheetName val="요일_테이블_(2)2"/>
      <sheetName val="TO_Data_Base11"/>
      <sheetName val="YTD_Summary10"/>
      <sheetName val="Month_Summary10"/>
      <sheetName val="Trial_Balance_MAY_200910"/>
      <sheetName val="TB_Pivot10"/>
      <sheetName val="total_per_LB_LB210"/>
      <sheetName val="Trial_Balance_Vlookup10"/>
      <sheetName val="Trial_Balance_APRIL_200910"/>
      <sheetName val="Roll_Out_AQ10"/>
      <sheetName val="Evolução_mandamentos10"/>
      <sheetName val="Planilha_resultados9"/>
      <sheetName val="Historico_20039"/>
      <sheetName val="Sig_Cycles_Accts_&amp;_Processes9"/>
      <sheetName val="Fixed_ZBB3"/>
      <sheetName val="E_法规NC3"/>
      <sheetName val="3_ISo_YTD3"/>
      <sheetName val="Données_LMU3"/>
      <sheetName val="Brazil_Sovereign3"/>
      <sheetName val="Resumen_Costo3"/>
      <sheetName val="Base_de_Dados3"/>
      <sheetName val="Extract_Loss3"/>
      <sheetName val="5_13"/>
      <sheetName val="QA_跟踪记录表3"/>
      <sheetName val="RG_Depots3"/>
      <sheetName val="material_data3"/>
      <sheetName val="other_data3"/>
      <sheetName val="Como_Estamos3"/>
      <sheetName val="Database_(RUR)Mar_YTD3"/>
      <sheetName val="SKU_Mapping3"/>
      <sheetName val="Drop_Down3"/>
      <sheetName val="Raw_Data3"/>
      <sheetName val="EBM-2_GHQ3"/>
      <sheetName val="Base_PEF4"/>
      <sheetName val="Controls_data5"/>
      <sheetName val="Dados_BLP3"/>
      <sheetName val="Testing_Template_Guidance3"/>
      <sheetName val="Test_Programs3"/>
      <sheetName val="FJJX_Bud_IB2"/>
      <sheetName val="JOB_PROFILE_-_LAS3"/>
      <sheetName val="ARdistr_(2)3"/>
      <sheetName val="look-up_data2"/>
      <sheetName val="Prd_Hierarchy(产品层级)2"/>
      <sheetName val="Com_(2PK)2"/>
      <sheetName val="전사_PL4"/>
      <sheetName val="자금_제외_PL4"/>
      <sheetName val="자금_PL4"/>
      <sheetName val="전사_BS4"/>
      <sheetName val="자금_제외_BS4"/>
      <sheetName val="자금_BS4"/>
      <sheetName val="BS_계정_설명4"/>
      <sheetName val="_Cash_Flow(전사)4"/>
      <sheetName val="_Cash_Flow(자금제외)4"/>
      <sheetName val="_Cash_Flow(자금)4"/>
      <sheetName val="ROIC_4"/>
      <sheetName val="인건비_명세4"/>
      <sheetName val="판관비_명세4"/>
      <sheetName val="OH_Cost경비(내역)4"/>
      <sheetName val="OH_Cost경비(배부기준)4"/>
      <sheetName val="기타수지&amp;특별손익_명세4"/>
      <sheetName val="업무연락_(2)3"/>
      <sheetName val="제시_손익계산서3"/>
      <sheetName val="01_02월_성과급4"/>
      <sheetName val="M_7회차_담금_계획3"/>
      <sheetName val="팀별_실적3"/>
      <sheetName val="팀별_실적_(환산)3"/>
      <sheetName val="4__Inj_투자상세내역3"/>
      <sheetName val="3__Blow_투자_상세내역3"/>
      <sheetName val="Process_List3"/>
      <sheetName val="Prd_Hierarchy(产品层次)2"/>
      <sheetName val="Project_Code2"/>
      <sheetName val="_손익기01_XL2"/>
      <sheetName val="drop_down_list2"/>
      <sheetName val="[손익기01_XL_x005f_x0000__x005f_x0000_DePara2"/>
      <sheetName val="Income_Stmt2"/>
      <sheetName val="Quarterly_LBO_Model2"/>
      <sheetName val="[손익기01_XL2"/>
      <sheetName val="_손익기01_XL_x005f_x0000__x005f_x0000_DePara2"/>
      <sheetName val="15년_BL_사계2"/>
      <sheetName val="Classification_分类1"/>
      <sheetName val="Figures_Report1"/>
      <sheetName val="Set_Up2"/>
      <sheetName val="Fare_prices1"/>
      <sheetName val="Hotel_prices1"/>
      <sheetName val="tab_STATUS_DO_PROCESSO_1"/>
      <sheetName val="Perf__Plan__Diário11"/>
      <sheetName val="In_(2)1"/>
      <sheetName val="slide_24_cat_A1"/>
      <sheetName val="slide_82_cat_b1"/>
      <sheetName val="Incident_유형구분표1"/>
      <sheetName val="CLASIFICACION_DE_AI1"/>
      <sheetName val="Base_da_Datos1"/>
      <sheetName val="Dados_dos_Produtos1"/>
      <sheetName val="DD_list1"/>
      <sheetName val="F08 - Asia Pac Full Year Q3"/>
      <sheetName val="Actions"/>
      <sheetName val="Listco"/>
      <sheetName val="Intl"/>
      <sheetName val="Procurement"/>
      <sheetName val="Top Priorities"/>
      <sheetName val="SLOB"/>
      <sheetName val="Listco Stock"/>
      <sheetName val="SOH"/>
      <sheetName val="Intl Purchase"/>
      <sheetName val="GTME"/>
      <sheetName val="FY outlook"/>
      <sheetName val="CY outlook"/>
      <sheetName val="FY"/>
      <sheetName val="CY"/>
      <sheetName val="Cash metrics"/>
      <sheetName val="Listco-Tony"/>
      <sheetName val="Intl-Ming"/>
      <sheetName val="Procurement-Jeff"/>
      <sheetName val="Hierarchy"/>
      <sheetName val="P6 7"/>
      <sheetName val="Top_Priorities"/>
      <sheetName val="Listco_Stock"/>
      <sheetName val="Intl_Purchase"/>
      <sheetName val="FY_outlook"/>
      <sheetName val="CY_outlook"/>
      <sheetName val="Cash_metrics"/>
      <sheetName val="F08_-_Asia_Pac_Full_Year_Q3"/>
      <sheetName val="TABLA"/>
      <sheetName val="_ExportMetadata"/>
      <sheetName val="Valor_Actual_2002"/>
      <sheetName val="Vtas2000"/>
      <sheetName val="Liquidacion_Julio_2002"/>
      <sheetName val="icos0502"/>
      <sheetName val="pplay_load3"/>
      <sheetName val="tabla_fcst_unid"/>
      <sheetName val="P6_7"/>
      <sheetName val="DATOS BASE"/>
      <sheetName val="Estatus"/>
      <sheetName val="Info"/>
      <sheetName val="Estratificación AI"/>
      <sheetName val="Dashboard"/>
      <sheetName val="condicion inseguras"/>
      <sheetName val="Actos Inseguros"/>
      <sheetName val="Control de incidentes"/>
      <sheetName val="Plan de Acción"/>
      <sheetName val="备注"/>
      <sheetName val="_손익기01.XL_x005f_x005f_x005f_x0000__x005f_x005f_x0"/>
      <sheetName val="연료전력(군포)"/>
      <sheetName val="적립수신"/>
      <sheetName val="순수통장"/>
      <sheetName val="일별"/>
      <sheetName val="加薪规则排序"/>
      <sheetName val="Analysis"/>
      <sheetName val="索引表"/>
      <sheetName val="Control"/>
      <sheetName val="引用"/>
      <sheetName val="담당자Raw"/>
      <sheetName val="支柱模块源数据--请勿更改或删除"/>
      <sheetName val="MasterData"/>
      <sheetName val="条件表"/>
      <sheetName val="下拉菜单"/>
      <sheetName val="Issues List_Payments"/>
      <sheetName val="drop-down_lists"/>
      <sheetName val="数据库"/>
      <sheetName val="turnover reason퇴직사유"/>
      <sheetName val="Grafica Actos"/>
      <sheetName val="PGK-1610"/>
      <sheetName val="POC LIST"/>
      <sheetName val="Condiciones SyE"/>
      <sheetName val="DETALLE MENSUAL"/>
      <sheetName val="do not delete"/>
      <sheetName val="NA"/>
      <sheetName val="MidAm"/>
      <sheetName val="LAN"/>
      <sheetName val="LAS"/>
      <sheetName val="COPEC"/>
      <sheetName val="EUR"/>
      <sheetName val="Africa"/>
      <sheetName val="APAC S"/>
      <sheetName val="APAC N"/>
      <sheetName val="Slide output"/>
      <sheetName val="[손익기01.XL??DePara"/>
      <sheetName val="Farol Metas"/>
      <sheetName val="Preview2"/>
      <sheetName val="Agenda"/>
      <sheetName val="Cadastros"/>
      <sheetName val="Base_Cobertura_WP"/>
      <sheetName val="TOTAL_HL"/>
      <sheetName val="99"/>
      <sheetName val="BASE_APOIO"/>
      <sheetName val="AO"/>
      <sheetName val="2"/>
      <sheetName val="BG"/>
      <sheetName val="Farol"/>
      <sheetName val="Base_Farol_Manual_Consolidada"/>
      <sheetName val="Árvore"/>
      <sheetName val="Tela_Inicial"/>
      <sheetName val="XLR_NoRangeSheet"/>
      <sheetName val="GVs"/>
      <sheetName val="Cadastro_Comercial"/>
      <sheetName val="2-Instalações"/>
      <sheetName val="RESUMO_MC"/>
      <sheetName val="Organization"/>
      <sheetName val="EMPREGADOS"/>
      <sheetName val="4-Estrutura_da_Área_de_Vendas"/>
      <sheetName val="5-Vendas-5_4-5_5-5_6"/>
      <sheetName val="FE"/>
      <sheetName val="BD_-_Realizado"/>
      <sheetName val="Cadastro_de_Veículos"/>
      <sheetName val="3-Equipamentos_e_Meios"/>
      <sheetName val="Cálculo_TMEF-TMR"/>
      <sheetName val="Liberação_Juros_Set_2004"/>
      <sheetName val="Lista_de_Feriados"/>
      <sheetName val="BASE"/>
      <sheetName val="Base_Graf"/>
      <sheetName val="Aderencia_Algoritmo_SIV"/>
      <sheetName val="Árvore_3v"/>
      <sheetName val="Sistema"/>
      <sheetName val="Dados_Dev"/>
      <sheetName val="Cxs_Int"/>
      <sheetName val="Pilares"/>
      <sheetName val="IC's"/>
      <sheetName val="Rel_Histórico"/>
      <sheetName val="TMEF_-_TMR_151"/>
      <sheetName val="Entrada_de_Dados"/>
      <sheetName val="EI_Calc"/>
      <sheetName val="Produtos"/>
      <sheetName val="PV"/>
      <sheetName val="Base_Críticas_de_Pedidos"/>
      <sheetName val="REALxMETA_-_REFRI"/>
      <sheetName val="Planificador"/>
      <sheetName val="8-Procedimentos"/>
      <sheetName val="Gráfico_3"/>
      <sheetName val="Gráfico"/>
      <sheetName val="Gráfico_Anual"/>
      <sheetName val="GR"/>
      <sheetName val="Tabela_Preço"/>
      <sheetName val="Tab_Aux"/>
      <sheetName val="Produtos_e_Custos"/>
      <sheetName val="TI"/>
      <sheetName val="Plan2"/>
      <sheetName val="BASE_GV"/>
      <sheetName val="Matriz_Unidade"/>
      <sheetName val="Variavel"/>
      <sheetName val="Mod Relac."/>
      <sheetName val="Vlookup"/>
      <sheetName val="REALxMETA - CERVEJA"/>
      <sheetName val="REALxMETA - REFRI"/>
      <sheetName val="Catalogo"/>
      <sheetName val="MD"/>
      <sheetName val="Directrices de Metas 2017"/>
      <sheetName val="SKU Basic Data"/>
      <sheetName val="数据验证"/>
      <sheetName val="Лист2"/>
      <sheetName val="L1_L2_Lookup"/>
      <sheetName val="Entity Target"/>
      <sheetName val="条件"/>
      <sheetName val="Matriz"/>
      <sheetName val="Pareto"/>
      <sheetName val="Hoja5"/>
      <sheetName val="Personal"/>
      <sheetName val="VALIDACION DE DATOS"/>
      <sheetName val="Hoja4"/>
      <sheetName val="Drop-down List"/>
      <sheetName val="by DD"/>
      <sheetName val="Ba"/>
      <sheetName val="分类统计"/>
      <sheetName val="隐患分类"/>
      <sheetName val="Check Qualidade"/>
      <sheetName val="Lista"/>
      <sheetName val="De_Para"/>
      <sheetName val="De Para"/>
      <sheetName val="FornecM_Check"/>
      <sheetName val="Unidades_SAC-REVENDA2"/>
      <sheetName val="[손익기01_XL??DePara"/>
      <sheetName val="Farol_Metas"/>
      <sheetName val="Mod_Relac_"/>
      <sheetName val="Estratificación_AI"/>
      <sheetName val="condicion_inseguras"/>
      <sheetName val="Actos_Inseguros"/>
      <sheetName val="Control_de_incidentes"/>
      <sheetName val="Plan_de_Acción"/>
      <sheetName val="Feuil2"/>
      <sheetName val="Check Aderencia"/>
      <sheetName val="원부재료1"/>
      <sheetName val="시험장S자로가로등공사"/>
      <sheetName val="_x005f_x005f_x005f_x0018__x005f_x005f_x005f_x0000_"/>
      <sheetName val="_x005f_x0018_?"/>
      <sheetName val="지장물C"/>
      <sheetName val="01_02월_성B_x0000_"/>
      <sheetName val="Sheet17"/>
      <sheetName val="1-1"/>
      <sheetName val="첨부#2.Cash Flow(현장작성)"/>
      <sheetName val="STRAT PLAN WKSHT"/>
      <sheetName val="Sales Plan &amp; other"/>
      <sheetName val="ConsolidateUSD"/>
      <sheetName val="STRAT_PLAN_WKSHT"/>
      <sheetName val="Sales_Plan_&amp;_other"/>
      <sheetName val="ref"/>
      <sheetName val="drop downs"/>
      <sheetName val="Project Count"/>
      <sheetName val="Index1"/>
      <sheetName val="STRAT_PLAN_WKSHT1"/>
      <sheetName val="Sales_Plan_&amp;_other1"/>
      <sheetName val="drop_downs"/>
      <sheetName val="XREF"/>
      <sheetName val="손익계산서"/>
      <sheetName val="단기차입금(200006)"/>
      <sheetName val="有型区分分类"/>
      <sheetName val="업무 분류(Category)"/>
      <sheetName val="작성양식"/>
      <sheetName val="수정양식"/>
      <sheetName val="#1 Basic"/>
      <sheetName val="만기"/>
      <sheetName val="월별비교(물리)"/>
      <sheetName val="산자사 운전용품"/>
      <sheetName val="Ref. Spec Review 양식"/>
      <sheetName val="Ref. 시험항목 테이블"/>
      <sheetName val="Ref. Search Result 테이블"/>
      <sheetName val="1__작성방식"/>
      <sheetName val="표)CFT장_조직별_배분"/>
      <sheetName val="20180214_P&amp;T"/>
      <sheetName val="Ref__중점_추진_과제별_상세"/>
      <sheetName val="Bank_code"/>
      <sheetName val="Drop-down_RAW"/>
      <sheetName val="Basic_Information"/>
      <sheetName val="Exchange_rate"/>
      <sheetName val="견적서"/>
      <sheetName val="hiddenSheet"/>
      <sheetName val="필요면적"/>
      <sheetName val="PUR-12K"/>
      <sheetName val="TSCLFEB"/>
      <sheetName val="7300-1000.11"/>
      <sheetName val="7300-1000_11"/>
      <sheetName val="기준Data"/>
      <sheetName val="PJT 현황"/>
      <sheetName val="euc"/>
      <sheetName val="1o_Sem"/>
      <sheetName val="2o_Sem"/>
      <sheetName val="ID_Ano"/>
      <sheetName val="BaseReal"/>
      <sheetName val="Devolução_Cx_Mês"/>
      <sheetName val="Base_Fornec_M_AS_Hl"/>
      <sheetName val="Acompanhamento_Devolução"/>
      <sheetName val="Base_%_VD"/>
      <sheetName val="Ta_x0005_"/>
      <sheetName val="Base Farol"/>
      <sheetName val="Gerencial IL"/>
      <sheetName val="Ventas Campo"/>
      <sheetName val="Graficos"/>
      <sheetName val="MASTER_APP1"/>
      <sheetName val="Cond__Inseguros1"/>
      <sheetName val="Comp__Inseguros1"/>
      <sheetName val="Base_de_Datos1"/>
      <sheetName val="3YP2016-Bottom_up1"/>
      <sheetName val="Farol_Acciones1"/>
      <sheetName val="Lista_de_datos1"/>
      <sheetName val="FornecM_Check1"/>
      <sheetName val="Unidades_SAC-REVENDA3"/>
      <sheetName val="Clasif_1"/>
      <sheetName val="Lista_de_Entrenamientos1"/>
      <sheetName val="Supply_Cost_Centers1"/>
      <sheetName val="[손익기01_XL??DePara1"/>
      <sheetName val="Farol_Metas1"/>
      <sheetName val="Lista_CI1"/>
      <sheetName val="2_카드채권(대출포함)1"/>
      <sheetName val="Mod_Relac_1"/>
      <sheetName val="Estratificación_AI1"/>
      <sheetName val="condicion_inseguras1"/>
      <sheetName val="Actos_Inseguros1"/>
      <sheetName val="Control_de_incidentes1"/>
      <sheetName val="Plan_de_Acción1"/>
      <sheetName val="_DD_List1"/>
      <sheetName val="Share_Price_20021"/>
      <sheetName val="TOP_KPIs_MTM"/>
      <sheetName val="PLAN_DE_ACCION"/>
      <sheetName val="Faro_de_Indicadores"/>
      <sheetName val="Grafica_Actos"/>
      <sheetName val="Condiciones_SyE"/>
      <sheetName val="REALxMETA_-_CERVEJA2"/>
      <sheetName val="REALxMETA_-_REFRI2"/>
      <sheetName val="Dashboard_Prevención_Riesgos_"/>
      <sheetName val="POC_LIST"/>
      <sheetName val="Entity_Target"/>
      <sheetName val="Issues_List_Payments"/>
      <sheetName val="ACTOS POR RIESGO"/>
      <sheetName val="drop lists"/>
      <sheetName val="MRL NON SUPPLY URU"/>
      <sheetName val="AIIM - Empresas Ext 2012"/>
      <sheetName val="Blad2"/>
      <sheetName val="KPIs Hana"/>
      <sheetName val="CausasProblemasFolios"/>
      <sheetName val="Catalago de refacciones "/>
      <sheetName val="Existencias al 07-Nov-2012"/>
      <sheetName val="GAP"/>
      <sheetName val="Check GG"/>
      <sheetName val="요일_테이블4"/>
      <sheetName val="요일_테이블_(2)3"/>
      <sheetName val="TO_Data_Base12"/>
      <sheetName val="YTD_Summary11"/>
      <sheetName val="Month_Summary11"/>
      <sheetName val="Trial_Balance_MAY_200911"/>
      <sheetName val="TB_Pivot11"/>
      <sheetName val="total_per_LB_LB211"/>
      <sheetName val="Trial_Balance_Vlookup11"/>
      <sheetName val="Trial_Balance_APRIL_200911"/>
      <sheetName val="Roll_Out_AQ11"/>
      <sheetName val="Evolução_mandamentos11"/>
      <sheetName val="Planilha_resultados10"/>
      <sheetName val="Historico_200310"/>
      <sheetName val="Sig_Cycles_Accts_&amp;_Processes10"/>
      <sheetName val="Fixed_ZBB4"/>
      <sheetName val="E_法规NC4"/>
      <sheetName val="3_ISo_YTD4"/>
      <sheetName val="Données_LMU4"/>
      <sheetName val="Brazil_Sovereign4"/>
      <sheetName val="Resumen_Costo4"/>
      <sheetName val="Base_de_Dados4"/>
      <sheetName val="Extract_Loss4"/>
      <sheetName val="5_14"/>
      <sheetName val="QA_跟踪记录表4"/>
      <sheetName val="RG_Depots4"/>
      <sheetName val="material_data4"/>
      <sheetName val="other_data4"/>
      <sheetName val="Como_Estamos4"/>
      <sheetName val="Database_(RUR)Mar_YTD4"/>
      <sheetName val="SKU_Mapping4"/>
      <sheetName val="Drop_Down4"/>
      <sheetName val="Raw_Data4"/>
      <sheetName val="EBM-2_GHQ4"/>
      <sheetName val="Base_PEF5"/>
      <sheetName val="Controls_data6"/>
      <sheetName val="Dados_BLP4"/>
      <sheetName val="Testing_Template_Guidance4"/>
      <sheetName val="Test_Programs4"/>
      <sheetName val="FJJX_Bud_IB3"/>
      <sheetName val="JOB_PROFILE_-_LAS4"/>
      <sheetName val="ARdistr_(2)4"/>
      <sheetName val="look-up_data3"/>
      <sheetName val="Prd_Hierarchy(产品层级)3"/>
      <sheetName val="Com_(2PK)3"/>
      <sheetName val="전사_PL5"/>
      <sheetName val="자금_제외_PL5"/>
      <sheetName val="자금_PL5"/>
      <sheetName val="전사_BS5"/>
      <sheetName val="자금_제외_BS5"/>
      <sheetName val="자금_BS5"/>
      <sheetName val="BS_계정_설명5"/>
      <sheetName val="_Cash_Flow(전사)5"/>
      <sheetName val="_Cash_Flow(자금제외)5"/>
      <sheetName val="_Cash_Flow(자금)5"/>
      <sheetName val="ROIC_5"/>
      <sheetName val="인건비_명세5"/>
      <sheetName val="판관비_명세5"/>
      <sheetName val="OH_Cost경비(내역)5"/>
      <sheetName val="OH_Cost경비(배부기준)5"/>
      <sheetName val="기타수지&amp;특별손익_명세5"/>
      <sheetName val="업무연락_(2)4"/>
      <sheetName val="제시_손익계산서4"/>
      <sheetName val="01_02월_성과급5"/>
      <sheetName val="M_7회차_담금_계획4"/>
      <sheetName val="팀별_실적4"/>
      <sheetName val="팀별_실적_(환산)4"/>
      <sheetName val="4__Inj_투자상세내역4"/>
      <sheetName val="3__Blow_투자_상세내역4"/>
      <sheetName val="Process_List4"/>
      <sheetName val="7_(2)4"/>
      <sheetName val="Prd_Hierarchy(产品层次)3"/>
      <sheetName val="Project_Code3"/>
      <sheetName val="_손익기01_XL3"/>
      <sheetName val="drop_down_list3"/>
      <sheetName val="[손익기01_XL_x005f_x0000__x005f_x0000_DePara3"/>
      <sheetName val="Income_Stmt3"/>
      <sheetName val="Quarterly_LBO_Model3"/>
      <sheetName val="[손익기01_XL3"/>
      <sheetName val="_손익기01_XL_x005f_x0000__x005f_x0000_DePara3"/>
      <sheetName val="15년_BL_사계3"/>
      <sheetName val="Classification_分类2"/>
      <sheetName val="Figures_Report2"/>
      <sheetName val="Set_Up3"/>
      <sheetName val="Fare_prices2"/>
      <sheetName val="Hotel_prices2"/>
      <sheetName val="tab_STATUS_DO_PROCESSO_2"/>
      <sheetName val="Perf__Plan__Diário12"/>
      <sheetName val="In_(2)2"/>
      <sheetName val="slide_24_cat_A2"/>
      <sheetName val="slide_82_cat_b2"/>
      <sheetName val="09~10년_매출계획2"/>
      <sheetName val="1_MDF1공장2"/>
      <sheetName val="Incident_유형구분표2"/>
      <sheetName val="CLASIFICACION_DE_AI2"/>
      <sheetName val="Base_da_Datos2"/>
      <sheetName val="Dados_dos_Produtos2"/>
      <sheetName val="DD_list2"/>
      <sheetName val="F08_-_Asia_Pac_Full_Year_Q31"/>
      <sheetName val="Top_Priorities1"/>
      <sheetName val="Listco_Stock1"/>
      <sheetName val="Intl_Purchase1"/>
      <sheetName val="FY_outlook1"/>
      <sheetName val="CY_outlook1"/>
      <sheetName val="Cash_metrics1"/>
      <sheetName val="P6_71"/>
      <sheetName val="DATOS_BASE"/>
      <sheetName val="Hazards_Analysis-隐患分析"/>
      <sheetName val="_손익기01_XL_x005f_x005f_x005f_x0000__x005f_x005f_x0"/>
      <sheetName val="turnover_reason퇴직사유"/>
      <sheetName val="SKU_Basic_Data"/>
      <sheetName val="DETALLE_MENSUAL"/>
      <sheetName val="do_not_delete"/>
      <sheetName val="APAC_S"/>
      <sheetName val="APAC_N"/>
      <sheetName val="Slide_output"/>
      <sheetName val="Directrices_de_Metas_2017"/>
      <sheetName val="구분"/>
      <sheetName val="요일_테이블5"/>
      <sheetName val="요일_테이블_(2)4"/>
      <sheetName val="TO_Data_Base13"/>
      <sheetName val="YTD_Summary12"/>
      <sheetName val="Month_Summary12"/>
      <sheetName val="Trial_Balance_MAY_200912"/>
      <sheetName val="TB_Pivot12"/>
      <sheetName val="total_per_LB_LB212"/>
      <sheetName val="Trial_Balance_Vlookup12"/>
      <sheetName val="Trial_Balance_APRIL_200912"/>
      <sheetName val="Roll_Out_AQ12"/>
      <sheetName val="Evolução_mandamentos12"/>
      <sheetName val="Planilha_resultados11"/>
      <sheetName val="Historico_200311"/>
      <sheetName val="Sig_Cycles_Accts_&amp;_Processes11"/>
      <sheetName val="Fixed_ZBB5"/>
      <sheetName val="E_法规NC5"/>
      <sheetName val="3_ISo_YTD5"/>
      <sheetName val="Données_LMU5"/>
      <sheetName val="Brazil_Sovereign5"/>
      <sheetName val="Resumen_Costo5"/>
      <sheetName val="Base_de_Dados5"/>
      <sheetName val="Extract_Loss5"/>
      <sheetName val="5_15"/>
      <sheetName val="QA_跟踪记录表5"/>
      <sheetName val="RG_Depots5"/>
      <sheetName val="material_data5"/>
      <sheetName val="other_data5"/>
      <sheetName val="Como_Estamos5"/>
      <sheetName val="Database_(RUR)Mar_YTD5"/>
      <sheetName val="SKU_Mapping5"/>
      <sheetName val="Drop_Down5"/>
      <sheetName val="Raw_Data5"/>
      <sheetName val="EBM-2_GHQ5"/>
      <sheetName val="Base_PEF6"/>
      <sheetName val="Controls_data7"/>
      <sheetName val="Dados_BLP5"/>
      <sheetName val="Testing_Template_Guidance5"/>
      <sheetName val="Test_Programs5"/>
      <sheetName val="FJJX_Bud_IB4"/>
      <sheetName val="JOB_PROFILE_-_LAS5"/>
      <sheetName val="ARdistr_(2)5"/>
      <sheetName val="look-up_data4"/>
      <sheetName val="Prd_Hierarchy(产品层级)4"/>
      <sheetName val="Com_(2PK)4"/>
      <sheetName val="전사_PL6"/>
      <sheetName val="자금_제외_PL6"/>
      <sheetName val="자금_PL6"/>
      <sheetName val="전사_BS6"/>
      <sheetName val="자금_제외_BS6"/>
      <sheetName val="자금_BS6"/>
      <sheetName val="BS_계정_설명6"/>
      <sheetName val="_Cash_Flow(전사)6"/>
      <sheetName val="_Cash_Flow(자금제외)6"/>
      <sheetName val="_Cash_Flow(자금)6"/>
      <sheetName val="ROIC_6"/>
      <sheetName val="인건비_명세6"/>
      <sheetName val="판관비_명세6"/>
      <sheetName val="OH_Cost경비(내역)6"/>
      <sheetName val="OH_Cost경비(배부기준)6"/>
      <sheetName val="기타수지&amp;특별손익_명세6"/>
      <sheetName val="업무연락_(2)5"/>
      <sheetName val="제시_손익계산서5"/>
      <sheetName val="01_02월_성과급6"/>
      <sheetName val="M_7회차_담금_계획5"/>
      <sheetName val="팀별_실적5"/>
      <sheetName val="팀별_실적_(환산)5"/>
      <sheetName val="4__Inj_투자상세내역5"/>
      <sheetName val="3__Blow_투자_상세내역5"/>
      <sheetName val="Process_List5"/>
      <sheetName val="7_(2)5"/>
      <sheetName val="Prd_Hierarchy(产品层次)4"/>
      <sheetName val="Project_Code4"/>
      <sheetName val="_손익기01_XL4"/>
      <sheetName val="drop_down_list4"/>
      <sheetName val="[손익기01_XL_x005f_x0000__x005f_x0000_DePara4"/>
      <sheetName val="Income_Stmt4"/>
      <sheetName val="Quarterly_LBO_Model4"/>
      <sheetName val="[손익기01_XL4"/>
      <sheetName val="_손익기01_XL_x005f_x0000__x005f_x0000_DePara4"/>
      <sheetName val="15년_BL_사계4"/>
      <sheetName val="Classification_分类3"/>
      <sheetName val="Figures_Report3"/>
      <sheetName val="Set_Up4"/>
      <sheetName val="Fare_prices3"/>
      <sheetName val="Hotel_prices3"/>
      <sheetName val="tab_STATUS_DO_PROCESSO_3"/>
      <sheetName val="Perf__Plan__Diário13"/>
      <sheetName val="In_(2)3"/>
      <sheetName val="slide_24_cat_A3"/>
      <sheetName val="slide_82_cat_b3"/>
      <sheetName val="09~10년_매출계획3"/>
      <sheetName val="1_MDF1공장3"/>
      <sheetName val="Incident_유형구분표3"/>
      <sheetName val="CLASIFICACION_DE_AI3"/>
      <sheetName val="Base_da_Datos3"/>
      <sheetName val="Dados_dos_Produtos3"/>
      <sheetName val="DD_list3"/>
      <sheetName val="3YP2016-Bottom_up2"/>
      <sheetName val="2_카드채권(대출포함)2"/>
      <sheetName val="MASTER_APP2"/>
      <sheetName val="Cond__Inseguros2"/>
      <sheetName val="Comp__Inseguros2"/>
      <sheetName val="Lista_de_datos2"/>
      <sheetName val="Base_de_Datos2"/>
      <sheetName val="_DD_List2"/>
      <sheetName val="Share_Price_20022"/>
      <sheetName val="Clasif_2"/>
      <sheetName val="Lista_CI2"/>
      <sheetName val="Farol_Acciones2"/>
      <sheetName val="Lista_de_Entrenamientos2"/>
      <sheetName val="Supply_Cost_Centers2"/>
      <sheetName val="BEP_加薪_KPI1"/>
      <sheetName val="F08_-_Asia_Pac_Full_Year_Q32"/>
      <sheetName val="Top_Priorities2"/>
      <sheetName val="Listco_Stock2"/>
      <sheetName val="Intl_Purchase2"/>
      <sheetName val="FY_outlook2"/>
      <sheetName val="CY_outlook2"/>
      <sheetName val="Cash_metrics2"/>
      <sheetName val="P6_72"/>
      <sheetName val="DATOS_BASE1"/>
      <sheetName val="Hazards_Analysis-隐患分析1"/>
      <sheetName val="_손익기01_XL_x005f_x005f_x005f_x0000__x005f_x005f_x1"/>
      <sheetName val="Dashboard_Prevención_Riesgos_1"/>
      <sheetName val="TOP_KPIs_MTM1"/>
      <sheetName val="PLAN_DE_ACCION1"/>
      <sheetName val="Faro_de_Indicadores1"/>
      <sheetName val="Issues_List_Payments1"/>
      <sheetName val="Grafica_Actos1"/>
      <sheetName val="Condiciones_SyE1"/>
      <sheetName val="turnover_reason퇴직사유1"/>
      <sheetName val="POC_LIST1"/>
      <sheetName val="SKU_Basic_Data1"/>
      <sheetName val="DETALLE_MENSUAL1"/>
      <sheetName val="do_not_delete1"/>
      <sheetName val="REALxMETA_-_CERVEJA3"/>
      <sheetName val="REALxMETA_-_REFRI3"/>
      <sheetName val="APAC_S1"/>
      <sheetName val="APAC_N1"/>
      <sheetName val="Slide_output1"/>
      <sheetName val="Directrices_de_Metas_20171"/>
      <sheetName val="Entity_Target1"/>
      <sheetName val="VALIDACION_DE_DATOS"/>
      <sheetName val="Drop-down_List"/>
      <sheetName val="by_DD"/>
      <sheetName val="_손익기01.XL_x005f_x0000__x0"/>
      <sheetName val="工作表2"/>
      <sheetName val="条件格式选项"/>
      <sheetName val="单位信息"/>
      <sheetName val="条件格式"/>
      <sheetName val="요일 테이블 "/>
      <sheetName val="Nombre de SOP"/>
      <sheetName val="Vermelha"/>
      <sheetName val="Список"/>
      <sheetName val="targets"/>
      <sheetName val=" mngt Pillar"/>
      <sheetName val="2. Indicadores"/>
      <sheetName val="Ta¨"/>
      <sheetName val="Ta "/>
      <sheetName val="Sheet3 (2)"/>
      <sheetName val="Hoegaarden"/>
      <sheetName val="Lao &amp; Cam"/>
      <sheetName val="Hoegaarden 2019"/>
      <sheetName val="Lao &amp; Cam 2019"/>
      <sheetName val="Malaysia"/>
      <sheetName val="Malaysia 2019"/>
      <sheetName val="Singapore"/>
      <sheetName val="Singapore 2019"/>
      <sheetName val="Sheet2 (2)"/>
      <sheetName val="下拉菜单选项"/>
      <sheetName val="Key"/>
      <sheetName val="Lookups"/>
      <sheetName val="Other Listings"/>
      <sheetName val="Registros"/>
      <sheetName val="Lista de Entrenamientos RSO"/>
      <sheetName val="Tablero SDG"/>
      <sheetName val="Lista Areas"/>
      <sheetName val="One Page"/>
      <sheetName val="Tablero_SDG"/>
      <sheetName val="Lista_Areas"/>
      <sheetName val="One_Page"/>
      <sheetName val="Tablero_SDG1"/>
      <sheetName val="Lista_Areas1"/>
      <sheetName val="One_Page1"/>
      <sheetName val="Sub-Productos HN"/>
      <sheetName val="SDG"/>
      <sheetName val="Eficiencia linea"/>
      <sheetName val="Tablero_SDG2"/>
      <sheetName val="Lista_Areas2"/>
      <sheetName val="One_Page2"/>
      <sheetName val="Sub-Productos_HN"/>
      <sheetName val="Capa"/>
      <sheetName val="Reference"/>
      <sheetName val="Dropdown"/>
      <sheetName val="[손익기01_XL_x0000__x0000_DePara2"/>
      <sheetName val="_손익기01_XL_x0000__x0000_DePara2"/>
      <sheetName val="[손익기01_XL_x0000__x0000_DePara1"/>
      <sheetName val="_손익기01_XL_x0000__x0000_DePara1"/>
      <sheetName val="有效性"/>
      <sheetName val="基础信息"/>
      <sheetName val="dd"/>
      <sheetName val="隐患统计图"/>
      <sheetName val="Refs"/>
      <sheetName val="Unidades_SAC-REVENDA4"/>
      <sheetName val="FornecM_Check2"/>
      <sheetName val="Mod_Relac_2"/>
      <sheetName val="[손익기01_XL??DePara2"/>
      <sheetName val="Farol_Metas2"/>
      <sheetName val="Estratificación_AI2"/>
      <sheetName val="condicion_inseguras2"/>
      <sheetName val="Actos_Inseguros2"/>
      <sheetName val="Control_de_incidentes2"/>
      <sheetName val="Plan_de_Acción2"/>
      <sheetName val="Check_Qualidade"/>
      <sheetName val="De_Para1"/>
      <sheetName val="Check_Aderencia"/>
      <sheetName val="Ta"/>
      <sheetName val="Base_Farol"/>
      <sheetName val="Ventas_Campo"/>
      <sheetName val="Gerencial_IL"/>
      <sheetName val="Ta_"/>
      <sheetName val="ACTOS_POR_RIESGO"/>
      <sheetName val="Nombre_de_SOP"/>
      <sheetName val="drop_lists"/>
      <sheetName val="Check_GG"/>
      <sheetName val="KPIs_Hana"/>
      <sheetName val="Catalago_de_refacciones_"/>
      <sheetName val="Existencias_al_07-Nov-2012"/>
      <sheetName val="MRL_NON_SUPPLY_URU"/>
      <sheetName val="AIIM_-_Empresas_Ext_2012"/>
      <sheetName val="Pauta RPS Distribuição"/>
      <sheetName val="BaseGrupo"/>
      <sheetName val="RProd"/>
      <sheetName val="Planilha1"/>
      <sheetName val="Planilha2"/>
      <sheetName val="Estoque"/>
      <sheetName val="Estoque (2)"/>
      <sheetName val="ajuda"/>
      <sheetName val="Adm"/>
      <sheetName val="Controls"/>
      <sheetName val="菜单联动"/>
      <sheetName val="不安全行为库"/>
      <sheetName val="KPI标准"/>
      <sheetName val="Motorista"/>
      <sheetName val="[손익기01_XL_x0000__x0000_DePara3"/>
      <sheetName val="_손익기01_XL_x0000__x0000_DePara3"/>
      <sheetName val="_손익기01.XL_x0000__x0"/>
      <sheetName val="[손익기01_XL_x0000__x0000_DePara4"/>
      <sheetName val="_손익기01_XL_x0000__x0000_DePara4"/>
      <sheetName val="_손익기01_XL_x005f_x0000__x0"/>
      <sheetName val="_손익기01_XL_x005f_x0000__x1"/>
      <sheetName val="Julio"/>
      <sheetName val="CONTADOR"/>
      <sheetName val="DROP"/>
      <sheetName val="INGRESO"/>
      <sheetName val="DATOS DE VALIDACIÓN"/>
      <sheetName val="clasificación"/>
      <sheetName val="Datos con"/>
      <sheetName val="Dato"/>
      <sheetName val="Enero(11)"/>
      <sheetName val="Respel-RAEE"/>
      <sheetName val="Asistencia"/>
      <sheetName val=" Datos Cond."/>
      <sheetName val="CRITERIOS"/>
      <sheetName val="참조용"/>
      <sheetName val="이상욱"/>
      <sheetName val="최창원"/>
      <sheetName val="권순오"/>
      <sheetName val="유윤선"/>
      <sheetName val="서유덕"/>
      <sheetName val="이창훈"/>
      <sheetName val="이도현"/>
      <sheetName val="진형수"/>
      <sheetName val="원영훈"/>
      <sheetName val="정진광"/>
      <sheetName val="강승권"/>
      <sheetName val="마민호"/>
      <sheetName val="주차통행료"/>
      <sheetName val="이상욱2"/>
      <sheetName val="Comp Inseguros"/>
      <sheetName val="BNR_2012 в ящике"/>
      <sheetName val="Legend"/>
      <sheetName val="INGRESO (2)"/>
      <sheetName val="PG-K1610 (UEN Areas)MNG"/>
      <sheetName val="DATOS GEN."/>
      <sheetName val="NUEVOS CRITERIOS"/>
      <sheetName val="Condiciones Agua"/>
      <sheetName val="筛选列表"/>
      <sheetName val="ETD"/>
      <sheetName val="Cons"/>
      <sheetName val="TO_Data_Base14"/>
      <sheetName val="YTD_Summary13"/>
      <sheetName val="Month_Summary13"/>
      <sheetName val="Trial_Balance_MAY_200913"/>
      <sheetName val="TB_Pivot13"/>
      <sheetName val="total_per_LB_LB213"/>
      <sheetName val="Trial_Balance_Vlookup13"/>
      <sheetName val="Trial_Balance_APRIL_200913"/>
      <sheetName val="Roll_Out_AQ13"/>
      <sheetName val="Evolução_mandamentos13"/>
      <sheetName val="Planilha_resultados12"/>
      <sheetName val="Historico_200312"/>
      <sheetName val="Sig_Cycles_Accts_&amp;_Processes12"/>
      <sheetName val="Fixed_ZBB6"/>
      <sheetName val="E_法规NC6"/>
      <sheetName val="3_ISo_YTD6"/>
      <sheetName val="Données_LMU6"/>
      <sheetName val="Brazil_Sovereign6"/>
      <sheetName val="Resumen_Costo6"/>
      <sheetName val="Extract_Loss6"/>
      <sheetName val="QA_跟踪记录表6"/>
      <sheetName val="5_16"/>
      <sheetName val="Base_de_Dados6"/>
      <sheetName val="Como_Estamos6"/>
      <sheetName val="Controls_data8"/>
      <sheetName val="RG_Depots6"/>
      <sheetName val="material_data6"/>
      <sheetName val="other_data6"/>
      <sheetName val="Database_(RUR)Mar_YTD6"/>
      <sheetName val="SKU_Mapping6"/>
      <sheetName val="Drop_Down6"/>
      <sheetName val="Raw_Data6"/>
      <sheetName val="EBM-2_GHQ6"/>
      <sheetName val="Base_PEF7"/>
      <sheetName val="Testing_Template_Guidance6"/>
      <sheetName val="Test_Programs6"/>
      <sheetName val="Dados_BLP6"/>
      <sheetName val="FJJX_Bud_IB5"/>
      <sheetName val="JOB_PROFILE_-_LAS6"/>
      <sheetName val="ARdistr_(2)6"/>
      <sheetName val="look-up_data5"/>
      <sheetName val="Prd_Hierarchy(产品层级)5"/>
      <sheetName val="Com_(2PK)5"/>
      <sheetName val="Project_Code5"/>
      <sheetName val="요일_테이블6"/>
      <sheetName val="요일_테이블_(2)5"/>
      <sheetName val="Prd_Hierarchy(产品层次)5"/>
      <sheetName val="전사_PL7"/>
      <sheetName val="자금_제외_PL7"/>
      <sheetName val="자금_PL7"/>
      <sheetName val="전사_BS7"/>
      <sheetName val="자금_제외_BS7"/>
      <sheetName val="자금_BS7"/>
      <sheetName val="BS_계정_설명7"/>
      <sheetName val="_Cash_Flow(전사)7"/>
      <sheetName val="_Cash_Flow(자금제외)7"/>
      <sheetName val="_Cash_Flow(자금)7"/>
      <sheetName val="ROIC_7"/>
      <sheetName val="인건비_명세7"/>
      <sheetName val="판관비_명세7"/>
      <sheetName val="OH_Cost경비(내역)7"/>
      <sheetName val="OH_Cost경비(배부기준)7"/>
      <sheetName val="기타수지&amp;특별손익_명세7"/>
      <sheetName val="업무연락_(2)6"/>
      <sheetName val="제시_손익계산서6"/>
      <sheetName val="01_02월_성과급7"/>
      <sheetName val="M_7회차_담금_계획6"/>
      <sheetName val="팀별_실적6"/>
      <sheetName val="팀별_실적_(환산)6"/>
      <sheetName val="4__Inj_투자상세내역6"/>
      <sheetName val="3__Blow_투자_상세내역6"/>
      <sheetName val="Process_List6"/>
      <sheetName val="7_(2)6"/>
      <sheetName val="_손익기01_XL5"/>
      <sheetName val="Income_Stmt5"/>
      <sheetName val="drop_down_list5"/>
      <sheetName val="[손익기01_XL_x005f_x0000__x005f_x0000_DePara5"/>
      <sheetName val="Quarterly_LBO_Model5"/>
      <sheetName val="Figures_Report4"/>
      <sheetName val="[손익기01_XL5"/>
      <sheetName val="_손익기01_XL_x005f_x0000__x005f_x0000_DePara5"/>
      <sheetName val="Fare_prices4"/>
      <sheetName val="Hotel_prices4"/>
      <sheetName val="Set_Up5"/>
      <sheetName val="15년_BL_사계5"/>
      <sheetName val="1_종합손익(주택,개발)5"/>
      <sheetName val="2_실행예산5"/>
      <sheetName val="2_2과부족5"/>
      <sheetName val="2_3원가절감5"/>
      <sheetName val="8_외주비집행현황5"/>
      <sheetName val="9_자재비5"/>
      <sheetName val="10_현장집행5"/>
      <sheetName val="3_추가원가5"/>
      <sheetName val="3_추가원가_(2)5"/>
      <sheetName val="4_사전공사5"/>
      <sheetName val="5_추정공사비5"/>
      <sheetName val="6_금융비용5"/>
      <sheetName val="7_공사비집행현황(총괄)5"/>
      <sheetName val="11_1생산성5"/>
      <sheetName val="11_2인원산출5"/>
      <sheetName val="Classification_分类4"/>
      <sheetName val="tab_STATUS_DO_PROCESSO_4"/>
      <sheetName val="Perf__Plan__Diário14"/>
      <sheetName val="In_(2)4"/>
      <sheetName val="__한국_AMP_ASP-23_판매가격__4"/>
      <sheetName val="제조원가_원단위_분석4"/>
      <sheetName val="종합표양식(품의_&amp;_입고)_24"/>
      <sheetName val="원가관리_(동월대비)4"/>
      <sheetName val="b_balju_(2)4"/>
      <sheetName val="2-2_매출분석4"/>
      <sheetName val="몰드시스템_리스트4"/>
      <sheetName val="11_외화채무증권(AFS,HTM)084"/>
      <sheetName val="13_감액TEST_084"/>
      <sheetName val="12년_CF(9월)4"/>
      <sheetName val="중기조종사_단위단가4"/>
      <sheetName val="6PILE__(돌출)4"/>
      <sheetName val="Sheet1_(2)4"/>
      <sheetName val="CLASIFICACION_DE_AI4"/>
      <sheetName val="Base_da_Datos4"/>
      <sheetName val="slide_24_cat_A4"/>
      <sheetName val="slide_82_cat_b4"/>
      <sheetName val="Dados_dos_Produtos4"/>
      <sheetName val="09~10년_매출계획4"/>
      <sheetName val="1_MDF1공장4"/>
      <sheetName val="Incident_유형구분표4"/>
      <sheetName val="3YP2016-Bottom_up3"/>
      <sheetName val="DD_list4"/>
      <sheetName val="Base_de_Datos3"/>
      <sheetName val="Clasif_3"/>
      <sheetName val="Supply_Cost_Centers3"/>
      <sheetName val="Cond__Inseguros3"/>
      <sheetName val="Comp__Inseguros3"/>
      <sheetName val="Lista_de_datos3"/>
      <sheetName val="MASTER_APP3"/>
      <sheetName val="2_카드채권(대출포함)3"/>
      <sheetName val="Lista_CI3"/>
      <sheetName val="Dashboard_Prevención_Riesgos_2"/>
      <sheetName val="TOP_KPIs_MTM2"/>
      <sheetName val="PLAN_DE_ACCION2"/>
      <sheetName val="Faro_de_Indicadores2"/>
      <sheetName val="Farol_Acciones3"/>
      <sheetName val="Lista_de_Entrenamientos3"/>
      <sheetName val="Share_Price_20023"/>
      <sheetName val="_DD_List3"/>
      <sheetName val="BEP_加薪_KPI2"/>
      <sheetName val="Issues_List_Payments2"/>
      <sheetName val="do_not_delete2"/>
      <sheetName val="Grafica_Actos2"/>
      <sheetName val="APAC_S2"/>
      <sheetName val="APAC_N2"/>
      <sheetName val="Slide_output2"/>
      <sheetName val="Condiciones_SyE2"/>
      <sheetName val="REALxMETA_-_CERVEJA4"/>
      <sheetName val="REALxMETA_-_REFRI4"/>
      <sheetName val="Directrices_de_Metas_20172"/>
      <sheetName val="Data_validation2"/>
      <sheetName val="_손익기01_XL_x005f_x005f_x005f_x0000__x005f_x005f_x2"/>
      <sheetName val="Hazards_Analysis-隐患分析2"/>
      <sheetName val="F08_-_Asia_Pac_Full_Year_Q33"/>
      <sheetName val="Top_Priorities3"/>
      <sheetName val="Listco_Stock3"/>
      <sheetName val="Intl_Purchase3"/>
      <sheetName val="FY_outlook3"/>
      <sheetName val="CY_outlook3"/>
      <sheetName val="Cash_metrics3"/>
      <sheetName val="P6_73"/>
      <sheetName val="DATOS_BASE2"/>
      <sheetName val="97_사업추정(WEKI)2"/>
      <sheetName val="Tong_hop2"/>
      <sheetName val="95_1_1이후취득자산(숨기기상태)2"/>
      <sheetName val="6월_공정외주2"/>
      <sheetName val="입출재고현황_(2)2"/>
      <sheetName val="TRE_TABLE2"/>
      <sheetName val="입찰내역_발주처_양식2"/>
      <sheetName val="POC_LIST2"/>
      <sheetName val="turnover_reason퇴직사유2"/>
      <sheetName val="SKU_Basic_Data2"/>
      <sheetName val="Entity_Target2"/>
      <sheetName val="DETALLE_MENSUAL2"/>
      <sheetName val="Drop-down_List1"/>
      <sheetName val="by_DD1"/>
      <sheetName val="VALIDACION_DE_DATOS1"/>
      <sheetName val="Jul-Sep_Actual_cost_(2)1"/>
      <sheetName val="부재료_비교(11년_vs_10년)"/>
      <sheetName val="Sheet3_(2)"/>
      <sheetName val="Lao_&amp;_Cam"/>
      <sheetName val="Hoegaarden_2019"/>
      <sheetName val="Lao_&amp;_Cam_2019"/>
      <sheetName val="Malaysia_2019"/>
      <sheetName val="Singapore_2019"/>
      <sheetName val="Sheet2_(2)"/>
      <sheetName val="요일_테이블_"/>
      <sheetName val="Other_Listings"/>
      <sheetName val="2__Indicadores"/>
      <sheetName val="Lista_de_Entrenamientos_RSO"/>
      <sheetName val="Tablero_SDG3"/>
      <sheetName val="Lista_Areas3"/>
      <sheetName val="One_Page3"/>
      <sheetName val="Sub-Productos_HN1"/>
      <sheetName val="Eficiencia_linea"/>
      <sheetName val="_mngt_Pillar"/>
      <sheetName val="Un"/>
      <sheetName val="Justificativas"/>
      <sheetName val="DO NOT MOVE"/>
      <sheetName val="PINC汇总"/>
      <sheetName val="Note"/>
      <sheetName val="物料主数据"/>
      <sheetName val="选项"/>
      <sheetName val="品牌填写下拉菜单"/>
      <sheetName val="Dropdown list"/>
      <sheetName val="Liste"/>
      <sheetName val="清单"/>
      <sheetName val="beerflow"/>
      <sheetName val="요일_테이블7"/>
      <sheetName val="요일_테이블_(2)6"/>
      <sheetName val="TO_Data_Base15"/>
      <sheetName val="YTD_Summary14"/>
      <sheetName val="Month_Summary14"/>
      <sheetName val="Trial_Balance_MAY_200914"/>
      <sheetName val="TB_Pivot14"/>
      <sheetName val="total_per_LB_LB214"/>
      <sheetName val="Trial_Balance_Vlookup14"/>
      <sheetName val="Trial_Balance_APRIL_200914"/>
      <sheetName val="Roll_Out_AQ14"/>
      <sheetName val="Evolução_mandamentos14"/>
      <sheetName val="Planilha_resultados13"/>
      <sheetName val="Historico_200313"/>
      <sheetName val="Sig_Cycles_Accts_&amp;_Processes13"/>
      <sheetName val="3_ISo_YTD7"/>
      <sheetName val="E_法规NC7"/>
      <sheetName val="Données_LMU7"/>
      <sheetName val="Brazil_Sovereign7"/>
      <sheetName val="Resumen_Costo7"/>
      <sheetName val="Fixed_ZBB7"/>
      <sheetName val="5_17"/>
      <sheetName val="Extract_Loss7"/>
      <sheetName val="QA_跟踪记录表7"/>
      <sheetName val="RG_Depots7"/>
      <sheetName val="material_data7"/>
      <sheetName val="other_data7"/>
      <sheetName val="Como_Estamos7"/>
      <sheetName val="Database_(RUR)Mar_YTD7"/>
      <sheetName val="SKU_Mapping7"/>
      <sheetName val="Drop_Down7"/>
      <sheetName val="Raw_Data7"/>
      <sheetName val="EBM-2_GHQ7"/>
      <sheetName val="Base_PEF8"/>
      <sheetName val="Base_de_Dados7"/>
      <sheetName val="Testing_Template_Guidance7"/>
      <sheetName val="Test_Programs7"/>
      <sheetName val="Dados_BLP7"/>
      <sheetName val="Controls_data9"/>
      <sheetName val="FJJX_Bud_IB6"/>
      <sheetName val="look-up_data6"/>
      <sheetName val="JOB_PROFILE_-_LAS7"/>
      <sheetName val="ARdistr_(2)7"/>
      <sheetName val="Prd_Hierarchy(产品层级)6"/>
      <sheetName val="Com_(2PK)6"/>
      <sheetName val="전사_PL8"/>
      <sheetName val="자금_제외_PL8"/>
      <sheetName val="자금_PL8"/>
      <sheetName val="전사_BS8"/>
      <sheetName val="자금_제외_BS8"/>
      <sheetName val="자금_BS8"/>
      <sheetName val="BS_계정_설명8"/>
      <sheetName val="_Cash_Flow(전사)8"/>
      <sheetName val="_Cash_Flow(자금제외)8"/>
      <sheetName val="_Cash_Flow(자금)8"/>
      <sheetName val="ROIC_8"/>
      <sheetName val="인건비_명세8"/>
      <sheetName val="판관비_명세8"/>
      <sheetName val="OH_Cost경비(내역)8"/>
      <sheetName val="OH_Cost경비(배부기준)8"/>
      <sheetName val="기타수지&amp;특별손익_명세8"/>
      <sheetName val="업무연락_(2)7"/>
      <sheetName val="제시_손익계산서7"/>
      <sheetName val="01_02월_성과급8"/>
      <sheetName val="M_7회차_담금_계획7"/>
      <sheetName val="팀별_실적7"/>
      <sheetName val="팀별_실적_(환산)7"/>
      <sheetName val="4__Inj_투자상세내역7"/>
      <sheetName val="3__Blow_투자_상세내역7"/>
      <sheetName val="Process_List7"/>
      <sheetName val="7_(2)7"/>
      <sheetName val="Prd_Hierarchy(产品层次)6"/>
      <sheetName val="Project_Code6"/>
      <sheetName val="_손익기01_XL6"/>
      <sheetName val="drop_down_list6"/>
      <sheetName val="[손익기01_XL_x005f_x0000__x005f_x0000_DePara6"/>
      <sheetName val="Income_Stmt6"/>
      <sheetName val="Quarterly_LBO_Model6"/>
      <sheetName val="_손익기01_XL_x005f_x0000__x005f_x0000_DePara6"/>
      <sheetName val="[손익기01_XL6"/>
      <sheetName val="15년_BL_사계6"/>
      <sheetName val="1_종합손익(도급)6"/>
      <sheetName val="1_종합손익(주택,개발)6"/>
      <sheetName val="2_실행예산6"/>
      <sheetName val="2_2과부족6"/>
      <sheetName val="2_3원가절감6"/>
      <sheetName val="8_외주비집행현황6"/>
      <sheetName val="9_자재비6"/>
      <sheetName val="10_현장집행6"/>
      <sheetName val="3_추가원가6"/>
      <sheetName val="3_추가원가_(2)6"/>
      <sheetName val="4_사전공사6"/>
      <sheetName val="5_추정공사비6"/>
      <sheetName val="6_금융비용6"/>
      <sheetName val="7_공사비집행현황(총괄)6"/>
      <sheetName val="11_1생산성6"/>
      <sheetName val="11_2인원산출6"/>
      <sheetName val="Classification_分类5"/>
      <sheetName val="Figures_Report5"/>
      <sheetName val="Set_Up6"/>
      <sheetName val="Fare_prices5"/>
      <sheetName val="Hotel_prices5"/>
      <sheetName val="__한국_AMP_ASP-23_판매가격__5"/>
      <sheetName val="CC_Down_load_07165"/>
      <sheetName val="변경실행(2차)_5"/>
      <sheetName val="나_출고5"/>
      <sheetName val="나_입고5"/>
      <sheetName val="09년_인건비(속리산)5"/>
      <sheetName val="합산목표(감가+57_5)5"/>
      <sheetName val="제조원가_원단위_분석5"/>
      <sheetName val="종합표양식(품의_&amp;_입고)_25"/>
      <sheetName val="원가관리_(동월대비)5"/>
      <sheetName val="b_balju_(2)5"/>
      <sheetName val="2-2_매출분석5"/>
      <sheetName val="몰드시스템_리스트5"/>
      <sheetName val="11_외화채무증권(AFS,HTM)085"/>
      <sheetName val="13_감액TEST_085"/>
      <sheetName val="12년_CF(9월)5"/>
      <sheetName val="중기조종사_단위단가5"/>
      <sheetName val="6PILE__(돌출)5"/>
      <sheetName val="기성청구_공문5"/>
      <sheetName val="Sheet1_(2)5"/>
      <sheetName val="09~10년_매출계획5"/>
      <sheetName val="1_MDF1공장5"/>
      <sheetName val="tab_STATUS_DO_PROCESSO_5"/>
      <sheetName val="Perf__Plan__Diário15"/>
      <sheetName val="In_(2)5"/>
      <sheetName val="slide_24_cat_A5"/>
      <sheetName val="slide_82_cat_b5"/>
      <sheetName val="Incident_유형구분표5"/>
      <sheetName val="CLASIFICACION_DE_AI5"/>
      <sheetName val="Base_da_Datos5"/>
      <sheetName val="Dados_dos_Produtos5"/>
      <sheetName val="DD_list5"/>
      <sheetName val="3YP2016-Bottom_up4"/>
      <sheetName val="2_카드채권(대출포함)4"/>
      <sheetName val="表21_净利润调节表4"/>
      <sheetName val="MASTER_APP4"/>
      <sheetName val="Cond__Inseguros4"/>
      <sheetName val="Comp__Inseguros4"/>
      <sheetName val="Lista_de_datos4"/>
      <sheetName val="Base_de_Datos4"/>
      <sheetName val="_DD_List4"/>
      <sheetName val="Share_Price_20024"/>
      <sheetName val="Clasif_4"/>
      <sheetName val="Lista_CI4"/>
      <sheetName val="Farol_Acciones4"/>
      <sheetName val="Lista_de_Entrenamientos4"/>
      <sheetName val="Supply_Cost_Centers4"/>
      <sheetName val="BEP_加薪_KPI3"/>
      <sheetName val="F08_-_Asia_Pac_Full_Year_Q34"/>
      <sheetName val="Top_Priorities4"/>
      <sheetName val="Listco_Stock4"/>
      <sheetName val="Intl_Purchase4"/>
      <sheetName val="FY_outlook4"/>
      <sheetName val="CY_outlook4"/>
      <sheetName val="Cash_metrics4"/>
      <sheetName val="P6_74"/>
      <sheetName val="DATOS_BASE3"/>
      <sheetName val="Unidades_SAC-REVENDA5"/>
      <sheetName val="FornecM_Check3"/>
      <sheetName val="Estratificación_AI3"/>
      <sheetName val="condicion_inseguras3"/>
      <sheetName val="Actos_Inseguros3"/>
      <sheetName val="Control_de_incidentes3"/>
      <sheetName val="Plan_de_Acción3"/>
      <sheetName val="Dashboard_Prevención_Riesgos_3"/>
      <sheetName val="TOP_KPIs_MTM3"/>
      <sheetName val="PLAN_DE_ACCION3"/>
      <sheetName val="Faro_de_Indicadores3"/>
      <sheetName val="Hazards_Analysis-隐患分析3"/>
      <sheetName val="_손익기01_XL_x005f_x005f_x005f_x0000__x005f_x005f_x3"/>
      <sheetName val="97_사업추정(WEKI)3"/>
      <sheetName val="Tong_hop3"/>
      <sheetName val="95_1_1이후취득자산(숨기기상태)3"/>
      <sheetName val="6월_공정외주3"/>
      <sheetName val="입출재고현황_(2)3"/>
      <sheetName val="TRE_TABLE3"/>
      <sheetName val="입찰내역_발주처_양식3"/>
      <sheetName val="Jul-Sep_Actual_cost_(2)2"/>
      <sheetName val="Issues_List_Payments3"/>
      <sheetName val="turnover_reason퇴직사유3"/>
      <sheetName val="Grafica_Actos3"/>
      <sheetName val="POC_LIST3"/>
      <sheetName val="부재료_비교(11년_vs_10년)1"/>
      <sheetName val="Condiciones_SyE3"/>
      <sheetName val="DETALLE_MENSUAL3"/>
      <sheetName val="do_not_delete3"/>
      <sheetName val="APAC_S3"/>
      <sheetName val="APAC_N3"/>
      <sheetName val="Slide_output3"/>
      <sheetName val="[손익기01_XL??DePara3"/>
      <sheetName val="Farol_Metas3"/>
      <sheetName val="Mod_Relac_3"/>
      <sheetName val="REALxMETA_-_CERVEJA5"/>
      <sheetName val="REALxMETA_-_REFRI5"/>
      <sheetName val="Directrices_de_Metas_20173"/>
      <sheetName val="Data_validation3"/>
      <sheetName val="SKU_Basic_Data3"/>
      <sheetName val="Entity_Target3"/>
      <sheetName val="VALIDACION_DE_DATOS2"/>
      <sheetName val="Drop-down_List2"/>
      <sheetName val="by_DD2"/>
      <sheetName val="Check_Qualidade1"/>
      <sheetName val="De_Para2"/>
      <sheetName val="Check_Aderencia1"/>
      <sheetName val="_손익기01_XL_x005f_x0000__x01"/>
      <sheetName val="Base_Farol1"/>
      <sheetName val="Gerencial_IL1"/>
      <sheetName val="Ventas_Campo1"/>
      <sheetName val="ACTOS_POR_RIESGO1"/>
      <sheetName val="drop_lists1"/>
      <sheetName val="MRL_NON_SUPPLY_URU1"/>
      <sheetName val="AIIM_-_Empresas_Ext_20121"/>
      <sheetName val="KPIs_Hana1"/>
      <sheetName val="Catalago_de_refacciones_1"/>
      <sheetName val="Existencias_al_07-Nov-20121"/>
      <sheetName val="Check_GG1"/>
      <sheetName val="Sheet3_(2)1"/>
      <sheetName val="요일_테이블_1"/>
      <sheetName val="Nombre_de_SOP1"/>
      <sheetName val="_mngt_Pillar1"/>
      <sheetName val="2__Indicadores1"/>
      <sheetName val="Ta_1"/>
      <sheetName val="Lao_&amp;_Cam1"/>
      <sheetName val="Hoegaarden_20191"/>
      <sheetName val="Lao_&amp;_Cam_20191"/>
      <sheetName val="Malaysia_20191"/>
      <sheetName val="Singapore_20191"/>
      <sheetName val="Sheet2_(2)1"/>
      <sheetName val="Other_Listings1"/>
      <sheetName val="Lista_de_Entrenamientos_RSO1"/>
      <sheetName val="Tablero_SDG4"/>
      <sheetName val="Lista_Areas4"/>
      <sheetName val="One_Page4"/>
      <sheetName val="Sub-Productos_HN2"/>
      <sheetName val="Eficiencia_linea1"/>
      <sheetName val="Pauta_RPS_Distribuição"/>
      <sheetName val="Estoque_(2)"/>
      <sheetName val="_손익기01_XL_x0"/>
      <sheetName val="Comp_Inseguros"/>
      <sheetName val="BNR_2012_в_ящике"/>
      <sheetName val="DATOS_DE_VALIDACIÓN"/>
      <sheetName val="Datos_con"/>
      <sheetName val="_Datos_Cond_"/>
      <sheetName val="DO_NOT_MOVE"/>
      <sheetName val="INGRESO_(2)"/>
      <sheetName val="PG-K1610_(UEN_Areas)MNG"/>
      <sheetName val="DATOS_GEN_"/>
      <sheetName val="NUEVOS_CRITERIOS"/>
      <sheetName val="Condiciones_Agua"/>
      <sheetName val="[손익기01_XLDePara5"/>
      <sheetName val="_손익기01_XLDePara5"/>
      <sheetName val="Control de Fallas"/>
      <sheetName val="Setup for Templates"/>
      <sheetName val="Datos emp"/>
      <sheetName val="Проверки"/>
      <sheetName val="Drop list"/>
      <sheetName val="FX Rates"/>
      <sheetName val="Proced."/>
      <sheetName val="PTN"/>
      <sheetName val="Cut Machine Summary"/>
      <sheetName val="Validation lists"/>
      <sheetName val="Planilha_relts_xdb75__xdb62_eos7"/>
      <sheetName val="Testing_Template_Huidance1"/>
      <sheetName val="  한국 AMP ASP-23 판㧤가격  "/>
      <sheetName val="11.䡸화채무줝ⴌ(AFS,HTM)08"/>
      <sheetName val="status"/>
      <sheetName val="TIPO DE ACTO"/>
      <sheetName val="Marcas"/>
      <sheetName val="Concentrado"/>
      <sheetName val="CRITICIDAD DE CI"/>
      <sheetName val="Catálogo de CI"/>
      <sheetName val="% CUMPLIMIENTO"/>
      <sheetName val="% cumplimiento "/>
      <sheetName val="CALIFICACIONES 2019"/>
      <sheetName val="Lev 4 360 deg check Crit Task"/>
      <sheetName val="Lev 4 Chk IC Stock Crit Task"/>
      <sheetName val="Lev 4 WMS Putaway Crit Task"/>
      <sheetName val="Final_Summary-All"/>
      <sheetName val="Auxiliary"/>
      <sheetName val="PREENCHIMENTO"/>
      <sheetName val="Vagas x Candidatos"/>
      <sheetName val="Listas y equipos a evaluar"/>
      <sheetName val="NH3"/>
      <sheetName val="Hoja7"/>
      <sheetName val="Data Reporte"/>
      <sheetName val="Read me"/>
      <sheetName val="_x0000__x0005__x0000__x0001__x0000__x0000__x0000_"/>
      <sheetName val="_x0000__x0005__x0000_ÿ_x000f__x0000_ÿ"/>
      <sheetName val="Imputs"/>
      <sheetName val="Champions List"/>
      <sheetName val="Guidelines"/>
      <sheetName val="NAZ Strategy"/>
      <sheetName val="Daily Dashboard"/>
      <sheetName val="TO_Data_Base16"/>
      <sheetName val="YTD_Summary15"/>
      <sheetName val="Month_Summary15"/>
      <sheetName val="Trial_Balance_MAY_200915"/>
      <sheetName val="TB_Pivot15"/>
      <sheetName val="total_per_LB_LB215"/>
      <sheetName val="Trial_Balance_Vlookup15"/>
      <sheetName val="Trial_Balance_APRIL_200915"/>
      <sheetName val="Roll_Out_AQ15"/>
      <sheetName val="Evolução_mandamentos15"/>
      <sheetName val="Planilha_resultados14"/>
      <sheetName val="Historico_200314"/>
      <sheetName val="Sig_Cycles_Accts_&amp;_Processes14"/>
      <sheetName val="Fixed_ZBB8"/>
      <sheetName val="Como_Estamos8"/>
      <sheetName val="3_ISo_YTD8"/>
      <sheetName val="E_法规NC8"/>
      <sheetName val="Données_LMU8"/>
      <sheetName val="Brazil_Sovereign8"/>
      <sheetName val="Resumen_Costo8"/>
      <sheetName val="Base_de_Dados8"/>
      <sheetName val="Extract_Loss8"/>
      <sheetName val="5_18"/>
      <sheetName val="QA_跟踪记录表8"/>
      <sheetName val="RG_Depots8"/>
      <sheetName val="material_data8"/>
      <sheetName val="other_data8"/>
      <sheetName val="JOB_PROFILE_-_LAS8"/>
      <sheetName val="Database_(RUR)Mar_YTD8"/>
      <sheetName val="SKU_Mapping8"/>
      <sheetName val="Drop_Down8"/>
      <sheetName val="Raw_Data8"/>
      <sheetName val="EBM-2_GHQ8"/>
      <sheetName val="Base_PEF9"/>
      <sheetName val="Testing_Template_Guidance8"/>
      <sheetName val="Test_Programs8"/>
      <sheetName val="Controls_data10"/>
      <sheetName val="Dados_BLP8"/>
      <sheetName val="FJJX_Bud_IB7"/>
      <sheetName val="ARdistr_(2)8"/>
      <sheetName val="look-up_data7"/>
      <sheetName val="Prd_Hierarchy(产品层级)7"/>
      <sheetName val="Com_(2PK)7"/>
      <sheetName val="요일_테이블8"/>
      <sheetName val="요일_테이블_(2)7"/>
      <sheetName val="Prd_Hierarchy(产品层次)7"/>
      <sheetName val="Project_Code7"/>
      <sheetName val="전사_PL9"/>
      <sheetName val="자금_제외_PL9"/>
      <sheetName val="자금_PL9"/>
      <sheetName val="전사_BS9"/>
      <sheetName val="자금_제외_BS9"/>
      <sheetName val="자금_BS9"/>
      <sheetName val="BS_계정_설명9"/>
      <sheetName val="_Cash_Flow(전사)9"/>
      <sheetName val="_Cash_Flow(자금제외)9"/>
      <sheetName val="_Cash_Flow(자금)9"/>
      <sheetName val="ROIC_9"/>
      <sheetName val="인건비_명세9"/>
      <sheetName val="판관비_명세9"/>
      <sheetName val="OH_Cost경비(내역)9"/>
      <sheetName val="OH_Cost경비(배부기준)9"/>
      <sheetName val="기타수지&amp;특별손익_명세9"/>
      <sheetName val="업무연락_(2)8"/>
      <sheetName val="제시_손익계산서8"/>
      <sheetName val="01_02월_성과급9"/>
      <sheetName val="M_7회차_담금_계획8"/>
      <sheetName val="팀별_실적8"/>
      <sheetName val="팀별_실적_(환산)8"/>
      <sheetName val="4__Inj_투자상세내역8"/>
      <sheetName val="3__Blow_투자_상세내역8"/>
      <sheetName val="Process_List8"/>
      <sheetName val="7_(2)8"/>
      <sheetName val="_손익기01_XL7"/>
      <sheetName val="drop_down_list7"/>
      <sheetName val="[손익기01_XL_x005f_x0000__x005f_x0000_DePara7"/>
      <sheetName val="Income_Stmt7"/>
      <sheetName val="Quarterly_LBO_Model7"/>
      <sheetName val="Figures_Report6"/>
      <sheetName val="Set_Up7"/>
      <sheetName val="[손익기01_XL7"/>
      <sheetName val="tab_STATUS_DO_PROCESSO_6"/>
      <sheetName val="_손익기01_XL_x005f_x0000__x005f_x0000_DePara7"/>
      <sheetName val="Perf__Plan__Diário16"/>
      <sheetName val="In_(2)6"/>
      <sheetName val="Fare_prices6"/>
      <sheetName val="Hotel_prices6"/>
      <sheetName val="15년_BL_사계7"/>
      <sheetName val="Classification_分类6"/>
      <sheetName val="1_종합손익(도급)7"/>
      <sheetName val="1_종합손익(주택,개발)7"/>
      <sheetName val="2_실행예산7"/>
      <sheetName val="2_2과부족7"/>
      <sheetName val="2_3원가절감7"/>
      <sheetName val="8_외주비집행현황7"/>
      <sheetName val="9_자재비7"/>
      <sheetName val="10_현장집행7"/>
      <sheetName val="3_추가원가7"/>
      <sheetName val="3_추가원가_(2)7"/>
      <sheetName val="4_사전공사7"/>
      <sheetName val="5_추정공사비7"/>
      <sheetName val="6_금융비용7"/>
      <sheetName val="7_공사비집행현황(총괄)7"/>
      <sheetName val="11_1생산성7"/>
      <sheetName val="11_2인원산출7"/>
      <sheetName val="Clasif_5"/>
      <sheetName val="Cond__Inseguros5"/>
      <sheetName val="Comp__Inseguros5"/>
      <sheetName val="Lista_de_datos5"/>
      <sheetName val="MASTER_APP5"/>
      <sheetName val="CLASIFICACION_DE_AI6"/>
      <sheetName val="Base_da_Datos6"/>
      <sheetName val="__한국_AMP_ASP-23_판매가격__6"/>
      <sheetName val="CC_Down_load_07166"/>
      <sheetName val="변경실행(2차)_6"/>
      <sheetName val="나_출고6"/>
      <sheetName val="나_입고6"/>
      <sheetName val="09년_인건비(속리산)6"/>
      <sheetName val="합산목표(감가+57_5)6"/>
      <sheetName val="제조원가_원단위_분석6"/>
      <sheetName val="종합표양식(품의_&amp;_입고)_26"/>
      <sheetName val="원가관리_(동월대비)6"/>
      <sheetName val="b_balju_(2)6"/>
      <sheetName val="2-2_매출분석6"/>
      <sheetName val="몰드시스템_리스트6"/>
      <sheetName val="11_외화채무증권(AFS,HTM)086"/>
      <sheetName val="13_감액TEST_086"/>
      <sheetName val="12년_CF(9월)6"/>
      <sheetName val="중기조종사_단위단가6"/>
      <sheetName val="6PILE__(돌출)6"/>
      <sheetName val="기성청구_공문6"/>
      <sheetName val="Sheet1_(2)6"/>
      <sheetName val="slide_24_cat_A6"/>
      <sheetName val="slide_82_cat_b6"/>
      <sheetName val="Dados_dos_Produtos6"/>
      <sheetName val="09~10년_매출계획6"/>
      <sheetName val="1_MDF1공장6"/>
      <sheetName val="Incident_유형구분표6"/>
      <sheetName val="3YP2016-Bottom_up5"/>
      <sheetName val="DD_list6"/>
      <sheetName val="Lista_CI5"/>
      <sheetName val="Base_de_Datos5"/>
      <sheetName val="Dashboard_Prevención_Riesgos_4"/>
      <sheetName val="TOP_KPIs_MTM4"/>
      <sheetName val="PLAN_DE_ACCION4"/>
      <sheetName val="Faro_de_Indicadores4"/>
      <sheetName val="2_카드채권(대출포함)5"/>
      <sheetName val="表21_净利润调节表5"/>
      <sheetName val="DETALLE_MENSUAL4"/>
      <sheetName val="Farol_Acciones5"/>
      <sheetName val="FornecM_Check4"/>
      <sheetName val="Unidades_SAC-REVENDA6"/>
      <sheetName val="Lista_de_Entrenamientos5"/>
      <sheetName val="Supply_Cost_Centers5"/>
      <sheetName val="Estratificación_AI4"/>
      <sheetName val="condicion_inseguras4"/>
      <sheetName val="Actos_Inseguros4"/>
      <sheetName val="Control_de_incidentes4"/>
      <sheetName val="Plan_de_Acción4"/>
      <sheetName val="_DD_List5"/>
      <sheetName val="Share_Price_20025"/>
      <sheetName val="Grafica_Actos4"/>
      <sheetName val="Condiciones_SyE4"/>
      <sheetName val="REALxMETA_-_CERVEJA6"/>
      <sheetName val="REALxMETA_-_REFRI6"/>
      <sheetName val="BEP_加薪_KPI4"/>
      <sheetName val="[손익기01_XL??DePara4"/>
      <sheetName val="Farol_Metas4"/>
      <sheetName val="Mod_Relac_4"/>
      <sheetName val="Issues_List_Payments4"/>
      <sheetName val="Directrices_de_Metas_20174"/>
      <sheetName val="POC_LIST4"/>
      <sheetName val="Entity_Target4"/>
      <sheetName val="F08_-_Asia_Pac_Full_Year_Q35"/>
      <sheetName val="Top_Priorities5"/>
      <sheetName val="Listco_Stock5"/>
      <sheetName val="Intl_Purchase5"/>
      <sheetName val="FY_outlook5"/>
      <sheetName val="CY_outlook5"/>
      <sheetName val="Cash_metrics5"/>
      <sheetName val="P6_75"/>
      <sheetName val="DATOS_BASE4"/>
      <sheetName val="Hazards_Analysis-隐患分析4"/>
      <sheetName val="_손익기01_XL_x005f_x005f_x005f_x0000__x005f_x005f_x4"/>
      <sheetName val="SKU_Basic_Data4"/>
      <sheetName val="97_사업추정(WEKI)4"/>
      <sheetName val="Tong_hop4"/>
      <sheetName val="95_1_1이후취득자산(숨기기상태)4"/>
      <sheetName val="sum1_(2)4"/>
      <sheetName val="3_바닥판설계4"/>
      <sheetName val="6월_공정외주4"/>
      <sheetName val="2_대외공문4"/>
      <sheetName val="2_총괄표4"/>
      <sheetName val="입출재고현황_(2)4"/>
      <sheetName val="504전기실_동부하-L4"/>
      <sheetName val="OUTER_AREA(겹침없음)4"/>
      <sheetName val="EL_표면적4"/>
      <sheetName val="TRE_TABLE4"/>
      <sheetName val="입찰내역_발주처_양식4"/>
      <sheetName val="ACTOS_POR_RIESGO2"/>
      <sheetName val="do_not_delete4"/>
      <sheetName val="Check_Qualidade2"/>
      <sheetName val="De_Para3"/>
      <sheetName val="Nombre_de_SOP2"/>
      <sheetName val="drop_lists2"/>
      <sheetName val="APAC_S4"/>
      <sheetName val="APAC_N4"/>
      <sheetName val="Slide_output4"/>
      <sheetName val="turnover_reason퇴직사유4"/>
      <sheetName val="Data_validation4"/>
      <sheetName val="MRL_NON_SUPPLY_URU2"/>
      <sheetName val="Drop-down_List3"/>
      <sheetName val="by_DD3"/>
      <sheetName val="VALIDACION_DE_DATOS3"/>
      <sheetName val="Jul-Sep_Actual_cost_(2)3"/>
      <sheetName val="Check_Aderencia2"/>
      <sheetName val="Base_Farol2"/>
      <sheetName val="Gerencial_IL2"/>
      <sheetName val="Ventas_Campo2"/>
      <sheetName val="AIIM_-_Empresas_Ext_20122"/>
      <sheetName val="KPIs_Hana2"/>
      <sheetName val="Catalago_de_refacciones_2"/>
      <sheetName val="Existencias_al_07-Nov-20122"/>
      <sheetName val="Check_GG2"/>
      <sheetName val="Ta_2"/>
      <sheetName val="2__Indicadores2"/>
      <sheetName val="_손익기01_XL_x005f_x0000__x02"/>
      <sheetName val="부재료_비교(11년_vs_10년)2"/>
      <sheetName val="Sheet3_(2)2"/>
      <sheetName val="Lao_&amp;_Cam2"/>
      <sheetName val="Hoegaarden_20192"/>
      <sheetName val="Lao_&amp;_Cam_20192"/>
      <sheetName val="Malaysia_20192"/>
      <sheetName val="Singapore_20192"/>
      <sheetName val="Sheet2_(2)2"/>
      <sheetName val="Comp_Inseguros1"/>
      <sheetName val="Lista_de_Entrenamientos_RSO2"/>
      <sheetName val="_mngt_Pillar2"/>
      <sheetName val="Tablero_SDG5"/>
      <sheetName val="Lista_Areas5"/>
      <sheetName val="One_Page5"/>
      <sheetName val="Sub-Productos_HN3"/>
      <sheetName val="Eficiencia_linea2"/>
      <sheetName val="Pauta_RPS_Distribuição1"/>
      <sheetName val="Estoque_(2)1"/>
      <sheetName val="요일_테이블_2"/>
      <sheetName val="Other_Listings2"/>
      <sheetName val="BNR_2012_в_ящике1"/>
      <sheetName val="FX_Rates"/>
      <sheetName val="Vagas_x_Candidatos"/>
      <sheetName val="DO_NOT_MOVE1"/>
      <sheetName val="DATOS_DE_VALIDACIÓN1"/>
      <sheetName val="Datos_con1"/>
      <sheetName val="_Datos_Cond_1"/>
      <sheetName val="INGRESO_(2)1"/>
      <sheetName val="PG-K1610_(UEN_Areas)MNG1"/>
      <sheetName val="DATOS_GEN_1"/>
      <sheetName val="NUEVOS_CRITERIOS1"/>
      <sheetName val="Condiciones_Agua1"/>
      <sheetName val="__한국_AMP_ASP-23_판㧤가격__"/>
      <sheetName val="11_䡸화채무줝ⴌ(AFS,HTM)08"/>
      <sheetName val="Drop_list"/>
      <sheetName val="Dropdown_list"/>
      <sheetName val="Proced_"/>
      <sheetName val="Control_de_Fallas"/>
      <sheetName val="Setup_for_Templates"/>
      <sheetName val="Datos_emp"/>
      <sheetName val="TIPO_DE_ACTO"/>
      <sheetName val="%_cumplimiento_"/>
      <sheetName val="%_CUMPLIMIENTO"/>
      <sheetName val="Listas_y_equipos_a_evaluar"/>
      <sheetName val="CRITICIDAD_DE_CI"/>
      <sheetName val="Catálogo_de_CI"/>
      <sheetName val="Data_Reporte"/>
      <sheetName val="Read_me"/>
      <sheetName val="ÿÿ"/>
      <sheetName val="Validation_lists"/>
      <sheetName val="Cut_Machine_Summary"/>
      <sheetName val="Daily_Dashboard"/>
      <sheetName val="YTD_Summary16"/>
      <sheetName val="Month_Summary16"/>
      <sheetName val="Trial_Balance_MAY_200916"/>
      <sheetName val="TB_Pivot16"/>
      <sheetName val="total_per_LB_LB216"/>
      <sheetName val="Trial_Balance_Vlookup16"/>
      <sheetName val="Trial_Balance_APRIL_200916"/>
      <sheetName val="TO_Data_Base17"/>
      <sheetName val="Roll_Out_AQ16"/>
      <sheetName val="Evolução_mandamentos16"/>
      <sheetName val="Planilha_resultados15"/>
      <sheetName val="Historico_200315"/>
      <sheetName val="Sig_Cycles_Accts_&amp;_Processes15"/>
      <sheetName val="Fixed_ZBB9"/>
      <sheetName val="3_ISo_YTD9"/>
      <sheetName val="E_法规NC9"/>
      <sheetName val="Données_LMU9"/>
      <sheetName val="Brazil_Sovereign9"/>
      <sheetName val="Resumen_Costo9"/>
      <sheetName val="Extract_Loss9"/>
      <sheetName val="QA_跟踪记录表9"/>
      <sheetName val="5_19"/>
      <sheetName val="Como_Estamos9"/>
      <sheetName val="Base_de_Dados9"/>
      <sheetName val="RG_Depots9"/>
      <sheetName val="material_data9"/>
      <sheetName val="other_data9"/>
      <sheetName val="Database_(RUR)Mar_YTD9"/>
      <sheetName val="SKU_Mapping9"/>
      <sheetName val="Drop_Down9"/>
      <sheetName val="Raw_Data9"/>
      <sheetName val="EBM-2_GHQ9"/>
      <sheetName val="Base_PEF10"/>
      <sheetName val="Testing_Template_Guidance9"/>
      <sheetName val="Test_Programs9"/>
      <sheetName val="Controls_data11"/>
      <sheetName val="Dados_BLP9"/>
      <sheetName val="ARdistr_(2)9"/>
      <sheetName val="FJJX_Bud_IB8"/>
      <sheetName val="look-up_data8"/>
      <sheetName val="Prd_Hierarchy(产品层级)8"/>
      <sheetName val="Com_(2PK)8"/>
      <sheetName val="JOB_PROFILE_-_LAS9"/>
      <sheetName val="요일_테이블9"/>
      <sheetName val="요일_테이블_(2)8"/>
      <sheetName val="Prd_Hierarchy(产品层次)8"/>
      <sheetName val="Project_Code8"/>
      <sheetName val="전사_PL10"/>
      <sheetName val="자금_제외_PL10"/>
      <sheetName val="자금_PL10"/>
      <sheetName val="전사_BS10"/>
      <sheetName val="자금_제외_BS10"/>
      <sheetName val="자금_BS10"/>
      <sheetName val="BS_계정_설명10"/>
      <sheetName val="_Cash_Flow(전사)10"/>
      <sheetName val="_Cash_Flow(자금제외)10"/>
      <sheetName val="_Cash_Flow(자금)10"/>
      <sheetName val="ROIC_10"/>
      <sheetName val="인건비_명세10"/>
      <sheetName val="판관비_명세10"/>
      <sheetName val="OH_Cost경비(내역)10"/>
      <sheetName val="OH_Cost경비(배부기준)10"/>
      <sheetName val="기타수지&amp;특별손익_명세10"/>
      <sheetName val="업무연락_(2)9"/>
      <sheetName val="제시_손익계산서9"/>
      <sheetName val="01_02월_성과급10"/>
      <sheetName val="M_7회차_담금_계획9"/>
      <sheetName val="팀별_실적9"/>
      <sheetName val="팀별_실적_(환산)9"/>
      <sheetName val="4__Inj_투자상세내역9"/>
      <sheetName val="3__Blow_투자_상세내역9"/>
      <sheetName val="Process_List9"/>
      <sheetName val="7_(2)9"/>
      <sheetName val="_손익기01_XL8"/>
      <sheetName val="Income_Stmt8"/>
      <sheetName val="drop_down_list8"/>
      <sheetName val="Figures_Report7"/>
      <sheetName val="[손익기01_XL_x005f_x0000__x005f_x0000_DePara8"/>
      <sheetName val="Quarterly_LBO_Model8"/>
      <sheetName val="[손익기01_XL8"/>
      <sheetName val="_손익기01_XL_x005f_x0000__x005f_x0000_DePara8"/>
      <sheetName val="15년_BL_사계8"/>
      <sheetName val="1_종합손익(도급)8"/>
      <sheetName val="1_종합손익(주택,개발)8"/>
      <sheetName val="2_실행예산8"/>
      <sheetName val="2_2과부족8"/>
      <sheetName val="2_3원가절감8"/>
      <sheetName val="8_외주비집행현황8"/>
      <sheetName val="9_자재비8"/>
      <sheetName val="10_현장집행8"/>
      <sheetName val="3_추가원가8"/>
      <sheetName val="3_추가원가_(2)8"/>
      <sheetName val="4_사전공사8"/>
      <sheetName val="5_추정공사비8"/>
      <sheetName val="6_금융비용8"/>
      <sheetName val="7_공사비집행현황(총괄)8"/>
      <sheetName val="11_1생산성8"/>
      <sheetName val="11_2인원산출8"/>
      <sheetName val="Classification_分类7"/>
      <sheetName val="Set_Up8"/>
      <sheetName val="Fare_prices7"/>
      <sheetName val="Hotel_prices7"/>
      <sheetName val="tab_STATUS_DO_PROCESSO_7"/>
      <sheetName val="Perf__Plan__Diário17"/>
      <sheetName val="In_(2)7"/>
      <sheetName val="__한국_AMP_ASP-23_판매가격__7"/>
      <sheetName val="CC_Down_load_07167"/>
      <sheetName val="변경실행(2차)_7"/>
      <sheetName val="나_출고7"/>
      <sheetName val="나_입고7"/>
      <sheetName val="09년_인건비(속리산)7"/>
      <sheetName val="합산목표(감가+57_5)7"/>
      <sheetName val="제조원가_원단위_분석7"/>
      <sheetName val="종합표양식(품의_&amp;_입고)_27"/>
      <sheetName val="원가관리_(동월대비)7"/>
      <sheetName val="b_balju_(2)7"/>
      <sheetName val="2-2_매출분석7"/>
      <sheetName val="몰드시스템_리스트7"/>
      <sheetName val="11_외화채무증권(AFS,HTM)087"/>
      <sheetName val="13_감액TEST_087"/>
      <sheetName val="12년_CF(9월)7"/>
      <sheetName val="중기조종사_단위단가7"/>
      <sheetName val="6PILE__(돌출)7"/>
      <sheetName val="기성청구_공문7"/>
      <sheetName val="Sheet1_(2)7"/>
      <sheetName val="CLASIFICACION_DE_AI7"/>
      <sheetName val="Base_da_Datos7"/>
      <sheetName val="slide_24_cat_A7"/>
      <sheetName val="slide_82_cat_b7"/>
      <sheetName val="Dados_dos_Produtos7"/>
      <sheetName val="09~10년_매출계획7"/>
      <sheetName val="1_MDF1공장7"/>
      <sheetName val="Incident_유형구분표7"/>
      <sheetName val="3YP2016-Bottom_up6"/>
      <sheetName val="DD_list7"/>
      <sheetName val="Base_de_Datos6"/>
      <sheetName val="Supply_Cost_Centers6"/>
      <sheetName val="2_카드채권(대출포함)6"/>
      <sheetName val="表21_净利润调节表6"/>
      <sheetName val="Cond__Inseguros6"/>
      <sheetName val="Comp__Inseguros6"/>
      <sheetName val="Lista_de_datos6"/>
      <sheetName val="MASTER_APP6"/>
      <sheetName val="Clasif_6"/>
      <sheetName val="Farol_Acciones6"/>
      <sheetName val="Lista_de_Entrenamientos6"/>
      <sheetName val="Unidades_SAC-REVENDA7"/>
      <sheetName val="FornecM_Check5"/>
      <sheetName val="Lista_CI6"/>
      <sheetName val="Estratificación_AI5"/>
      <sheetName val="condicion_inseguras5"/>
      <sheetName val="Actos_Inseguros5"/>
      <sheetName val="Control_de_incidentes5"/>
      <sheetName val="Plan_de_Acción5"/>
      <sheetName val="_DD_List6"/>
      <sheetName val="Share_Price_20026"/>
      <sheetName val="Issues_List_Payments5"/>
      <sheetName val="BEP_加薪_KPI5"/>
      <sheetName val="Faro_de_Indicadores5"/>
      <sheetName val="TOP_KPIs_MTM5"/>
      <sheetName val="PLAN_DE_ACCION5"/>
      <sheetName val="Grafica_Actos5"/>
      <sheetName val="POC_LIST5"/>
      <sheetName val="Dashboard_Prevención_Riesgos_5"/>
      <sheetName val="APAC_S5"/>
      <sheetName val="APAC_N5"/>
      <sheetName val="Slide_output5"/>
      <sheetName val="do_not_delete5"/>
      <sheetName val="[손익기01_XL??DePara5"/>
      <sheetName val="Farol_Metas5"/>
      <sheetName val="Mod_Relac_5"/>
      <sheetName val="Condiciones_SyE5"/>
      <sheetName val="REALxMETA_-_CERVEJA7"/>
      <sheetName val="REALxMETA_-_REFRI7"/>
      <sheetName val="Directrices_de_Metas_20175"/>
      <sheetName val="F08_-_Asia_Pac_Full_Year_Q36"/>
      <sheetName val="Top_Priorities6"/>
      <sheetName val="Listco_Stock6"/>
      <sheetName val="Intl_Purchase6"/>
      <sheetName val="FY_outlook6"/>
      <sheetName val="CY_outlook6"/>
      <sheetName val="Cash_metrics6"/>
      <sheetName val="P6_76"/>
      <sheetName val="DATOS_BASE5"/>
      <sheetName val="DETALLE_MENSUAL5"/>
      <sheetName val="Entity_Target5"/>
      <sheetName val="VALIDACION_DE_DATOS4"/>
      <sheetName val="_손익기01_XL_x005f_x005f_x005f_x0000__x005f_x005f_x5"/>
      <sheetName val="Hazards_Analysis-隐患分析5"/>
      <sheetName val="97_사업추정(WEKI)5"/>
      <sheetName val="Tong_hop5"/>
      <sheetName val="95_1_1이후취득자산(숨기기상태)5"/>
      <sheetName val="sum1_(2)5"/>
      <sheetName val="3_바닥판설계5"/>
      <sheetName val="6월_공정외주5"/>
      <sheetName val="2_대외공문5"/>
      <sheetName val="2_총괄표5"/>
      <sheetName val="입출재고현황_(2)5"/>
      <sheetName val="504전기실_동부하-L5"/>
      <sheetName val="OUTER_AREA(겹침없음)5"/>
      <sheetName val="EL_표면적5"/>
      <sheetName val="TRE_TABLE5"/>
      <sheetName val="입찰내역_발주처_양식5"/>
      <sheetName val="Data_validation5"/>
      <sheetName val="turnover_reason퇴직사유5"/>
      <sheetName val="SKU_Basic_Data5"/>
      <sheetName val="Jul-Sep_Actual_cost_(2)4"/>
      <sheetName val="Drop-down_List4"/>
      <sheetName val="by_DD4"/>
      <sheetName val="Check_Qualidade3"/>
      <sheetName val="Check_Aderencia3"/>
      <sheetName val="De_Para4"/>
      <sheetName val="Base_Farol3"/>
      <sheetName val="Gerencial_IL3"/>
      <sheetName val="Ventas_Campo3"/>
      <sheetName val="ACTOS_POR_RIESGO3"/>
      <sheetName val="drop_lists3"/>
      <sheetName val="MRL_NON_SUPPLY_URU3"/>
      <sheetName val="AIIM_-_Empresas_Ext_20123"/>
      <sheetName val="KPIs_Hana3"/>
      <sheetName val="Catalago_de_refacciones_3"/>
      <sheetName val="Existencias_al_07-Nov-20123"/>
      <sheetName val="Check_GG3"/>
      <sheetName val="Nombre_de_SOP3"/>
      <sheetName val="Ta_3"/>
      <sheetName val="2__Indicadores3"/>
      <sheetName val="부재료_비교(11년_vs_10년)3"/>
      <sheetName val="_손익기01_XL_x005f_x0000__x03"/>
      <sheetName val="_mngt_Pillar3"/>
      <sheetName val="Sheet3_(2)3"/>
      <sheetName val="Lista_de_Entrenamientos_RSO3"/>
      <sheetName val="Tablero_SDG6"/>
      <sheetName val="Lista_Areas6"/>
      <sheetName val="One_Page6"/>
      <sheetName val="Sub-Productos_HN4"/>
      <sheetName val="Eficiencia_linea3"/>
      <sheetName val="요일_테이블_3"/>
      <sheetName val="Sheet2_(2)3"/>
      <sheetName val="Lao_&amp;_Cam3"/>
      <sheetName val="Hoegaarden_20193"/>
      <sheetName val="Lao_&amp;_Cam_20193"/>
      <sheetName val="Malaysia_20193"/>
      <sheetName val="Singapore_20193"/>
      <sheetName val="Other_Listings3"/>
      <sheetName val="Pauta_RPS_Distribuição2"/>
      <sheetName val="Estoque_(2)2"/>
      <sheetName val="Comp_Inseguros2"/>
      <sheetName val="BNR_2012_в_ящике2"/>
      <sheetName val="DATOS_DE_VALIDACIÓN2"/>
      <sheetName val="Datos_con2"/>
      <sheetName val="_Datos_Cond_2"/>
      <sheetName val="DO_NOT_MOVE2"/>
      <sheetName val="INGRESO_(2)2"/>
      <sheetName val="PG-K1610_(UEN_Areas)MNG2"/>
      <sheetName val="DATOS_GEN_2"/>
      <sheetName val="NUEVOS_CRITERIOS2"/>
      <sheetName val="Condiciones_Agua2"/>
      <sheetName val="Dropdown_list1"/>
      <sheetName val="FX_Rates1"/>
      <sheetName val="Vagas_x_Candidatos1"/>
      <sheetName val="__한국_AMP_ASP-23_판㧤가격__1"/>
      <sheetName val="11_䡸화채무줝ⴌ(AFS,HTM)081"/>
      <sheetName val="Drop_list1"/>
      <sheetName val="Proced_1"/>
      <sheetName val="Control_de_Fallas1"/>
      <sheetName val="Setup_for_Templates1"/>
      <sheetName val="Datos_emp1"/>
      <sheetName val="TIPO_DE_ACTO1"/>
      <sheetName val="%_cumplimiento_1"/>
      <sheetName val="%_CUMPLIMIENTO1"/>
      <sheetName val="Listas_y_equipos_a_evaluar1"/>
      <sheetName val="CRITICIDAD_DE_CI1"/>
      <sheetName val="Catálogo_de_CI1"/>
      <sheetName val="Data_Reporte1"/>
      <sheetName val="Read_me1"/>
      <sheetName val="Validation_lists1"/>
      <sheetName val="Cut_Machine_Summary1"/>
      <sheetName val="Daily_Dashboard1"/>
      <sheetName val="Champions_List"/>
      <sheetName val="_손익기01_XL_x0000__x1"/>
      <sheetName val="_손익기01_XL_x005f_x0000__x2"/>
      <sheetName val="费用指引"/>
      <sheetName val="进货时间"/>
      <sheetName val="参考字段（不许更改）"/>
      <sheetName val="Mapeo SKUs"/>
      <sheetName val="Vol.(Ds)"/>
      <sheetName val="Vol.(Ka)"/>
      <sheetName val="Vol.(Oth)"/>
      <sheetName val="Vol.(Oth) Cortesias"/>
      <sheetName val="INPUT-$Intervention(Ds)"/>
      <sheetName val="INPUT-ICO"/>
      <sheetName val="INPUT-Cust.Sugg.Margin(Ds)"/>
      <sheetName val="On Invoice"/>
      <sheetName val="INPUT-$Intervention(Ka)"/>
      <sheetName val="INPUT-Cust.Sugg.Margin(Ka)"/>
      <sheetName val="INPUT SKUs"/>
      <sheetName val="清單"/>
      <sheetName val="Brand P&amp;L"/>
      <sheetName val="MALTA"/>
      <sheetName val="SPARK"/>
      <sheetName val="SUPERMONT"/>
      <sheetName val="SUPERMONT P"/>
      <sheetName val="Mapeo_SKUs"/>
      <sheetName val="Vol_(Ds)"/>
      <sheetName val="Vol_(Ka)"/>
      <sheetName val="Vol_(Oth)"/>
      <sheetName val="Vol_(Oth)_Cortesias"/>
      <sheetName val="INPUT-Cust_Sugg_Margin(Ds)"/>
      <sheetName val="On_Invoice"/>
      <sheetName val="INPUT-Cust_Sugg_Margin(Ka)"/>
      <sheetName val="INPUT_SKUs"/>
      <sheetName val="Mapeo_SKUs1"/>
      <sheetName val="Vol_(Ds)1"/>
      <sheetName val="Vol_(Ka)1"/>
      <sheetName val="Vol_(Oth)1"/>
      <sheetName val="Vol_(Oth)_Cortesias1"/>
      <sheetName val="INPUT-Cust_Sugg_Margin(Ds)1"/>
      <sheetName val="On_Invoice1"/>
      <sheetName val="INPUT-Cust_Sugg_Margin(Ka)1"/>
      <sheetName val="INPUT_SKUs1"/>
      <sheetName val="유효성목록"/>
      <sheetName val="Data selection"/>
      <sheetName val="BMU_H"/>
      <sheetName val="1."/>
      <sheetName val="Customer &amp; SO"/>
      <sheetName val="Session Proposal"/>
      <sheetName val="社員リスト"/>
      <sheetName val="생산성"/>
      <sheetName val="Book1"/>
      <sheetName val="数据分类"/>
      <sheetName val="Dropdown Menu"/>
      <sheetName val="Territory"/>
      <sheetName val="MMR12活动类型"/>
      <sheetName val="经销商"/>
      <sheetName val="Region"/>
      <sheetName val="SalesPkg_TR_KHCode_TR_KHCode"/>
      <sheetName val="填写内容参考"/>
      <sheetName val="Análise Tempos"/>
      <sheetName val="Incentivo Automóvil"/>
      <sheetName val="EQR"/>
      <sheetName val="CNQ"/>
      <sheetName val="Справочник"/>
      <sheetName val="PDA BOP"/>
      <sheetName val="Referencias"/>
      <sheetName val="Códigos"/>
      <sheetName val="Validação de Dados"/>
      <sheetName val="No llenar "/>
      <sheetName val="0-info"/>
      <sheetName val="FAI分析"/>
      <sheetName val="미관리업소"/>
      <sheetName val="유류대 현황"/>
      <sheetName val="정평화"/>
      <sheetName val="김익성"/>
      <sheetName val="최일수"/>
      <sheetName val="정원구"/>
      <sheetName val="문공식"/>
      <sheetName val="박현일"/>
      <sheetName val="김진생"/>
      <sheetName val="Overdue(Feb)"/>
      <sheetName val="Overdue(Jan)"/>
      <sheetName val="취합"/>
      <sheetName val="PN+Extension"/>
      <sheetName val="1. 템플릿"/>
      <sheetName val="2. 작성 참고사항"/>
      <sheetName val="1월"/>
      <sheetName val="2월"/>
      <sheetName val="3월"/>
      <sheetName val="4월"/>
      <sheetName val="거리"/>
      <sheetName val="架构"/>
      <sheetName val="库存模板"/>
      <sheetName val="陈列明细"/>
      <sheetName val="mapping (2)"/>
      <sheetName val="Ref."/>
      <sheetName val="折扣类型"/>
      <sheetName val="目标SKU"/>
      <sheetName val="Backup"/>
      <sheetName val="匹配"/>
      <sheetName val="序列"/>
      <sheetName val="Lista de Motivos"/>
      <sheetName val="Ponto Crítico - Resp. Plano"/>
      <sheetName val="Lista Funcionários (2)"/>
      <sheetName val="PIRÂMIDE"/>
      <sheetName val="Consolidator"/>
      <sheetName val="2.3 Projects Status"/>
      <sheetName val="YTD_Summary17"/>
      <sheetName val="Month_Summary17"/>
      <sheetName val="Trial_Balance_MAY_200917"/>
      <sheetName val="TB_Pivot17"/>
      <sheetName val="total_per_LB_LB217"/>
      <sheetName val="Trial_Balance_Vlookup17"/>
      <sheetName val="Trial_Balance_APRIL_200917"/>
      <sheetName val="TO_Data_Base18"/>
      <sheetName val="Roll_Out_AQ17"/>
      <sheetName val="Evolução_mandamentos17"/>
      <sheetName val="Planilha_resultados16"/>
      <sheetName val="Historico_200316"/>
      <sheetName val="Sig_Cycles_Accts_&amp;_Processes16"/>
      <sheetName val="Fixed_ZBB10"/>
      <sheetName val="3_ISo_YTD10"/>
      <sheetName val="E_法规NC10"/>
      <sheetName val="Données_LMU10"/>
      <sheetName val="Brazil_Sovereign10"/>
      <sheetName val="Resumen_Costo10"/>
      <sheetName val="Extract_Loss10"/>
      <sheetName val="QA_跟踪记录表10"/>
      <sheetName val="5_110"/>
      <sheetName val="Como_Estamos10"/>
      <sheetName val="Base_de_Dados10"/>
      <sheetName val="RG_Depots10"/>
      <sheetName val="material_data10"/>
      <sheetName val="other_data10"/>
      <sheetName val="Database_(RUR)Mar_YTD10"/>
      <sheetName val="SKU_Mapping10"/>
      <sheetName val="Drop_Down10"/>
      <sheetName val="Raw_Data10"/>
      <sheetName val="EBM-2_GHQ10"/>
      <sheetName val="Base_PEF11"/>
      <sheetName val="Testing_Template_Guidance10"/>
      <sheetName val="Test_Programs10"/>
      <sheetName val="Controls_data12"/>
      <sheetName val="Dados_BLP10"/>
      <sheetName val="ARdistr_(2)10"/>
      <sheetName val="FJJX_Bud_IB9"/>
      <sheetName val="look-up_data9"/>
      <sheetName val="Prd_Hierarchy(产品层级)9"/>
      <sheetName val="Com_(2PK)9"/>
      <sheetName val="JOB_PROFILE_-_LAS10"/>
      <sheetName val="요일_테이블10"/>
      <sheetName val="요일_테이블_(2)9"/>
      <sheetName val="Prd_Hierarchy(产品层次)9"/>
      <sheetName val="Project_Code9"/>
      <sheetName val="전사_PL11"/>
      <sheetName val="자금_제외_PL11"/>
      <sheetName val="자금_PL11"/>
      <sheetName val="전사_BS11"/>
      <sheetName val="자금_제외_BS11"/>
      <sheetName val="자금_BS11"/>
      <sheetName val="BS_계정_설명11"/>
      <sheetName val="_Cash_Flow(전사)11"/>
      <sheetName val="_Cash_Flow(자금제외)11"/>
      <sheetName val="_Cash_Flow(자금)11"/>
      <sheetName val="ROIC_11"/>
      <sheetName val="인건비_명세11"/>
      <sheetName val="판관비_명세11"/>
      <sheetName val="OH_Cost경비(내역)11"/>
      <sheetName val="OH_Cost경비(배부기준)11"/>
      <sheetName val="기타수지&amp;특별손익_명세11"/>
      <sheetName val="업무연락_(2)10"/>
      <sheetName val="제시_손익계산서10"/>
      <sheetName val="01_02월_성과급11"/>
      <sheetName val="M_7회차_담금_계획10"/>
      <sheetName val="팀별_실적10"/>
      <sheetName val="팀별_실적_(환산)10"/>
      <sheetName val="4__Inj_투자상세내역10"/>
      <sheetName val="3__Blow_투자_상세내역10"/>
      <sheetName val="Process_List10"/>
      <sheetName val="7_(2)10"/>
      <sheetName val="_손익기01_XL9"/>
      <sheetName val="Income_Stmt9"/>
      <sheetName val="drop_down_list9"/>
      <sheetName val="Figures_Report8"/>
      <sheetName val="[손익기01_XL_x005f_x0000__x005f_x0000_DePara9"/>
      <sheetName val="Quarterly_LBO_Model9"/>
      <sheetName val="[손익기01_XL9"/>
      <sheetName val="_손익기01_XL_x005f_x0000__x005f_x0000_DePara9"/>
      <sheetName val="15년_BL_사계9"/>
      <sheetName val="1_종합손익(도급)9"/>
      <sheetName val="1_종합손익(주택,개발)9"/>
      <sheetName val="2_실행예산9"/>
      <sheetName val="2_2과부족9"/>
      <sheetName val="2_3원가절감9"/>
      <sheetName val="8_외주비집행현황9"/>
      <sheetName val="9_자재비9"/>
      <sheetName val="10_현장집행9"/>
      <sheetName val="3_추가원가9"/>
      <sheetName val="3_추가원가_(2)9"/>
      <sheetName val="4_사전공사9"/>
      <sheetName val="5_추정공사비9"/>
      <sheetName val="6_금융비용9"/>
      <sheetName val="7_공사비집행현황(총괄)9"/>
      <sheetName val="11_1생산성9"/>
      <sheetName val="11_2인원산출9"/>
      <sheetName val="Classification_分类8"/>
      <sheetName val="Set_Up9"/>
      <sheetName val="Fare_prices8"/>
      <sheetName val="Hotel_prices8"/>
      <sheetName val="tab_STATUS_DO_PROCESSO_8"/>
      <sheetName val="Perf__Plan__Diário18"/>
      <sheetName val="In_(2)8"/>
      <sheetName val="__한국_AMP_ASP-23_판매가격__8"/>
      <sheetName val="CC_Down_load_07168"/>
      <sheetName val="변경실행(2차)_8"/>
      <sheetName val="나_출고8"/>
      <sheetName val="나_입고8"/>
      <sheetName val="09년_인건비(속리산)8"/>
      <sheetName val="합산목표(감가+57_5)8"/>
      <sheetName val="제조원가_원단위_분석8"/>
      <sheetName val="종합표양식(품의_&amp;_입고)_28"/>
      <sheetName val="원가관리_(동월대비)8"/>
      <sheetName val="b_balju_(2)8"/>
      <sheetName val="2-2_매출분석8"/>
      <sheetName val="몰드시스템_리스트8"/>
      <sheetName val="11_외화채무증권(AFS,HTM)088"/>
      <sheetName val="13_감액TEST_088"/>
      <sheetName val="12년_CF(9월)8"/>
      <sheetName val="중기조종사_단위단가8"/>
      <sheetName val="6PILE__(돌출)8"/>
      <sheetName val="기성청구_공문8"/>
      <sheetName val="Sheet1_(2)8"/>
      <sheetName val="CLASIFICACION_DE_AI8"/>
      <sheetName val="Base_da_Datos8"/>
      <sheetName val="slide_24_cat_A8"/>
      <sheetName val="slide_82_cat_b8"/>
      <sheetName val="Dados_dos_Produtos8"/>
      <sheetName val="09~10년_매출계획8"/>
      <sheetName val="1_MDF1공장8"/>
      <sheetName val="Incident_유형구분표8"/>
      <sheetName val="3YP2016-Bottom_up7"/>
      <sheetName val="DD_list8"/>
      <sheetName val="Base_de_Datos7"/>
      <sheetName val="2_카드채권(대출포함)7"/>
      <sheetName val="表21_净利润调节表7"/>
      <sheetName val="MASTER_APP7"/>
      <sheetName val="Cond__Inseguros7"/>
      <sheetName val="Comp__Inseguros7"/>
      <sheetName val="Lista_de_datos7"/>
      <sheetName val="Supply_Cost_Centers7"/>
      <sheetName val="Clasif_7"/>
      <sheetName val="Farol_Acciones7"/>
      <sheetName val="Lista_de_Entrenamientos7"/>
      <sheetName val="Unidades_SAC-REVENDA8"/>
      <sheetName val="FornecM_Check6"/>
      <sheetName val="Lista_CI7"/>
      <sheetName val="Estratificación_AI6"/>
      <sheetName val="condicion_inseguras6"/>
      <sheetName val="Actos_Inseguros6"/>
      <sheetName val="Control_de_incidentes6"/>
      <sheetName val="Plan_de_Acción6"/>
      <sheetName val="_DD_List7"/>
      <sheetName val="Share_Price_20027"/>
      <sheetName val="BEP_加薪_KPI6"/>
      <sheetName val="F08_-_Asia_Pac_Full_Year_Q37"/>
      <sheetName val="Top_Priorities7"/>
      <sheetName val="Listco_Stock7"/>
      <sheetName val="Intl_Purchase7"/>
      <sheetName val="FY_outlook7"/>
      <sheetName val="CY_outlook7"/>
      <sheetName val="Cash_metrics7"/>
      <sheetName val="P6_77"/>
      <sheetName val="DATOS_BASE6"/>
      <sheetName val="Issues_List_Payments6"/>
      <sheetName val="Faro_de_Indicadores6"/>
      <sheetName val="TOP_KPIs_MTM6"/>
      <sheetName val="PLAN_DE_ACCION6"/>
      <sheetName val="Grafica_Actos6"/>
      <sheetName val="POC_LIST6"/>
      <sheetName val="Dashboard_Prevención_Riesgos_6"/>
      <sheetName val="APAC_S6"/>
      <sheetName val="APAC_N6"/>
      <sheetName val="Slide_output6"/>
      <sheetName val="do_not_delete6"/>
      <sheetName val="[손익기01_XL??DePara6"/>
      <sheetName val="Farol_Metas6"/>
      <sheetName val="Mod_Relac_6"/>
      <sheetName val="Condiciones_SyE6"/>
      <sheetName val="REALxMETA_-_CERVEJA8"/>
      <sheetName val="REALxMETA_-_REFRI8"/>
      <sheetName val="Directrices_de_Metas_20176"/>
      <sheetName val="DETALLE_MENSUAL6"/>
      <sheetName val="Entity_Target6"/>
      <sheetName val="VALIDACION_DE_DATOS5"/>
      <sheetName val="_손익기01_XL_x005f_x005f_x005f_x0000__x005f_x005f_x6"/>
      <sheetName val="Hazards_Analysis-隐患分析6"/>
      <sheetName val="97_사업추정(WEKI)6"/>
      <sheetName val="Tong_hop6"/>
      <sheetName val="95_1_1이후취득자산(숨기기상태)6"/>
      <sheetName val="sum1_(2)6"/>
      <sheetName val="3_바닥판설계6"/>
      <sheetName val="6월_공정외주6"/>
      <sheetName val="2_대외공문6"/>
      <sheetName val="2_총괄표6"/>
      <sheetName val="PAR"/>
      <sheetName val="订单追踪_信阳市区_0825"/>
      <sheetName val="Data_validation6"/>
      <sheetName val="입출재고현황_(2)6"/>
      <sheetName val="504전기실_동부하-L6"/>
      <sheetName val="OUTER_AREA(겹침없음)6"/>
      <sheetName val="EL_표면적6"/>
      <sheetName val="TRE_TABLE6"/>
      <sheetName val="입찰내역_발주처_양식6"/>
      <sheetName val="turnover_reason퇴직사유6"/>
      <sheetName val="SKU_Basic_Data6"/>
      <sheetName val="Check_Qualidade4"/>
      <sheetName val="De_Para5"/>
      <sheetName val="Check_Aderencia4"/>
      <sheetName val="Drop-down_List5"/>
      <sheetName val="by_DD5"/>
      <sheetName val="Jul-Sep_Actual_cost_(2)5"/>
      <sheetName val="Base_Farol4"/>
      <sheetName val="Gerencial_IL4"/>
      <sheetName val="Ventas_Campo4"/>
      <sheetName val="ACTOS_POR_RIESGO4"/>
      <sheetName val="drop_lists4"/>
      <sheetName val="MRL_NON_SUPPLY_URU4"/>
      <sheetName val="AIIM_-_Empresas_Ext_20124"/>
      <sheetName val="KPIs_Hana4"/>
      <sheetName val="Catalago_de_refacciones_4"/>
      <sheetName val="Existencias_al_07-Nov-20124"/>
      <sheetName val="Check_GG4"/>
      <sheetName val="Nombre_de_SOP4"/>
      <sheetName val="NAZ_Strategy"/>
      <sheetName val="Ta_4"/>
      <sheetName val="2__Indicadores4"/>
      <sheetName val="부재료_비교(11년_vs_10년)4"/>
      <sheetName val="_손익기01_XL_x005f_x0000__x04"/>
      <sheetName val="Lista_de_Entrenamientos_RSO4"/>
      <sheetName val="Tablero_SDG7"/>
      <sheetName val="Lista_Areas7"/>
      <sheetName val="One_Page7"/>
      <sheetName val="Sub-Productos_HN5"/>
      <sheetName val="Eficiencia_linea4"/>
      <sheetName val="_mngt_Pillar4"/>
      <sheetName val="Sheet3_(2)4"/>
      <sheetName val="요일_테이블_4"/>
      <sheetName val="Sheet2_(2)4"/>
      <sheetName val="Lao_&amp;_Cam4"/>
      <sheetName val="Hoegaarden_20194"/>
      <sheetName val="Lao_&amp;_Cam_20194"/>
      <sheetName val="Malaysia_20194"/>
      <sheetName val="Singapore_20194"/>
      <sheetName val="Other_Listings4"/>
      <sheetName val="Pauta_RPS_Distribuição3"/>
      <sheetName val="Estoque_(2)3"/>
      <sheetName val="Comp_Inseguros3"/>
      <sheetName val="BNR_2012_в_ящике3"/>
      <sheetName val="DATOS_DE_VALIDACIÓN3"/>
      <sheetName val="Datos_con3"/>
      <sheetName val="_Datos_Cond_3"/>
      <sheetName val="DO_NOT_MOVE3"/>
      <sheetName val="INGRESO_(2)3"/>
      <sheetName val="PG-K1610_(UEN_Areas)MNG3"/>
      <sheetName val="DATOS_GEN_3"/>
      <sheetName val="NUEVOS_CRITERIOS3"/>
      <sheetName val="Condiciones_Agua3"/>
      <sheetName val="Dropdown_list2"/>
      <sheetName val="Proced_2"/>
      <sheetName val="Drop_list2"/>
      <sheetName val="FX_Rates2"/>
      <sheetName val="Vagas_x_Candidatos2"/>
      <sheetName val="__한국_AMP_ASP-23_판㧤가격__2"/>
      <sheetName val="11_䡸화채무줝ⴌ(AFS,HTM)082"/>
      <sheetName val="Control_de_Fallas2"/>
      <sheetName val="Setup_for_Templates2"/>
      <sheetName val="Datos_emp2"/>
      <sheetName val="TIPO_DE_ACTO2"/>
      <sheetName val="%_cumplimiento_2"/>
      <sheetName val="%_CUMPLIMIENTO2"/>
      <sheetName val="Listas_y_equipos_a_evaluar2"/>
      <sheetName val="CRITICIDAD_DE_CI2"/>
      <sheetName val="Catálogo_de_CI2"/>
      <sheetName val="Data_Reporte2"/>
      <sheetName val="Read_me2"/>
      <sheetName val="Validation_lists2"/>
      <sheetName val="Cut_Machine_Summary2"/>
      <sheetName val="Daily_Dashboard2"/>
      <sheetName val="Champions_List1"/>
      <sheetName val="CALIFICACIONES_2019"/>
      <sheetName val="Lev_4_360_deg_check_Crit_Task"/>
      <sheetName val="Lev_4_Chk_IC_Stock_Crit_Task"/>
      <sheetName val="Lev_4_WMS_Putaway_Crit_Task"/>
      <sheetName val="Mapeo_SKUs2"/>
      <sheetName val="Vol_(Ds)2"/>
      <sheetName val="Vol_(Ka)2"/>
      <sheetName val="Vol_(Oth)2"/>
      <sheetName val="Vol_(Oth)_Cortesias2"/>
      <sheetName val="INPUT-Cust_Sugg_Margin(Ds)2"/>
      <sheetName val="On_Invoice2"/>
      <sheetName val="INPUT-Cust_Sugg_Margin(Ka)2"/>
      <sheetName val="INPUT_SKUs2"/>
      <sheetName val="Brand_P&amp;L"/>
      <sheetName val="SUPERMONT_P"/>
      <sheetName val="Data_selection"/>
      <sheetName val="1_"/>
      <sheetName val="Customer_&amp;_SO"/>
      <sheetName val="Session_Proposal"/>
      <sheetName val="PROCESS MD"/>
      <sheetName val="Table"/>
      <sheetName val="Consolidated_Project List"/>
      <sheetName val="Fixed Cost"/>
      <sheetName val="[손익기01_XL_x0000__x0000_DePara6"/>
      <sheetName val="_손익기01_XL_x0000__x0000_DePara6"/>
      <sheetName val="_손익기01_XL_x005f_x0000__x3"/>
      <sheetName val="_손익기01_XL_x0000__x01"/>
      <sheetName val="_손익기01_XL_x0000__x2"/>
      <sheetName val="_손익기01_XL_x0000__x3"/>
      <sheetName val="Project List"/>
      <sheetName val="概览"/>
      <sheetName val="Выпадающие списки"/>
      <sheetName val="Списки"/>
      <sheetName val="Listas desplegables"/>
      <sheetName val="Resumen General"/>
      <sheetName val="Cátalogo de CI"/>
      <sheetName val="Hoja2 (2)"/>
      <sheetName val="Technology check list"/>
      <sheetName val="Status de Usuario"/>
      <sheetName val="pel_nvo"/>
      <sheetName val="SST"/>
      <sheetName val="Actos y Condiciones "/>
      <sheetName val="Settings"/>
      <sheetName val="NO BORRAR"/>
      <sheetName val="CUMPLIMIENTO"/>
      <sheetName val="Formato checklist Lab"/>
      <sheetName val="SOP Freshness"/>
      <sheetName val="PAINEL RECOLHA CRÉDITO"/>
      <sheetName val="Gráficos - CDD"/>
      <sheetName val="Values"/>
      <sheetName val="Industries"/>
      <sheetName val="监控探头清单"/>
      <sheetName val="下拉选项"/>
      <sheetName val="不安全行为分类"/>
      <sheetName val="IQ_SALE_REAL_ESTATE_CF_FIN"/>
      <sheetName val="IQ_SALE_REAL_ESTATE_CF_INS"/>
      <sheetName val="IQ_SALE_REAL_ESTATE_CF_UTI"/>
      <sheetName val="IQ_SHORT_INTEREST_PERCENT"/>
      <sheetName val="IQ_TAX_EQUIV_NET_INT_INC"/>
      <sheetName val="IQ_TOTAL_DEBT_ISSUED_BNK"/>
      <sheetName val="IQ_TOTAL_DEBT_ISSUED_FIN"/>
      <sheetName val="IQ_TOTAL_DEBT_ISSUED_REIT"/>
      <sheetName val="IQ_TOTAL_DEBT_ISSUED_UTI"/>
      <sheetName val="IQ_TOTAL_DEBT_ISSUES_INS"/>
      <sheetName val="IQ_TOTAL_DEBT_OVER_EBITDA"/>
      <sheetName val="Text"/>
      <sheetName val="3. Training &amp; travel"/>
      <sheetName val="Mapeo_SKUs4"/>
      <sheetName val="Vol_(Ds)4"/>
      <sheetName val="Vol_(Ka)4"/>
      <sheetName val="Vol_(Oth)4"/>
      <sheetName val="Vol_(Oth)_Cortesias4"/>
      <sheetName val="INPUT-Cust_Sugg_Margin(Ds)4"/>
      <sheetName val="On_Invoice4"/>
      <sheetName val="INPUT-Cust_Sugg_Margin(Ka)4"/>
      <sheetName val="INPUT_SKUs4"/>
      <sheetName val="SUPERMONT_P2"/>
      <sheetName val="Brand_P&amp;L1"/>
      <sheetName val="Mapeo_SKUs3"/>
      <sheetName val="Vol_(Ds)3"/>
      <sheetName val="Vol_(Ka)3"/>
      <sheetName val="Vol_(Oth)3"/>
      <sheetName val="Vol_(Oth)_Cortesias3"/>
      <sheetName val="INPUT-Cust_Sugg_Margin(Ds)3"/>
      <sheetName val="On_Invoice3"/>
      <sheetName val="INPUT-Cust_Sugg_Margin(Ka)3"/>
      <sheetName val="INPUT_SKUs3"/>
      <sheetName val="SUPERMONT_P1"/>
      <sheetName val="Source"/>
      <sheetName val="Dimension IN Sheet1!D1912"/>
      <sheetName val="Dimension IN 1912"/>
      <sheetName val="Introduction"/>
      <sheetName val="Manage to Sustain"/>
      <sheetName val="Meeting List"/>
      <sheetName val="DropLists"/>
      <sheetName val="Packages Info"/>
      <sheetName val="Preferred Option"/>
      <sheetName val="TO_Data_Base19"/>
      <sheetName val="YTD_Summary18"/>
      <sheetName val="Month_Summary18"/>
      <sheetName val="Trial_Balance_MAY_200918"/>
      <sheetName val="TB_Pivot18"/>
      <sheetName val="total_per_LB_LB218"/>
      <sheetName val="Trial_Balance_Vlookup18"/>
      <sheetName val="Trial_Balance_APRIL_200918"/>
      <sheetName val="Roll_Out_AQ18"/>
      <sheetName val="Evolução_mandamentos18"/>
      <sheetName val="Planilha_resultados17"/>
      <sheetName val="Historico_200317"/>
      <sheetName val="Sig_Cycles_Accts_&amp;_Processes17"/>
      <sheetName val="Fixed_ZBB11"/>
      <sheetName val="E_法规NC11"/>
      <sheetName val="3_ISo_YTD11"/>
      <sheetName val="Données_LMU11"/>
      <sheetName val="Brazil_Sovereign11"/>
      <sheetName val="Resumen_Costo11"/>
      <sheetName val="Base_de_Dados11"/>
      <sheetName val="Extract_Loss11"/>
      <sheetName val="5_111"/>
      <sheetName val="QA_跟踪记录表11"/>
      <sheetName val="RG_Depots11"/>
      <sheetName val="material_data11"/>
      <sheetName val="other_data11"/>
      <sheetName val="Como_Estamos11"/>
      <sheetName val="Database_(RUR)Mar_YTD11"/>
      <sheetName val="SKU_Mapping11"/>
      <sheetName val="Drop_Down11"/>
      <sheetName val="Raw_Data11"/>
      <sheetName val="EBM-2_GHQ11"/>
      <sheetName val="Base_PEF12"/>
      <sheetName val="Controls_data13"/>
      <sheetName val="Testing_Template_Guidance11"/>
      <sheetName val="Test_Programs11"/>
      <sheetName val="Dados_BLP11"/>
      <sheetName val="JOB_PROFILE_-_LAS11"/>
      <sheetName val="ARdistr_(2)11"/>
      <sheetName val="FJJX_Bud_IB10"/>
      <sheetName val="look-up_data10"/>
      <sheetName val="Prd_Hierarchy(产品层级)10"/>
      <sheetName val="Com_(2PK)10"/>
      <sheetName val="Project_Code10"/>
      <sheetName val="[손익기01_XL10"/>
      <sheetName val="요일_테이블11"/>
      <sheetName val="요일_테이블_(2)10"/>
      <sheetName val="Prd_Hierarchy(产品层次)10"/>
      <sheetName val="전사_PL12"/>
      <sheetName val="자금_제외_PL12"/>
      <sheetName val="자금_PL12"/>
      <sheetName val="전사_BS12"/>
      <sheetName val="자금_제외_BS12"/>
      <sheetName val="자금_BS12"/>
      <sheetName val="BS_계정_설명12"/>
      <sheetName val="_Cash_Flow(전사)12"/>
      <sheetName val="_Cash_Flow(자금제외)12"/>
      <sheetName val="_Cash_Flow(자금)12"/>
      <sheetName val="ROIC_12"/>
      <sheetName val="인건비_명세12"/>
      <sheetName val="판관비_명세12"/>
      <sheetName val="OH_Cost경비(내역)12"/>
      <sheetName val="OH_Cost경비(배부기준)12"/>
      <sheetName val="기타수지&amp;특별손익_명세12"/>
      <sheetName val="업무연락_(2)11"/>
      <sheetName val="제시_손익계산서11"/>
      <sheetName val="01_02월_성과급12"/>
      <sheetName val="M_7회차_담금_계획11"/>
      <sheetName val="팀별_실적11"/>
      <sheetName val="팀별_실적_(환산)11"/>
      <sheetName val="4__Inj_투자상세내역11"/>
      <sheetName val="3__Blow_투자_상세내역11"/>
      <sheetName val="Process_List11"/>
      <sheetName val="7_(2)11"/>
      <sheetName val="_손익기01_XL10"/>
      <sheetName val="drop_down_list10"/>
      <sheetName val="Income_Stmt10"/>
      <sheetName val="[손익기01_XL_x005f_x0000__x005f_x0000_DePara10"/>
      <sheetName val="Quarterly_LBO_Model10"/>
      <sheetName val="_손익기01_XL_x005f_x0000__x005f_x0000_DePara10"/>
      <sheetName val="15년_BL_사계10"/>
      <sheetName val="1_종합손익(도급)10"/>
      <sheetName val="1_종합손익(주택,개발)10"/>
      <sheetName val="2_실행예산10"/>
      <sheetName val="2_2과부족10"/>
      <sheetName val="2_3원가절감10"/>
      <sheetName val="8_외주비집행현황10"/>
      <sheetName val="9_자재비10"/>
      <sheetName val="10_현장집행10"/>
      <sheetName val="3_추가원가10"/>
      <sheetName val="3_추가원가_(2)10"/>
      <sheetName val="4_사전공사10"/>
      <sheetName val="5_추정공사비10"/>
      <sheetName val="6_금융비용10"/>
      <sheetName val="7_공사비집행현황(총괄)10"/>
      <sheetName val="11_1생산성10"/>
      <sheetName val="11_2인원산출10"/>
      <sheetName val="Figures_Report9"/>
      <sheetName val="Classification_分类9"/>
      <sheetName val="Set_Up10"/>
      <sheetName val="Fare_prices9"/>
      <sheetName val="Hotel_prices9"/>
      <sheetName val="tab_STATUS_DO_PROCESSO_9"/>
      <sheetName val="slide_24_cat_A9"/>
      <sheetName val="slide_82_cat_b9"/>
      <sheetName val="__한국_AMP_ASP-23_판매가격__9"/>
      <sheetName val="CC_Down_load_07169"/>
      <sheetName val="변경실행(2차)_9"/>
      <sheetName val="나_출고9"/>
      <sheetName val="나_입고9"/>
      <sheetName val="09년_인건비(속리산)9"/>
      <sheetName val="합산목표(감가+57_5)9"/>
      <sheetName val="제조원가_원단위_분석9"/>
      <sheetName val="종합표양식(품의_&amp;_입고)_29"/>
      <sheetName val="원가관리_(동월대비)9"/>
      <sheetName val="b_balju_(2)9"/>
      <sheetName val="2-2_매출분석9"/>
      <sheetName val="몰드시스템_리스트9"/>
      <sheetName val="11_외화채무증권(AFS,HTM)089"/>
      <sheetName val="13_감액TEST_089"/>
      <sheetName val="12년_CF(9월)9"/>
      <sheetName val="중기조종사_단위단가9"/>
      <sheetName val="6PILE__(돌출)9"/>
      <sheetName val="기성청구_공문9"/>
      <sheetName val="Sheet1_(2)9"/>
      <sheetName val="Perf__Plan__Diário19"/>
      <sheetName val="In_(2)9"/>
      <sheetName val="CLASIFICACION_DE_AI9"/>
      <sheetName val="Base_da_Datos9"/>
      <sheetName val="Dados_dos_Produtos9"/>
      <sheetName val="09~10년_매출계획9"/>
      <sheetName val="1_MDF1공장9"/>
      <sheetName val="Incident_유형구분표9"/>
      <sheetName val="3YP2016-Bottom_up8"/>
      <sheetName val="DD_list9"/>
      <sheetName val="Base_de_Datos8"/>
      <sheetName val="Clasif_8"/>
      <sheetName val="Supply_Cost_Centers8"/>
      <sheetName val="Cond__Inseguros8"/>
      <sheetName val="Comp__Inseguros8"/>
      <sheetName val="Lista_de_datos8"/>
      <sheetName val="MASTER_APP8"/>
      <sheetName val="2_카드채권(대출포함)8"/>
      <sheetName val="表21_净利润调节表8"/>
      <sheetName val="Lista_CI8"/>
      <sheetName val="Dashboard_Prevención_Riesgos_7"/>
      <sheetName val="TOP_KPIs_MTM7"/>
      <sheetName val="PLAN_DE_ACCION7"/>
      <sheetName val="Faro_de_Indicadores7"/>
      <sheetName val="Farol_Acciones8"/>
      <sheetName val="Lista_de_Entrenamientos8"/>
      <sheetName val="Unidades_SAC-REVENDA9"/>
      <sheetName val="FornecM_Check7"/>
      <sheetName val="Share_Price_20028"/>
      <sheetName val="_DD_List8"/>
      <sheetName val="BEP_加薪_KPI7"/>
      <sheetName val="_손익기01_XL_x005f_x005f_x005f_x0000__x005f_x005f_x7"/>
      <sheetName val="F08_-_Asia_Pac_Full_Year_Q38"/>
      <sheetName val="Top_Priorities8"/>
      <sheetName val="Listco_Stock8"/>
      <sheetName val="Intl_Purchase8"/>
      <sheetName val="FY_outlook8"/>
      <sheetName val="CY_outlook8"/>
      <sheetName val="Cash_metrics8"/>
      <sheetName val="P6_78"/>
      <sheetName val="DATOS_BASE7"/>
      <sheetName val="Estratificación_AI7"/>
      <sheetName val="condicion_inseguras7"/>
      <sheetName val="Actos_Inseguros7"/>
      <sheetName val="Control_de_incidentes7"/>
      <sheetName val="Plan_de_Acción7"/>
      <sheetName val="Hazards_Analysis-隐患分析7"/>
      <sheetName val="97_사업추정(WEKI)7"/>
      <sheetName val="Tong_hop7"/>
      <sheetName val="95_1_1이후취득자산(숨기기상태)7"/>
      <sheetName val="sum1_(2)7"/>
      <sheetName val="3_바닥판설계7"/>
      <sheetName val="6월_공정외주7"/>
      <sheetName val="2_대외공문7"/>
      <sheetName val="2_총괄표7"/>
      <sheetName val="입출재고현황_(2)7"/>
      <sheetName val="504전기실_동부하-L7"/>
      <sheetName val="OUTER_AREA(겹침없음)7"/>
      <sheetName val="EL_표면적7"/>
      <sheetName val="TRE_TABLE7"/>
      <sheetName val="입찰내역_발주처_양식7"/>
      <sheetName val="Issues_List_Payments7"/>
      <sheetName val="turnover_reason퇴직사유7"/>
      <sheetName val="Grafica_Actos7"/>
      <sheetName val="POC_LIST7"/>
      <sheetName val="Condiciones_SyE7"/>
      <sheetName val="DETALLE_MENSUAL7"/>
      <sheetName val="SKU_Basic_Data7"/>
      <sheetName val="do_not_delete7"/>
      <sheetName val="APAC_S7"/>
      <sheetName val="APAC_N7"/>
      <sheetName val="Slide_output7"/>
      <sheetName val="[손익기01_XL??DePara7"/>
      <sheetName val="Farol_Metas7"/>
      <sheetName val="Mod_Relac_7"/>
      <sheetName val="REALxMETA_-_CERVEJA9"/>
      <sheetName val="REALxMETA_-_REFRI9"/>
      <sheetName val="Directrices_de_Metas_20177"/>
      <sheetName val="Data_validation7"/>
      <sheetName val="Drop-down_List6"/>
      <sheetName val="by_DD6"/>
      <sheetName val="VALIDACION_DE_DATOS6"/>
      <sheetName val="Entity_Target7"/>
      <sheetName val="Jul-Sep_Actual_cost_(2)6"/>
      <sheetName val="Check_Qualidade5"/>
      <sheetName val="De_Para6"/>
      <sheetName val="Check_Aderencia5"/>
      <sheetName val="부재료_비교(11년_vs_10년)5"/>
      <sheetName val="_손익기01_XL_x005f_x0000__x05"/>
      <sheetName val="Base_Farol5"/>
      <sheetName val="Gerencial_IL5"/>
      <sheetName val="Ventas_Campo5"/>
      <sheetName val="ACTOS_POR_RIESGO5"/>
      <sheetName val="drop_lists5"/>
      <sheetName val="MRL_NON_SUPPLY_URU5"/>
      <sheetName val="AIIM_-_Empresas_Ext_20125"/>
      <sheetName val="KPIs_Hana5"/>
      <sheetName val="Catalago_de_refacciones_5"/>
      <sheetName val="Existencias_al_07-Nov-20125"/>
      <sheetName val="Check_GG5"/>
      <sheetName val="Sheet3_(2)5"/>
      <sheetName val="Nombre_de_SOP5"/>
      <sheetName val="Lao_&amp;_Cam5"/>
      <sheetName val="Hoegaarden_20195"/>
      <sheetName val="Lao_&amp;_Cam_20195"/>
      <sheetName val="Malaysia_20195"/>
      <sheetName val="Singapore_20195"/>
      <sheetName val="_mngt_Pillar5"/>
      <sheetName val="2__Indicadores5"/>
      <sheetName val="Ta_5"/>
      <sheetName val="요일_테이블_5"/>
      <sheetName val="Sheet2_(2)5"/>
      <sheetName val="Other_Listings5"/>
      <sheetName val="Lista_de_Entrenamientos_RSO5"/>
      <sheetName val="Tablero_SDG8"/>
      <sheetName val="Lista_Areas8"/>
      <sheetName val="One_Page8"/>
      <sheetName val="Sub-Productos_HN6"/>
      <sheetName val="Eficiencia_linea5"/>
      <sheetName val="Pauta_RPS_Distribuição4"/>
      <sheetName val="Estoque_(2)4"/>
      <sheetName val="Comp_Inseguros4"/>
      <sheetName val="BNR_2012_в_ящике4"/>
      <sheetName val="DATOS_DE_VALIDACIÓN4"/>
      <sheetName val="Datos_con4"/>
      <sheetName val="_Datos_Cond_4"/>
      <sheetName val="DO_NOT_MOVE4"/>
      <sheetName val="INGRESO_(2)4"/>
      <sheetName val="PG-K1610_(UEN_Areas)MNG4"/>
      <sheetName val="DATOS_GEN_4"/>
      <sheetName val="NUEVOS_CRITERIOS4"/>
      <sheetName val="Condiciones_Agua4"/>
      <sheetName val="Dropdown_list3"/>
      <sheetName val="Proced_3"/>
      <sheetName val="Drop_list3"/>
      <sheetName val="FX_Rates3"/>
      <sheetName val="Cut_Machine_Summary3"/>
      <sheetName val="__한국_AMP_ASP-23_판㧤가격__3"/>
      <sheetName val="11_䡸화채무줝ⴌ(AFS,HTM)083"/>
      <sheetName val="Control_de_Fallas3"/>
      <sheetName val="Setup_for_Templates3"/>
      <sheetName val="Datos_emp3"/>
      <sheetName val="Validation_lists3"/>
      <sheetName val="TIPO_DE_ACTO3"/>
      <sheetName val="CRITICIDAD_DE_CI3"/>
      <sheetName val="Catálogo_de_CI3"/>
      <sheetName val="%_CUMPLIMIENTO3"/>
      <sheetName val="%_cumplimiento_3"/>
      <sheetName val="CALIFICACIONES_20191"/>
      <sheetName val="Lev_4_360_deg_check_Crit_Task1"/>
      <sheetName val="Lev_4_Chk_IC_Stock_Crit_Task1"/>
      <sheetName val="Lev_4_WMS_Putaway_Crit_Task1"/>
      <sheetName val="Data_selection1"/>
      <sheetName val="1_1"/>
      <sheetName val="Customer_&amp;_SO1"/>
      <sheetName val="Session_Proposal1"/>
      <sheetName val="Vagas_x_Candidatos3"/>
      <sheetName val="Listas_y_equipos_a_evaluar3"/>
      <sheetName val="Data_Reporte3"/>
      <sheetName val="Read_me3"/>
      <sheetName val="Champions_List2"/>
      <sheetName val="NAZ_Strategy1"/>
      <sheetName val="Daily_Dashboard3"/>
      <sheetName val="Dropdown_Menu"/>
      <sheetName val="Análise_Tempos"/>
      <sheetName val="PDA_BOP"/>
      <sheetName val="Validação_de_Dados"/>
      <sheetName val="No_llenar_"/>
      <sheetName val="Incentivo_Automóvil"/>
      <sheetName val="유류대_현황"/>
      <sheetName val="mapping_(2)"/>
      <sheetName val="Ref_"/>
      <sheetName val="2_3_Projects_Status"/>
      <sheetName val="Lista_de_Motivos"/>
      <sheetName val="Ponto_Crítico_-_Resp__Plano"/>
      <sheetName val="Lista_Funcionários_(2)"/>
      <sheetName val="Project_List"/>
      <sheetName val="PROCESS_MD"/>
      <sheetName val="Выпадающие_списки"/>
      <sheetName val="1__템플릿"/>
      <sheetName val="2__작성_참고사항"/>
      <sheetName val="Listas_desplegables"/>
      <sheetName val="Resumen_General"/>
      <sheetName val="Cátalogo_de_CI"/>
      <sheetName val="Hoja2_(2)"/>
      <sheetName val="Technology_check_list"/>
      <sheetName val="Status_de_Usuario"/>
      <sheetName val="Actos_y_Condiciones_"/>
      <sheetName val="NO_BORRAR"/>
      <sheetName val="Formato_checklist_Lab"/>
      <sheetName val="Consolidated_Project_List"/>
      <sheetName val="Fixed_Cost"/>
      <sheetName val="Supporting"/>
      <sheetName val="입문 트랜드(종합분석)"/>
      <sheetName val="Maestras"/>
      <sheetName val="Master CE"/>
      <sheetName val="CE_Final "/>
      <sheetName val="CALENDAR"/>
      <sheetName val="OL LIST"/>
      <sheetName val="YTD GUEST LIST"/>
      <sheetName val="Session Full list"/>
      <sheetName val="FOOD PAYMENT update JAN"/>
      <sheetName val="Rate card F19 "/>
      <sheetName val="Master Plan  (update)"/>
      <sheetName val="The KPI "/>
      <sheetName val="Mentor Plan "/>
      <sheetName val="Master Plan "/>
      <sheetName val="Tier 1 GOV_PC Networking "/>
      <sheetName val="Tier 1 LBO "/>
      <sheetName val="工作表7"/>
      <sheetName val="自定义"/>
      <sheetName val="[손익기01_XL_x0000__x0000_DePara7"/>
      <sheetName val="_손익기01_XL_x0000__x0000_DePara7"/>
      <sheetName val="_손익기01_XL_x0000__x02"/>
      <sheetName val="[손익기01_XL_x0000__x0000_DePara8"/>
      <sheetName val="_손익기01_XL_x0000__x0000_DePara8"/>
      <sheetName val="_손익기01_XL_x0000__x03"/>
      <sheetName val="[손익기01_XL_x0000__x0000_DePara9"/>
      <sheetName val="_손익기01_XL_x0000__x0000_DePara9"/>
      <sheetName val="_손익기01_XL_x0000__x04"/>
      <sheetName val="_손익기01_XL_x005f_x0000__x4"/>
      <sheetName val="_손익기01_XL_x005f_x0000__x5"/>
      <sheetName val="_손익기01_XL_x005f_x0000__x6"/>
      <sheetName val="链接数据"/>
      <sheetName val="类型"/>
      <sheetName val="2020 MMR12"/>
      <sheetName val="不安全行为分析"/>
      <sheetName val="Razão Social"/>
      <sheetName val="MOTOSxCONDUTOR"/>
      <sheetName val="Plan4"/>
      <sheetName val="filtros"/>
      <sheetName val="Relatorio"/>
      <sheetName val="Codes"/>
      <sheetName val="PAINEL_RECOLHA_CRÉDITO"/>
      <sheetName val="Gráficos_-_CDD"/>
      <sheetName val="YTD_Summary19"/>
      <sheetName val="Month_Summary19"/>
      <sheetName val="Trial_Balance_MAY_200919"/>
      <sheetName val="TB_Pivot19"/>
      <sheetName val="total_per_LB_LB219"/>
      <sheetName val="Trial_Balance_Vlookup19"/>
      <sheetName val="Trial_Balance_APRIL_200919"/>
      <sheetName val="TO_Data_Base20"/>
      <sheetName val="Roll_Out_AQ19"/>
      <sheetName val="Evolução_mandamentos19"/>
      <sheetName val="Planilha_resultados18"/>
      <sheetName val="Historico_200318"/>
      <sheetName val="Sig_Cycles_Accts_&amp;_Processes18"/>
      <sheetName val="Fixed_ZBB12"/>
      <sheetName val="3_ISo_YTD12"/>
      <sheetName val="E_法规NC12"/>
      <sheetName val="Données_LMU12"/>
      <sheetName val="Brazil_Sovereign12"/>
      <sheetName val="Resumen_Costo12"/>
      <sheetName val="Extract_Loss12"/>
      <sheetName val="QA_跟踪记录表12"/>
      <sheetName val="5_112"/>
      <sheetName val="Como_Estamos12"/>
      <sheetName val="Base_de_Dados12"/>
      <sheetName val="RG_Depots12"/>
      <sheetName val="material_data12"/>
      <sheetName val="other_data12"/>
      <sheetName val="Database_(RUR)Mar_YTD12"/>
      <sheetName val="SKU_Mapping12"/>
      <sheetName val="Drop_Down12"/>
      <sheetName val="Raw_Data12"/>
      <sheetName val="EBM-2_GHQ12"/>
      <sheetName val="Base_PEF13"/>
      <sheetName val="Testing_Template_Guidance12"/>
      <sheetName val="Test_Programs12"/>
      <sheetName val="Controls_data14"/>
      <sheetName val="Dados_BLP12"/>
      <sheetName val="ARdistr_(2)12"/>
      <sheetName val="FJJX_Bud_IB11"/>
      <sheetName val="look-up_data11"/>
      <sheetName val="Prd_Hierarchy(产品层级)11"/>
      <sheetName val="Com_(2PK)11"/>
      <sheetName val="JOB_PROFILE_-_LAS12"/>
      <sheetName val="요일_테이블12"/>
      <sheetName val="요일_테이블_(2)11"/>
      <sheetName val="Prd_Hierarchy(产品层次)11"/>
      <sheetName val="Project_Code11"/>
      <sheetName val="전사_PL13"/>
      <sheetName val="자금_제외_PL13"/>
      <sheetName val="자금_PL13"/>
      <sheetName val="전사_BS13"/>
      <sheetName val="자금_제외_BS13"/>
      <sheetName val="자금_BS13"/>
      <sheetName val="BS_계정_설명13"/>
      <sheetName val="_Cash_Flow(전사)13"/>
      <sheetName val="_Cash_Flow(자금제외)13"/>
      <sheetName val="_Cash_Flow(자금)13"/>
      <sheetName val="ROIC_13"/>
      <sheetName val="인건비_명세13"/>
      <sheetName val="판관비_명세13"/>
      <sheetName val="OH_Cost경비(내역)13"/>
      <sheetName val="OH_Cost경비(배부기준)13"/>
      <sheetName val="기타수지&amp;특별손익_명세13"/>
      <sheetName val="업무연락_(2)12"/>
      <sheetName val="제시_손익계산서12"/>
      <sheetName val="01_02월_성과급13"/>
      <sheetName val="M_7회차_담금_계획12"/>
      <sheetName val="팀별_실적12"/>
      <sheetName val="팀별_실적_(환산)12"/>
      <sheetName val="4__Inj_투자상세내역12"/>
      <sheetName val="3__Blow_투자_상세내역12"/>
      <sheetName val="Process_List12"/>
      <sheetName val="7_(2)12"/>
      <sheetName val="_손익기01_XL11"/>
      <sheetName val="Income_Stmt11"/>
      <sheetName val="drop_down_list11"/>
      <sheetName val="Figures_Report10"/>
      <sheetName val="[손익기01_XL_x005f_x0000__x005f_x0000_DePara11"/>
      <sheetName val="Quarterly_LBO_Model11"/>
      <sheetName val="[손익기01_XL11"/>
      <sheetName val="_손익기01_XL_x005f_x0000__x005f_x0000_DePara11"/>
      <sheetName val="15년_BL_사계11"/>
      <sheetName val="1_종합손익(도급)11"/>
      <sheetName val="1_종합손익(주택,개발)11"/>
      <sheetName val="2_실행예산11"/>
      <sheetName val="2_2과부족11"/>
      <sheetName val="2_3원가절감11"/>
      <sheetName val="8_외주비집행현황11"/>
      <sheetName val="9_자재비11"/>
      <sheetName val="10_현장집행11"/>
      <sheetName val="3_추가원가11"/>
      <sheetName val="3_추가원가_(2)11"/>
      <sheetName val="4_사전공사11"/>
      <sheetName val="5_추정공사비11"/>
      <sheetName val="6_금융비용11"/>
      <sheetName val="7_공사비집행현황(총괄)11"/>
      <sheetName val="11_1생산성11"/>
      <sheetName val="11_2인원산출11"/>
      <sheetName val="Classification_分类10"/>
      <sheetName val="Set_Up11"/>
      <sheetName val="Fare_prices10"/>
      <sheetName val="Hotel_prices10"/>
      <sheetName val="tab_STATUS_DO_PROCESSO_10"/>
      <sheetName val="Perf__Plan__Diário110"/>
      <sheetName val="In_(2)10"/>
      <sheetName val="__한국_AMP_ASP-23_판매가격__10"/>
      <sheetName val="CC_Down_load_071610"/>
      <sheetName val="변경실행(2차)_10"/>
      <sheetName val="나_출고10"/>
      <sheetName val="나_입고10"/>
      <sheetName val="09년_인건비(속리산)10"/>
      <sheetName val="합산목표(감가+57_5)10"/>
      <sheetName val="제조원가_원단위_분석10"/>
      <sheetName val="종합표양식(품의_&amp;_입고)_210"/>
      <sheetName val="원가관리_(동월대비)10"/>
      <sheetName val="b_balju_(2)10"/>
      <sheetName val="2-2_매출분석10"/>
      <sheetName val="몰드시스템_리스트10"/>
      <sheetName val="11_외화채무증권(AFS,HTM)0810"/>
      <sheetName val="13_감액TEST_0810"/>
      <sheetName val="12년_CF(9월)10"/>
      <sheetName val="중기조종사_단위단가10"/>
      <sheetName val="6PILE__(돌출)10"/>
      <sheetName val="기성청구_공문10"/>
      <sheetName val="Sheet1_(2)10"/>
      <sheetName val="CLASIFICACION_DE_AI10"/>
      <sheetName val="Base_da_Datos10"/>
      <sheetName val="slide_24_cat_A10"/>
      <sheetName val="slide_82_cat_b10"/>
      <sheetName val="Dados_dos_Produtos10"/>
      <sheetName val="09~10년_매출계획10"/>
      <sheetName val="1_MDF1공장10"/>
      <sheetName val="Incident_유형구분표10"/>
      <sheetName val="3YP2016-Bottom_up9"/>
      <sheetName val="DD_list10"/>
      <sheetName val="Base_de_Datos9"/>
      <sheetName val="Supply_Cost_Centers9"/>
      <sheetName val="2_카드채권(대출포함)9"/>
      <sheetName val="表21_净利润调节表9"/>
      <sheetName val="Cond__Inseguros9"/>
      <sheetName val="Comp__Inseguros9"/>
      <sheetName val="Lista_de_datos9"/>
      <sheetName val="MASTER_APP9"/>
      <sheetName val="Clasif_9"/>
      <sheetName val="Farol_Acciones9"/>
      <sheetName val="Lista_de_Entrenamientos9"/>
      <sheetName val="Unidades_SAC-REVENDA10"/>
      <sheetName val="FornecM_Check8"/>
      <sheetName val="Lista_CI9"/>
      <sheetName val="Estratificación_AI8"/>
      <sheetName val="condicion_inseguras8"/>
      <sheetName val="Actos_Inseguros8"/>
      <sheetName val="Control_de_incidentes8"/>
      <sheetName val="Plan_de_Acción8"/>
      <sheetName val="_DD_List9"/>
      <sheetName val="Share_Price_20029"/>
      <sheetName val="Issues_List_Payments8"/>
      <sheetName val="BEP_加薪_KPI8"/>
      <sheetName val="Faro_de_Indicadores8"/>
      <sheetName val="TOP_KPIs_MTM8"/>
      <sheetName val="PLAN_DE_ACCION8"/>
      <sheetName val="Grafica_Actos8"/>
      <sheetName val="POC_LIST8"/>
      <sheetName val="Dashboard_Prevención_Riesgos_8"/>
      <sheetName val="APAC_S8"/>
      <sheetName val="APAC_N8"/>
      <sheetName val="Slide_output8"/>
      <sheetName val="do_not_delete8"/>
      <sheetName val="[손익기01_XL??DePara8"/>
      <sheetName val="Farol_Metas8"/>
      <sheetName val="Mod_Relac_8"/>
      <sheetName val="Condiciones_SyE8"/>
      <sheetName val="REALxMETA_-_CERVEJA10"/>
      <sheetName val="REALxMETA_-_REFRI10"/>
      <sheetName val="Directrices_de_Metas_20178"/>
      <sheetName val="F08_-_Asia_Pac_Full_Year_Q39"/>
      <sheetName val="Top_Priorities9"/>
      <sheetName val="Listco_Stock9"/>
      <sheetName val="Intl_Purchase9"/>
      <sheetName val="FY_outlook9"/>
      <sheetName val="CY_outlook9"/>
      <sheetName val="Cash_metrics9"/>
      <sheetName val="P6_79"/>
      <sheetName val="DATOS_BASE8"/>
      <sheetName val="DETALLE_MENSUAL8"/>
      <sheetName val="Entity_Target8"/>
      <sheetName val="VALIDACION_DE_DATOS7"/>
      <sheetName val="_손익기01_XL_x005f_x005f_x005f_x0000__x005f_x005f_x8"/>
      <sheetName val="Hazards_Analysis-隐患分析8"/>
      <sheetName val="97_사업추정(WEKI)8"/>
      <sheetName val="Tong_hop8"/>
      <sheetName val="95_1_1이후취득자산(숨기기상태)8"/>
      <sheetName val="sum1_(2)8"/>
      <sheetName val="3_바닥판설계8"/>
      <sheetName val="6월_공정외주8"/>
      <sheetName val="2_대외공문8"/>
      <sheetName val="2_총괄표8"/>
      <sheetName val="입출재고현황_(2)8"/>
      <sheetName val="504전기실_동부하-L8"/>
      <sheetName val="OUTER_AREA(겹침없음)8"/>
      <sheetName val="EL_표면적8"/>
      <sheetName val="TRE_TABLE8"/>
      <sheetName val="입찰내역_발주처_양식8"/>
      <sheetName val="Data_validation8"/>
      <sheetName val="turnover_reason퇴직사유8"/>
      <sheetName val="SKU_Basic_Data8"/>
      <sheetName val="Jul-Sep_Actual_cost_(2)7"/>
      <sheetName val="Drop-down_List7"/>
      <sheetName val="by_DD7"/>
      <sheetName val="Check_Qualidade6"/>
      <sheetName val="Check_Aderencia6"/>
      <sheetName val="De_Para7"/>
      <sheetName val="Base_Farol6"/>
      <sheetName val="Gerencial_IL6"/>
      <sheetName val="Ventas_Campo6"/>
      <sheetName val="ACTOS_POR_RIESGO6"/>
      <sheetName val="drop_lists6"/>
      <sheetName val="MRL_NON_SUPPLY_URU6"/>
      <sheetName val="AIIM_-_Empresas_Ext_20126"/>
      <sheetName val="KPIs_Hana6"/>
      <sheetName val="Catalago_de_refacciones_6"/>
      <sheetName val="Existencias_al_07-Nov-20126"/>
      <sheetName val="Check_GG6"/>
      <sheetName val="Nombre_de_SOP6"/>
      <sheetName val="Ta_6"/>
      <sheetName val="2__Indicadores6"/>
      <sheetName val="부재료_비교(11년_vs_10년)6"/>
      <sheetName val="_손익기01_XL_x005f_x0000__x06"/>
      <sheetName val="Lista_de_Entrenamientos_RSO6"/>
      <sheetName val="Tablero_SDG9"/>
      <sheetName val="Lista_Areas9"/>
      <sheetName val="One_Page9"/>
      <sheetName val="Sub-Productos_HN7"/>
      <sheetName val="Eficiencia_linea6"/>
      <sheetName val="_mngt_Pillar6"/>
      <sheetName val="Sheet3_(2)6"/>
      <sheetName val="요일_테이블_6"/>
      <sheetName val="Sheet2_(2)6"/>
      <sheetName val="Lao_&amp;_Cam6"/>
      <sheetName val="Hoegaarden_20196"/>
      <sheetName val="Lao_&amp;_Cam_20196"/>
      <sheetName val="Malaysia_20196"/>
      <sheetName val="Singapore_20196"/>
      <sheetName val="Other_Listings6"/>
      <sheetName val="Pauta_RPS_Distribuição5"/>
      <sheetName val="Estoque_(2)5"/>
      <sheetName val="Comp_Inseguros5"/>
      <sheetName val="BNR_2012_в_ящике5"/>
      <sheetName val="DATOS_DE_VALIDACIÓN5"/>
      <sheetName val="Datos_con5"/>
      <sheetName val="_Datos_Cond_5"/>
      <sheetName val="DO_NOT_MOVE5"/>
      <sheetName val="INGRESO_(2)5"/>
      <sheetName val="PG-K1610_(UEN_Areas)MNG5"/>
      <sheetName val="DATOS_GEN_5"/>
      <sheetName val="NUEVOS_CRITERIOS5"/>
      <sheetName val="Condiciones_Agua5"/>
      <sheetName val="Dropdown_list4"/>
      <sheetName val="FX_Rates4"/>
      <sheetName val="Vagas_x_Candidatos4"/>
      <sheetName val="__한국_AMP_ASP-23_판㧤가격__4"/>
      <sheetName val="11_䡸화채무줝ⴌ(AFS,HTM)084"/>
      <sheetName val="Drop_list4"/>
      <sheetName val="Proced_4"/>
      <sheetName val="Control_de_Fallas4"/>
      <sheetName val="Setup_for_Templates4"/>
      <sheetName val="Datos_emp4"/>
      <sheetName val="TIPO_DE_ACTO4"/>
      <sheetName val="%_cumplimiento_4"/>
      <sheetName val="%_CUMPLIMIENTO4"/>
      <sheetName val="Listas_y_equipos_a_evaluar4"/>
      <sheetName val="CRITICIDAD_DE_CI4"/>
      <sheetName val="Catálogo_de_CI4"/>
      <sheetName val="Data_Reporte4"/>
      <sheetName val="Read_me4"/>
      <sheetName val="Validation_lists4"/>
      <sheetName val="Cut_Machine_Summary4"/>
      <sheetName val="Daily_Dashboard4"/>
      <sheetName val="Champions_List3"/>
      <sheetName val="NAZ_Strategy2"/>
      <sheetName val="CALIFICACIONES_20192"/>
      <sheetName val="Lev_4_360_deg_check_Crit_Task2"/>
      <sheetName val="Lev_4_Chk_IC_Stock_Crit_Task2"/>
      <sheetName val="Lev_4_WMS_Putaway_Crit_Task2"/>
      <sheetName val="Brand_P&amp;L2"/>
      <sheetName val="Data_selection2"/>
      <sheetName val="1_2"/>
      <sheetName val="Customer_&amp;_SO2"/>
      <sheetName val="Session_Proposal2"/>
      <sheetName val="Análise_Tempos1"/>
      <sheetName val="Validação_de_Dados1"/>
      <sheetName val="No_llenar_1"/>
      <sheetName val="PDA_BOP1"/>
      <sheetName val="Incentivo_Automóvil1"/>
      <sheetName val="PROCESS_MD1"/>
      <sheetName val="Lista_de_Motivos1"/>
      <sheetName val="Ponto_Crítico_-_Resp__Plano1"/>
      <sheetName val="Lista_Funcionários_(2)1"/>
      <sheetName val="PAINEL_RECOLHA_CRÉDITO1"/>
      <sheetName val="Gráficos_-_CDD1"/>
      <sheetName val="데이터유효성목록"/>
      <sheetName val="FAB별"/>
      <sheetName val="전기요금 산출내역"/>
      <sheetName val="입찰내역 Ĉ"/>
      <sheetName val="sum_x0008_"/>
      <sheetName val="시스템 개요 유효값"/>
      <sheetName val="관리자"/>
      <sheetName val="월간공정표(04월))"/>
      <sheetName val="문의내용 카테고리 분류(수정X)"/>
      <sheetName val="미계약2"/>
      <sheetName val="받을어음"/>
      <sheetName val="구분 Table"/>
      <sheetName val="역T형옹벽(3.0)"/>
      <sheetName val="외상매출금현황-수정분 A2"/>
      <sheetName val="상불"/>
      <sheetName val="Assign"/>
      <sheetName val="합잔_역사"/>
      <sheetName val="01현금및현금성자산(ok)"/>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NC"/>
      <sheetName val="2TM"/>
      <sheetName val="1TM"/>
      <sheetName val="Tong hop 1TM"/>
      <sheetName val="WBS"/>
      <sheetName val="DMKH"/>
      <sheetName val="NS Lán trại"/>
      <sheetName val="Check cong no NC"/>
      <sheetName val="1TL종점(1)"/>
      <sheetName val="기준재고"/>
      <sheetName val="수액원료4"/>
      <sheetName val="노원열병합  건축공사기성내역서"/>
      <sheetName val="Mot So Thuat Ngu EN-VI"/>
      <sheetName val="640ꠌ᜹렀㣃씃"/>
      <sheetName val="640ꠏ᜹쀀씃"/>
      <sheetName val="VNHA"/>
      <sheetName val="대차대조표-공시형"/>
      <sheetName val="참고) 기준정보"/>
      <sheetName val="회사전체"/>
      <sheetName val="이자"/>
      <sheetName val="Diesel Price "/>
      <sheetName val="$bhp"/>
      <sheetName val="업무분장 "/>
      <sheetName val="포지셔닝(유형별)"/>
      <sheetName val="채권(하반기)"/>
      <sheetName val="금액"/>
      <sheetName val="제품"/>
      <sheetName val="분류표"/>
      <sheetName val="Long Term Prices"/>
      <sheetName val="생산량"/>
      <sheetName val="BK_PPA"/>
      <sheetName val="간접비차이_PJT"/>
      <sheetName val="(참조)"/>
      <sheetName val="Investment Category"/>
      <sheetName val="견적 맵"/>
      <sheetName val="Asset9809CAK"/>
      <sheetName val="Sheet475"/>
      <sheetName val="갑지1"/>
      <sheetName val="JT3.0견적-구1"/>
      <sheetName val="Dropbox 목록"/>
      <sheetName val="네고14"/>
      <sheetName val="관리1"/>
      <sheetName val="연체리스료"/>
      <sheetName val="control sheet"/>
      <sheetName val="wall"/>
      <sheetName val="BATCH"/>
      <sheetName val="1.수인터널"/>
      <sheetName val="대환취급"/>
      <sheetName val="1711월"/>
      <sheetName val="OH _x000f__x0000__x000c__x0000__x0006__x0000__x0005__x0000__x000c__x0000_"/>
      <sheetName val="_x0000__x0004__x0000__x0002__x0000__x0002__x0000__x0005__x0000__x0008__x0000_"/>
      <sheetName val="ࠀ฀က฀Ԁ"/>
      <sheetName val="산출"/>
      <sheetName val="master(ZH)"/>
      <sheetName val="1공구산출내역서"/>
      <sheetName val="7_공사비집_x0000__x0000_Ā_x0000__x0005__x0000_翸_x0000_"/>
      <sheetName val="工완성공사율"/>
      <sheetName val="협가표"/>
      <sheetName val="집계"/>
      <sheetName val="아산추가1220"/>
      <sheetName val="가설공사내역"/>
      <sheetName val="401"/>
      <sheetName val="교량하부공"/>
      <sheetName val="1~9 하중계산"/>
      <sheetName val="정공공사"/>
      <sheetName val="1-2.설계변경요청서(갑지)"/>
      <sheetName val="사유집계"/>
      <sheetName val="설계변경내역서(주차관제)"/>
      <sheetName val="증감사유"/>
      <sheetName val="첨부1.(주차관제-.당공)"/>
      <sheetName val="첨부1-1.설계변경내역서(CCTV)"/>
      <sheetName val="첨부1-2.(주차관제-변공)"/>
      <sheetName val="2-6.변공량(추가공사)"/>
      <sheetName val=" 2-1.관제(물량산출서집계표)"/>
      <sheetName val=" 2-2.유도(물량산출서집계표)"/>
      <sheetName val="물량산출서(총괄)"/>
      <sheetName val="3-1.주차관제"/>
      <sheetName val="3-2.주차-광케이블"/>
      <sheetName val="3-3.층별LPR"/>
      <sheetName val="4-1.유도-광케이블"/>
      <sheetName val="4-2.주차키오스크"/>
      <sheetName val="4-3.4면카메라"/>
      <sheetName val="4-5.CCTV"/>
      <sheetName val="4-6.블럭유도등"/>
      <sheetName val="4-7.입구만차등"/>
      <sheetName val="4-8.비상벨"/>
      <sheetName val="증감대비"/>
      <sheetName val="공종단가"/>
      <sheetName val="PAD_TR보호대기초1"/>
      <sheetName val="1__시공측량1"/>
      <sheetName val="납부내역총괄표_(수정)1"/>
      <sheetName val="수종별수량_(2)1"/>
      <sheetName val="Weekly_Progress(계장)1"/>
      <sheetName val="근거_및_가정1"/>
      <sheetName val="1_차입금1"/>
      <sheetName val="부대시행1_(2)1"/>
      <sheetName val="3_6_2남양주택배1"/>
      <sheetName val="설산1_나1"/>
      <sheetName val="개발계획수립"/>
      <sheetName val="건축"/>
      <sheetName val="산근(목록)"/>
      <sheetName val="심사계산"/>
      <sheetName val="기초단가"/>
      <sheetName val="변수"/>
      <sheetName val="심사물량"/>
      <sheetName val="입력"/>
      <sheetName val="노임단"/>
      <sheetName val="단위수량"/>
      <sheetName val="예측단가간지"/>
      <sheetName val="환경일위대가"/>
      <sheetName val="1~69"/>
      <sheetName val="01_건설공사_투입인원수_산정"/>
      <sheetName val="운반공"/>
      <sheetName val="이형관중량"/>
      <sheetName val="일위목록"/>
      <sheetName val="자재단"/>
      <sheetName val="장비단"/>
      <sheetName val="고시단가"/>
      <sheetName val="지구단위계획"/>
      <sheetName val="단위모델"/>
      <sheetName val="2_주요계수총괄2"/>
      <sheetName val="Project_Brief2"/>
      <sheetName val="P_M_별3"/>
      <sheetName val="단면_(2)2"/>
      <sheetName val="1_본사계정별2"/>
      <sheetName val="Facility_Information2"/>
      <sheetName val="PAD_TR보호대기초2"/>
      <sheetName val="1__시공측량2"/>
      <sheetName val="납부내역총괄표_(수정)2"/>
      <sheetName val="수종별수량_(2)2"/>
      <sheetName val="Weekly_Progress(계장)2"/>
      <sheetName val="근거_및_가정2"/>
      <sheetName val="1_차입금2"/>
      <sheetName val="부대시행1_(2)2"/>
      <sheetName val="118_세금과공과2"/>
      <sheetName val="3_6_2남양주택배2"/>
      <sheetName val="설산1_나2"/>
      <sheetName val="2_실행ﶻĉ_x0000_"/>
      <sheetName val="2_실행䔭疖꜀"/>
      <sheetName val="2_실행ﶻ_x001e__x0000_"/>
      <sheetName val="3.공통공사대비"/>
      <sheetName val="2002년12월"/>
      <sheetName val="현장관리비 산출내역"/>
      <sheetName val="일일투입집계표"/>
      <sheetName val="평가데이터"/>
      <sheetName val="Macro3"/>
      <sheetName val="무형자산 LS11"/>
      <sheetName val="Global"/>
      <sheetName val="_x005f_x0018__"/>
      <sheetName val="_x005f_x0000_"/>
      <sheetName val="기타수지&amp;특별손익_ﹴÕ"/>
      <sheetName val="총괄집계표"/>
      <sheetName val="합계표"/>
      <sheetName val="공통비_x0000__x0000_ʯ"/>
      <sheetName val="공통비_x0000_í遘̩"/>
      <sheetName val="BQ"/>
      <sheetName val="Basic"/>
      <sheetName val="기성"/>
      <sheetName val="_x005f_x005f_x005f_x005f_x005f_x005f_x005f_x0018__x005f"/>
      <sheetName val="_x005f_x005f_x005f_x0018__"/>
      <sheetName val="간접비"/>
      <sheetName val="대구은행"/>
      <sheetName val="원재료"/>
      <sheetName val="비품"/>
      <sheetName val="PF 현황(11년12월)"/>
      <sheetName val="Sensitivity and GC Value"/>
      <sheetName val="FORM4"/>
      <sheetName val="FORM1"/>
      <sheetName val="FORM2"/>
      <sheetName val="FORM3"/>
      <sheetName val="FORM5"/>
      <sheetName val="FORM10"/>
      <sheetName val="FORM15"/>
      <sheetName val="FORM16"/>
      <sheetName val="main"/>
      <sheetName val="gr_val"/>
      <sheetName val="gr_sum"/>
      <sheetName val="Back_Data_12"/>
      <sheetName val="1월_예산1"/>
      <sheetName val="_견적서1"/>
      <sheetName val="해외_기술훈련비_(합계)2"/>
      <sheetName val="설문_평가1"/>
      <sheetName val="전선_및_전선관1"/>
      <sheetName val="#1)_투자_구분1"/>
      <sheetName val="2013_2월_연결대상1"/>
      <sheetName val="Utility_Usage_YTN_TOWER1"/>
      <sheetName val="B-1_기본정보1"/>
      <sheetName val="대투_보관자료_변경1"/>
      <sheetName val="G_R300경비"/>
      <sheetName val="AS포장복구_"/>
      <sheetName val="설_계"/>
      <sheetName val="수량산출서_갑지"/>
      <sheetName val="KEY_CODE1"/>
      <sheetName val="실행기성_갑지1"/>
      <sheetName val="Eq__Mobilization"/>
      <sheetName val="준검_내역서"/>
      <sheetName val="날개수량1_5"/>
      <sheetName val="Rev__Recon_1"/>
      <sheetName val="1_고객불만건수"/>
      <sheetName val="1_변경범위"/>
      <sheetName val="외주현황_wq11"/>
      <sheetName val="2-1_강사료,교통비_지급명세1"/>
      <sheetName val="13_포장용역비표준1"/>
      <sheetName val="9_가공부자재표준1"/>
      <sheetName val="8_ROLL표준(TSW)1"/>
      <sheetName val="4_톤당조관량표준1"/>
      <sheetName val="5_조관부자재표준1"/>
      <sheetName val="2-2_투자1"/>
      <sheetName val="Proj__Fin_1"/>
      <sheetName val="ITS_Assumptions"/>
      <sheetName val="Master_Data"/>
      <sheetName val="HQ_급여_"/>
      <sheetName val="OF_급여"/>
      <sheetName val="F_Ma급여"/>
      <sheetName val="SMT_급여"/>
      <sheetName val="QC_급여"/>
      <sheetName val="Sam_sung_급여"/>
      <sheetName val="Dlock_급여"/>
      <sheetName val="_thôi_việc_급여"/>
      <sheetName val="Công_smt"/>
      <sheetName val="Công_smt_(2)"/>
      <sheetName val="Detail_smt"/>
      <sheetName val="Công_QC"/>
      <sheetName val="Detail_QC_"/>
      <sheetName val="Công_SS"/>
      <sheetName val="Detail_SS"/>
      <sheetName val="Công_FMa"/>
      <sheetName val="Detail_FMa"/>
      <sheetName val="Công_OF"/>
      <sheetName val="Detail_OF"/>
      <sheetName val="Công_Dlock"/>
      <sheetName val="Detail_Dlock"/>
      <sheetName val="Công_thôi_việc"/>
      <sheetName val="Detail_thôi"/>
      <sheetName val="7_Utility_Analysis"/>
      <sheetName val="Operational_Activities"/>
      <sheetName val="F_월별기성수금현황_"/>
      <sheetName val="기초정보_코드"/>
      <sheetName val="조도계산서_(도서)"/>
      <sheetName val="C1_3_1"/>
      <sheetName val="입찰내역_Ĉᇆ"/>
      <sheetName val="입찰내역_Ĉᇆ"/>
      <sheetName val="6월_공嚺㓶가"/>
      <sheetName val="sum_x000a_"/>
      <sheetName val="_"/>
      <sheetName val="설비등록"/>
      <sheetName val="2_6_三无_(2)"/>
      <sheetName val="Worker_List"/>
      <sheetName val="GB-IC_Villingen_GG"/>
      <sheetName val="A(Rev_3)"/>
      <sheetName val="OUTER_A՜_x0000_缀_x0000__x0000__x0000_尀빙끯"/>
      <sheetName val="C1ㅇ"/>
      <sheetName val="단가조정"/>
      <sheetName val="나_출_x0000__x0000_"/>
      <sheetName val="입찰내역_Ĉ"/>
      <sheetName val="보고서_표"/>
      <sheetName val="0__가정_및_결론"/>
      <sheetName val="1__투자비"/>
      <sheetName val="2__Rent-roll"/>
      <sheetName val="3__Funding"/>
      <sheetName val="4__운영수익"/>
      <sheetName val="5__운영비용"/>
      <sheetName val="6_1_N+1년차_NOI_산정"/>
      <sheetName val="6__부동산매각"/>
      <sheetName val="7__보유세"/>
      <sheetName val="8__교통유발부담금"/>
      <sheetName val="9__BS부속"/>
      <sheetName val="10__CF(M)"/>
      <sheetName val="11__IS(M)"/>
      <sheetName val="12__BS(M)"/>
      <sheetName val="14__IS(FY)"/>
      <sheetName val="13__CF(FY)"/>
      <sheetName val="15__BS(FY)"/>
      <sheetName val="16__RE(FY)"/>
      <sheetName val="1_수인터널"/>
      <sheetName val="부대내역"/>
      <sheetName val="체신주조서"/>
      <sheetName val="자금_제_x0000__x0000_Ԁ_x0000_"/>
      <sheetName val="단독빌딩 총합계본"/>
      <sheetName val="OH _x000f_"/>
      <sheetName val="____"/>
      <sheetName val="本月预计"/>
      <sheetName val="1)추진현황"/>
      <sheetName val="매출회전"/>
      <sheetName val="소방사항"/>
      <sheetName val="TMPA"/>
      <sheetName val="TLoss"/>
      <sheetName val="예총"/>
      <sheetName val="0304"/>
      <sheetName val="이름표"/>
      <sheetName val="날개벽수량표"/>
      <sheetName val="001"/>
      <sheetName val="1__작성방식1"/>
      <sheetName val="표)CFT장_조직별_배분1"/>
      <sheetName val="20180214_P&amp;T1"/>
      <sheetName val="Ref__중점_추진_과제별_상세1"/>
      <sheetName val="Bank_code1"/>
      <sheetName val="Drop-down_RAW1"/>
      <sheetName val="Basic_Information1"/>
      <sheetName val="Exchange_rate1"/>
      <sheetName val="진행_DATA_(2)"/>
      <sheetName val="NG_Item"/>
      <sheetName val="Ref__Spec_Review_양식"/>
      <sheetName val="Ref__시험항목_테이블"/>
      <sheetName val="Ref__Search_Result_테이블"/>
      <sheetName val="4_1_월별_에너지_사용량"/>
      <sheetName val="TOWER_12TON"/>
      <sheetName val="TOWER_10TON"/>
      <sheetName val="JIB_CRANE,HOIST"/>
      <sheetName val="M&amp;Q_Lead"/>
      <sheetName val="경영비율 "/>
      <sheetName val="07.01"/>
      <sheetName val="수량산출서 (2)"/>
      <sheetName val="설계내역양식"/>
      <sheetName val="6F8"/>
      <sheetName val="NCR_HEC_6 Opens"/>
      <sheetName val="NCR_HEC_4 Open &amp; Vendor_2 Opens"/>
      <sheetName val="P_M_별4"/>
      <sheetName val="Back_Data_13"/>
      <sheetName val="Facility_Information3"/>
      <sheetName val="1__작성방식2"/>
      <sheetName val="2_주요계수총괄3"/>
      <sheetName val="Project_Brief3"/>
      <sheetName val="Utility_Usage_YTN_TOWER2"/>
      <sheetName val="118_세금과공과3"/>
      <sheetName val="1_본사계정별3"/>
      <sheetName val="단면_(2)3"/>
      <sheetName val="표)CFT장_조직별_배분2"/>
      <sheetName val="20180214_P&amp;T2"/>
      <sheetName val="Ref__중점_추진_과제별_상세2"/>
      <sheetName val="Bank_code2"/>
      <sheetName val="B-1_기본정보2"/>
      <sheetName val="해외_기술훈련비_(합계)3"/>
      <sheetName val="_견적서2"/>
      <sheetName val="1월_예산2"/>
      <sheetName val="Drop-down_RAW2"/>
      <sheetName val="설문_평가2"/>
      <sheetName val="Basic_Information2"/>
      <sheetName val="외주현황_wq12"/>
      <sheetName val="대투_보관자료_변경2"/>
      <sheetName val="#1)_투자_구분2"/>
      <sheetName val="전선_및_전선관2"/>
      <sheetName val="Exchange_rate2"/>
      <sheetName val="실행기성_갑지2"/>
      <sheetName val="Eq__Mobilization1"/>
      <sheetName val="진행_DATA_(2)1"/>
      <sheetName val="Ref__Spec_Review_양식1"/>
      <sheetName val="Ref__시험항목_테이블1"/>
      <sheetName val="Ref__Search_Result_테이블1"/>
      <sheetName val="NG_Item1"/>
      <sheetName val="2013_2월_연결대상2"/>
      <sheetName val="Rev__Recon_11"/>
      <sheetName val="1_고객불만건수1"/>
      <sheetName val="1_변경범위1"/>
      <sheetName val="2-2_투자2"/>
      <sheetName val="Proj__Fin_2"/>
      <sheetName val="ITS_Assumptions1"/>
      <sheetName val="Master_Data1"/>
      <sheetName val="C1_3_11"/>
      <sheetName val="7_Utility_Analysis1"/>
      <sheetName val="Operational_Activities1"/>
      <sheetName val="HQ_급여_1"/>
      <sheetName val="OF_급여1"/>
      <sheetName val="F_Ma급여1"/>
      <sheetName val="SMT_급여1"/>
      <sheetName val="QC_급여1"/>
      <sheetName val="Sam_sung_급여1"/>
      <sheetName val="Dlock_급여1"/>
      <sheetName val="_thôi_việc_급여1"/>
      <sheetName val="Công_smt1"/>
      <sheetName val="Công_smt_(2)1"/>
      <sheetName val="Detail_smt1"/>
      <sheetName val="Công_QC1"/>
      <sheetName val="Detail_QC_1"/>
      <sheetName val="Công_SS1"/>
      <sheetName val="Detail_SS1"/>
      <sheetName val="Công_FMa1"/>
      <sheetName val="Detail_FMa1"/>
      <sheetName val="Công_OF1"/>
      <sheetName val="Detail_OF1"/>
      <sheetName val="Công_Dlock1"/>
      <sheetName val="Detail_Dlock1"/>
      <sheetName val="Công_thôi_việc1"/>
      <sheetName val="Detail_thôi1"/>
      <sheetName val="2-1_강사료,교통비_지급명세2"/>
      <sheetName val="KEY_CODE2"/>
      <sheetName val="13_포장용역비표준2"/>
      <sheetName val="9_가공부자재표준2"/>
      <sheetName val="8_ROLL표준(TSW)2"/>
      <sheetName val="4_톤당조관량표준2"/>
      <sheetName val="5_조관부자재표준2"/>
      <sheetName val="F_월별기성수금현황_1"/>
      <sheetName val="준검_내역서1"/>
      <sheetName val="수량산출서_갑지1"/>
      <sheetName val="G_R300경비1"/>
      <sheetName val="AS포장복구_1"/>
      <sheetName val="설_계1"/>
      <sheetName val="조도계산서_(도서)1"/>
      <sheetName val="기초정보_코드1"/>
      <sheetName val="날개수량1_51"/>
      <sheetName val="6월_공嚺㓶가1"/>
      <sheetName val="2_6_三无_(2)1"/>
      <sheetName val="보고서_표1"/>
      <sheetName val="0__가정_및_결론1"/>
      <sheetName val="1__투자비1"/>
      <sheetName val="2__Rent-roll1"/>
      <sheetName val="3__Funding1"/>
      <sheetName val="4__운영수익1"/>
      <sheetName val="5__운영비용1"/>
      <sheetName val="6_1_N+1년차_NOI_산정1"/>
      <sheetName val="6__부동산매각1"/>
      <sheetName val="7__보유세1"/>
      <sheetName val="8__교통유발부담금1"/>
      <sheetName val="9__BS부속1"/>
      <sheetName val="10__CF(M)1"/>
      <sheetName val="11__IS(M)1"/>
      <sheetName val="12__BS(M)1"/>
      <sheetName val="14__IS(FY)1"/>
      <sheetName val="13__CF(FY)1"/>
      <sheetName val="15__BS(FY)1"/>
      <sheetName val="16__RE(FY)1"/>
      <sheetName val="4_1_월별_에너지_사용량1"/>
      <sheetName val="TOWER_12TON1"/>
      <sheetName val="TOWER_10TON1"/>
      <sheetName val="JIB_CRANE,HOIST1"/>
      <sheetName val="Worker_List1"/>
      <sheetName val="GB-IC_Villingen_GG1"/>
      <sheetName val="M&amp;Q_Lead1"/>
      <sheetName val="sum"/>
      <sheetName val="3_일반사상"/>
      <sheetName val="OH_"/>
      <sheetName val="업무_분류(Category)"/>
      <sheetName val="#1_Basic"/>
      <sheetName val="첨부#2_Cash_Flow(현장작성)"/>
      <sheetName val="산자사_운전용품"/>
      <sheetName val="경영비율_"/>
      <sheetName val="Dropbox_목록"/>
      <sheetName val="실행내역서 "/>
      <sheetName val="Sheet16"/>
      <sheetName val="Mot_So_Thuat_Ngu_EN-VI"/>
      <sheetName val="지급어음"/>
      <sheetName val="중속정보"/>
      <sheetName val="실행예산SHEET도장재검토"/>
      <sheetName val="0901"/>
      <sheetName val="식문화"/>
      <sheetName val="SRS 월별 BS"/>
      <sheetName val="SRS"/>
      <sheetName val="중기매출"/>
      <sheetName val="제조비(신청)"/>
      <sheetName val="경쟁사생산량추이"/>
      <sheetName val="12매출실적Copy"/>
      <sheetName val="매출액"/>
      <sheetName val="경영현황"/>
      <sheetName val="4월실적"/>
      <sheetName val="C"/>
      <sheetName val="평가&amp;선급.미지급"/>
      <sheetName val="지질조사"/>
      <sheetName val="07년10~12월"/>
      <sheetName val="EXC IND"/>
      <sheetName val="SRS_월별_BS"/>
      <sheetName val="평가&amp;선급_미지급"/>
      <sheetName val="COLOR별 인쇄"/>
      <sheetName val="일정표"/>
      <sheetName val="FED"/>
      <sheetName val="급여인상효과-연간부담분"/>
      <sheetName val="91"/>
      <sheetName val="생산1-2"/>
      <sheetName val="생산1-1"/>
      <sheetName val="매출계획"/>
      <sheetName val="품의서개정(갑)"/>
      <sheetName val="10.예산 및 원가 계획(02년)"/>
      <sheetName val="2.Consideration sheet"/>
      <sheetName val="3. Export"/>
      <sheetName val="_x005f_x0000___x0000__x0000__x0005__x0000_㴐ኰ"/>
      <sheetName val="_x005f_x0000___x0000__x0000__x0005__x0000_움ᕕ"/>
      <sheetName val="부대공사총괄"/>
      <sheetName val="건축공사집계표"/>
      <sheetName val="방배동내역 (총괄)"/>
      <sheetName val="BSD (2)"/>
      <sheetName val="유리단가"/>
      <sheetName val="DB"/>
      <sheetName val="자판실행"/>
      <sheetName val="단가조사표"/>
      <sheetName val="운반"/>
      <sheetName val="SS20"/>
      <sheetName val="SS10"/>
      <sheetName val="생산"/>
      <sheetName val="국내_x0000__x0000_"/>
      <sheetName val="날개벽(시점좌측)"/>
      <sheetName val="철거산출근거"/>
      <sheetName val="_Cash_Flow(자_x0000__x0000_"/>
      <sheetName val="파일의이용"/>
      <sheetName val="NKC (final)"/>
      <sheetName val="__Dscljh_c_EXCEL________1_96__2"/>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7_공사비집Ā翸"/>
      <sheetName val="NKC_(final)"/>
      <sheetName val="1-2_설계변경요청서(갑지)"/>
      <sheetName val="첨부1_(주차관제-_당공)"/>
      <sheetName val="첨부1-1_설계변경내역서(CCTV)"/>
      <sheetName val="첨부1-2_(주차관제-변공)"/>
      <sheetName val="2-6_변공량(추가공사)"/>
      <sheetName val="_2-1_관제(물량산출서집계표)"/>
      <sheetName val="_2-2_유도(물량산출서집계표)"/>
      <sheetName val="3-1_주차관제"/>
      <sheetName val="3-2_주차-광케이블"/>
      <sheetName val="3-3_층별LPR"/>
      <sheetName val="4-1_유도-광케이블"/>
      <sheetName val="4-2_주차키오스크"/>
      <sheetName val="4-3_4면카메라"/>
      <sheetName val="4-5_CCTV"/>
      <sheetName val="4-6_블럭유도등"/>
      <sheetName val="4-7_입구만차등"/>
      <sheetName val="4-8_비상벨"/>
      <sheetName val="항목(1)"/>
      <sheetName val="BOOK4"/>
      <sheetName val="증감내역서"/>
      <sheetName val="단면치수"/>
      <sheetName val="504전기실_x0000__x0000__x0001_Ԁ_x0000_"/>
      <sheetName val="상반기손익차2총괄"/>
      <sheetName val="OUTER_A՜"/>
      <sheetName val="7_공사비집"/>
      <sheetName val="_x005f_x0000__"/>
      <sheetName val="공통비"/>
      <sheetName val="자금_제"/>
      <sheetName val="504전기실"/>
      <sheetName val="건축갑지"/>
      <sheetName val="건축내역서"/>
      <sheetName val="견적보고서"/>
      <sheetName val="토공(우물통,기타) "/>
      <sheetName val="504전기실_Ç_x0000_Ԁ_x0000_瀀"/>
      <sheetName val="504전기실_Ç_x0000_Ԁ_x0000_退"/>
      <sheetName val="504전기실_壇멿︀ⳕԯ"/>
      <sheetName val="공기연장현황"/>
      <sheetName val="공종별집계"/>
      <sheetName val="오스피셔스제사차"/>
      <sheetName val="입찰내역 _x0000__x0000__x0000__x0001_Ԁ_x0000_"/>
      <sheetName val="지급제한자"/>
      <sheetName val="원가관리_(동월대-_x0000_Ԁ"/>
      <sheetName val="총 원가계산"/>
      <sheetName val="첨부1-2. 증감사유내역서(을)"/>
      <sheetName val="유효성 목록"/>
      <sheetName val="드롭다운(수정금지)"/>
      <sheetName val="23기-3분기결산PL"/>
      <sheetName val="类别"/>
      <sheetName val="(실사조정)총괄"/>
      <sheetName val="연결조정사항(2019)"/>
      <sheetName val="20년 동일기간 소테마"/>
      <sheetName val="2005조관부자재표준"/>
      <sheetName val="2005공정별직접노무비표준"/>
      <sheetName val="2005공정별전력비표준"/>
      <sheetName val="2005도금부자재표준"/>
      <sheetName val="2005톤당조관량표준"/>
      <sheetName val="2005인발표준"/>
      <sheetName val="4월 매출"/>
      <sheetName val="Stop"/>
      <sheetName val="Accueil"/>
      <sheetName val="C61X-BOM"/>
      <sheetName val="tifico"/>
      <sheetName val="신당동집계표"/>
      <sheetName val="통က_x0000_"/>
      <sheetName val="식재총괄"/>
      <sheetName val="조도"/>
      <sheetName val="방배2E"/>
      <sheetName val="1.설계조건"/>
      <sheetName val="1.설계기준"/>
      <sheetName val="경상직원"/>
      <sheetName val="6PILE__(Y_x0000__x0000_"/>
      <sheetName val="합산목표(감가+5_x0000__x0000_Ԁ_x0000_䀀"/>
      <sheetName val="6PILE__(剙_x0010__x0000_"/>
      <sheetName val="입찰내역 _x0000_⊍_x0000__x0000_∀的"/>
      <sheetName val="P-J"/>
      <sheetName val="참고3.DATA"/>
      <sheetName val=" Drop"/>
      <sheetName val="3.판관비명세서"/>
      <sheetName val="골조"/>
      <sheetName val="단가산출서"/>
      <sheetName val="4월25일실행"/>
      <sheetName val="경계석,골재외 (2)"/>
      <sheetName val="물가대비표"/>
      <sheetName val="ALK_Chi tiết công nợ"/>
      <sheetName val="Parem"/>
      <sheetName val="CHITIET VL-NC-TT1p"/>
      <sheetName val="TONGKE3p"/>
      <sheetName val="공사"/>
      <sheetName val="집계확_x0000_"/>
      <sheetName val="원가관리_(동월대-"/>
      <sheetName val="목록구분"/>
      <sheetName val="기본값"/>
      <sheetName val="BS준비"/>
      <sheetName val="7 _2_"/>
      <sheetName val="ALL"/>
      <sheetName val="LIDE"/>
      <sheetName val="7__2_"/>
      <sheetName val="부서실적"/>
      <sheetName val="xSeries255"/>
      <sheetName val="매출_비용"/>
      <sheetName val="조립지적"/>
      <sheetName val="1st"/>
      <sheetName val="krsec08"/>
      <sheetName val="Report Setup"/>
      <sheetName val="마력및원가표"/>
      <sheetName val="지성학원"/>
      <sheetName val="손익합산"/>
      <sheetName val="특정현금과예금"/>
      <sheetName val="현금과예금"/>
      <sheetName val="OWNER-1 (2)"/>
      <sheetName val="Sheet7"/>
      <sheetName val="유예기간"/>
      <sheetName val="07수주상세"/>
      <sheetName val="생산대일정"/>
      <sheetName val="pre-inv"/>
      <sheetName val="보조부문비배부"/>
      <sheetName val="1월말"/>
      <sheetName val="고객만족도 향상"/>
      <sheetName val="ScraRework"/>
      <sheetName val="생산계획"/>
      <sheetName val="판매계획"/>
      <sheetName val="IS_KGAAP"/>
      <sheetName val="통일"/>
      <sheetName val="3-3"/>
      <sheetName val="산출데이타(a)"/>
      <sheetName val="02"/>
      <sheetName val="3"/>
      <sheetName val="4"/>
      <sheetName val="08"/>
      <sheetName val="월확9601"/>
      <sheetName val="가격조사서"/>
      <sheetName val="108.수선비"/>
      <sheetName val="7__2_1"/>
      <sheetName val="Report_Setup"/>
      <sheetName val="OWNER-1_(2)"/>
      <sheetName val="MethodB"/>
      <sheetName val="제조부문배부"/>
      <sheetName val="자재코드"/>
      <sheetName val="DX220LC_M-BOM"/>
      <sheetName val="MethodC"/>
      <sheetName val="S225NLC-V"/>
      <sheetName val="S300V-MBOM"/>
      <sheetName val="WELDING"/>
      <sheetName val="프로젝트_LIST"/>
      <sheetName val="공정불량LIST"/>
      <sheetName val="입고단가기준"/>
      <sheetName val="7__2_2"/>
      <sheetName val="Report_Setup1"/>
      <sheetName val="#1_Basic1"/>
      <sheetName val="OWNER-1_(2)1"/>
      <sheetName val="BS준비.XLS"/>
      <sheetName val="BS%EC%A4%80%EB%B9%84.XLS"/>
      <sheetName val="ITEM-LIST"/>
      <sheetName val="출자한도"/>
      <sheetName val="CD-실적"/>
      <sheetName val="기초데이타"/>
      <sheetName val="품의"/>
      <sheetName val="동해title"/>
      <sheetName val="3210이연법인세"/>
      <sheetName val="0212"/>
      <sheetName val="comm"/>
      <sheetName val="리드"/>
      <sheetName val="기본사항"/>
      <sheetName val="CashFlow(중간집계)"/>
      <sheetName val="현재"/>
      <sheetName val="퇴직금추계(04.9.30)"/>
      <sheetName val="세율등"/>
      <sheetName val="1.경제설계"/>
      <sheetName val="해외생산"/>
      <sheetName val="경수97.02"/>
      <sheetName val="업무분장(현행)"/>
      <sheetName val="현금명세"/>
      <sheetName val="1995년 섹터별 매출"/>
      <sheetName val="현금및현금등가물"/>
      <sheetName val="GA"/>
      <sheetName val="서울(안)"/>
      <sheetName val="Lead"/>
      <sheetName val="Links"/>
      <sheetName val="실적분석"/>
      <sheetName val="SALE&amp;COST"/>
      <sheetName val="44-2Q 주석.xlsx"/>
      <sheetName val="고상실행"/>
      <sheetName val="MCS"/>
      <sheetName val="종합표"/>
      <sheetName val="팀_업체별 월기성실적"/>
      <sheetName val="팀_업체별 시공의뢰"/>
      <sheetName val="Discipline별"/>
      <sheetName val="수정추가"/>
      <sheetName val="호선별"/>
      <sheetName val="업체별_기능별"/>
      <sheetName val="참고용(시공)"/>
      <sheetName val="참고용(실적)"/>
      <sheetName val="월별인력"/>
      <sheetName val="손익계산서(전사)"/>
      <sheetName val="xxxxxx"/>
      <sheetName val="A(1)"/>
      <sheetName val="A (3)"/>
      <sheetName val="2공구산출내역"/>
      <sheetName val="회사제시BS"/>
      <sheetName val="대차대조"/>
      <sheetName val="DL08 DF 모드"/>
      <sheetName val="CRITERIA1"/>
      <sheetName val="CRITERIA2"/>
      <sheetName val="CRITERIA3"/>
      <sheetName val="재료비_매출원가"/>
      <sheetName val="견적구분"/>
      <sheetName val="99금액"/>
      <sheetName val="원지 수급가"/>
      <sheetName val="현금경비중역"/>
      <sheetName val="2.상각보정명세"/>
      <sheetName val="현금흐름Ⅰ"/>
      <sheetName val="Table_K7"/>
      <sheetName val="부재료입고집계"/>
      <sheetName val="YOEMAGUM"/>
      <sheetName val="다목적갑"/>
      <sheetName val="Warranty"/>
      <sheetName val="4b Consolidated PL"/>
      <sheetName val="C200"/>
      <sheetName val="TT List"/>
      <sheetName val="Planilha_relts??eos7"/>
      <sheetName val="sum "/>
      <sheetName val="SPT vs PHI"/>
      <sheetName val="목차 "/>
      <sheetName val="0. 물류비집계 rev1"/>
      <sheetName val="0. 물류비 집계"/>
      <sheetName val="(1-2) 국내 구간별 운송 견적 1"/>
      <sheetName val="(1-1) 국내 구간별 운송 실적  (2)"/>
      <sheetName val="(1) 국내 사이트 상세 주소 "/>
      <sheetName val="수입 건수 정리"/>
      <sheetName val="(2-1) 수출 해상 (LCL) "/>
      <sheetName val="(2-2) 수출 항공 "/>
      <sheetName val="(2-4) 수출 내륙 운송료"/>
      <sheetName val="(3-1) 수입 해상 (FCL)"/>
      <sheetName val="(3-2) 수입 해상 (LCL) "/>
      <sheetName val="(3-3) 수입 항공 "/>
      <sheetName val="(3-5) 수입 내륙 운송료"/>
      <sheetName val="물류비"/>
      <sheetName val="운송내역 "/>
      <sheetName val="간접경상비"/>
      <sheetName val="무역한도관리"/>
      <sheetName val="퇴직사유"/>
      <sheetName val="기준정보基准信息参考"/>
      <sheetName val="계정정보"/>
      <sheetName val="F4-F7"/>
      <sheetName val="Supplement2"/>
      <sheetName val="카테고리 분류 (수정X)"/>
      <sheetName val="__한국_AMP_ASP-23_판매가격_롟"/>
      <sheetName val="기타코드"/>
      <sheetName val="단기대여금"/>
      <sheetName val="장기대여금"/>
      <sheetName val="Menu_Link"/>
      <sheetName val="PH 5"/>
      <sheetName val="bar chart-rev"/>
      <sheetName val="CERTIFICATE"/>
      <sheetName val="B05"/>
      <sheetName val="B07"/>
      <sheetName val="A02"/>
      <sheetName val="A04"/>
      <sheetName val="A13"/>
      <sheetName val="B08"/>
      <sheetName val="B10"/>
      <sheetName val="STRAT_PLAN_WKSHT2"/>
      <sheetName val="Sales_Plan_&amp;_other2"/>
      <sheetName val="drop_downs1"/>
      <sheetName val="구분_Table"/>
      <sheetName val="역T형옹벽(3_0)"/>
      <sheetName val="외상매출금현황-수정분_A2"/>
      <sheetName val="Project_Count"/>
      <sheetName val="control_sheet"/>
      <sheetName val="PF_현황(11년12월)"/>
      <sheetName val="Diesel_Price_"/>
      <sheetName val="견적_맵"/>
      <sheetName val="업무분장_"/>
      <sheetName val="7300-1000_111"/>
      <sheetName val="PJT_현황"/>
      <sheetName val="참고)_기준정보"/>
      <sheetName val="Long_Term_Prices"/>
      <sheetName val="문의내용_카테고리_분류(수정X)"/>
      <sheetName val="Sensitivity_and_GC_Value"/>
      <sheetName val="Insight MTD QTD YTD DATA"/>
      <sheetName val="Working (PivotTable)"/>
      <sheetName val="Essbase (53 Weeks)"/>
      <sheetName val="Essbase (52 Weeks)"/>
      <sheetName val="Store Listing"/>
      <sheetName val="COMP Working"/>
      <sheetName val="Q1"/>
      <sheetName val="Q2"/>
      <sheetName val="Q3"/>
      <sheetName val="COMP LLY Working"/>
      <sheetName val="주주명부&lt;끝&gt;"/>
      <sheetName val="지역개발"/>
      <sheetName val="매입매출(입력)"/>
      <sheetName val="상표권"/>
      <sheetName val="품목리스트"/>
      <sheetName val="공사비지급"/>
      <sheetName val="사업단위"/>
      <sheetName val="운영경비 세부작성근거"/>
      <sheetName val="⑤항목별2"/>
      <sheetName val="산출기준(파견전산실)"/>
      <sheetName val="보빈규격"/>
      <sheetName val="변동률산출"/>
      <sheetName val="완성차 미수금"/>
      <sheetName val="토지평가조서(발송용)"/>
      <sheetName val="1_종합손익(도급)12"/>
      <sheetName val="1_종합손익(주택,개발)12"/>
      <sheetName val="2_실행예산12"/>
      <sheetName val="2_2과부족12"/>
      <sheetName val="2_3원가절감12"/>
      <sheetName val="8_외주비집행현황12"/>
      <sheetName val="9_자재비12"/>
      <sheetName val="10_현장집행12"/>
      <sheetName val="3_추가원가12"/>
      <sheetName val="3_추가원가_(2)12"/>
      <sheetName val="4_사전공사12"/>
      <sheetName val="5_추정공사비12"/>
      <sheetName val="6_금융비용12"/>
      <sheetName val="7_공사비집행현황(총괄)12"/>
      <sheetName val="11_1생산성12"/>
      <sheetName val="11_2인원산출12"/>
      <sheetName val="b_balju_(2)11"/>
      <sheetName val="__한국_AMP_ASP-23_판매가격__11"/>
      <sheetName val="변경실행(2차)_11"/>
      <sheetName val="CC_Down_load_071611"/>
      <sheetName val="나_출고11"/>
      <sheetName val="나_입고11"/>
      <sheetName val="09년_인건비(속리산)11"/>
      <sheetName val="합산목표(감가+57_5)11"/>
      <sheetName val="Facility_Information4"/>
      <sheetName val="6PILE__(돌출)11"/>
      <sheetName val="기성청구_공문11"/>
      <sheetName val="제조원가_원단위_분석11"/>
      <sheetName val="종합표양식(품의_&amp;_입고)_211"/>
      <sheetName val="원가관리_(동월대비)11"/>
      <sheetName val="2-2_매출분석11"/>
      <sheetName val="중기조종사_단위단가11"/>
      <sheetName val="몰드시스템_리스트11"/>
      <sheetName val="7_(2)13"/>
      <sheetName val="11_외화채무증권(AFS,HTM)0811"/>
      <sheetName val="13_감액TEST_0811"/>
      <sheetName val="Sheet1_(2)11"/>
      <sheetName val="表21_净利润调节表10"/>
      <sheetName val="2_총괄표9"/>
      <sheetName val="sum1_(2)9"/>
      <sheetName val="12년_CF(9월)11"/>
      <sheetName val="Utility_Usage_YTN_TOWER3"/>
      <sheetName val="118_세금과공과4"/>
      <sheetName val="2_대외공문9"/>
      <sheetName val="3_바닥판설계9"/>
      <sheetName val="504전기실_동부하-L9"/>
      <sheetName val="OUTER_AREA(겹침없음)9"/>
      <sheetName val="EL_표면적9"/>
      <sheetName val="P_M_별5"/>
      <sheetName val="TRE_TABLE9"/>
      <sheetName val="입출재고현황_(2)9"/>
      <sheetName val="입찰내역_발주처_양식9"/>
      <sheetName val="설산1_나3"/>
      <sheetName val="Back_Data_14"/>
      <sheetName val="1__작성방식3"/>
      <sheetName val="Project_Brief4"/>
      <sheetName val="2_주요계수총괄4"/>
      <sheetName val="단면_(2)4"/>
      <sheetName val="1_본사계정별4"/>
      <sheetName val="전사_PL14"/>
      <sheetName val="자금_제외_PL14"/>
      <sheetName val="자금_PL14"/>
      <sheetName val="전사_BS14"/>
      <sheetName val="자금_제외_BS14"/>
      <sheetName val="자금_BS14"/>
      <sheetName val="BS_계정_설명14"/>
      <sheetName val="_Cash_Flow(전사)14"/>
      <sheetName val="_Cash_Flow(자금제외)14"/>
      <sheetName val="_Cash_Flow(자금)14"/>
      <sheetName val="ROIC_14"/>
      <sheetName val="인건비_명세14"/>
      <sheetName val="판관비_명세14"/>
      <sheetName val="OH_Cost경비(내역)14"/>
      <sheetName val="OH_Cost경비(배부기준)14"/>
      <sheetName val="기타수지&amp;특별손익_명세14"/>
      <sheetName val="Process_List13"/>
      <sheetName val="제시_손익계산서13"/>
      <sheetName val="업무연락_(2)13"/>
      <sheetName val="M_7회차_담금_계획13"/>
      <sheetName val="01_02월_성과급14"/>
      <sheetName val="09~10년_매출계획11"/>
      <sheetName val="97_사업추정(WEKI)9"/>
      <sheetName val="팀별_실적13"/>
      <sheetName val="팀별_실적_(환산)13"/>
      <sheetName val="6월_공정외주9"/>
      <sheetName val="Tong_hop9"/>
      <sheetName val="95_1_1이후취득자산(숨기기상태)9"/>
      <sheetName val="1_MDF1공장11"/>
      <sheetName val="1__시공측량3"/>
      <sheetName val="근거_및_가정3"/>
      <sheetName val="2_카드채권(대출포함)10"/>
      <sheetName val="PAD_TR보호대기초3"/>
      <sheetName val="수종별수량_(2)3"/>
      <sheetName val="1_차입금3"/>
      <sheetName val="부대시행1_(2)3"/>
      <sheetName val="3_6_2남양주택배3"/>
      <sheetName val="해외_기술훈련비_(합계)4"/>
      <sheetName val="설문_평가3"/>
      <sheetName val="_견적서3"/>
      <sheetName val="전선_및_전선관3"/>
      <sheetName val="1월_예산3"/>
      <sheetName val="#1)_투자_구분3"/>
      <sheetName val="납부내역총괄표_(수정)3"/>
      <sheetName val="B-1_기본정보3"/>
      <sheetName val="Weekly_Progress(계장)3"/>
      <sheetName val="대투_보관자료_변경3"/>
      <sheetName val="표)CFT장_조직별_배분3"/>
      <sheetName val="20180214_P&amp;T3"/>
      <sheetName val="Ref__중점_추진_과제별_상세3"/>
      <sheetName val="실행기성_갑지3"/>
      <sheetName val="Eq__Mobilization2"/>
      <sheetName val="외주현황_wq13"/>
      <sheetName val="Bank_code3"/>
      <sheetName val="Drop-down_RAW3"/>
      <sheetName val="Basic_Information3"/>
      <sheetName val="Exchange_rate3"/>
      <sheetName val="2013_2월_연결대상3"/>
      <sheetName val="보고서_표2"/>
      <sheetName val="0__가정_및_결론2"/>
      <sheetName val="1__투자비2"/>
      <sheetName val="2__Rent-roll2"/>
      <sheetName val="3__Funding2"/>
      <sheetName val="4__운영수익2"/>
      <sheetName val="5__운영비용2"/>
      <sheetName val="6_1_N+1년차_NOI_산정2"/>
      <sheetName val="6__부동산매각2"/>
      <sheetName val="7__보유세2"/>
      <sheetName val="8__교통유발부담금2"/>
      <sheetName val="9__BS부속2"/>
      <sheetName val="10__CF(M)2"/>
      <sheetName val="11__IS(M)2"/>
      <sheetName val="12__BS(M)2"/>
      <sheetName val="14__IS(FY)2"/>
      <sheetName val="13__CF(FY)2"/>
      <sheetName val="15__BS(FY)2"/>
      <sheetName val="16__RE(FY)2"/>
      <sheetName val="G_R300경비2"/>
      <sheetName val="AS포장복구_2"/>
      <sheetName val="설_계2"/>
      <sheetName val="F_월별기성수금현황_2"/>
      <sheetName val="준검_내역서2"/>
      <sheetName val="Rev__Recon_12"/>
      <sheetName val="1_고객불만건수2"/>
      <sheetName val="1_변경범위2"/>
      <sheetName val="수량산출서_갑지2"/>
      <sheetName val="KEY_CODE3"/>
      <sheetName val="2-1_강사료,교통비_지급명세3"/>
      <sheetName val="13_포장용역비표준3"/>
      <sheetName val="9_가공부자재표준3"/>
      <sheetName val="8_ROLL표준(TSW)3"/>
      <sheetName val="4_톤당조관량표준3"/>
      <sheetName val="5_조관부자재표준3"/>
      <sheetName val="4__Inj_투자상세내역13"/>
      <sheetName val="3__Blow_투자_상세내역13"/>
      <sheetName val="Jul-Sep_Actual_cost_(2)8"/>
      <sheetName val="요일_테이블13"/>
      <sheetName val="요일_테이블_(2)12"/>
      <sheetName val="TO_Data_Base21"/>
      <sheetName val="YTD_Summary20"/>
      <sheetName val="Month_Summary20"/>
      <sheetName val="Trial_Balance_MAY_200920"/>
      <sheetName val="TB_Pivot20"/>
      <sheetName val="total_per_LB_LB220"/>
      <sheetName val="Trial_Balance_Vlookup20"/>
      <sheetName val="Trial_Balance_APRIL_200920"/>
      <sheetName val="Roll_Out_AQ20"/>
      <sheetName val="Evolução_mandamentos20"/>
      <sheetName val="Planilha_resultados19"/>
      <sheetName val="Historico_200319"/>
      <sheetName val="Sig_Cycles_Accts_&amp;_Processes19"/>
      <sheetName val="3_ISo_YTD13"/>
      <sheetName val="E_法规NC13"/>
      <sheetName val="Données_LMU13"/>
      <sheetName val="Brazil_Sovereign13"/>
      <sheetName val="Resumen_Costo13"/>
      <sheetName val="Fixed_ZBB13"/>
      <sheetName val="5_113"/>
      <sheetName val="Extract_Loss13"/>
      <sheetName val="QA_跟踪记录表13"/>
      <sheetName val="RG_Depots13"/>
      <sheetName val="material_data13"/>
      <sheetName val="other_data13"/>
      <sheetName val="Como_Estamos13"/>
      <sheetName val="Database_(RUR)Mar_YTD13"/>
      <sheetName val="SKU_Mapping13"/>
      <sheetName val="Drop_Down13"/>
      <sheetName val="Raw_Data13"/>
      <sheetName val="EBM-2_GHQ13"/>
      <sheetName val="Base_PEF14"/>
      <sheetName val="Base_de_Dados13"/>
      <sheetName val="Testing_Template_Guidance13"/>
      <sheetName val="Test_Programs13"/>
      <sheetName val="Dados_BLP13"/>
      <sheetName val="Controls_data15"/>
      <sheetName val="FJJX_Bud_IB12"/>
      <sheetName val="look-up_data12"/>
      <sheetName val="JOB_PROFILE_-_LAS13"/>
      <sheetName val="ARdistr_(2)13"/>
      <sheetName val="Prd_Hierarchy(产品层级)12"/>
      <sheetName val="Com_(2PK)12"/>
      <sheetName val="Prd_Hierarchy(产品层次)12"/>
      <sheetName val="Project_Code12"/>
      <sheetName val="15년_BL_사계12"/>
      <sheetName val="_손익기01_XL12"/>
      <sheetName val="drop_down_list12"/>
      <sheetName val="[손익기01_XL_x005f_x0000__x005f_x0000_DePara12"/>
      <sheetName val="[손익기01_XL12"/>
      <sheetName val="Income_Stmt12"/>
      <sheetName val="Quarterly_LBO_Model12"/>
      <sheetName val="_손익기01_XL_x005f_x0000__x005f_x0000_DePara12"/>
      <sheetName val="Classification_分类11"/>
      <sheetName val="Figures_Report11"/>
      <sheetName val="Set_Up12"/>
      <sheetName val="Fare_prices11"/>
      <sheetName val="Hotel_prices11"/>
      <sheetName val="tab_STATUS_DO_PROCESSO_11"/>
      <sheetName val="Perf__Plan__Diário111"/>
      <sheetName val="In_(2)11"/>
      <sheetName val="slide_24_cat_A11"/>
      <sheetName val="slide_82_cat_b11"/>
      <sheetName val="Incident_유형구분표11"/>
      <sheetName val="CLASIFICACION_DE_AI11"/>
      <sheetName val="Base_da_Datos11"/>
      <sheetName val="Dados_dos_Produtos11"/>
      <sheetName val="DD_list11"/>
      <sheetName val="3YP2016-Bottom_up10"/>
      <sheetName val="MASTER_APP10"/>
      <sheetName val="Cond__Inseguros10"/>
      <sheetName val="Comp__Inseguros10"/>
      <sheetName val="Lista_de_datos10"/>
      <sheetName val="Base_de_Datos10"/>
      <sheetName val="_DD_List10"/>
      <sheetName val="Share_Price_200210"/>
      <sheetName val="Clasif_10"/>
      <sheetName val="Lista_CI10"/>
      <sheetName val="Farol_Acciones10"/>
      <sheetName val="Lista_de_Entrenamientos10"/>
      <sheetName val="Supply_Cost_Centers10"/>
      <sheetName val="BEP_加薪_KPI9"/>
      <sheetName val="2-2_투자3"/>
      <sheetName val="Proj__Fin_3"/>
      <sheetName val="ITS_Assumptions2"/>
      <sheetName val="Master_Data2"/>
      <sheetName val="HQ_급여_2"/>
      <sheetName val="OF_급여2"/>
      <sheetName val="F_Ma급여2"/>
      <sheetName val="SMT_급여2"/>
      <sheetName val="QC_급여2"/>
      <sheetName val="Sam_sung_급여2"/>
      <sheetName val="Dlock_급여2"/>
      <sheetName val="_thôi_việc_급여2"/>
      <sheetName val="Công_smt2"/>
      <sheetName val="Công_smt_(2)2"/>
      <sheetName val="Detail_smt2"/>
      <sheetName val="Công_QC2"/>
      <sheetName val="Detail_QC_2"/>
      <sheetName val="Công_SS2"/>
      <sheetName val="Detail_SS2"/>
      <sheetName val="Công_FMa2"/>
      <sheetName val="Detail_FMa2"/>
      <sheetName val="Công_OF2"/>
      <sheetName val="Detail_OF2"/>
      <sheetName val="Công_Dlock2"/>
      <sheetName val="Detail_Dlock2"/>
      <sheetName val="Công_thôi_việc2"/>
      <sheetName val="Detail_thôi2"/>
      <sheetName val="7_Utility_Analysis2"/>
      <sheetName val="Operational_Activities2"/>
      <sheetName val="기초정보_코드2"/>
      <sheetName val="조도계산서_(도서)2"/>
      <sheetName val="날개수량1_52"/>
      <sheetName val="C1_3_12"/>
      <sheetName val="진행_DATA_(2)2"/>
      <sheetName val="NG_Item2"/>
      <sheetName val="4_1_월별_에너지_사용량2"/>
      <sheetName val="TOWER_12TON2"/>
      <sheetName val="TOWER_10TON2"/>
      <sheetName val="JIB_CRANE,HOIST2"/>
      <sheetName val="Worker_List2"/>
      <sheetName val="GB-IC_Villingen_GG2"/>
      <sheetName val="6월_공嚺㓶가2"/>
      <sheetName val="M&amp;Q_Lead2"/>
      <sheetName val="Ref__Spec_Review_양식2"/>
      <sheetName val="Ref__시험항목_테이블2"/>
      <sheetName val="Ref__Search_Result_테이블2"/>
      <sheetName val="2_6_三无_(2)2"/>
      <sheetName val="3_일반사상1"/>
      <sheetName val="부재료_비교(11년_vs_10년)7"/>
      <sheetName val="Dashboard_Prevención_Riesgos_9"/>
      <sheetName val="TOP_KPIs_MTM9"/>
      <sheetName val="PLAN_DE_ACCION9"/>
      <sheetName val="Faro_de_Indicadores9"/>
      <sheetName val="Unidades_SAC-REVENDA11"/>
      <sheetName val="FornecM_Check9"/>
      <sheetName val="Hazards_Analysis-隐患分析9"/>
      <sheetName val="F08_-_Asia_Pac_Full_Year_Q310"/>
      <sheetName val="Top_Priorities10"/>
      <sheetName val="Listco_Stock10"/>
      <sheetName val="Intl_Purchase10"/>
      <sheetName val="FY_outlook10"/>
      <sheetName val="CY_outlook10"/>
      <sheetName val="Cash_metrics10"/>
      <sheetName val="P6_710"/>
      <sheetName val="DATOS_BASE9"/>
      <sheetName val="Estratificación_AI9"/>
      <sheetName val="condicion_inseguras9"/>
      <sheetName val="Actos_Inseguros9"/>
      <sheetName val="Control_de_incidentes9"/>
      <sheetName val="Plan_de_Acción9"/>
      <sheetName val="_손익기01_XL_x005f_x005f_x005f_x0000__x005f_x005f_x9"/>
      <sheetName val="Issues_List_Payments9"/>
      <sheetName val="turnover_reason퇴직사유9"/>
      <sheetName val="Grafica_Actos9"/>
      <sheetName val="POC_LIST9"/>
      <sheetName val="Condiciones_SyE9"/>
      <sheetName val="DETALLE_MENSUAL9"/>
      <sheetName val="do_not_delete9"/>
      <sheetName val="APAC_S9"/>
      <sheetName val="APAC_N9"/>
      <sheetName val="Slide_output9"/>
      <sheetName val="[손익기01_XL??DePara9"/>
      <sheetName val="Farol_Metas9"/>
      <sheetName val="Mod_Relac_9"/>
      <sheetName val="REALxMETA_-_CERVEJA11"/>
      <sheetName val="REALxMETA_-_REFRI11"/>
      <sheetName val="Directrices_de_Metas_20179"/>
      <sheetName val="SKU_Basic_Data9"/>
      <sheetName val="Entity_Target9"/>
      <sheetName val="VALIDACION_DE_DATOS8"/>
      <sheetName val="Drop-down_List8"/>
      <sheetName val="by_DD8"/>
      <sheetName val="Check_Qualidade7"/>
      <sheetName val="De_Para8"/>
      <sheetName val="Check_Aderencia7"/>
      <sheetName val="A(Rev_3)1"/>
      <sheetName val="업무_분류(Category)1"/>
      <sheetName val="#1_Basic2"/>
      <sheetName val="첨부#2_Cash_Flow(현장작성)1"/>
      <sheetName val="산자사_운전용품1"/>
      <sheetName val="1_수인터널1"/>
      <sheetName val="입찰내역_Ĉ1"/>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STRAT_PLAN_WKSHT3"/>
      <sheetName val="Sales_Plan_&amp;_other3"/>
      <sheetName val="drop_downs2"/>
      <sheetName val="전기요금_산출내역"/>
      <sheetName val="Project_Count1"/>
      <sheetName val="2_FM_Fee_2차년도"/>
      <sheetName val="3_감가장비"/>
      <sheetName val="시스템_개요_유효값"/>
      <sheetName val="문의내용_카테고리_분류(수정X)1"/>
      <sheetName val="업무분장_1"/>
      <sheetName val="7300-1000_112"/>
      <sheetName val="PJT_현황1"/>
      <sheetName val="참고)_기준정보1"/>
      <sheetName val="Long_Term_Prices1"/>
      <sheetName val="Diesel_Price_1"/>
      <sheetName val="견적_맵1"/>
      <sheetName val="_손익기01_XL_x005f_x0000__x07"/>
      <sheetName val="Base_Farol7"/>
      <sheetName val="Gerencial_IL7"/>
      <sheetName val="Ventas_Campo7"/>
      <sheetName val="ACTOS_POR_RIESGO7"/>
      <sheetName val="drop_lists7"/>
      <sheetName val="MRL_NON_SUPPLY_URU7"/>
      <sheetName val="AIIM_-_Empresas_Ext_20127"/>
      <sheetName val="KPIs_Hana7"/>
      <sheetName val="Catalago_de_refacciones_7"/>
      <sheetName val="Existencias_al_07-Nov-20127"/>
      <sheetName val="Check_GG7"/>
      <sheetName val="Sheet3_(2)7"/>
      <sheetName val="요일_테이블_7"/>
      <sheetName val="Nombre_de_SOP7"/>
      <sheetName val="_mngt_Pillar7"/>
      <sheetName val="2__Indicadores7"/>
      <sheetName val="Ta_7"/>
      <sheetName val="Lao_&amp;_Cam7"/>
      <sheetName val="Hoegaarden_20197"/>
      <sheetName val="Lao_&amp;_Cam_20197"/>
      <sheetName val="Malaysia_20197"/>
      <sheetName val="Singapore_20197"/>
      <sheetName val="Sheet2_(2)7"/>
      <sheetName val="Other_Listings7"/>
      <sheetName val="Lista_de_Entrenamientos_RSO7"/>
      <sheetName val="Tablero_SDG10"/>
      <sheetName val="Lista_Areas10"/>
      <sheetName val="One_Page10"/>
      <sheetName val="Sub-Productos_HN8"/>
      <sheetName val="Eficiencia_linea7"/>
      <sheetName val="Pauta_RPS_Distribuição6"/>
      <sheetName val="Estoque_(2)6"/>
      <sheetName val="Comp_Inseguros6"/>
      <sheetName val="BNR_2012_в_ящике6"/>
      <sheetName val="DATOS_DE_VALIDACIÓN6"/>
      <sheetName val="Datos_con6"/>
      <sheetName val="_Datos_Cond_6"/>
      <sheetName val="DO_NOT_MOVE6"/>
      <sheetName val="INGRESO_(2)6"/>
      <sheetName val="PG-K1610_(UEN_Areas)MNG6"/>
      <sheetName val="DATOS_GEN_6"/>
      <sheetName val="NUEVOS_CRITERIOS6"/>
      <sheetName val="Condiciones_Agua6"/>
      <sheetName val="control_sheet1"/>
      <sheetName val="구분_Table1"/>
      <sheetName val="PF_현황(11년12월)1"/>
      <sheetName val="역T형옹벽(3_0)1"/>
      <sheetName val="노원열병합__건축공사기성내역서"/>
      <sheetName val="Dropdown_list5"/>
      <sheetName val="Control_de_Fallas5"/>
      <sheetName val="Setup_for_Templates5"/>
      <sheetName val="Datos_emp5"/>
      <sheetName val="Drop_list5"/>
      <sheetName val="FX_Rates5"/>
      <sheetName val="Proced_5"/>
      <sheetName val="Cut_Machine_Summary5"/>
      <sheetName val="Validation_lists5"/>
      <sheetName val="__한국_AMP_ASP-23_판㧤가격__5"/>
      <sheetName val="11_䡸화채무줝ⴌ(AFS,HTM)085"/>
      <sheetName val="TIPO_DE_ACTO5"/>
      <sheetName val="CRITICIDAD_DE_CI5"/>
      <sheetName val="Catálogo_de_CI5"/>
      <sheetName val="%_CUMPLIMIENTO5"/>
      <sheetName val="%_cumplimiento_5"/>
      <sheetName val="CALIFICACIONES_20193"/>
      <sheetName val="Lev_4_360_deg_check_Crit_Task3"/>
      <sheetName val="Lev_4_Chk_IC_Stock_Crit_Task3"/>
      <sheetName val="Lev_4_WMS_Putaway_Crit_Task3"/>
      <sheetName val="Vagas_x_Candidatos5"/>
      <sheetName val="Listas_y_equipos_a_evaluar5"/>
      <sheetName val="Data_Reporte5"/>
      <sheetName val="Read_me5"/>
      <sheetName val="Champions_List4"/>
      <sheetName val="NAZ_Strategy3"/>
      <sheetName val="Daily_Dashboard5"/>
      <sheetName val="Mapeo_SKUs5"/>
      <sheetName val="Vol_(Ds)5"/>
      <sheetName val="Vol_(Ka)5"/>
      <sheetName val="Vol_(Oth)5"/>
      <sheetName val="Vol_(Oth)_Cortesias5"/>
      <sheetName val="INPUT-Cust_Sugg_Margin(Ds)5"/>
      <sheetName val="On_Invoice5"/>
      <sheetName val="INPUT-Cust_Sugg_Margin(Ka)5"/>
      <sheetName val="INPUT_SKUs5"/>
      <sheetName val="Brand_P&amp;L3"/>
      <sheetName val="SUPERMONT_P3"/>
      <sheetName val="Data_selection3"/>
      <sheetName val="1_3"/>
      <sheetName val="Customer_&amp;_SO3"/>
      <sheetName val="Session_Proposal3"/>
      <sheetName val="Dropdown_Menu1"/>
      <sheetName val="Análise_Tempos2"/>
      <sheetName val="Incentivo_Automóvil2"/>
      <sheetName val="PDA_BOP2"/>
      <sheetName val="Validação_de_Dados2"/>
      <sheetName val="No_llenar_2"/>
      <sheetName val="유류대_현황1"/>
      <sheetName val="1__템플릿1"/>
      <sheetName val="2__작성_참고사항1"/>
      <sheetName val="mapping_(2)1"/>
      <sheetName val="Ref_1"/>
      <sheetName val="Lista_de_Motivos2"/>
      <sheetName val="Ponto_Crítico_-_Resp__Plano2"/>
      <sheetName val="Lista_Funcionários_(2)2"/>
      <sheetName val="2_3_Projects_Status1"/>
      <sheetName val="PROCESS_MD2"/>
      <sheetName val="Consolidated_Project_List1"/>
      <sheetName val="Fixed_Cost1"/>
      <sheetName val="Project_List1"/>
      <sheetName val="Выпадающие_списки1"/>
      <sheetName val="Listas_desplegables1"/>
      <sheetName val="Resumen_General1"/>
      <sheetName val="Cátalogo_de_CI1"/>
      <sheetName val="Hoja2_(2)1"/>
      <sheetName val="Technology_check_list1"/>
      <sheetName val="Status_de_Usuario1"/>
      <sheetName val="Actos_y_Condiciones_1"/>
      <sheetName val="NO_BORRAR1"/>
      <sheetName val="Formato_checklist_Lab1"/>
      <sheetName val="SOP_Freshness"/>
      <sheetName val="PAINEL_RECOLHA_CRÉDITO2"/>
      <sheetName val="Gráficos_-_CDD2"/>
      <sheetName val="3__Training_&amp;_travel"/>
      <sheetName val="Dimension_IN_Sheet1!D1912"/>
      <sheetName val="Dimension_IN_1912"/>
      <sheetName val="Manage_to_Sustain"/>
      <sheetName val="Meeting_List"/>
      <sheetName val="Packages_Info"/>
      <sheetName val="Preferred_Option"/>
      <sheetName val="입문_트랜드(종합분석)"/>
      <sheetName val="Master_CE"/>
      <sheetName val="CE_Final_"/>
      <sheetName val="OL_LIST"/>
      <sheetName val="YTD_GUEST_LIST"/>
      <sheetName val="Session_Full_list"/>
      <sheetName val="FOOD_PAYMENT_update_JAN"/>
      <sheetName val="Rate_card_F19_"/>
      <sheetName val="Master_Plan__(update)"/>
      <sheetName val="The_KPI_"/>
      <sheetName val="Mentor_Plan_"/>
      <sheetName val="Master_Plan_"/>
      <sheetName val="Tier_1_GOV_PC_Networking_"/>
      <sheetName val="Tier_1_LBO_"/>
      <sheetName val="2020_MMR12"/>
      <sheetName val="Razão_Social"/>
      <sheetName val="외상매출금현황-수정분_A21"/>
      <sheetName val="1-2_설계변경요청서(갑지)1"/>
      <sheetName val="첨부1_(주차관제-_당공)1"/>
      <sheetName val="첨부1-1_설계변경내역서(CCTV)1"/>
      <sheetName val="첨부1-2_(주차관제-변공)1"/>
      <sheetName val="2-6_변공량(추가공사)1"/>
      <sheetName val="_2-1_관제(물량산출서집계표)1"/>
      <sheetName val="_2-2_유도(물량산출서집계표)1"/>
      <sheetName val="3-1_주차관제1"/>
      <sheetName val="3-2_주차-광케이블1"/>
      <sheetName val="3-3_층별LPR1"/>
      <sheetName val="4-1_유도-광케이블1"/>
      <sheetName val="4-2_주차키오스크1"/>
      <sheetName val="4-3_4면카메라1"/>
      <sheetName val="4-5_CCTV1"/>
      <sheetName val="4-6_블럭유도등1"/>
      <sheetName val="4-7_입구만차등1"/>
      <sheetName val="4-8_비상벨1"/>
      <sheetName val="1~9_하중계산"/>
      <sheetName val="JT3_0견적-구1"/>
      <sheetName val="Dropbox_목록1"/>
      <sheetName val="경영비율_1"/>
      <sheetName val="07_01"/>
      <sheetName val="수량산출서_(2)"/>
      <sheetName val="2_실행ﶻ"/>
      <sheetName val="NCR_HEC_6_Opens"/>
      <sheetName val="NCR_HEC_4_Open_&amp;_Vendor_2_Opens"/>
      <sheetName val="Mot_So_Thuat_Ngu_EN-VI1"/>
      <sheetName val="Investment_Category"/>
      <sheetName val="3_공통공사대비"/>
      <sheetName val="현장관리비_산출내역"/>
      <sheetName val="무형자산_LS11"/>
      <sheetName val="실행내역서_"/>
      <sheetName val="SRS_월별_BS1"/>
      <sheetName val="평가&amp;선급_미지급1"/>
      <sheetName val="EXC_IND"/>
      <sheetName val="COLOR별_인쇄"/>
      <sheetName val="10_예산_및_원가_계획(02년)"/>
      <sheetName val="Sensitivity_and_GC_Value1"/>
      <sheetName val="2_Consideration_sheet"/>
      <sheetName val="3__Export"/>
      <sheetName val="_x005f_x0000__㴐ኰ"/>
      <sheetName val="_x005f_x0000__움ᕕ"/>
      <sheetName val="방배동내역_(총괄)"/>
      <sheetName val="BSD_(2)"/>
      <sheetName val="NKC_(final)1"/>
      <sheetName val="504전기실Ԁ"/>
      <sheetName val="토공(우물통,기타)_"/>
      <sheetName val="입찰내역_Ԁ"/>
      <sheetName val="총_원가계산"/>
      <sheetName val="첨부1-2__증감사유내역서(을)"/>
      <sheetName val="유효성_목록"/>
      <sheetName val="20년_동일기간_소테마"/>
      <sheetName val="4월_매출"/>
      <sheetName val="1_설계조건"/>
      <sheetName val="1_설계기준"/>
      <sheetName val="6PILE__(剙"/>
      <sheetName val="입찰내역_⊍∀的"/>
      <sheetName val="단독빌딩_총합계본"/>
      <sheetName val="참고3_DATA"/>
      <sheetName val="_Drop"/>
      <sheetName val="3_판관비명세서"/>
      <sheetName val="경계석,골재외_(2)"/>
      <sheetName val="ALK_Chi_tiết_công_nợ"/>
      <sheetName val="CHITIET_VL-NC-TT1p"/>
      <sheetName val="7__2_3"/>
      <sheetName val="Report_Setup2"/>
      <sheetName val="OWNER-1_(2)2"/>
      <sheetName val="고객만족도_향상"/>
      <sheetName val="108_수선비"/>
      <sheetName val="BS준비_XLS"/>
      <sheetName val="BS%EC%A4%80%EB%B9%84_XLS"/>
      <sheetName val="퇴직금추계(04_9_30)"/>
      <sheetName val="1_경제설계"/>
      <sheetName val="경수97_02"/>
      <sheetName val="1995년_섹터별_매출"/>
      <sheetName val="44-2Q_주석_xlsx"/>
      <sheetName val="팀_업체별_월기성실적"/>
      <sheetName val="팀_업체별_시공의뢰"/>
      <sheetName val="A_(3)"/>
      <sheetName val="DL08_DF_모드"/>
      <sheetName val="원지_수급가"/>
      <sheetName val="2_상각보정명세"/>
      <sheetName val="4b_Consolidated_PL"/>
      <sheetName val="TT_List"/>
      <sheetName val="sum_"/>
      <sheetName val="SPT_vs_PHI"/>
      <sheetName val="목차_"/>
      <sheetName val="0__물류비집계_rev1"/>
      <sheetName val="0__물류비_집계"/>
      <sheetName val="(1-2)_국내_구간별_운송_견적_1"/>
      <sheetName val="(1-1)_국내_구간별_운송_실적__(2)"/>
      <sheetName val="(1)_국내_사이트_상세_주소_"/>
      <sheetName val="수입_건수_정리"/>
      <sheetName val="(2-1)_수출_해상_(LCL)_"/>
      <sheetName val="(2-2)_수출_항공_"/>
      <sheetName val="(2-4)_수출_내륙_운송료"/>
      <sheetName val="(3-1)_수입_해상_(FCL)"/>
      <sheetName val="(3-2)_수입_해상_(LCL)_"/>
      <sheetName val="(3-3)_수입_항공_"/>
      <sheetName val="(3-5)_수입_내륙_운송료"/>
      <sheetName val="운송내역_"/>
      <sheetName val="카테고리_분류_(수정X)"/>
      <sheetName val="PH_5"/>
      <sheetName val="bar_chart-rev"/>
      <sheetName val="Insight_MTD_QTD_YTD_DATA"/>
      <sheetName val="Working_(PivotTable)"/>
      <sheetName val="Essbase_(53_Weeks)"/>
      <sheetName val="Essbase_(52_Weeks)"/>
      <sheetName val="Store_Listing"/>
      <sheetName val="COMP_Working"/>
      <sheetName val="COMP_LLY_Working"/>
      <sheetName val="운영경비_세부작성근거"/>
      <sheetName val="완성차_미수금"/>
      <sheetName val="inter"/>
      <sheetName val="UPA(Part C,D,E,G,H)"/>
      <sheetName val="UPA(Part F)"/>
      <sheetName val="Materials"/>
      <sheetName val="일위대가 (Part C,D,E,G,H)"/>
      <sheetName val="Insulation_Utl_Off"/>
      <sheetName val="Note_Piping"/>
      <sheetName val="실행"/>
      <sheetName val="1_종합손익(주택,绘ÿ헾⽊"/>
      <sheetName val="제조원가_원단ၒ_x0000__x0000__x0000_"/>
      <sheetName val="제조원가_원단_x0000_좏_x0000__x0000_"/>
      <sheetName val="제조원가_원단_x0000_泀_x0000__x0000_"/>
      <sheetName val="제조원가_원단_x0010__x0000_༘֜"/>
      <sheetName val="제조원가_원단_x0000_ī_x0000_"/>
      <sheetName val="504전기실__x0000_Ԁ_x0000_"/>
      <sheetName val="504전기실__x0000_Ԁ_x0000_က"/>
      <sheetName val="직종부호"/>
      <sheetName val="합산목표(감가+5"/>
      <sheetName val="97노임단가"/>
      <sheetName val="입력란"/>
      <sheetName val="L형옹벽"/>
      <sheetName val="물가정보"/>
      <sheetName val="정부노임"/>
      <sheetName val="ITB COST"/>
      <sheetName val="수량이동"/>
      <sheetName val="Ⅴ-2.공종별내역"/>
      <sheetName val="단양 00 아파트-세부내역"/>
      <sheetName val="암거날개벽"/>
      <sheetName val="토지조서(원본)"/>
      <sheetName val="T13(P68~72,78)"/>
      <sheetName val="책임준비금"/>
      <sheetName val="4Q주석"/>
      <sheetName val="KEBHANA(평균환율)"/>
      <sheetName val="SAP 검증(평균환율)"/>
      <sheetName val="KEBHANA(월말환율)"/>
      <sheetName val="SAP 검증(월말환율)"/>
      <sheetName val="환율"/>
      <sheetName val="작성방법"/>
      <sheetName val="전분기말 정산표(PQE)"/>
      <sheetName val="전년동기 정산표"/>
      <sheetName val="전기말 정산표(PYE)"/>
      <sheetName val="당기말 정산표(CPE)"/>
      <sheetName val="회사명"/>
      <sheetName val="목차(Contents)"/>
      <sheetName val="연결정산표"/>
      <sheetName val="범주별"/>
      <sheetName val="A01-1"/>
      <sheetName val="A01-2"/>
      <sheetName val="A01-3"/>
      <sheetName val="A01-3 조정내역"/>
      <sheetName val="A01-3 단순합산"/>
      <sheetName val="현금등"/>
      <sheetName val="A02-1"/>
      <sheetName val="A02-2"/>
      <sheetName val="CF_refer"/>
      <sheetName val="매출채권 및 금융자산"/>
      <sheetName val="A03-1"/>
      <sheetName val="A03-2"/>
      <sheetName val="A03-3"/>
      <sheetName val="A03-3 연결조정"/>
      <sheetName val="A04-1"/>
      <sheetName val="A04-2"/>
      <sheetName val="A04-3"/>
      <sheetName val="A04-4"/>
      <sheetName val="재고"/>
      <sheetName val="A05"/>
      <sheetName val="기타자산"/>
      <sheetName val="A06"/>
      <sheetName val="유형자산"/>
      <sheetName val="A07"/>
      <sheetName val="A07. 유형자산 차기이월, 미실현"/>
      <sheetName val="A07. 유형자산 감가상각"/>
      <sheetName val="A08"/>
      <sheetName val="A08. 연결 조정"/>
      <sheetName val="A09"/>
      <sheetName val="A09. 연결 조정"/>
      <sheetName val="A10"/>
      <sheetName val="A11"/>
      <sheetName val="차입금(완)"/>
      <sheetName val="B01-1"/>
      <sheetName val="B01-2"/>
      <sheetName val="B01-3"/>
      <sheetName val="B01-4"/>
      <sheetName val="B02"/>
      <sheetName val="B03"/>
      <sheetName val="B01 연결 조정"/>
      <sheetName val="순확정급여부채"/>
      <sheetName val="B04"/>
      <sheetName val="B04-1"/>
      <sheetName val="B04 연결 조정"/>
      <sheetName val="충당,계약부채"/>
      <sheetName val="B05 연결 조정"/>
      <sheetName val="B06"/>
      <sheetName val="납입자본(연결자본변동표 참조 작성)"/>
      <sheetName val="이익잉여금(연결자본변동표 참조 작성)"/>
      <sheetName val="기타포괄손익누계액(연결자본변동표 참조 작성)"/>
      <sheetName val="C01(신)"/>
      <sheetName val="C01(구)"/>
      <sheetName val="C02"/>
      <sheetName val="비용의성격"/>
      <sheetName val="D01-1"/>
      <sheetName val="D01-2"/>
      <sheetName val="D01 연결 조정"/>
      <sheetName val="판관비기타금융"/>
      <sheetName val="D02"/>
      <sheetName val="E01"/>
      <sheetName val="E02"/>
      <sheetName val="F01"/>
      <sheetName val="주당손익(개별파일 작성)"/>
      <sheetName val="우발약정"/>
      <sheetName val="G01"/>
      <sheetName val="G02"/>
      <sheetName val="G03"/>
      <sheetName val="G04"/>
      <sheetName val="특관자"/>
      <sheetName val="H01"/>
      <sheetName val="H02"/>
      <sheetName val="H03"/>
      <sheetName val="H04"/>
      <sheetName val="H05"/>
      <sheetName val="H06"/>
      <sheetName val="위험관리"/>
      <sheetName val="I01"/>
      <sheetName val="I02"/>
      <sheetName val="I03"/>
      <sheetName val="I04-1"/>
      <sheetName val="I04-2(내부거래)"/>
      <sheetName val="I04-3(내부거래)"/>
      <sheetName val="I04-4(내부거래)"/>
      <sheetName val="I04-5(장기리스)"/>
      <sheetName val="I05"/>
      <sheetName val="I06"/>
      <sheetName val="J01"/>
      <sheetName val="J01-1"/>
      <sheetName val="K01"/>
      <sheetName val="K02"/>
      <sheetName val="K03"/>
      <sheetName val="K03-1"/>
      <sheetName val="K04"/>
      <sheetName val="예산입력방법"/>
      <sheetName val="예산간사조직표"/>
      <sheetName val="특수,항공 부서코드표"/>
      <sheetName val="본부별예산편성총괄표"/>
      <sheetName val="집행부서별예산계획표"/>
      <sheetName val="집행부서별예산산출내역표"/>
      <sheetName val="본부별인원인건비총괄표"/>
      <sheetName val="부서별인원인건비계획"/>
      <sheetName val="용역인원인건비계획"/>
      <sheetName val="예산조정신청서 양식"/>
      <sheetName val="96예산신청을 위한 양식및 공문"/>
      <sheetName val="특수,항공_부서코드표"/>
      <sheetName val="예산조정신청서_양식"/>
      <sheetName val="96예산신청을_위한_양식및_공문"/>
      <sheetName val="세계수요종합OK"/>
      <sheetName val="사양조정"/>
      <sheetName val="투입분"/>
      <sheetName val="LASER"/>
      <sheetName val="PLASMA"/>
      <sheetName val="96예산신청을%20위한%20양식및%20공문.XLS"/>
      <sheetName val="96%EC%98%88%EC%82%B0%EC%8B%A0%E"/>
      <sheetName val="특수,항공_부서코드표1"/>
      <sheetName val="예산조정신청서_양식1"/>
      <sheetName val="96예산신청을_위한_양식및_공문1"/>
      <sheetName val="96예산신청을%20위한%20양식및%20공문_XLS"/>
      <sheetName val="특수,항공_부서코드표2"/>
      <sheetName val="예산조정신청서_양식2"/>
      <sheetName val="96예산신청을_위한_양식및_공문2"/>
      <sheetName val="CIP"/>
      <sheetName val="SAP_Role"/>
      <sheetName val="cctr"/>
      <sheetName val="계정_H100"/>
      <sheetName val="계정_1000"/>
      <sheetName val="계정_7000"/>
      <sheetName val="계정_8000"/>
      <sheetName val="AP_H100"/>
      <sheetName val="AP_1000"/>
      <sheetName val="AP_7000"/>
      <sheetName val="AP_8000"/>
      <sheetName val="입찰내역 "/>
      <sheetName val="504전기실_Ç"/>
      <sheetName val="철거공사1"/>
      <sheetName val="견적 (2)"/>
      <sheetName val="입찰내역"/>
      <sheetName val="▶ 일일출역 집계_20210819143316"/>
      <sheetName val="Rate Analysis"/>
      <sheetName val="EE-PROP"/>
      <sheetName val="집계표(OPTION)"/>
      <sheetName val="일위"/>
      <sheetName val="자료입력"/>
      <sheetName val="제조원가_원단_x0000_ǻ_x0000_"/>
      <sheetName val="돈암사업"/>
      <sheetName val="원형1호맨홀토공수량"/>
      <sheetName val="Process Li"/>
      <sheetName val="OH_Cost경비(배부呸2닑"/>
      <sheetName val="시공비2"/>
      <sheetName val="DOOR"/>
      <sheetName val="STEEL"/>
      <sheetName val="비교표"/>
      <sheetName val="예산표 "/>
      <sheetName val="시공비"/>
      <sheetName val="M-UP"/>
      <sheetName val="상주비"/>
      <sheetName val="특수"/>
      <sheetName val="GLASS"/>
      <sheetName val="GRANITE"/>
      <sheetName val="PAINT (2)"/>
      <sheetName val="VOLUMN"/>
      <sheetName val="물량표 (2)"/>
      <sheetName val="MOCK-UP"/>
      <sheetName val="가설전기별첨"/>
      <sheetName val="Name"/>
      <sheetName val="Essbase"/>
      <sheetName val="3_ReasonCode"/>
      <sheetName val="_손익기01.XL_x005f_x0000__x005f_x005f_x0"/>
      <sheetName val="pp"/>
      <sheetName val="Data_validation9"/>
      <sheetName val="Admin"/>
      <sheetName val="KPIs- TTP, PTP, People Turnover"/>
      <sheetName val="部门"/>
      <sheetName val="1월 목표"/>
      <sheetName val="FILIAL MINAS"/>
      <sheetName val="info for drop box"/>
      <sheetName val="[손익기01_XL_x0000__x0000_DePara10"/>
      <sheetName val="_손익기01_XL_x0000__x0000_DePara10"/>
      <sheetName val="_손익기01_XL_x0000__x05"/>
      <sheetName val="_손익기01_XL_x005f_x0000__x7"/>
      <sheetName val="POCM 배송지"/>
      <sheetName val="IT_CHNG_01-K"/>
      <sheetName val="IPE"/>
      <sheetName val="GBP_BODS"/>
      <sheetName val="GFP_CFIN"/>
      <sheetName val="GDP_MDG"/>
      <sheetName val="GUP_SLT"/>
      <sheetName val="GAP_SOL"/>
      <sheetName val="GXP_PO"/>
      <sheetName val="%_Automation_Analysis_Business"/>
      <sheetName val="Curvas"/>
      <sheetName val="BD_Geral"/>
      <sheetName val="Produtos_e_Custos1"/>
      <sheetName val="EE"/>
      <sheetName val="BD_-_Realizado1"/>
      <sheetName val="Cadastro_de_Veículos1"/>
      <sheetName val="Sispec"/>
      <sheetName val="公式页面"/>
      <sheetName val="CC"/>
      <sheetName val="데이터 유효성 목록"/>
      <sheetName val="Mapping "/>
      <sheetName val="WS DB"/>
      <sheetName val="Region "/>
      <sheetName val="SKU DB"/>
      <sheetName val="SKU信息"/>
      <sheetName val="销售项费用项"/>
      <sheetName val="陈列描述"/>
      <sheetName val="大组压仓"/>
      <sheetName val="CPR用Rate&amp;Mix"/>
      <sheetName val="Pivot"/>
      <sheetName val="TO_Data_Base22"/>
      <sheetName val="YTD_Summary21"/>
      <sheetName val="Month_Summary21"/>
      <sheetName val="Trial_Balance_MAY_200921"/>
      <sheetName val="TB_Pivot21"/>
      <sheetName val="total_per_LB_LB221"/>
      <sheetName val="Trial_Balance_Vlookup21"/>
      <sheetName val="Trial_Balance_APRIL_200921"/>
      <sheetName val="Roll_Out_AQ21"/>
      <sheetName val="Evolução_mandamentos21"/>
      <sheetName val="Planilha_resultados20"/>
      <sheetName val="Historico_200320"/>
      <sheetName val="Sig_Cycles_Accts_&amp;_Processes20"/>
      <sheetName val="Fixed_ZBB14"/>
      <sheetName val="E_法规NC14"/>
      <sheetName val="3_ISo_YTD14"/>
      <sheetName val="Données_LMU14"/>
      <sheetName val="Brazil_Sovereign14"/>
      <sheetName val="Resumen_Costo14"/>
      <sheetName val="Extract_Loss14"/>
      <sheetName val="QA_跟踪记录表14"/>
      <sheetName val="5_114"/>
      <sheetName val="Base_de_Dados14"/>
      <sheetName val="Como_Estamos14"/>
      <sheetName val="Controls_data16"/>
      <sheetName val="RG_Depots14"/>
      <sheetName val="material_data14"/>
      <sheetName val="other_data14"/>
      <sheetName val="Database_(RUR)Mar_YTD14"/>
      <sheetName val="SKU_Mapping14"/>
      <sheetName val="Drop_Down14"/>
      <sheetName val="Raw_Data14"/>
      <sheetName val="EBM-2_GHQ14"/>
      <sheetName val="Base_PEF15"/>
      <sheetName val="Testing_Template_Guidance14"/>
      <sheetName val="Test_Programs14"/>
      <sheetName val="Dados_BLP14"/>
      <sheetName val="FJJX_Bud_IB13"/>
      <sheetName val="JOB_PROFILE_-_LAS14"/>
      <sheetName val="ARdistr_(2)14"/>
      <sheetName val="look-up_data13"/>
      <sheetName val="Prd_Hierarchy(产品层级)13"/>
      <sheetName val="Com_(2PK)13"/>
      <sheetName val="Project_Code13"/>
      <sheetName val="요일_테이블14"/>
      <sheetName val="요일_테이블_(2)13"/>
      <sheetName val="Prd_Hierarchy(产品层次)13"/>
      <sheetName val="전사_PL15"/>
      <sheetName val="자금_제외_PL15"/>
      <sheetName val="자금_PL15"/>
      <sheetName val="전사_BS15"/>
      <sheetName val="자금_제외_BS15"/>
      <sheetName val="자금_BS15"/>
      <sheetName val="BS_계정_설명15"/>
      <sheetName val="_Cash_Flow(전사)15"/>
      <sheetName val="_Cash_Flow(자금제외)15"/>
      <sheetName val="_Cash_Flow(자금)15"/>
      <sheetName val="ROIC_15"/>
      <sheetName val="인건비_명세15"/>
      <sheetName val="판관비_명세15"/>
      <sheetName val="OH_Cost경비(내역)15"/>
      <sheetName val="OH_Cost경비(배부기준)15"/>
      <sheetName val="기타수지&amp;특별손익_명세15"/>
      <sheetName val="업무연락_(2)14"/>
      <sheetName val="제시_손익계산서14"/>
      <sheetName val="01_02월_성과급15"/>
      <sheetName val="M_7회차_담금_계획14"/>
      <sheetName val="팀별_실적14"/>
      <sheetName val="팀별_실적_(환산)14"/>
      <sheetName val="4__Inj_투자상세내역14"/>
      <sheetName val="3__Blow_투자_상세내역14"/>
      <sheetName val="Process_List14"/>
      <sheetName val="7_(2)14"/>
      <sheetName val="_손익기01_XL13"/>
      <sheetName val="Income_Stmt13"/>
      <sheetName val="drop_down_list13"/>
      <sheetName val="[손익기01_XL_x005f_x0000__x005f_x0000_DePara13"/>
      <sheetName val="Quarterly_LBO_Model13"/>
      <sheetName val="Figures_Report12"/>
      <sheetName val="[손익기01_XL13"/>
      <sheetName val="_손익기01_XL_x005f_x0000__x005f_x0000_DePara13"/>
      <sheetName val="Fare_prices12"/>
      <sheetName val="Hotel_prices12"/>
      <sheetName val="Set_Up13"/>
      <sheetName val="15년_BL_사계13"/>
      <sheetName val="1_종합손익(도급)13"/>
      <sheetName val="1_종합손익(주택,개발)13"/>
      <sheetName val="2_실행예산13"/>
      <sheetName val="2_2과부족13"/>
      <sheetName val="2_3원가절감13"/>
      <sheetName val="8_외주비집행현황13"/>
      <sheetName val="9_자재비13"/>
      <sheetName val="10_현장집행13"/>
      <sheetName val="3_추가원가13"/>
      <sheetName val="3_추가원가_(2)13"/>
      <sheetName val="4_사전공사13"/>
      <sheetName val="5_추정공사비13"/>
      <sheetName val="6_금융비용13"/>
      <sheetName val="7_공사비집행현황(총괄)13"/>
      <sheetName val="11_1생산성13"/>
      <sheetName val="11_2인원산출13"/>
      <sheetName val="Classification_分类12"/>
      <sheetName val="tab_STATUS_DO_PROCESSO_12"/>
      <sheetName val="Perf__Plan__Diário112"/>
      <sheetName val="In_(2)12"/>
      <sheetName val="__한국_AMP_ASP-23_판매가격__12"/>
      <sheetName val="CC_Down_load_071612"/>
      <sheetName val="변경실행(2차)_12"/>
      <sheetName val="나_출고12"/>
      <sheetName val="나_입고12"/>
      <sheetName val="09년_인건비(속리산)12"/>
      <sheetName val="합산목표(감가+57_5)12"/>
      <sheetName val="제조원가_원단위_분석12"/>
      <sheetName val="종합표양식(품의_&amp;_입고)_212"/>
      <sheetName val="원가관리_(동월대비)12"/>
      <sheetName val="b_balju_(2)12"/>
      <sheetName val="2-2_매출분석12"/>
      <sheetName val="몰드시스템_리스트12"/>
      <sheetName val="11_외화채무증권(AFS,HTM)0812"/>
      <sheetName val="13_감액TEST_0812"/>
      <sheetName val="12년_CF(9월)12"/>
      <sheetName val="중기조종사_단위단가12"/>
      <sheetName val="6PILE__(돌출)12"/>
      <sheetName val="기성청구_공문12"/>
      <sheetName val="Sheet1_(2)12"/>
      <sheetName val="CLASIFICACION_DE_AI12"/>
      <sheetName val="Base_da_Datos12"/>
      <sheetName val="slide_24_cat_A12"/>
      <sheetName val="slide_82_cat_b12"/>
      <sheetName val="Dados_dos_Produtos12"/>
      <sheetName val="09~10년_매출계획12"/>
      <sheetName val="1_MDF1공장12"/>
      <sheetName val="Incident_유형구분표12"/>
      <sheetName val="3YP2016-Bottom_up11"/>
      <sheetName val="DD_list12"/>
      <sheetName val="Base_de_Datos11"/>
      <sheetName val="Clasif_11"/>
      <sheetName val="Supply_Cost_Centers11"/>
      <sheetName val="Cond__Inseguros11"/>
      <sheetName val="Comp__Inseguros11"/>
      <sheetName val="Lista_de_datos11"/>
      <sheetName val="MASTER_APP11"/>
      <sheetName val="2_카드채권(대출포함)11"/>
      <sheetName val="表21_净利润调节表11"/>
      <sheetName val="Lista_CI11"/>
      <sheetName val="Dashboard_Prevención_Riesgos_10"/>
      <sheetName val="TOP_KPIs_MTM10"/>
      <sheetName val="PLAN_DE_ACCION10"/>
      <sheetName val="Faro_de_Indicadores10"/>
      <sheetName val="Farol_Acciones11"/>
      <sheetName val="Lista_de_Entrenamientos11"/>
      <sheetName val="Unidades_SAC-REVENDA12"/>
      <sheetName val="FornecM_Check10"/>
      <sheetName val="Share_Price_200211"/>
      <sheetName val="_DD_List11"/>
      <sheetName val="BEP_加薪_KPI10"/>
      <sheetName val="Estratificación_AI10"/>
      <sheetName val="condicion_inseguras10"/>
      <sheetName val="Actos_Inseguros10"/>
      <sheetName val="Control_de_incidentes10"/>
      <sheetName val="Plan_de_Acción10"/>
      <sheetName val="Issues_List_Payments10"/>
      <sheetName val="do_not_delete10"/>
      <sheetName val="Grafica_Actos10"/>
      <sheetName val="APAC_S10"/>
      <sheetName val="APAC_N10"/>
      <sheetName val="Slide_output10"/>
      <sheetName val="[손익기01_XL??DePara10"/>
      <sheetName val="Farol_Metas10"/>
      <sheetName val="Mod_Relac_10"/>
      <sheetName val="Condiciones_SyE10"/>
      <sheetName val="REALxMETA_-_CERVEJA12"/>
      <sheetName val="REALxMETA_-_REFRI12"/>
      <sheetName val="Directrices_de_Metas_201710"/>
      <sheetName val="Data_validation10"/>
      <sheetName val="_손익기01_XL_x005f_x005f_x005f_x0000__x005f_x005f_10"/>
      <sheetName val="Hazards_Analysis-隐患分析10"/>
      <sheetName val="F08_-_Asia_Pac_Full_Year_Q311"/>
      <sheetName val="Top_Priorities11"/>
      <sheetName val="Listco_Stock11"/>
      <sheetName val="Intl_Purchase11"/>
      <sheetName val="FY_outlook11"/>
      <sheetName val="CY_outlook11"/>
      <sheetName val="Cash_metrics11"/>
      <sheetName val="P6_711"/>
      <sheetName val="DATOS_BASE10"/>
      <sheetName val="97_사업추정(WEKI)10"/>
      <sheetName val="Tong_hop10"/>
      <sheetName val="95_1_1이후취득자산(숨기기상태)10"/>
      <sheetName val="sum1_(2)10"/>
      <sheetName val="3_바닥판설계10"/>
      <sheetName val="6월_공정외주10"/>
      <sheetName val="2_대외공문10"/>
      <sheetName val="2_총괄표10"/>
      <sheetName val="입출재고현황_(2)10"/>
      <sheetName val="504전기실_동부하-L10"/>
      <sheetName val="OUTER_AREA(겹침없음)10"/>
      <sheetName val="EL_표면적10"/>
      <sheetName val="TRE_TABLE10"/>
      <sheetName val="입찰내역_발주처_양식10"/>
      <sheetName val="POC_LIST10"/>
      <sheetName val="turnover_reason퇴직사유10"/>
      <sheetName val="SKU_Basic_Data10"/>
      <sheetName val="Entity_Target10"/>
      <sheetName val="DETALLE_MENSUAL10"/>
      <sheetName val="Drop-down_List9"/>
      <sheetName val="by_DD9"/>
      <sheetName val="VALIDACION_DE_DATOS9"/>
      <sheetName val="Jul-Sep_Actual_cost_(2)9"/>
      <sheetName val="Check_Qualidade8"/>
      <sheetName val="De_Para9"/>
      <sheetName val="Check_Aderencia8"/>
      <sheetName val="_손익기01_XL_x005f_x0000__x08"/>
      <sheetName val="부재료_비교(11년_vs_10년)8"/>
      <sheetName val="Base_Farol8"/>
      <sheetName val="Gerencial_IL8"/>
      <sheetName val="Ventas_Campo8"/>
      <sheetName val="ACTOS_POR_RIESGO8"/>
      <sheetName val="drop_lists8"/>
      <sheetName val="MRL_NON_SUPPLY_URU8"/>
      <sheetName val="AIIM_-_Empresas_Ext_20128"/>
      <sheetName val="KPIs_Hana8"/>
      <sheetName val="Catalago_de_refacciones_8"/>
      <sheetName val="Existencias_al_07-Nov-20128"/>
      <sheetName val="Check_GG8"/>
      <sheetName val="Sheet3_(2)8"/>
      <sheetName val="Nombre_de_SOP8"/>
      <sheetName val="Lao_&amp;_Cam8"/>
      <sheetName val="Hoegaarden_20198"/>
      <sheetName val="Lao_&amp;_Cam_20198"/>
      <sheetName val="Malaysia_20198"/>
      <sheetName val="Singapore_20198"/>
      <sheetName val="Sheet2_(2)8"/>
      <sheetName val="요일_테이블_8"/>
      <sheetName val="Other_Listings8"/>
      <sheetName val="2__Indicadores8"/>
      <sheetName val="Ta_8"/>
      <sheetName val="Lista_de_Entrenamientos_RSO8"/>
      <sheetName val="Tablero_SDG11"/>
      <sheetName val="Lista_Areas11"/>
      <sheetName val="One_Page11"/>
      <sheetName val="Sub-Productos_HN9"/>
      <sheetName val="Eficiencia_linea8"/>
      <sheetName val="_mngt_Pillar8"/>
      <sheetName val="Pauta_RPS_Distribuição7"/>
      <sheetName val="Estoque_(2)7"/>
      <sheetName val="BNR_2012_в_ящике7"/>
      <sheetName val="Comp_Inseguros7"/>
      <sheetName val="DO_NOT_MOVE7"/>
      <sheetName val="DATOS_DE_VALIDACIÓN7"/>
      <sheetName val="Datos_con7"/>
      <sheetName val="_Datos_Cond_7"/>
      <sheetName val="INGRESO_(2)7"/>
      <sheetName val="PG-K1610_(UEN_Areas)MNG7"/>
      <sheetName val="DATOS_GEN_7"/>
      <sheetName val="NUEVOS_CRITERIOS7"/>
      <sheetName val="Condiciones_Agua7"/>
      <sheetName val="__한국_AMP_ASP-23_판㧤가격__6"/>
      <sheetName val="11_䡸화채무줝ⴌ(AFS,HTM)086"/>
      <sheetName val="Drop_list6"/>
      <sheetName val="FX_Rates6"/>
      <sheetName val="Dropdown_list6"/>
      <sheetName val="Vagas_x_Candidatos6"/>
      <sheetName val="Proced_6"/>
      <sheetName val="Cut_Machine_Summary6"/>
      <sheetName val="Control_de_Fallas6"/>
      <sheetName val="Setup_for_Templates6"/>
      <sheetName val="Datos_emp6"/>
      <sheetName val="Validation_lists6"/>
      <sheetName val="TIPO_DE_ACTO6"/>
      <sheetName val="CRITICIDAD_DE_CI6"/>
      <sheetName val="Catálogo_de_CI6"/>
      <sheetName val="%_CUMPLIMIENTO6"/>
      <sheetName val="%_cumplimiento_6"/>
      <sheetName val="CALIFICACIONES_20194"/>
      <sheetName val="Lev_4_360_deg_check_Crit_Task4"/>
      <sheetName val="Lev_4_Chk_IC_Stock_Crit_Task4"/>
      <sheetName val="Lev_4_WMS_Putaway_Crit_Task4"/>
      <sheetName val="Listas_y_equipos_a_evaluar6"/>
      <sheetName val="Data_Reporte6"/>
      <sheetName val="Read_me6"/>
      <sheetName val="NAZ_Strategy4"/>
      <sheetName val="Champions_List5"/>
      <sheetName val="Daily_Dashboard6"/>
      <sheetName val="Mapeo_SKUs6"/>
      <sheetName val="Vol_(Ds)6"/>
      <sheetName val="Vol_(Ka)6"/>
      <sheetName val="Vol_(Oth)6"/>
      <sheetName val="Vol_(Oth)_Cortesias6"/>
      <sheetName val="INPUT-Cust_Sugg_Margin(Ds)6"/>
      <sheetName val="On_Invoice6"/>
      <sheetName val="INPUT-Cust_Sugg_Margin(Ka)6"/>
      <sheetName val="INPUT_SKUs6"/>
      <sheetName val="Brand_P&amp;L4"/>
      <sheetName val="SUPERMONT_P4"/>
      <sheetName val="Data_selection4"/>
      <sheetName val="1_4"/>
      <sheetName val="Customer_&amp;_SO4"/>
      <sheetName val="Session_Proposal4"/>
      <sheetName val="Análise_Tempos3"/>
      <sheetName val="Incentivo_Automóvil3"/>
      <sheetName val="Dropdown_Menu2"/>
      <sheetName val="PDA_BOP3"/>
      <sheetName val="Validação_de_Dados3"/>
      <sheetName val="No_llenar_3"/>
      <sheetName val="PROCESS_MD3"/>
      <sheetName val="Lista_de_Motivos3"/>
      <sheetName val="Ponto_Crítico_-_Resp__Plano3"/>
      <sheetName val="Lista_Funcionários_(2)3"/>
      <sheetName val="PAINEL_RECOLHA_CRÉDITO3"/>
      <sheetName val="Gráficos_-_CDD3"/>
      <sheetName val="Project_List2"/>
      <sheetName val="Выпадающие_списки2"/>
      <sheetName val="SOP_Freshness1"/>
      <sheetName val="Dimension_IN_Sheet1!D19121"/>
      <sheetName val="Dimension_IN_19121"/>
      <sheetName val="辅助表格"/>
      <sheetName val="10 麦汁CIP清洗标准水量"/>
      <sheetName val="BU"/>
      <sheetName val="Tipo Viaje"/>
      <sheetName val="Flota y Personal"/>
      <sheetName val="_손익기01_XL_x0000__x4"/>
      <sheetName val="_손익기01_XL_x0000__x5"/>
      <sheetName val="_손익기01_XL_x0000__x6"/>
      <sheetName val="_손익기01_XL_x0000__x7"/>
      <sheetName val="SAP info"/>
      <sheetName val="Target Book"/>
      <sheetName val="后台"/>
      <sheetName val="AL来源"/>
      <sheetName val="Name List"/>
      <sheetName val="Ref_New Contract Model"/>
      <sheetName val="Dec"/>
      <sheetName val="리스트용"/>
      <sheetName val="Mapeo_SKUs7"/>
      <sheetName val="Vol_(Ds)7"/>
      <sheetName val="Vol_(Ka)7"/>
      <sheetName val="Vol_(Oth)7"/>
      <sheetName val="Vol_(Oth)_Cortesias7"/>
      <sheetName val="INPUT-Cust_Sugg_Margin(Ds)7"/>
      <sheetName val="On_Invoice7"/>
      <sheetName val="INPUT-Cust_Sugg_Margin(Ka)7"/>
      <sheetName val="INPUT_SKUs7"/>
      <sheetName val="SUPERMONT_P5"/>
      <sheetName val="3__Training_&amp;_travel2"/>
      <sheetName val="3__Training_&amp;_travel1"/>
      <sheetName val="Mapeo_SKUs8"/>
      <sheetName val="Vol_(Ds)8"/>
      <sheetName val="Vol_(Ka)8"/>
      <sheetName val="Vol_(Oth)8"/>
      <sheetName val="Vol_(Oth)_Cortesias8"/>
      <sheetName val="INPUT-Cust_Sugg_Margin(Ds)8"/>
      <sheetName val="On_Invoice8"/>
      <sheetName val="INPUT-Cust_Sugg_Margin(Ka)8"/>
      <sheetName val="INPUT_SKUs8"/>
      <sheetName val="Brand_P&amp;L5"/>
      <sheetName val="SUPERMONT_P6"/>
      <sheetName val="3__Training_&amp;_travel3"/>
      <sheetName val="DIAGEO VENTURE"/>
      <sheetName val="Mapeo_SKUs9"/>
      <sheetName val="Vol_(Ds)9"/>
      <sheetName val="Vol_(Ka)9"/>
      <sheetName val="Vol_(Oth)9"/>
      <sheetName val="Vol_(Oth)_Cortesias9"/>
      <sheetName val="INPUT-Cust_Sugg_Margin(Ds)9"/>
      <sheetName val="On_Invoice9"/>
      <sheetName val="INPUT-Cust_Sugg_Margin(Ka)9"/>
      <sheetName val="INPUT_SKUs9"/>
      <sheetName val="Brand_P&amp;L6"/>
      <sheetName val="SUPERMONT_P7"/>
      <sheetName val="Data_selection5"/>
      <sheetName val="1_5"/>
      <sheetName val="3__Training_&amp;_travel4"/>
      <sheetName val="MAESTRO CODIGOS"/>
      <sheetName val="Por regional"/>
      <sheetName val="Por Proveedor"/>
      <sheetName val="X Categoria"/>
      <sheetName val="Por Vendedor"/>
      <sheetName val="Por Mayoristas"/>
      <sheetName val="Por Cliente"/>
      <sheetName val="Por producto"/>
      <sheetName val="Por producto cant."/>
      <sheetName val="Por producto cant. (2)"/>
      <sheetName val="Por Vendedor X Ciudad"/>
      <sheetName val="Act por cliente"/>
      <sheetName val="Act por Proveedor"/>
      <sheetName val="Act por producto"/>
      <sheetName val="예산관리대장"/>
      <sheetName val="Xunit (단위환산)"/>
      <sheetName val="기준표"/>
      <sheetName val="표준공사비-조명제외x10%up"/>
      <sheetName val="anaysis_sheet"/>
      <sheetName val="주관사업"/>
      <sheetName val="영업보증금"/>
      <sheetName val="GL"/>
      <sheetName val="2003FX"/>
      <sheetName val="#88"/>
      <sheetName val="#10"/>
      <sheetName val="#100"/>
      <sheetName val="#101"/>
      <sheetName val="#102"/>
      <sheetName val="#103"/>
      <sheetName val="#104"/>
      <sheetName val="#105"/>
      <sheetName val="#106"/>
      <sheetName val="#107"/>
      <sheetName val="#108"/>
      <sheetName val="#11"/>
      <sheetName val="#21"/>
      <sheetName val="#22"/>
      <sheetName val="#95"/>
      <sheetName val="#60"/>
      <sheetName val="#61"/>
      <sheetName val="#62"/>
      <sheetName val="#63"/>
      <sheetName val="#64"/>
      <sheetName val="#65"/>
      <sheetName val="#70"/>
      <sheetName val="#71"/>
      <sheetName val="#72"/>
      <sheetName val="#73"/>
      <sheetName val="#74"/>
      <sheetName val="#75"/>
      <sheetName val="#76"/>
      <sheetName val="#77"/>
      <sheetName val="#82"/>
      <sheetName val="#83"/>
      <sheetName val="#84"/>
      <sheetName val="#87"/>
      <sheetName val="#90"/>
      <sheetName val="#91"/>
      <sheetName val="#92"/>
      <sheetName val="#93"/>
      <sheetName val="#94"/>
      <sheetName val="#98"/>
      <sheetName val="MTP1"/>
      <sheetName val="북마크"/>
      <sheetName val="금액집계(리포트)"/>
      <sheetName val="HERO01"/>
      <sheetName val="인건비"/>
      <sheetName val="04_4월말_합병시_지분변동차액"/>
      <sheetName val="2007"/>
      <sheetName val="연간점유"/>
      <sheetName val="업무계획1"/>
      <sheetName val="_x005f_x005f_x005f_x0018_"/>
      <sheetName val="입찰내역 Ĉ_x005f_x0000__x005f_x0000_ᇆ"/>
      <sheetName val="입찰내역 Ĉ_x005f_x0000__x005f_x0000_ᇆ"/>
      <sheetName val="_x005f_x005f_x005f_x005f_x005f_x005f_x005f_x0000__x005f"/>
      <sheetName val="Noncurrent assets"/>
      <sheetName val="2장(1사업부)ERP"/>
      <sheetName val="유림콘도"/>
      <sheetName val="경영혁신본부"/>
      <sheetName val="Quantity"/>
      <sheetName val="장비명"/>
      <sheetName val="Ext. Stone-P"/>
      <sheetName val="Process Li 鸴"/>
      <sheetName val="DRUM"/>
      <sheetName val="Salary(해외)"/>
      <sheetName val="ENE-CAL"/>
      <sheetName val="제임스짐 예상매출 for 2023B"/>
      <sheetName val="sum_x0008__x0000_ _x0000__x0006__x0000_"/>
      <sheetName val="슬래?"/>
      <sheetName val="_x005f_x0000__x005f"/>
      <sheetName val="[손익기01_XL_x0000__x0000_DePara11"/>
      <sheetName val="_손익기01_XL_x0000__x0000_DePara11"/>
      <sheetName val="_손익기01_XL_x0000__x06"/>
      <sheetName val="_x0000___x0000__x0000__x0005__x0000_㴐ኰ"/>
      <sheetName val="_x0000___x0000__x0000__x0005__x0000_움ᕕ"/>
      <sheetName val="_x005f_x005f_x005f_x0018__x005f"/>
      <sheetName val="Act vs. budget"/>
      <sheetName val="화기9901매출"/>
      <sheetName val="a.연결정리"/>
      <sheetName val="loading"/>
      <sheetName val="2014"/>
      <sheetName val="2018"/>
      <sheetName val="선택옵션"/>
      <sheetName val="옵션"/>
      <sheetName val="CriteriaUpdate"/>
      <sheetName val="주간남10대순위1"/>
      <sheetName val="주간여30대순위1"/>
      <sheetName val="건강_미결"/>
      <sheetName val="제조원가_원단"/>
      <sheetName val="제조원가_원단_x0010_"/>
      <sheetName val="CO"/>
      <sheetName val="@공통코드"/>
      <sheetName val="매출내역"/>
      <sheetName val="방법론선택및업로드"/>
      <sheetName val="건축개요_"/>
      <sheetName val="07~08 PL"/>
      <sheetName val="본사공가현황"/>
      <sheetName val="argl(1)"/>
      <sheetName val="表21_净利润釘×㜀࠷"/>
      <sheetName val="2담당0113"/>
      <sheetName val="1담당0113"/>
      <sheetName val="ASALTOTA"/>
      <sheetName val="국민연금"/>
      <sheetName val="추정99"/>
      <sheetName val="기준정보"/>
      <sheetName val="기성및원가"/>
      <sheetName val="Cash2"/>
      <sheetName val="Z"/>
      <sheetName val="major"/>
      <sheetName val="계정code"/>
      <sheetName val="통က"/>
      <sheetName val="TTL"/>
      <sheetName val="6PILE__(돌출_x0000_"/>
      <sheetName val="종합표양식(품의좲_xdd02_쒥⠀쮎_x001d__x0000__x0000_"/>
      <sheetName val="G2설비도급"/>
      <sheetName val="일위목차"/>
      <sheetName val="SS215065"/>
      <sheetName val="제주환경순환센터"/>
      <sheetName val="참고(3)고정비"/>
      <sheetName val="Requirement(Work Crew)"/>
      <sheetName val="B"/>
      <sheetName val="COVER-P"/>
      <sheetName val="member design"/>
      <sheetName val="design criteria"/>
      <sheetName val="working load at the btm ft."/>
      <sheetName val="plan&amp;section of foundation"/>
      <sheetName val="8호선 원가 투입내역"/>
      <sheetName val="CAL1"/>
      <sheetName val="0226"/>
      <sheetName val="database"/>
      <sheetName val="7_공사비집_x0000_跇˜_x0000__x0000__x0000_Ā_x0000_"/>
      <sheetName val="1) MALL"/>
      <sheetName val="DHEQSUPT"/>
      <sheetName val="96보완계획7.12"/>
      <sheetName val="_REF"/>
      <sheetName val="H.P견적(참조)"/>
      <sheetName val="공사예산하조서(O.K)"/>
      <sheetName val="DESBAST"/>
      <sheetName val="ACTIVITY CODE &amp; AREA LIST"/>
      <sheetName val="1-11조직표"/>
      <sheetName val="97 사업추정(W؀_x0001__x0000__x0000_"/>
      <sheetName val="투입계획서(변경)"/>
      <sheetName val="기안"/>
      <sheetName val="지하시설물작성"/>
      <sheetName val="사다리"/>
      <sheetName val="_Cash_Flo_x0000__x0000__x0000__x0000__x0000_"/>
      <sheetName val="설비등록ၒ_x0000_"/>
      <sheetName val="2)단가비교표"/>
      <sheetName val="SHEET"/>
      <sheetName val="1__시공측량4"/>
      <sheetName val="PAD_TR보호대기초4"/>
      <sheetName val="근거_및_가정4"/>
      <sheetName val="수종별수량_(2)4"/>
      <sheetName val="납부내역총괄표_(수정)4"/>
      <sheetName val="Weekly_Progress(계장)4"/>
      <sheetName val="설산1_나4"/>
      <sheetName val="1_차입금4"/>
      <sheetName val="부대시행1_(2)4"/>
      <sheetName val="3_6_2남양주택배4"/>
      <sheetName val="A(Rev_3)2"/>
      <sheetName val="BSD_(2)1"/>
      <sheetName val="입찰내역_Ĉ2"/>
      <sheetName val="1~9_하중계산1"/>
      <sheetName val="방배동내역_(총괄)1"/>
      <sheetName val="JT3_0견적-구11"/>
      <sheetName val="1_수인터널2"/>
      <sheetName val="시스템_개요_유효값1"/>
      <sheetName val="전기요금_산출내역1"/>
      <sheetName val="NCR_HEC_6_Opens1"/>
      <sheetName val="NCR_HEC_4_Open_&amp;_Vendor_2_Open1"/>
      <sheetName val="Ⅴ-2_공종별내역"/>
      <sheetName val="제조원가_원단༘֜"/>
      <sheetName val="▶_일일출역_집계_20210819143316"/>
      <sheetName val="UPA(Part_C,D,E,G,H)"/>
      <sheetName val="UPA(Part_F)"/>
      <sheetName val="일위대가_(Part_C,D,E,G,H)"/>
      <sheetName val="견적_(2)"/>
      <sheetName val="ITB_COST"/>
      <sheetName val="입찰내역_"/>
      <sheetName val="종합표양식(품의좲쒥⠀쮎"/>
      <sheetName val="Process_Li"/>
      <sheetName val="_㴐ኰ"/>
      <sheetName val="_움ᕕ"/>
      <sheetName val="단양_00_아파트-세부내역"/>
      <sheetName val="SAP_검증(평균환율)"/>
      <sheetName val="SAP_검증(월말환율)"/>
      <sheetName val="전분기말_정산표(PQE)"/>
      <sheetName val="전년동기_정산표"/>
      <sheetName val="전기말_정산표(PYE)"/>
      <sheetName val="당기말_정산표(CPE)"/>
      <sheetName val="A01-3_조정내역"/>
      <sheetName val="A01-3_단순합산"/>
      <sheetName val="매출채권_및_금융자산"/>
      <sheetName val="A03-3_연결조정"/>
      <sheetName val="A07__유형자산_차기이월,_미실현"/>
      <sheetName val="A07__유형자산_감가상각"/>
      <sheetName val="A08__연결_조정"/>
      <sheetName val="A09__연결_조정"/>
      <sheetName val="B01_연결_조정"/>
      <sheetName val="B04_연결_조정"/>
      <sheetName val="B05_연결_조정"/>
      <sheetName val="납입자본(연결자본변동표_참조_작성)"/>
      <sheetName val="이익잉여금(연결자본변동표_참조_작성)"/>
      <sheetName val="기타포괄손익누계액(연결자본변동표_참조_작성)"/>
      <sheetName val="D01_연결_조정"/>
      <sheetName val="주당손익(개별파일_작성)"/>
      <sheetName val="96보완계획7_12"/>
      <sheetName val="TEMP2"/>
      <sheetName val="표건"/>
      <sheetName val="Spreadsheet Information"/>
      <sheetName val="backdata"/>
      <sheetName val="부가가치"/>
      <sheetName val="2021 KPI_SD (대표이사)"/>
      <sheetName val="Ⅱ.추정종합"/>
      <sheetName val="PC%계산"/>
      <sheetName val="_손익기01.XL__DePara"/>
      <sheetName val="_손익기01_XL__DePara"/>
      <sheetName val="下拉框选项"/>
      <sheetName val="Criteria List"/>
      <sheetName val="应收帐款(외상매출금)"/>
      <sheetName val="0405比较_查询"/>
      <sheetName val="감가상각비(2002)"/>
      <sheetName val="해외_기술훈련비_(합계)5"/>
      <sheetName val="P_M_별6"/>
      <sheetName val="Facility_Information5"/>
      <sheetName val="118_세금과공과5"/>
      <sheetName val="2_주요계수총괄5"/>
      <sheetName val="1_본사계정별5"/>
      <sheetName val="B-1_기본정보4"/>
      <sheetName val="Utility_Usage_YTN_TOWER4"/>
      <sheetName val="Project_Brief5"/>
      <sheetName val="단면_(2)5"/>
      <sheetName val="Back_Data_15"/>
      <sheetName val="1월_예산4"/>
      <sheetName val="전선_및_전선관4"/>
      <sheetName val="설문_평가4"/>
      <sheetName val="외주현황_wq14"/>
      <sheetName val="_견적서4"/>
      <sheetName val="대투_보관자료_변경4"/>
      <sheetName val="#1)_투자_구분4"/>
      <sheetName val="Rev__Recon_13"/>
      <sheetName val="1_고객불만건수3"/>
      <sheetName val="1_변경범위3"/>
      <sheetName val="2013_2월_연결대상4"/>
      <sheetName val="Proj__Fin_4"/>
      <sheetName val="2-2_투자4"/>
      <sheetName val="ITS_Assumptions3"/>
      <sheetName val="Master_Data3"/>
      <sheetName val="HQ_급여_3"/>
      <sheetName val="OF_급여3"/>
      <sheetName val="F_Ma급여3"/>
      <sheetName val="SMT_급여3"/>
      <sheetName val="QC_급여3"/>
      <sheetName val="Sam_sung_급여3"/>
      <sheetName val="Dlock_급여3"/>
      <sheetName val="_thôi_việc_급여3"/>
      <sheetName val="Công_smt3"/>
      <sheetName val="Công_smt_(2)3"/>
      <sheetName val="Detail_smt3"/>
      <sheetName val="Công_QC3"/>
      <sheetName val="Detail_QC_3"/>
      <sheetName val="Công_SS3"/>
      <sheetName val="Detail_SS3"/>
      <sheetName val="Công_FMa3"/>
      <sheetName val="Detail_FMa3"/>
      <sheetName val="Công_OF3"/>
      <sheetName val="Detail_OF3"/>
      <sheetName val="Công_Dlock3"/>
      <sheetName val="Detail_Dlock3"/>
      <sheetName val="Công_thôi_việc3"/>
      <sheetName val="Detail_thôi3"/>
      <sheetName val="2-1_강사료,교통비_지급명세4"/>
      <sheetName val="C1_3_13"/>
      <sheetName val="7_Utility_Analysis3"/>
      <sheetName val="Operational_Activities3"/>
      <sheetName val="13_포장용역비표준4"/>
      <sheetName val="9_가공부자재표준4"/>
      <sheetName val="8_ROLL표준(TSW)4"/>
      <sheetName val="4_톤당조관량표준4"/>
      <sheetName val="5_조관부자재표준4"/>
      <sheetName val="KEY_CODE4"/>
      <sheetName val="산자사_운전용품2"/>
      <sheetName val="1__작성방식4"/>
      <sheetName val="표)CFT장_조직별_배분4"/>
      <sheetName val="20180214_P&amp;T4"/>
      <sheetName val="Ref__중점_추진_과제별_상세4"/>
      <sheetName val="Bank_code4"/>
      <sheetName val="Drop-down_RAW4"/>
      <sheetName val="실행기성_갑지4"/>
      <sheetName val="Eq__Mobilization3"/>
      <sheetName val="날개수량1_53"/>
      <sheetName val="2_6_三无_(2)3"/>
      <sheetName val="수량산출서_갑지3"/>
      <sheetName val="G_R300경비3"/>
      <sheetName val="AS포장복구_3"/>
      <sheetName val="설_계3"/>
      <sheetName val="Worker_List3"/>
      <sheetName val="GB-IC_Villingen_GG3"/>
      <sheetName val="Exchange_rate4"/>
      <sheetName val="업무_분류(Category)2"/>
      <sheetName val="진행_DATA_(2)3"/>
      <sheetName val="기초정보_코드3"/>
      <sheetName val="보고서_표3"/>
      <sheetName val="0__가정_및_결론3"/>
      <sheetName val="1__투자비3"/>
      <sheetName val="2__Rent-roll3"/>
      <sheetName val="3__Funding3"/>
      <sheetName val="4__운영수익3"/>
      <sheetName val="5__운영비용3"/>
      <sheetName val="6_1_N+1년차_NOI_산정3"/>
      <sheetName val="6__부동산매각3"/>
      <sheetName val="7__보유세3"/>
      <sheetName val="8__교통유발부담금3"/>
      <sheetName val="9__BS부속3"/>
      <sheetName val="10__CF(M)3"/>
      <sheetName val="11__IS(M)3"/>
      <sheetName val="12__BS(M)3"/>
      <sheetName val="14__IS(FY)3"/>
      <sheetName val="13__CF(FY)3"/>
      <sheetName val="15__BS(FY)3"/>
      <sheetName val="16__RE(FY)3"/>
      <sheetName val="4_1_월별_에너지_사용량3"/>
      <sheetName val="M&amp;Q_Lead3"/>
      <sheetName val="Basic_Information4"/>
      <sheetName val="3_일반사상2"/>
      <sheetName val="준검_내역서3"/>
      <sheetName val="6월_공嚺㓶가3"/>
      <sheetName val="조도계산서_(도서)3"/>
      <sheetName val="F_월별기성수금현황_3"/>
      <sheetName val="첨부#2_Cash_Flow(현장작성)2"/>
      <sheetName val="TOWER_12TON3"/>
      <sheetName val="TOWER_10TON3"/>
      <sheetName val="JIB_CRANE,HOIST3"/>
      <sheetName val="Investment_Category1"/>
      <sheetName val="Mot_So_Thuat_Ngu_EN-VI2"/>
      <sheetName val="노원열병합__건축공사기성내역서1"/>
      <sheetName val="NG_Item3"/>
      <sheetName val="Ref__Spec_Review_양식3"/>
      <sheetName val="Ref__시험항목_테이블3"/>
      <sheetName val="Ref__Search_Result_테이블3"/>
      <sheetName val="SRS_월별_BS2"/>
      <sheetName val="평가&amp;선급_미지급2"/>
      <sheetName val="EXC_IND1"/>
      <sheetName val="COLOR별_인쇄1"/>
      <sheetName val="유류대_현황2"/>
      <sheetName val="1__템플릿2"/>
      <sheetName val="2__작성_참고사항2"/>
      <sheetName val="mapping_(2)2"/>
      <sheetName val="Ref_2"/>
      <sheetName val="2_3_Projects_Status2"/>
      <sheetName val="Consolidated_Project_List2"/>
      <sheetName val="Fixed_Cost2"/>
      <sheetName val="Listas_desplegables2"/>
      <sheetName val="Resumen_General2"/>
      <sheetName val="Cátalogo_de_CI2"/>
      <sheetName val="Hoja2_(2)2"/>
      <sheetName val="Technology_check_list2"/>
      <sheetName val="Status_de_Usuario2"/>
      <sheetName val="Actos_y_Condiciones_2"/>
      <sheetName val="NO_BORRAR2"/>
      <sheetName val="Formato_checklist_Lab2"/>
      <sheetName val="Manage_to_Sustain1"/>
      <sheetName val="Meeting_List1"/>
      <sheetName val="Packages_Info1"/>
      <sheetName val="Preferred_Option1"/>
      <sheetName val="입문_트랜드(종합분석)1"/>
      <sheetName val="Master_CE1"/>
      <sheetName val="CE_Final_1"/>
      <sheetName val="OL_LIST1"/>
      <sheetName val="YTD_GUEST_LIST1"/>
      <sheetName val="Session_Full_list1"/>
      <sheetName val="FOOD_PAYMENT_update_JAN1"/>
      <sheetName val="Rate_card_F19_1"/>
      <sheetName val="Master_Plan__(update)1"/>
      <sheetName val="The_KPI_1"/>
      <sheetName val="Mentor_Plan_1"/>
      <sheetName val="Master_Plan_1"/>
      <sheetName val="Tier_1_GOV_PC_Networking_1"/>
      <sheetName val="Tier_1_LBO_1"/>
      <sheetName val="2020_MMR121"/>
      <sheetName val="Razão_Social1"/>
      <sheetName val="운영경비_세부작성근거1"/>
      <sheetName val="20년_동일기간_소테마1"/>
      <sheetName val="Dropbox_목록2"/>
      <sheetName val="3_공통공사대비1"/>
      <sheetName val="현장관리비_산출내역1"/>
      <sheetName val="무형자산_LS111"/>
      <sheetName val="10_예산_및_원가_계획(02년)1"/>
      <sheetName val="경영비율_2"/>
      <sheetName val="07_011"/>
      <sheetName val="수량산출서_(2)1"/>
      <sheetName val="2_FM_Fee_2차년도1"/>
      <sheetName val="3_감가장비1"/>
      <sheetName val="8月水电燃使用表"/>
      <sheetName val="자산LIST"/>
      <sheetName val="해외출자현황(원본틀)"/>
      <sheetName val="12월시산표"/>
      <sheetName val="손익계산서(출력)"/>
      <sheetName val="매출원가"/>
      <sheetName val="KENworth"/>
      <sheetName val="범한여행"/>
      <sheetName val="총괄표_전체"/>
      <sheetName val="총괄표_기본"/>
      <sheetName val="총괄표_확장"/>
      <sheetName val="분류기준"/>
      <sheetName val="_x005f_x0000__x00_x0000__x0000__x0000_"/>
      <sheetName val="업무연덽_(2)9"/>
      <sheetName val="1-8"/>
      <sheetName val="HK1.83站合力改善 "/>
      <sheetName val="종합"/>
      <sheetName val="504전기실_"/>
      <sheetName val="단"/>
      <sheetName val="Sheet376"/>
      <sheetName val="품목코드"/>
      <sheetName val="VS P-Q"/>
      <sheetName val="NOZZLE제작단가"/>
      <sheetName val="Electrical Load List"/>
      <sheetName val="월별"/>
      <sheetName val="리드14"/>
      <sheetName val="DATA SHEET(절대삭제 금지)"/>
      <sheetName val="표지 (3)"/>
      <sheetName val="목공사품의서"/>
      <sheetName val="변경내역대비표(2)"/>
      <sheetName val="제조원가_원단_x0000_궰_x0000__x0000_"/>
      <sheetName val="제조원가_원단_x0000_聏_x0000__x0000_"/>
      <sheetName val="제조원가_원단샀_x000e__x0000__x0000_"/>
      <sheetName val="Tr.C 당일자금판"/>
      <sheetName val="나_출؀_x0001_"/>
      <sheetName val="NON SLIP"/>
      <sheetName val="12"/>
      <sheetName val="일위_파일"/>
      <sheetName val="Report"/>
      <sheetName val="제조원가_원단뿰朮_x0000__x0000_"/>
      <sheetName val="3BL공동구 수량"/>
      <sheetName val="동력"/>
      <sheetName val="변압기"/>
      <sheetName val="1_종합손익(주택,&quot;_x0000__x0000__x0000_"/>
      <sheetName val="제조원가_원단뽰_x0000__x0000_"/>
      <sheetName val="제조원가_원단뽀ᚔ_x0000__x0000_"/>
      <sheetName val="MAIN_TABLE"/>
      <sheetName val="종합표양식(품의_&amp;¾_x0000__x0000__x0000__x0000_漁ן"/>
      <sheetName val="플랜트 설치"/>
      <sheetName val="은아수_05월 주간 및 요일별 평균매출"/>
      <sheetName val="제조원가"/>
      <sheetName val="원료 CODE"/>
      <sheetName val="계열사현황종합"/>
      <sheetName val="온라인 계수 기준표"/>
      <sheetName val="D"/>
      <sheetName val="act98"/>
      <sheetName val="건설중인"/>
      <sheetName val="대지급(한미)"/>
      <sheetName val="Piping Design Data"/>
      <sheetName val="Xunit_(단위환산)"/>
      <sheetName val="특수,항공_부서코드표3"/>
      <sheetName val="예산조정신청서_양식3"/>
      <sheetName val="96예산신청을_위한_양식및_공문3"/>
      <sheetName val="96예산신청을%20위한%20양식및%20공문_XLS1"/>
      <sheetName val="#1_Basic3"/>
      <sheetName val="STRAT_PLAN_WKSHT4"/>
      <sheetName val="Sales_Plan_&amp;_other4"/>
      <sheetName val="drop_downs3"/>
      <sheetName val="견적_맵2"/>
      <sheetName val="7300-1000_113"/>
      <sheetName val="PJT_현황2"/>
      <sheetName val="참고)_기준정보2"/>
      <sheetName val="Long_Term_Prices2"/>
      <sheetName val="업무분장_2"/>
      <sheetName val="구분_Table2"/>
      <sheetName val="문의내용_카테고리_분류(수정X)2"/>
      <sheetName val="Diesel_Price_2"/>
      <sheetName val="Phieu_trinh_ky_cấu_tháp2"/>
      <sheetName val="Phieu_trinh_ky_VTP2"/>
      <sheetName val="KS-VL_rời2"/>
      <sheetName val="Tai_san2"/>
      <sheetName val="Check_dong_tien2"/>
      <sheetName val="Chi_phí_SDTS2"/>
      <sheetName val="Check_COST2"/>
      <sheetName val="DATA_HD2"/>
      <sheetName val="Tong_hop_1TM2"/>
      <sheetName val="NS_Lán_trại2"/>
      <sheetName val="Check_cong_no_NC2"/>
      <sheetName val="목차_1"/>
      <sheetName val="0__물류비집계_rev11"/>
      <sheetName val="0__물류비_집계1"/>
      <sheetName val="(1-2)_국내_구간별_운송_견적_11"/>
      <sheetName val="(1-1)_국내_구간별_운송_실적__(2)1"/>
      <sheetName val="(1)_국내_사이트_상세_주소_1"/>
      <sheetName val="수입_건수_정리1"/>
      <sheetName val="(2-1)_수출_해상_(LCL)_1"/>
      <sheetName val="(2-2)_수출_항공_1"/>
      <sheetName val="(2-4)_수출_내륙_운송료1"/>
      <sheetName val="(3-1)_수입_해상_(FCL)1"/>
      <sheetName val="(3-2)_수입_해상_(LCL)_1"/>
      <sheetName val="(3-3)_수입_항공_1"/>
      <sheetName val="(3-5)_수입_내륙_운송료1"/>
      <sheetName val="운송내역_1"/>
      <sheetName val="Project_Count2"/>
      <sheetName val="역T형옹벽(3_0)2"/>
      <sheetName val="외상매출금현황-수정분_A22"/>
      <sheetName val="control_sheet2"/>
      <sheetName val="SPT_vs_PHI1"/>
      <sheetName val="1-2_설계변경요청서(갑지)2"/>
      <sheetName val="첨부1_(주차관제-_당공)2"/>
      <sheetName val="첨부1-1_설계변경내역서(CCTV)2"/>
      <sheetName val="첨부1-2_(주차관제-변공)2"/>
      <sheetName val="2-6_변공량(추가공사)2"/>
      <sheetName val="_2-1_관제(물량산출서집계표)2"/>
      <sheetName val="_2-2_유도(물량산출서집계표)2"/>
      <sheetName val="3-1_주차관제2"/>
      <sheetName val="3-2_주차-광케이블2"/>
      <sheetName val="3-3_층별LPR2"/>
      <sheetName val="4-1_유도-광케이블2"/>
      <sheetName val="4-2_주차키오스크2"/>
      <sheetName val="4-3_4면카메라2"/>
      <sheetName val="4-5_CCTV2"/>
      <sheetName val="4-6_블럭유도등2"/>
      <sheetName val="4-7_입구만차등2"/>
      <sheetName val="4-8_비상벨2"/>
      <sheetName val="NKC_(final)2"/>
      <sheetName val="PF_현황(11년12월)2"/>
      <sheetName val="Sensitivity_and_GC_Value2"/>
      <sheetName val="참고3_DATA1"/>
      <sheetName val="입찰내역_1"/>
      <sheetName val="토공(우물통,기타)_1"/>
      <sheetName val="Insight_MTD_QTD_YTD_DATA1"/>
      <sheetName val="Working_(PivotTable)1"/>
      <sheetName val="Essbase_(53_Weeks)1"/>
      <sheetName val="Essbase_(52_Weeks)1"/>
      <sheetName val="Store_Listing1"/>
      <sheetName val="COMP_Working1"/>
      <sheetName val="COMP_LLY_Working1"/>
      <sheetName val="ALK_Chi_tiết_công_nợ1"/>
      <sheetName val="CHITIET_VL-NC-TT1p1"/>
      <sheetName val="PH_51"/>
      <sheetName val="bar_chart-rev1"/>
      <sheetName val="Xunit_(단위환산)1"/>
      <sheetName val="4월_매출1"/>
      <sheetName val="SAP_검증(평균환율)1"/>
      <sheetName val="SAP_검증(월말환율)1"/>
      <sheetName val="전분기말_정산표(PQE)1"/>
      <sheetName val="전년동기_정산표1"/>
      <sheetName val="전기말_정산표(PYE)1"/>
      <sheetName val="당기말_정산표(CPE)1"/>
      <sheetName val="A01-3_조정내역1"/>
      <sheetName val="A01-3_단순합산1"/>
      <sheetName val="매출채권_및_금융자산1"/>
      <sheetName val="A03-3_연결조정1"/>
      <sheetName val="A07__유형자산_차기이월,_미실현1"/>
      <sheetName val="A07__유형자산_감가상각1"/>
      <sheetName val="A08__연결_조정1"/>
      <sheetName val="A09__연결_조정1"/>
      <sheetName val="B01_연결_조정1"/>
      <sheetName val="B04_연결_조정1"/>
      <sheetName val="B05_연결_조정1"/>
      <sheetName val="납입자본(연결자본변동표_참조_작성)1"/>
      <sheetName val="이익잉여금(연결자본변동표_참조_작성)1"/>
      <sheetName val="기타포괄손익누계액(연결자본변동표_참조_작성)1"/>
      <sheetName val="D01_연결_조정1"/>
      <sheetName val="주당손익(개별파일_작성)1"/>
      <sheetName val="_Drop1"/>
      <sheetName val="7__2_4"/>
      <sheetName val="Report_Setup3"/>
      <sheetName val="OWNER-1_(2)3"/>
      <sheetName val="고객만족도_향상1"/>
      <sheetName val="108_수선비1"/>
      <sheetName val="BS준비_XLS1"/>
      <sheetName val="BS%EC%A4%80%EB%B9%84_XLS1"/>
      <sheetName val="퇴직금추계(04_9_30)1"/>
      <sheetName val="1_경제설계1"/>
      <sheetName val="경수97_021"/>
      <sheetName val="1995년_섹터별_매출1"/>
      <sheetName val="44-2Q_주석_xlsx1"/>
      <sheetName val="팀_업체별_월기성실적1"/>
      <sheetName val="팀_업체별_시공의뢰1"/>
      <sheetName val="A_(3)1"/>
      <sheetName val="DL08_DF_모드1"/>
      <sheetName val="원지_수급가1"/>
      <sheetName val="2_상각보정명세1"/>
      <sheetName val="특수,항공_부서코드표4"/>
      <sheetName val="예산조정신청서_양식4"/>
      <sheetName val="96예산신청을_위한_양식및_공문4"/>
      <sheetName val="96예산신청을%20위한%20양식및%20공문_XLS2"/>
      <sheetName val="4b_Consolidated_PL1"/>
      <sheetName val="TT_List1"/>
      <sheetName val="생산"/>
      <sheetName val="구매대행이행율(2)"/>
      <sheetName val="FB150’980123"/>
      <sheetName val="category대응"/>
      <sheetName val="대출 상환액 산출표"/>
      <sheetName val="사외외주 9월 현황"/>
      <sheetName val="GRACE"/>
      <sheetName val="DANHPHAP"/>
      <sheetName val="CHITIET VL-NC-TT -1p"/>
      <sheetName val="CHITIET VL-NC-TT-3p"/>
      <sheetName val="TONG HOP VL-NC TT"/>
      <sheetName val="TDTKP1"/>
      <sheetName val="KPVC-BD "/>
      <sheetName val="계획대비 실적_조정후"/>
      <sheetName val="STROPEZ"/>
      <sheetName val="1_종합손익(도급)14"/>
      <sheetName val="1_종합손익(주택,개발)14"/>
      <sheetName val="2_실행예산14"/>
      <sheetName val="2_2과부족14"/>
      <sheetName val="2_3원가절감14"/>
      <sheetName val="8_외주비집행현황14"/>
      <sheetName val="9_자재비14"/>
      <sheetName val="10_현장집행14"/>
      <sheetName val="3_추가원가14"/>
      <sheetName val="3_추가원가_(2)14"/>
      <sheetName val="4_사전공사14"/>
      <sheetName val="5_추정공사비14"/>
      <sheetName val="6_금융비용14"/>
      <sheetName val="7_공사비집행현황(총괄)14"/>
      <sheetName val="11_1생산성14"/>
      <sheetName val="11_2인원산출14"/>
      <sheetName val="CC_Down_load_071613"/>
      <sheetName val="변경실행(2차)_13"/>
      <sheetName val="나_출고13"/>
      <sheetName val="나_입고13"/>
      <sheetName val="09년_인건비(속리산)13"/>
      <sheetName val="합산목표(감가+57_5)13"/>
      <sheetName val="__한국_AMP_ASP-23_판매가격__13"/>
      <sheetName val="제조원가_원단위_분석13"/>
      <sheetName val="종합표양식(품의_&amp;_입고)_213"/>
      <sheetName val="기성청구_공문13"/>
      <sheetName val="b_balju_(2)13"/>
      <sheetName val="중기조종사_단위단가13"/>
      <sheetName val="6PILE__(돌출)13"/>
      <sheetName val="원가관리_(동월대비)13"/>
      <sheetName val="2-2_매출분석13"/>
      <sheetName val="몰드시스템_리스트13"/>
      <sheetName val="7_(2)15"/>
      <sheetName val="11_외화채무증권(AFS,HTM)0813"/>
      <sheetName val="13_감액TEST_0813"/>
      <sheetName val="Sheet1_(2)13"/>
      <sheetName val="12년_CF(9월)13"/>
      <sheetName val="sum1_(2)11"/>
      <sheetName val="2_대외공문11"/>
      <sheetName val="表21_净利润调节表12"/>
      <sheetName val="3_바닥판설계11"/>
      <sheetName val="2_총괄표11"/>
      <sheetName val="TRE_TABLE11"/>
      <sheetName val="입찰내역_발주처_양식11"/>
      <sheetName val="504전기실_동부하-L11"/>
      <sheetName val="입출재고현황_(2)11"/>
      <sheetName val="OUTER_AREA(겹침없음)11"/>
      <sheetName val="EL_표면적11"/>
      <sheetName val="전사_PL16"/>
      <sheetName val="자금_제외_PL16"/>
      <sheetName val="자금_PL16"/>
      <sheetName val="전사_BS16"/>
      <sheetName val="자금_제외_BS16"/>
      <sheetName val="자금_BS16"/>
      <sheetName val="BS_계정_설명16"/>
      <sheetName val="_Cash_Flow(전사)16"/>
      <sheetName val="_Cash_Flow(자금제외)16"/>
      <sheetName val="_Cash_Flow(자금)16"/>
      <sheetName val="ROIC_16"/>
      <sheetName val="인건비_명세16"/>
      <sheetName val="판관비_명세16"/>
      <sheetName val="OH_Cost경비(내역)16"/>
      <sheetName val="OH_Cost경비(배부기준)16"/>
      <sheetName val="기타수지&amp;특별손익_명세16"/>
      <sheetName val="Process_List15"/>
      <sheetName val="제시_손익계산서15"/>
      <sheetName val="업무연락_(2)15"/>
      <sheetName val="M_7회차_담금_계획15"/>
      <sheetName val="01_02월_성과급16"/>
      <sheetName val="09~10년_매출계획13"/>
      <sheetName val="97_사업추정(WEKI)11"/>
      <sheetName val="팀별_실적15"/>
      <sheetName val="팀별_실적_(환산)15"/>
      <sheetName val="6월_공정외주11"/>
      <sheetName val="Tong_hop11"/>
      <sheetName val="95_1_1이후취득자산(숨기기상태)11"/>
      <sheetName val="1_MDF1공장13"/>
      <sheetName val="2_카드채권(대출포함)12"/>
      <sheetName val="4__Inj_투자상세내역15"/>
      <sheetName val="3__Blow_투자_상세내역15"/>
      <sheetName val="Jul-Sep_Actual_cost_(2)10"/>
      <sheetName val="요일_테이블15"/>
      <sheetName val="요일_테이블_(2)14"/>
      <sheetName val="TO_Data_Base23"/>
      <sheetName val="YTD_Summary22"/>
      <sheetName val="Month_Summary22"/>
      <sheetName val="Trial_Balance_MAY_200922"/>
      <sheetName val="TB_Pivot22"/>
      <sheetName val="total_per_LB_LB222"/>
      <sheetName val="Trial_Balance_Vlookup22"/>
      <sheetName val="Trial_Balance_APRIL_200922"/>
      <sheetName val="Roll_Out_AQ22"/>
      <sheetName val="Evolução_mandamentos22"/>
      <sheetName val="Planilha_resultados21"/>
      <sheetName val="Historico_200321"/>
      <sheetName val="Sig_Cycles_Accts_&amp;_Processes21"/>
      <sheetName val="3_ISo_YTD15"/>
      <sheetName val="E_法规NC15"/>
      <sheetName val="Données_LMU15"/>
      <sheetName val="Brazil_Sovereign15"/>
      <sheetName val="Resumen_Costo15"/>
      <sheetName val="Fixed_ZBB15"/>
      <sheetName val="5_115"/>
      <sheetName val="Extract_Loss15"/>
      <sheetName val="QA_跟踪记录表15"/>
      <sheetName val="RG_Depots15"/>
      <sheetName val="material_data15"/>
      <sheetName val="other_data15"/>
      <sheetName val="Como_Estamos15"/>
      <sheetName val="Database_(RUR)Mar_YTD15"/>
      <sheetName val="SKU_Mapping15"/>
      <sheetName val="Drop_Down15"/>
      <sheetName val="Raw_Data15"/>
      <sheetName val="EBM-2_GHQ15"/>
      <sheetName val="Base_PEF16"/>
      <sheetName val="Base_de_Dados15"/>
      <sheetName val="Testing_Template_Guidance15"/>
      <sheetName val="Test_Programs15"/>
      <sheetName val="Dados_BLP15"/>
      <sheetName val="Controls_data17"/>
      <sheetName val="FJJX_Bud_IB14"/>
      <sheetName val="look-up_data14"/>
      <sheetName val="JOB_PROFILE_-_LAS15"/>
      <sheetName val="ARdistr_(2)15"/>
      <sheetName val="Prd_Hierarchy(产品层级)14"/>
      <sheetName val="Com_(2PK)14"/>
      <sheetName val="Prd_Hierarchy(产品层次)14"/>
      <sheetName val="Project_Code14"/>
      <sheetName val="15년_BL_사계14"/>
      <sheetName val="_손익기01_XL14"/>
      <sheetName val="drop_down_list14"/>
      <sheetName val="[손익기01_XL_x005f_x0000__x005f_x0000_DePara14"/>
      <sheetName val="[손익기01_XL14"/>
      <sheetName val="Income_Stmt14"/>
      <sheetName val="Quarterly_LBO_Model14"/>
      <sheetName val="_손익기01_XL_x005f_x0000__x005f_x0000_DePara14"/>
      <sheetName val="Classification_分类13"/>
      <sheetName val="Figures_Report13"/>
      <sheetName val="Set_Up14"/>
      <sheetName val="Fare_prices13"/>
      <sheetName val="Hotel_prices13"/>
      <sheetName val="tab_STATUS_DO_PROCESSO_13"/>
      <sheetName val="Perf__Plan__Diário113"/>
      <sheetName val="In_(2)13"/>
      <sheetName val="slide_24_cat_A13"/>
      <sheetName val="slide_82_cat_b13"/>
      <sheetName val="Incident_유형구분표13"/>
      <sheetName val="CLASIFICACION_DE_AI13"/>
      <sheetName val="Base_da_Datos13"/>
      <sheetName val="Dados_dos_Produtos13"/>
      <sheetName val="DD_list13"/>
      <sheetName val="3YP2016-Bottom_up12"/>
      <sheetName val="MASTER_APP12"/>
      <sheetName val="Cond__Inseguros12"/>
      <sheetName val="Comp__Inseguros12"/>
      <sheetName val="Lista_de_datos12"/>
      <sheetName val="Base_de_Datos12"/>
      <sheetName val="_DD_List12"/>
      <sheetName val="Share_Price_200212"/>
      <sheetName val="Clasif_12"/>
      <sheetName val="Lista_CI12"/>
      <sheetName val="Farol_Acciones12"/>
      <sheetName val="Lista_de_Entrenamientos12"/>
      <sheetName val="Supply_Cost_Centers12"/>
      <sheetName val="BEP_加薪_KPI11"/>
      <sheetName val="부재료_비교(11년_vs_10년)9"/>
      <sheetName val="Dashboard_Prevención_Riesgos_11"/>
      <sheetName val="TOP_KPIs_MTM11"/>
      <sheetName val="PLAN_DE_ACCION11"/>
      <sheetName val="Faro_de_Indicadores11"/>
      <sheetName val="Unidades_SAC-REVENDA13"/>
      <sheetName val="FornecM_Check11"/>
      <sheetName val="Hazards_Analysis-隐患分析11"/>
      <sheetName val="F08_-_Asia_Pac_Full_Year_Q312"/>
      <sheetName val="Top_Priorities12"/>
      <sheetName val="Listco_Stock12"/>
      <sheetName val="Intl_Purchase12"/>
      <sheetName val="FY_outlook12"/>
      <sheetName val="CY_outlook12"/>
      <sheetName val="Cash_metrics12"/>
      <sheetName val="P6_712"/>
      <sheetName val="DATOS_BASE11"/>
      <sheetName val="Estratificación_AI11"/>
      <sheetName val="condicion_inseguras11"/>
      <sheetName val="Actos_Inseguros11"/>
      <sheetName val="Control_de_incidentes11"/>
      <sheetName val="Plan_de_Acción11"/>
      <sheetName val="_손익기01_XL_x005f_x005f_x005f_x0000__x005f_x005f_11"/>
      <sheetName val="Issues_List_Payments11"/>
      <sheetName val="turnover_reason퇴직사유11"/>
      <sheetName val="Grafica_Actos11"/>
      <sheetName val="POC_LIST11"/>
      <sheetName val="Condiciones_SyE11"/>
      <sheetName val="DETALLE_MENSUAL11"/>
      <sheetName val="do_not_delete11"/>
      <sheetName val="APAC_S11"/>
      <sheetName val="APAC_N11"/>
      <sheetName val="Slide_output11"/>
      <sheetName val="[손익기01_XL??DePara11"/>
      <sheetName val="Farol_Metas11"/>
      <sheetName val="Mod_Relac_11"/>
      <sheetName val="REALxMETA_-_CERVEJA13"/>
      <sheetName val="REALxMETA_-_REFRI13"/>
      <sheetName val="Directrices_de_Metas_201711"/>
      <sheetName val="SKU_Basic_Data11"/>
      <sheetName val="Entity_Target11"/>
      <sheetName val="VALIDACION_DE_DATOS10"/>
      <sheetName val="Drop-down_List10"/>
      <sheetName val="by_DD10"/>
      <sheetName val="Check_Qualidade9"/>
      <sheetName val="De_Para10"/>
      <sheetName val="Check_Aderencia9"/>
      <sheetName val="Base_Farol9"/>
      <sheetName val="Gerencial_IL9"/>
      <sheetName val="Ventas_Campo9"/>
      <sheetName val="ACTOS_POR_RIESGO9"/>
      <sheetName val="drop_lists9"/>
      <sheetName val="MRL_NON_SUPPLY_URU9"/>
      <sheetName val="AIIM_-_Empresas_Ext_20129"/>
      <sheetName val="KPIs_Hana9"/>
      <sheetName val="Catalago_de_refacciones_9"/>
      <sheetName val="Existencias_al_07-Nov-20129"/>
      <sheetName val="Check_GG9"/>
      <sheetName val="_손익기01_XL_x005f_x0000__x09"/>
      <sheetName val="요일_테이블_9"/>
      <sheetName val="Nombre_de_SOP9"/>
      <sheetName val="_mngt_Pillar9"/>
      <sheetName val="2__Indicadores9"/>
      <sheetName val="Ta_9"/>
      <sheetName val="Sheet3_(2)9"/>
      <sheetName val="Lao_&amp;_Cam9"/>
      <sheetName val="Hoegaarden_20199"/>
      <sheetName val="Lao_&amp;_Cam_20199"/>
      <sheetName val="Malaysia_20199"/>
      <sheetName val="Singapore_20199"/>
      <sheetName val="Sheet2_(2)9"/>
      <sheetName val="Other_Listings9"/>
      <sheetName val="Lista_de_Entrenamientos_RSO9"/>
      <sheetName val="Tablero_SDG12"/>
      <sheetName val="Lista_Areas12"/>
      <sheetName val="One_Page12"/>
      <sheetName val="Sub-Productos_HN10"/>
      <sheetName val="Eficiencia_linea9"/>
      <sheetName val="Pauta_RPS_Distribuição8"/>
      <sheetName val="Estoque_(2)8"/>
      <sheetName val="DATOS_DE_VALIDACIÓN8"/>
      <sheetName val="Datos_con8"/>
      <sheetName val="_Datos_Cond_8"/>
      <sheetName val="Comp_Inseguros8"/>
      <sheetName val="BNR_2012_в_ящике8"/>
      <sheetName val="INGRESO_(2)8"/>
      <sheetName val="PG-K1610_(UEN_Areas)MNG8"/>
      <sheetName val="DATOS_GEN_8"/>
      <sheetName val="NUEVOS_CRITERIOS8"/>
      <sheetName val="Condiciones_Agua8"/>
      <sheetName val="DO_NOT_MOVE8"/>
      <sheetName val="Dropdown_list7"/>
      <sheetName val="Control_de_Fallas7"/>
      <sheetName val="Setup_for_Templates7"/>
      <sheetName val="Datos_emp7"/>
      <sheetName val="Drop_list7"/>
      <sheetName val="FX_Rates7"/>
      <sheetName val="Proced_7"/>
      <sheetName val="Cut_Machine_Summary7"/>
      <sheetName val="Validation_lists7"/>
      <sheetName val="__한국_AMP_ASP-23_판㧤가격__7"/>
      <sheetName val="11_䡸화채무줝ⴌ(AFS,HTM)087"/>
      <sheetName val="TIPO_DE_ACTO7"/>
      <sheetName val="CRITICIDAD_DE_CI7"/>
      <sheetName val="Catálogo_de_CI7"/>
      <sheetName val="%_CUMPLIMIENTO7"/>
      <sheetName val="%_cumplimiento_7"/>
      <sheetName val="CALIFICACIONES_20195"/>
      <sheetName val="Lev_4_360_deg_check_Crit_Task5"/>
      <sheetName val="Lev_4_Chk_IC_Stock_Crit_Task5"/>
      <sheetName val="Lev_4_WMS_Putaway_Crit_Task5"/>
      <sheetName val="Vagas_x_Candidatos7"/>
      <sheetName val="Listas_y_equipos_a_evaluar7"/>
      <sheetName val="Data_Reporte7"/>
      <sheetName val="Read_me7"/>
      <sheetName val="Champions_List6"/>
      <sheetName val="NAZ_Strategy5"/>
      <sheetName val="Daily_Dashboard7"/>
      <sheetName val="Mapeo_SKUs10"/>
      <sheetName val="Vol_(Ds)10"/>
      <sheetName val="Vol_(Ka)10"/>
      <sheetName val="Vol_(Oth)10"/>
      <sheetName val="Vol_(Oth)_Cortesias10"/>
      <sheetName val="INPUT-Cust_Sugg_Margin(Ds)10"/>
      <sheetName val="On_Invoice10"/>
      <sheetName val="INPUT-Cust_Sugg_Margin(Ka)10"/>
      <sheetName val="INPUT_SKUs10"/>
      <sheetName val="Brand_P&amp;L7"/>
      <sheetName val="SUPERMONT_P8"/>
      <sheetName val="Data_selection6"/>
      <sheetName val="1_6"/>
      <sheetName val="Customer_&amp;_SO5"/>
      <sheetName val="Session_Proposal5"/>
      <sheetName val="Dropdown_Menu3"/>
      <sheetName val="Análise_Tempos4"/>
      <sheetName val="Incentivo_Automóvil4"/>
      <sheetName val="PDA_BOP4"/>
      <sheetName val="Validação_de_Dados4"/>
      <sheetName val="No_llenar_4"/>
      <sheetName val="Lista_de_Motivos4"/>
      <sheetName val="Ponto_Crítico_-_Resp__Plano4"/>
      <sheetName val="Lista_Funcionários_(2)4"/>
      <sheetName val="PROCESS_MD4"/>
      <sheetName val="Project_List3"/>
      <sheetName val="Выпадающие_списки3"/>
      <sheetName val="SOP_Freshness2"/>
      <sheetName val="PAINEL_RECOLHA_CRÉDITO4"/>
      <sheetName val="Gráficos_-_CDD4"/>
      <sheetName val="3__Training_&amp;_travel5"/>
      <sheetName val="Dimension_IN_Sheet1!D19122"/>
      <sheetName val="Dimension_IN_19122"/>
      <sheetName val="1_설계조건1"/>
      <sheetName val="_손익기01_XL_x005f_x0000__x005f_x005f_x0"/>
      <sheetName val="Rate_Analysis"/>
      <sheetName val="예산표_"/>
      <sheetName val="PAINT_(2)"/>
      <sheetName val="물량표_(2)"/>
      <sheetName val="입찰내역_Ĉ_x005f_x0000__x005f_x0000_ᇆ"/>
      <sheetName val="입찰내역_Ĉ_x005f_x0000__x005f_x0000_ᇆ"/>
      <sheetName val="VS_P-Q"/>
      <sheetName val="Ext__Stone-P"/>
      <sheetName val="Process_Li 鸴"/>
      <sheetName val="member_design"/>
      <sheetName val="design_criteria"/>
      <sheetName val="working_load_at_the_btm_ft_"/>
      <sheetName val="plan&amp;section_of_foundation"/>
      <sheetName val="Requirement(Work_Crew)"/>
      <sheetName val="1)_MALL"/>
      <sheetName val="KPIs-_TTP,_PTP,_People_Turnover"/>
      <sheetName val="1월_목표"/>
      <sheetName val="FILIAL_MINAS"/>
      <sheetName val="info_for_drop_box"/>
      <sheetName val="POCM_배송지"/>
      <sheetName val="데이터_유효성_목록"/>
      <sheetName val="Mapping_"/>
      <sheetName val="WS_DB"/>
      <sheetName val="Region_"/>
      <sheetName val="SKU_DB"/>
      <sheetName val="10_麦汁CIP清洗标准水量"/>
      <sheetName val="Tipo_Viaje"/>
      <sheetName val="Flota_y_Personal"/>
      <sheetName val="SAP_info"/>
      <sheetName val="Target_Book"/>
      <sheetName val="Name_List"/>
      <sheetName val="Ref_New_Contract_Model"/>
      <sheetName val="DIAGEO_VENTURE"/>
      <sheetName val="MAESTRO_CODIGOS"/>
      <sheetName val="Por_regional"/>
      <sheetName val="Por_Proveedor"/>
      <sheetName val="X_Categoria"/>
      <sheetName val="Por_Vendedor"/>
      <sheetName val="Por_Mayoristas"/>
      <sheetName val="Por_Cliente"/>
      <sheetName val="Por_producto"/>
      <sheetName val="Por_producto_cant_"/>
      <sheetName val="Por_producto_cant__(2)"/>
      <sheetName val="Por_Vendedor_X_Ciudad"/>
      <sheetName val="Act_por_cliente"/>
      <sheetName val="Act_por_Proveedor"/>
      <sheetName val="Act_por_producto"/>
      <sheetName val="97_사업추정(W؀"/>
      <sheetName val="8호선_원가_투입내역"/>
      <sheetName val="내역서(토목)"/>
      <sheetName val="별제권_정리담보권"/>
      <sheetName val="1차)기초데이터_인건비월별추정"/>
      <sheetName val="총괄갑 "/>
      <sheetName val="Utilities"/>
      <sheetName val="자본금99(수)"/>
      <sheetName val="일위대가목록"/>
      <sheetName val="중기단가목록"/>
      <sheetName val="1.현금예금"/>
      <sheetName val="재고선1"/>
      <sheetName val="연차일수"/>
      <sheetName val="실토지와투자자12.6.30"/>
      <sheetName val="8월현금흐름표"/>
      <sheetName val="운반거리(0.7km)"/>
      <sheetName val="07~08_PL"/>
      <sheetName val="12년_CF౮_x0002_저殑"/>
      <sheetName val="6PILE__(_xddf4_ㆥ堀"/>
      <sheetName val="6PILE__(౮_x0002_저"/>
      <sheetName val="견적내역서(산출근거)"/>
      <sheetName val="천마갑지"/>
      <sheetName val="공사직종별노임"/>
      <sheetName val="7_공사비집_x0000__x0000__x0000__x0000_⽐ʇ_x000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sheetData sheetId="660"/>
      <sheetData sheetId="661"/>
      <sheetData sheetId="662"/>
      <sheetData sheetId="663"/>
      <sheetData sheetId="664" refreshError="1"/>
      <sheetData sheetId="665"/>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sheetData sheetId="1247"/>
      <sheetData sheetId="1248"/>
      <sheetData sheetId="1249"/>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sheetData sheetId="1447"/>
      <sheetData sheetId="1448"/>
      <sheetData sheetId="1449"/>
      <sheetData sheetId="1450" refreshError="1"/>
      <sheetData sheetId="1451" refreshError="1"/>
      <sheetData sheetId="1452" refreshError="1"/>
      <sheetData sheetId="1453" refreshError="1"/>
      <sheetData sheetId="1454" refreshError="1"/>
      <sheetData sheetId="1455" refreshError="1"/>
      <sheetData sheetId="1456" refreshError="1"/>
      <sheetData sheetId="1457"/>
      <sheetData sheetId="1458" refreshError="1"/>
      <sheetData sheetId="1459"/>
      <sheetData sheetId="1460" refreshError="1"/>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sheetData sheetId="1742" refreshError="1"/>
      <sheetData sheetId="1743" refreshError="1"/>
      <sheetData sheetId="1744" refreshError="1"/>
      <sheetData sheetId="1745" refreshError="1"/>
      <sheetData sheetId="1746" refreshError="1"/>
      <sheetData sheetId="1747" refreshError="1"/>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sheetData sheetId="1875" refreshError="1"/>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sheetData sheetId="2390"/>
      <sheetData sheetId="239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sheetData sheetId="2407"/>
      <sheetData sheetId="2408"/>
      <sheetData sheetId="2409"/>
      <sheetData sheetId="2410"/>
      <sheetData sheetId="2411"/>
      <sheetData sheetId="2412"/>
      <sheetData sheetId="2413"/>
      <sheetData sheetId="2414" refreshError="1"/>
      <sheetData sheetId="2415" refreshError="1"/>
      <sheetData sheetId="2416" refreshError="1"/>
      <sheetData sheetId="2417" refreshError="1"/>
      <sheetData sheetId="2418" refreshError="1"/>
      <sheetData sheetId="2419" refreshError="1"/>
      <sheetData sheetId="2420"/>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sheetData sheetId="2437"/>
      <sheetData sheetId="2438"/>
      <sheetData sheetId="2439"/>
      <sheetData sheetId="2440"/>
      <sheetData sheetId="2441"/>
      <sheetData sheetId="2442"/>
      <sheetData sheetId="2443"/>
      <sheetData sheetId="2444" refreshError="1"/>
      <sheetData sheetId="2445" refreshError="1"/>
      <sheetData sheetId="2446"/>
      <sheetData sheetId="2447"/>
      <sheetData sheetId="2448"/>
      <sheetData sheetId="2449" refreshError="1"/>
      <sheetData sheetId="2450" refreshError="1"/>
      <sheetData sheetId="2451"/>
      <sheetData sheetId="2452"/>
      <sheetData sheetId="2453" refreshError="1"/>
      <sheetData sheetId="2454" refreshError="1"/>
      <sheetData sheetId="2455" refreshError="1"/>
      <sheetData sheetId="2456" refreshError="1"/>
      <sheetData sheetId="2457" refreshError="1"/>
      <sheetData sheetId="2458" refreshError="1"/>
      <sheetData sheetId="2459"/>
      <sheetData sheetId="2460"/>
      <sheetData sheetId="2461"/>
      <sheetData sheetId="2462"/>
      <sheetData sheetId="2463"/>
      <sheetData sheetId="2464"/>
      <sheetData sheetId="2465"/>
      <sheetData sheetId="2466"/>
      <sheetData sheetId="2467"/>
      <sheetData sheetId="2468"/>
      <sheetData sheetId="2469"/>
      <sheetData sheetId="2470" refreshError="1"/>
      <sheetData sheetId="247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refreshError="1"/>
      <sheetData sheetId="2597" refreshError="1"/>
      <sheetData sheetId="2598" refreshError="1"/>
      <sheetData sheetId="2599" refreshError="1"/>
      <sheetData sheetId="2600" refreshError="1"/>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refreshError="1"/>
      <sheetData sheetId="2748" refreshError="1"/>
      <sheetData sheetId="2749" refreshError="1"/>
      <sheetData sheetId="2750" refreshError="1"/>
      <sheetData sheetId="2751" refreshError="1"/>
      <sheetData sheetId="2752" refreshError="1"/>
      <sheetData sheetId="2753" refreshError="1"/>
      <sheetData sheetId="2754"/>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sheetData sheetId="2775"/>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sheetData sheetId="2787"/>
      <sheetData sheetId="2788"/>
      <sheetData sheetId="2789"/>
      <sheetData sheetId="2790"/>
      <sheetData sheetId="2791"/>
      <sheetData sheetId="2792"/>
      <sheetData sheetId="2793" refreshError="1"/>
      <sheetData sheetId="2794" refreshError="1"/>
      <sheetData sheetId="2795"/>
      <sheetData sheetId="2796"/>
      <sheetData sheetId="2797"/>
      <sheetData sheetId="2798"/>
      <sheetData sheetId="2799"/>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sheetData sheetId="2842" refreshError="1"/>
      <sheetData sheetId="2843" refreshError="1"/>
      <sheetData sheetId="2844"/>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sheetData sheetId="2868"/>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sheetData sheetId="4038"/>
      <sheetData sheetId="4039"/>
      <sheetData sheetId="4040"/>
      <sheetData sheetId="4041"/>
      <sheetData sheetId="4042"/>
      <sheetData sheetId="4043"/>
      <sheetData sheetId="4044"/>
      <sheetData sheetId="4045"/>
      <sheetData sheetId="4046"/>
      <sheetData sheetId="4047"/>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sheetData sheetId="4060"/>
      <sheetData sheetId="4061"/>
      <sheetData sheetId="4062" refreshError="1"/>
      <sheetData sheetId="4063" refreshError="1"/>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refreshError="1"/>
      <sheetData sheetId="4262" refreshError="1"/>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refreshError="1"/>
      <sheetData sheetId="4366" refreshError="1"/>
      <sheetData sheetId="4367" refreshError="1"/>
      <sheetData sheetId="4368" refreshError="1"/>
      <sheetData sheetId="4369"/>
      <sheetData sheetId="4370"/>
      <sheetData sheetId="4371"/>
      <sheetData sheetId="4372"/>
      <sheetData sheetId="4373"/>
      <sheetData sheetId="4374"/>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refreshError="1"/>
      <sheetData sheetId="4435" refreshError="1"/>
      <sheetData sheetId="4436" refreshError="1"/>
      <sheetData sheetId="4437" refreshError="1"/>
      <sheetData sheetId="4438" refreshError="1"/>
      <sheetData sheetId="4439"/>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refreshError="1"/>
      <sheetData sheetId="4778" refreshError="1"/>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sheetData sheetId="5267"/>
      <sheetData sheetId="5268"/>
      <sheetData sheetId="5269"/>
      <sheetData sheetId="5270"/>
      <sheetData sheetId="5271"/>
      <sheetData sheetId="5272"/>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refreshError="1"/>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refreshError="1"/>
      <sheetData sheetId="5378"/>
      <sheetData sheetId="5379"/>
      <sheetData sheetId="5380"/>
      <sheetData sheetId="5381"/>
      <sheetData sheetId="5382"/>
      <sheetData sheetId="5383" refreshError="1"/>
      <sheetData sheetId="5384" refreshError="1"/>
      <sheetData sheetId="5385" refreshError="1"/>
      <sheetData sheetId="5386" refreshError="1"/>
      <sheetData sheetId="5387" refreshError="1"/>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refreshError="1"/>
      <sheetData sheetId="5444"/>
      <sheetData sheetId="5445" refreshError="1"/>
      <sheetData sheetId="5446" refreshError="1"/>
      <sheetData sheetId="5447" refreshError="1"/>
      <sheetData sheetId="5448" refreshError="1"/>
      <sheetData sheetId="5449" refreshError="1"/>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refreshError="1"/>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sheetData sheetId="5860"/>
      <sheetData sheetId="5861" refreshError="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refreshError="1"/>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refreshError="1"/>
      <sheetData sheetId="6299"/>
      <sheetData sheetId="6300" refreshError="1"/>
      <sheetData sheetId="6301" refreshError="1"/>
      <sheetData sheetId="6302" refreshError="1"/>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refreshError="1"/>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refreshError="1"/>
      <sheetData sheetId="6399" refreshError="1"/>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refreshError="1"/>
      <sheetData sheetId="6476" refreshError="1"/>
      <sheetData sheetId="6477"/>
      <sheetData sheetId="6478"/>
      <sheetData sheetId="6479"/>
      <sheetData sheetId="6480" refreshError="1"/>
      <sheetData sheetId="6481" refreshError="1"/>
      <sheetData sheetId="6482" refreshError="1"/>
      <sheetData sheetId="6483" refreshError="1"/>
      <sheetData sheetId="6484"/>
      <sheetData sheetId="6485" refreshError="1"/>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refreshError="1"/>
      <sheetData sheetId="6499" refreshError="1"/>
      <sheetData sheetId="6500"/>
      <sheetData sheetId="6501" refreshError="1"/>
      <sheetData sheetId="6502"/>
      <sheetData sheetId="6503" refreshError="1"/>
      <sheetData sheetId="6504"/>
      <sheetData sheetId="6505"/>
      <sheetData sheetId="6506"/>
      <sheetData sheetId="6507"/>
      <sheetData sheetId="6508"/>
      <sheetData sheetId="6509"/>
      <sheetData sheetId="6510"/>
      <sheetData sheetId="6511" refreshError="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refreshError="1"/>
      <sheetData sheetId="6561" refreshError="1"/>
      <sheetData sheetId="6562"/>
      <sheetData sheetId="6563"/>
      <sheetData sheetId="6564"/>
      <sheetData sheetId="6565"/>
      <sheetData sheetId="6566"/>
      <sheetData sheetId="6567"/>
      <sheetData sheetId="6568"/>
      <sheetData sheetId="6569"/>
      <sheetData sheetId="6570"/>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sheetData sheetId="6732"/>
      <sheetData sheetId="6733"/>
      <sheetData sheetId="6734"/>
      <sheetData sheetId="6735"/>
      <sheetData sheetId="6736"/>
      <sheetData sheetId="6737"/>
      <sheetData sheetId="6738" refreshError="1"/>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sheetData sheetId="6785" refreshError="1"/>
      <sheetData sheetId="6786"/>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sheetData sheetId="6799"/>
      <sheetData sheetId="6800"/>
      <sheetData sheetId="6801"/>
      <sheetData sheetId="6802"/>
      <sheetData sheetId="6803"/>
      <sheetData sheetId="6804"/>
      <sheetData sheetId="6805"/>
      <sheetData sheetId="6806"/>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refreshError="1"/>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refreshError="1"/>
      <sheetData sheetId="7144" refreshError="1"/>
      <sheetData sheetId="7145" refreshError="1"/>
      <sheetData sheetId="7146" refreshError="1"/>
      <sheetData sheetId="7147" refreshError="1"/>
      <sheetData sheetId="7148"/>
      <sheetData sheetId="7149"/>
      <sheetData sheetId="7150"/>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sheetData sheetId="7161"/>
      <sheetData sheetId="7162"/>
      <sheetData sheetId="7163"/>
      <sheetData sheetId="7164"/>
      <sheetData sheetId="7165"/>
      <sheetData sheetId="7166"/>
      <sheetData sheetId="7167"/>
      <sheetData sheetId="7168"/>
      <sheetData sheetId="7169" refreshError="1"/>
      <sheetData sheetId="7170" refreshError="1"/>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refreshError="1"/>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sheetData sheetId="7365" refreshError="1"/>
      <sheetData sheetId="7366" refreshError="1"/>
      <sheetData sheetId="7367" refreshError="1"/>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sheetData sheetId="7626" refreshError="1"/>
      <sheetData sheetId="7627" refreshError="1"/>
      <sheetData sheetId="7628" refreshError="1"/>
      <sheetData sheetId="7629" refreshError="1"/>
      <sheetData sheetId="7630" refreshError="1"/>
      <sheetData sheetId="763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226"/>
      <sheetName val="0412"/>
      <sheetName val="0416"/>
      <sheetName val="0421"/>
      <sheetName val="0422"/>
      <sheetName val="0422 (2)"/>
      <sheetName val="Sign"/>
      <sheetName val="0531(투자지원실)"/>
      <sheetName val="01"/>
      <sheetName val="갑지"/>
      <sheetName val="Good Morning 증권-01"/>
      <sheetName val="금융비용"/>
      <sheetName val="실행내역"/>
      <sheetName val="금융"/>
      <sheetName val="입찰내역 발주처 양식"/>
      <sheetName val="유림콘도"/>
      <sheetName val="유림골조"/>
      <sheetName val="#REF"/>
      <sheetName val="Sheet4"/>
      <sheetName val="예가표"/>
      <sheetName val="0422_(2)"/>
      <sheetName val="Good_Morning_증권-01"/>
      <sheetName val="B"/>
      <sheetName val="Sheet1"/>
      <sheetName val="부하(성남)"/>
      <sheetName val="목표세부명세"/>
      <sheetName val="일반부표"/>
      <sheetName val="소비자가"/>
      <sheetName val="내역서"/>
      <sheetName val="EQT-ESTN"/>
      <sheetName val="0422_(2)1"/>
      <sheetName val="Good_Morning_증권-011"/>
      <sheetName val="입찰내역_발주처_양식"/>
      <sheetName val="차액보증"/>
      <sheetName val="입찰안"/>
      <sheetName val="갑지(추정)"/>
      <sheetName val="개요"/>
      <sheetName val="공사개요"/>
      <sheetName val="합천내역"/>
      <sheetName val="Option"/>
      <sheetName val="공통비(전체)"/>
      <sheetName val="토목공사"/>
      <sheetName val="새공통(96임금인상기준)"/>
      <sheetName val="비교1"/>
      <sheetName val="유림총괄"/>
      <sheetName val="단가표"/>
      <sheetName val="집계표"/>
      <sheetName val="Sheet2"/>
      <sheetName val="0422_(2)2"/>
      <sheetName val="Good_Morning_증권-012"/>
      <sheetName val="입찰내역_발주처_양식1"/>
      <sheetName val="내역"/>
      <sheetName val="Cover"/>
      <sheetName val="기별(종합)"/>
      <sheetName val="연결임시"/>
      <sheetName val="예정(3)"/>
      <sheetName val="동원(3)"/>
      <sheetName val="SUMMARY"/>
      <sheetName val="토목"/>
      <sheetName val="전선 및 전선관"/>
      <sheetName val="토목주소"/>
      <sheetName val="프랜트면허"/>
      <sheetName val="품셈"/>
      <sheetName val="간접경상비"/>
      <sheetName val="품셈TABLE"/>
      <sheetName val="덕전리"/>
      <sheetName val="N賃率-職"/>
      <sheetName val="물량산출서"/>
      <sheetName val="1062-X방향 "/>
      <sheetName val="견적대비표"/>
      <sheetName val="입찰보고"/>
      <sheetName val="견적"/>
      <sheetName val="INPUT"/>
      <sheetName val="적용토목"/>
      <sheetName val="인사자료총집계"/>
      <sheetName val="실행철강하도"/>
      <sheetName val="6동"/>
      <sheetName val="9gng운반"/>
      <sheetName val="0422_(2)3"/>
      <sheetName val="Good_Morning_증권-013"/>
      <sheetName val="입찰내역_발주처_양식2"/>
      <sheetName val="전선_및_전선관"/>
      <sheetName val="0422_(2)4"/>
      <sheetName val="Good_Morning_증권-014"/>
      <sheetName val="입찰내역_발주처_양식3"/>
      <sheetName val="전선_및_전선관1"/>
      <sheetName val="98수문일위"/>
      <sheetName val="DB"/>
      <sheetName val="1062-X방향_"/>
      <sheetName val="설계내역서"/>
      <sheetName val="견적서"/>
      <sheetName val="별표 "/>
      <sheetName val="직재"/>
      <sheetName val="I一般比"/>
      <sheetName val="J直材4"/>
      <sheetName val="설직재-1"/>
      <sheetName val="工완성공사율"/>
      <sheetName val="일위"/>
      <sheetName val="일위대가(4층원격)"/>
      <sheetName val="일위대가"/>
      <sheetName val="일위대가목록"/>
      <sheetName val="Book4"/>
      <sheetName val="2F 회의실견적(5_14 일대)"/>
      <sheetName val="자재단가"/>
      <sheetName val="200"/>
      <sheetName val="SIL98"/>
      <sheetName val="토공사"/>
      <sheetName val="관급"/>
      <sheetName val="기준_국가명"/>
      <sheetName val="VS P-Q"/>
      <sheetName val="JUCKEYK"/>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본견적"/>
      <sheetName val="1ST"/>
      <sheetName val="2ND"/>
      <sheetName val="Furniture"/>
      <sheetName val="MAY07"/>
      <sheetName val="0219(설비)"/>
      <sheetName val="0219(전기) (2)"/>
      <sheetName val="Sheet1"/>
      <sheetName val="MAY-12"/>
      <sheetName val="내역서"/>
      <sheetName val="01"/>
      <sheetName val="0226"/>
      <sheetName val="결과조달"/>
      <sheetName val="TOWER 12TON"/>
      <sheetName val="TOWER 10TON"/>
      <sheetName val="목동트라팰리스-대혜건축-070510-제출용"/>
      <sheetName val="세대내부"/>
      <sheetName val="DEUTSCHE0219"/>
      <sheetName val="0219(전기)_(2)"/>
      <sheetName val="TOWER_12TON"/>
      <sheetName val="TOWER_10TON"/>
      <sheetName val="공사개요"/>
      <sheetName val="방배2E"/>
      <sheetName val="품"/>
      <sheetName val="본선 토공 분배표"/>
      <sheetName val="#REF"/>
      <sheetName val="금액내역서"/>
      <sheetName val="0219(전기)_(2)1"/>
      <sheetName val="TOWER_12TON1"/>
      <sheetName val="TOWER_10TON1"/>
      <sheetName val="금융비용"/>
      <sheetName val="일위대가목차"/>
      <sheetName val="Customer Databas"/>
      <sheetName val="TEL"/>
      <sheetName val="예정(3)"/>
      <sheetName val="노임이"/>
      <sheetName val="동원(3)"/>
      <sheetName val="B"/>
      <sheetName val="목표세부명세"/>
      <sheetName val="기계내역"/>
      <sheetName val="집계표"/>
      <sheetName val="시산표"/>
      <sheetName val="소비자가"/>
      <sheetName val="EQT-ESTN"/>
      <sheetName val="N賃率-職"/>
      <sheetName val="0219(전기)_(2)2"/>
      <sheetName val="TOWER_12TON2"/>
      <sheetName val="TOWER_10TON2"/>
      <sheetName val="본선_토공_분배표"/>
      <sheetName val="Customer_Databas"/>
      <sheetName val="일위대가표"/>
      <sheetName val="공정분리"/>
      <sheetName val="간접"/>
      <sheetName val="전기"/>
      <sheetName val="유림골조"/>
      <sheetName val="부하계산서"/>
      <sheetName val="변경보고서"/>
      <sheetName val="견적서"/>
      <sheetName val="표지"/>
      <sheetName val="0219(전기)_(2)3"/>
      <sheetName val="TOWER_12TON3"/>
      <sheetName val="TOWER_10TON3"/>
      <sheetName val="본선_토공_분배표1"/>
      <sheetName val="Customer_Databas1"/>
      <sheetName val="Sheet4"/>
      <sheetName val="P.M 별"/>
      <sheetName val="설계내역서"/>
      <sheetName val="ROW DATA"/>
      <sheetName val="입찰내역 발주처 양식"/>
      <sheetName val="입찰안"/>
      <sheetName val="금융"/>
      <sheetName val="노무비"/>
      <sheetName val="곤지암"/>
      <sheetName val="RSG공사"/>
      <sheetName val="경상"/>
      <sheetName val="Sheet2"/>
      <sheetName val="총괄"/>
      <sheetName val="5사남"/>
      <sheetName val="JIB CRANE,HOIST"/>
      <sheetName val="의왕F사"/>
      <sheetName val="가공사"/>
      <sheetName val="בית השקעות"/>
      <sheetName val="간이연락"/>
      <sheetName val="Budget"/>
      <sheetName val="공정"/>
      <sheetName val="Assumptions"/>
      <sheetName val="page 6"/>
      <sheetName val="JIB_CRANE,HOIST"/>
      <sheetName val="בית_השקעות"/>
      <sheetName val="토목주소"/>
      <sheetName val="프랜트면허"/>
      <sheetName val="경비지출영수증_양식"/>
      <sheetName val="전도금정산영수증_양식"/>
      <sheetName val="단가산출"/>
      <sheetName val="2(사업장개시신고서)"/>
      <sheetName val="3-1(전도금신청내역서-기초자료)"/>
      <sheetName val="3-2(지출결의서)"/>
      <sheetName val="4-1(외주발주품의서)"/>
      <sheetName val="사용정산서 (정산)"/>
      <sheetName val="사용영수증양식(공통비용)"/>
      <sheetName val="사용영수증양식(개인별 비용)"/>
      <sheetName val="집 계 표"/>
      <sheetName val="별표"/>
      <sheetName val="시설물일위"/>
      <sheetName val="일위대가"/>
      <sheetName val=" 냉각수펌프"/>
      <sheetName val="실행철강하도"/>
      <sheetName val="예가표"/>
      <sheetName val="ENE-CAL 1"/>
      <sheetName val="도기류"/>
      <sheetName val="골조"/>
      <sheetName val="COVER"/>
      <sheetName val="2.1 Utility_Quantity"/>
      <sheetName val="2.2 Utility_Amount"/>
      <sheetName val="Daten"/>
      <sheetName val="재무가정"/>
      <sheetName val="비용지출승인(통합)"/>
      <sheetName val="リスト"/>
      <sheetName val="Training"/>
      <sheetName val="Facility Information"/>
      <sheetName val="General"/>
      <sheetName val="Instructions"/>
      <sheetName val="People"/>
      <sheetName val="Quality"/>
      <sheetName val="Risk"/>
      <sheetName val="지분법(지분수정전)"/>
      <sheetName val="1062-X방향 "/>
      <sheetName val="0219(전기)_(2)4"/>
      <sheetName val="TOWER_12TON4"/>
      <sheetName val="TOWER_10TON4"/>
      <sheetName val="본선_토공_분배표2"/>
      <sheetName val="Customer_Databas2"/>
      <sheetName val="ROW_DATA"/>
      <sheetName val="P_M_별"/>
      <sheetName val="입찰내역_발주처_양식"/>
      <sheetName val="JIB_CRANE,HOIST1"/>
      <sheetName val="בית_השקעות1"/>
      <sheetName val="page_6"/>
      <sheetName val="사용정산서_(정산)"/>
      <sheetName val="사용영수증양식(개인별_비용)"/>
      <sheetName val="집_계_표"/>
      <sheetName val="_냉각수펌프"/>
      <sheetName val="가옥철거"/>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refreshError="1"/>
      <sheetData sheetId="90" refreshError="1"/>
      <sheetData sheetId="91"/>
      <sheetData sheetId="92"/>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금액내역서"/>
      <sheetName val="원가계산서"/>
      <sheetName val="총괄내역서"/>
      <sheetName val="내역서"/>
      <sheetName val="노무비목록표"/>
      <sheetName val="자재단가대비표"/>
      <sheetName val="중기목록표"/>
      <sheetName val="기계경비"/>
      <sheetName val="단가산출근거목록표"/>
      <sheetName val="내역산근"/>
      <sheetName val="총괄내역서 (2)"/>
      <sheetName val="내역서 (2)"/>
      <sheetName val="일위대가목록표"/>
      <sheetName val="일위대가"/>
      <sheetName val="일위대가 (2)"/>
      <sheetName val="내역산근 (2)"/>
      <sheetName val="연돌일위집계"/>
      <sheetName val="약품공급2"/>
      <sheetName val="세대내부"/>
      <sheetName val="PROJECT BRIEF"/>
      <sheetName val="0226"/>
      <sheetName val="1ST"/>
      <sheetName val="골조시행"/>
      <sheetName val="일위대가(여기까지)"/>
      <sheetName val="#REF"/>
      <sheetName val="공조기휀"/>
      <sheetName val="금융비용"/>
      <sheetName val="000000"/>
      <sheetName val="유림골조"/>
      <sheetName val="IW-LIST"/>
      <sheetName val="실행"/>
      <sheetName val="Air-Con Charging(A)"/>
      <sheetName val="I一般比"/>
      <sheetName val="갑지(추정)"/>
      <sheetName val="단"/>
      <sheetName val="소비자가"/>
      <sheetName val="총괄내역서_(2)"/>
      <sheetName val="내역서_(2)"/>
      <sheetName val="일위대가_(2)"/>
      <sheetName val="내역산근_(2)"/>
      <sheetName val="PROJECT_BRIEF"/>
      <sheetName val="전지동동력물량산출서"/>
      <sheetName val="집계표"/>
      <sheetName val="결과조달"/>
      <sheetName val="XXXXXX"/>
      <sheetName val="년차사용내역"/>
      <sheetName val="전기1과자료"/>
      <sheetName val="각서(교통사고)"/>
      <sheetName val="개별계획서"/>
      <sheetName val="공사내용"/>
      <sheetName val="증설CM보수"/>
      <sheetName val="용접기현황"/>
      <sheetName val="무전기"/>
      <sheetName val="경위서"/>
      <sheetName val="작업일지"/>
      <sheetName val="일지"/>
      <sheetName val="월간공정"/>
      <sheetName val="계측관리(가로)"/>
      <sheetName val="당직표"/>
      <sheetName val="안전관리과일지"/>
      <sheetName val="공사현황보고"/>
      <sheetName val="금액총괄표"/>
      <sheetName val="laroux"/>
      <sheetName val="단가조사서"/>
      <sheetName val="장비단가비교표"/>
      <sheetName val="일위대가목차"/>
      <sheetName val="산출서"/>
      <sheetName val="SUPPORT산출서"/>
      <sheetName val="support집계"/>
      <sheetName val="WALKWAY 집계"/>
      <sheetName val="HOISTRAIL집계"/>
      <sheetName val="2공구관급"/>
      <sheetName val="2공구도급"/>
      <sheetName val="VXXXXXX"/>
      <sheetName val="기자재단가"/>
      <sheetName val="배관단가"/>
      <sheetName val="일위대가표"/>
      <sheetName val="단가표"/>
      <sheetName val="단가구분"/>
      <sheetName val="PCODE"/>
      <sheetName val="인건비"/>
      <sheetName val="배관자재 단가조사서"/>
      <sheetName val="산출내역"/>
      <sheetName val="토목"/>
      <sheetName val="품질관리비"/>
      <sheetName val="건축"/>
      <sheetName val="기계 "/>
      <sheetName val="VXXXX"/>
      <sheetName val="사급자재대"/>
      <sheetName val="단가비교"/>
      <sheetName val="4. 배관공사"/>
      <sheetName val="3.시운전비"/>
      <sheetName val="설치공사"/>
      <sheetName val="원가계산"/>
      <sheetName val="총괄내역"/>
      <sheetName val="수량산출서"/>
      <sheetName val="시운전비(계약직)"/>
      <sheetName val="ELECTRIC"/>
      <sheetName val="CTEMCOST"/>
      <sheetName val="SCHEDULE"/>
      <sheetName val="침출배관"/>
      <sheetName val="WORK"/>
      <sheetName val="전신환매도율"/>
      <sheetName val="misc"/>
      <sheetName val="Sheet1"/>
      <sheetName val="Sheet2"/>
      <sheetName val="Sheet3"/>
      <sheetName val="Sheet4"/>
      <sheetName val="Sheet5"/>
      <sheetName val="Sheet6"/>
      <sheetName val="PRICE"/>
      <sheetName val="?????"/>
      <sheetName val="내역"/>
      <sheetName val="EQT-ESTN"/>
      <sheetName val="견적서"/>
      <sheetName val="실행철강하도"/>
      <sheetName val="물가자료"/>
      <sheetName val="목표세부명세"/>
      <sheetName val="정부노임단가"/>
      <sheetName val="설계"/>
      <sheetName val="3.공통공사대비"/>
      <sheetName val="¿ø°¡°è»ê¼­"/>
      <sheetName val="±Ý¾×ÃÑ°ýÇ¥"/>
      <sheetName val="±Ý¾×³»¿ª¼­"/>
      <sheetName val="´Ü°¡Á¶»ç¼­"/>
      <sheetName val="Àåºñ´Ü°¡ºñ±³Ç¥"/>
      <sheetName val="ÀÏÀ§´ë°¡¸ñÂ÷"/>
      <sheetName val="ÀÏÀ§´ë°¡"/>
      <sheetName val="»êÃâ¼­"/>
      <sheetName val="Áý°èÇ¥"/>
      <sheetName val="SUPPORT»êÃâ¼­"/>
      <sheetName val="supportÁý°è"/>
      <sheetName val="WALKWAY Áý°è"/>
      <sheetName val="HOISTRAILÁý°è"/>
      <sheetName val="2°ø±¸°ü±Þ"/>
      <sheetName val="2°ø±¸µµ±Þ"/>
      <sheetName val="³»¿ª¼­"/>
      <sheetName val="±âÀÚÀç´Ü°¡"/>
      <sheetName val="¹è°ü´Ü°¡"/>
      <sheetName val="ÀÏÀ§´ë°¡Ç¥"/>
      <sheetName val="´Ü°¡Ç¥"/>
      <sheetName val="´Ü°¡±¸ºÐ"/>
      <sheetName val="³âÂ÷»ç¿ë³»¿ª"/>
      <sheetName val="Àü±â1°úÀÚ·á"/>
      <sheetName val="°¢¼­(±³Åë»ç°í)"/>
      <sheetName val="°³º°°èÈ¹¼­"/>
      <sheetName val="°ø»ç³»¿ë"/>
      <sheetName val="Áõ¼³CMº¸¼ö"/>
      <sheetName val="¿ëÁ¢±âÇöÈ²"/>
      <sheetName val="¹«Àü±â"/>
      <sheetName val="°æÀ§¼­"/>
      <sheetName val="ÀÛ¾÷ÀÏÁö"/>
      <sheetName val="ÀÏÁö"/>
      <sheetName val="¿ù°£°øÁ¤"/>
      <sheetName val="°èÃø°ü¸®(°¡·Î)"/>
      <sheetName val="´çÁ÷Ç¥"/>
      <sheetName val="¾ÈÀü°ü¸®°úÀÏÁö"/>
      <sheetName val="°ø»çÇöÈ²º¸°í"/>
      <sheetName val="ÀÎ°Çºñ"/>
      <sheetName val="¹è°üÀÚÀç ´Ü°¡Á¶»ç¼­"/>
      <sheetName val="¼ö·®»êÃâ¼­"/>
      <sheetName val="»êÃâ³»¿ª"/>
      <sheetName val="Åä¸ñ"/>
      <sheetName val="Ç°Áú°ü¸®ºñ"/>
      <sheetName val="°ÇÃà"/>
      <sheetName val="±â°è "/>
      <sheetName val="¼³Ä¡°ø»ç"/>
      <sheetName val="»ç±ÞÀÚÀç´ë"/>
      <sheetName val="´Ü°¡ºñ±³"/>
      <sheetName val="4. ¹è°ü°ø»ç"/>
      <sheetName val="3.½Ã¿îÀüºñ"/>
      <sheetName val="¿ø°¡°è»ê"/>
      <sheetName val="ÃÑ°ý³»¿ª"/>
      <sheetName val="½Ã¿îÀüºñ(°è¾àÁ÷)"/>
      <sheetName val="Ä§Ãâ¹è°ü"/>
      <sheetName val="°á°úÁ¶´Þ"/>
      <sheetName val="½ÇÇàÃ¶°­ÇÏµµ"/>
      <sheetName val="¼³°è"/>
      <sheetName val="°ßÀû¼­"/>
      <sheetName val="¿¬µ¹ÀÏÀ§Áý°è"/>
      <sheetName val="2000년1차"/>
      <sheetName val="예정(3)"/>
      <sheetName val="동원(3)"/>
      <sheetName val="9-1차이내역."/>
      <sheetName val="전기공사"/>
      <sheetName val="H腏ISTRAIL집계"/>
      <sheetName val="2공구도급_x0007_嘀塘塘塘_x0003_됁᳅ׁĀ기자재단가_x0004_、¼²֬Ā일위대"/>
      <sheetName val="해전배수"/>
      <sheetName val="IMP(MAIN)"/>
      <sheetName val="IMP (REACTOR)"/>
      <sheetName val="단가"/>
      <sheetName val="건축내역"/>
      <sheetName val="밸브설치"/>
      <sheetName val="손익분석"/>
      <sheetName val="예산대비"/>
      <sheetName val="CIVIL4"/>
      <sheetName val="연습"/>
      <sheetName val="지수결과표-3"/>
      <sheetName val="소방"/>
      <sheetName val="총괄표"/>
      <sheetName val="집계"/>
      <sheetName val="데이타"/>
      <sheetName val="식재인부"/>
      <sheetName val="직재"/>
      <sheetName val="기기리스트"/>
      <sheetName val="SEC 1-D850"/>
      <sheetName val="예가표"/>
      <sheetName val="각종손료"/>
      <sheetName val="일위목록"/>
      <sheetName val="G2설비도급"/>
      <sheetName val="물집"/>
      <sheetName val="배관단가조사서"/>
      <sheetName val="품셈"/>
      <sheetName val="금융"/>
      <sheetName val="기자재비"/>
      <sheetName val="기준FACTOR"/>
      <sheetName val="1단계"/>
      <sheetName val="대림경상68억"/>
      <sheetName val="공량산출서"/>
      <sheetName val="_____"/>
      <sheetName val="WALKWAY_집계"/>
      <sheetName val="4__배관공사"/>
      <sheetName val="3_시운전비"/>
      <sheetName val="배관자재_단가조사서"/>
      <sheetName val="기계_"/>
      <sheetName val="3_공통공사대비"/>
      <sheetName val="WALKWAY_Áý°è"/>
      <sheetName val="¹è°üÀÚÀç_´Ü°¡Á¶»ç¼­"/>
      <sheetName val="±â°è_"/>
      <sheetName val="4__¹è°ü°ø»ç"/>
      <sheetName val="3_½Ã¿îÀüºñ"/>
      <sheetName val="9-1차이내역_"/>
      <sheetName val="2공구도급嘀塘塘塘됁᳅ׁĀ기자재단가、¼²֬Ā일위대"/>
      <sheetName val="IMP_(REACTOR)"/>
      <sheetName val="단가산출"/>
      <sheetName val="코드표"/>
      <sheetName val="DATE"/>
      <sheetName val="하수급견적대비"/>
      <sheetName val="기성2"/>
      <sheetName val="106C0300"/>
      <sheetName val="Baby일위대가"/>
      <sheetName val="설계개요"/>
      <sheetName val="철집"/>
      <sheetName val="공사개요(사업승인)"/>
      <sheetName val="공사비예산서(토목분)"/>
      <sheetName val="산출조서1"/>
      <sheetName val="조경"/>
      <sheetName val="설계예산서"/>
      <sheetName val="노임"/>
      <sheetName val="오억미만"/>
      <sheetName val="시설일위"/>
      <sheetName val="정렬"/>
      <sheetName val="산출내역서집계표"/>
      <sheetName val="수목표준대가"/>
      <sheetName val="현장관리비 산출내역"/>
      <sheetName val="총괄"/>
      <sheetName val="을"/>
      <sheetName val="직노"/>
      <sheetName val="중기일위대가"/>
      <sheetName val="부하계산서"/>
      <sheetName val=" 견적서"/>
      <sheetName val="갑지"/>
      <sheetName val="ASEM내역"/>
      <sheetName val="Estimate"/>
      <sheetName val="삼원"/>
      <sheetName val="그린"/>
      <sheetName val="한창-을"/>
      <sheetName val="수량산출"/>
      <sheetName val="조건표"/>
      <sheetName val="원내역"/>
      <sheetName val="내역서01"/>
      <sheetName val="입찰안"/>
      <sheetName val="상 부"/>
      <sheetName val="낙찰표"/>
      <sheetName val="CAL"/>
      <sheetName val="설계가"/>
      <sheetName val="001"/>
      <sheetName val="cable-data"/>
      <sheetName val="A-4"/>
      <sheetName val="투찰"/>
      <sheetName val="SG"/>
      <sheetName val="DATA"/>
      <sheetName val="BID"/>
      <sheetName val="토공사"/>
      <sheetName val="일위대가(계측기설치)"/>
      <sheetName val="Pier 3"/>
      <sheetName val="부대공Ⅱ"/>
      <sheetName val="타견적(을)"/>
      <sheetName val="일위대가(가설)"/>
      <sheetName val="Sheet1 (2)"/>
      <sheetName val="집수정(600-700)"/>
      <sheetName val="토공수량"/>
      <sheetName val="계수시트"/>
      <sheetName val="화재 탐지 설비"/>
      <sheetName val="노임이"/>
      <sheetName val="노무"/>
      <sheetName val="woo(mac)"/>
      <sheetName val="계정"/>
      <sheetName val="이름표지정"/>
      <sheetName val="S0"/>
      <sheetName val="교각계산"/>
      <sheetName val="현장관리비_산출내역"/>
      <sheetName val="상_부"/>
      <sheetName val="현장관리비_산출내역1"/>
      <sheetName val="상_부1"/>
      <sheetName val="Eq. Mobilization"/>
      <sheetName val="노단"/>
      <sheetName val="2.대외공문"/>
      <sheetName val="1.설계조건"/>
      <sheetName val="수목데이타 "/>
      <sheetName val="토공집계표"/>
      <sheetName val="2공구산출내역"/>
      <sheetName val="정SW(원)"/>
      <sheetName val="발신정보"/>
      <sheetName val="백암비스타내역"/>
      <sheetName val="Y-WORK"/>
      <sheetName val="01"/>
      <sheetName val="순공사비"/>
      <sheetName val="MTO REV.2(ARMOR)"/>
      <sheetName val="일위목차"/>
      <sheetName val="부하(성남)"/>
      <sheetName val="J直材4"/>
      <sheetName val="설직재-1"/>
      <sheetName val="일위"/>
      <sheetName val="일위대가목록"/>
      <sheetName val="工관리비율"/>
      <sheetName val="일위대가(4층원격)"/>
      <sheetName val="N賃率-職"/>
      <sheetName val="工완성공사율"/>
      <sheetName val="경산"/>
      <sheetName val="터파기및재료"/>
      <sheetName val="9GNG운반"/>
      <sheetName val="설계명세서(전송장비분)"/>
      <sheetName val="총괄내역서_(2)1"/>
      <sheetName val="내역서_(2)1"/>
      <sheetName val="일위대가_(2)1"/>
      <sheetName val="내역산근_(2)1"/>
      <sheetName val="PROJECT_BRIEF1"/>
      <sheetName val="Air-Con_Charging(A)"/>
      <sheetName val="_견적서"/>
      <sheetName val="계화총괄"/>
      <sheetName val="계화배수(3대)"/>
      <sheetName val="단위단가"/>
      <sheetName val="총괄집계표"/>
      <sheetName val="방배동내역(리라)"/>
      <sheetName val="공통가설"/>
      <sheetName val="부대공사총괄"/>
      <sheetName val="현장경비"/>
      <sheetName val="건축공사집계표"/>
      <sheetName val="방배동내역 (총괄)"/>
      <sheetName val="노무비"/>
      <sheetName val="표지"/>
      <sheetName val="PRICES"/>
    </sheetNames>
    <sheetDataSet>
      <sheetData sheetId="0" refreshError="1">
        <row r="4">
          <cell r="D4" t="str">
            <v>대</v>
          </cell>
        </row>
        <row r="5">
          <cell r="D5" t="str">
            <v>대</v>
          </cell>
        </row>
        <row r="7">
          <cell r="D7" t="str">
            <v>대</v>
          </cell>
        </row>
        <row r="8">
          <cell r="D8" t="str">
            <v>대</v>
          </cell>
        </row>
      </sheetData>
      <sheetData sheetId="1"/>
      <sheetData sheetId="2"/>
      <sheetData sheetId="3">
        <row r="3">
          <cell r="D3" t="str">
            <v>식</v>
          </cell>
        </row>
      </sheetData>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refreshError="1"/>
      <sheetData sheetId="60"/>
      <sheetData sheetId="61"/>
      <sheetData sheetId="62" refreshError="1"/>
      <sheetData sheetId="63"/>
      <sheetData sheetId="64" refreshError="1"/>
      <sheetData sheetId="65" refreshError="1"/>
      <sheetData sheetId="66" refreshError="1"/>
      <sheetData sheetId="67"/>
      <sheetData sheetId="68" refreshError="1"/>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비교"/>
      <sheetName val="Sheet2"/>
      <sheetName val="Sheet3"/>
      <sheetName val="Sony Chemical 비교"/>
    </sheetNames>
    <definedNames>
      <definedName name="AAA"/>
      <definedName name="CLOSER"/>
      <definedName name="fg"/>
      <definedName name="_xlbgnm.jak10"/>
      <definedName name="_xlbgnm.jak11"/>
      <definedName name="_xlbgnm.jak12"/>
      <definedName name="_xlbgnm.jak13"/>
      <definedName name="_xlbgnm.jak2"/>
      <definedName name="_xlbgnm.jak3"/>
      <definedName name="_xlbgnm.jak4"/>
      <definedName name="_xlbgnm.jak5"/>
      <definedName name="_xlbgnm.jak6"/>
      <definedName name="_xlbgnm.jak7"/>
      <definedName name="_xlbgnm.jak9"/>
      <definedName name="StartChart"/>
      <definedName name="StartSeller"/>
      <definedName name="견적서2"/>
      <definedName name="국기원"/>
      <definedName name="ㅁㅁㅁ"/>
      <definedName name="멋저"/>
      <definedName name="모빌랙A"/>
      <definedName name="일위대가"/>
      <definedName name="제출"/>
      <definedName name="좋아"/>
      <definedName name="주"/>
      <definedName name="최종"/>
      <definedName name="ㅌㅇㅁ너롬ㅈ"/>
      <definedName name="현대산업"/>
      <definedName name="ㅓㅕㅗㅓ"/>
      <definedName name="ㅡㅡㅡ"/>
    </definedNames>
    <sheetDataSet>
      <sheetData sheetId="0"/>
      <sheetData sheetId="1"/>
      <sheetData sheetId="2"/>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기리스트"/>
      <sheetName val="일위대가(가설)"/>
      <sheetName val="노임이"/>
      <sheetName val="01"/>
      <sheetName val="견적서"/>
      <sheetName val="GI-LIST"/>
      <sheetName val="갑지(추정)"/>
      <sheetName val="견적을지"/>
      <sheetName val="견적대비표"/>
      <sheetName val="갑지"/>
      <sheetName val="1ST"/>
      <sheetName val="#REF"/>
      <sheetName val="금액내역서"/>
      <sheetName val="Y-WORK"/>
      <sheetName val="예정(3)"/>
      <sheetName val="동원(3)"/>
      <sheetName val="갑지1"/>
      <sheetName val="SG"/>
      <sheetName val="금융비용"/>
      <sheetName val="1단계"/>
      <sheetName val="설계내역서"/>
      <sheetName val="LANGUAGE"/>
      <sheetName val="Sheet1"/>
      <sheetName val="Top 10"/>
      <sheetName val="Sheet5"/>
      <sheetName val="축산 기기리스트"/>
      <sheetName val="아수배전(1회)"/>
      <sheetName val="보할공정"/>
      <sheetName val="FORM-0"/>
      <sheetName val="화재 탐지 설비"/>
      <sheetName val="일위대가목차"/>
      <sheetName val="EQT-ESTN"/>
      <sheetName val="일위(PN)"/>
      <sheetName val="계수시트"/>
      <sheetName val="원가계산서"/>
      <sheetName val="가도공"/>
      <sheetName val="JUCKEYK"/>
      <sheetName val="S0"/>
      <sheetName val="대치판정"/>
      <sheetName val="STEEL BOX 단면설계(SEC.8)"/>
      <sheetName val="총괄"/>
      <sheetName val="노임"/>
      <sheetName val="static.cal"/>
      <sheetName val="G.R300경비"/>
      <sheetName val="TARGET"/>
      <sheetName val="산출근거"/>
      <sheetName val="동해title"/>
      <sheetName val="교대시점"/>
      <sheetName val="플랜트 설치"/>
      <sheetName val="ITEM"/>
      <sheetName val="전기일위대가"/>
      <sheetName val="수량산출"/>
      <sheetName val="COVER"/>
      <sheetName val="시설일위"/>
      <sheetName val="NOMUBI"/>
      <sheetName val="자재단가"/>
      <sheetName val="Total"/>
      <sheetName val="경계석"/>
      <sheetName val="가락화장을지"/>
      <sheetName val="tggwan(mac)"/>
      <sheetName val="설계가"/>
      <sheetName val="터파기및재료"/>
      <sheetName val="BID"/>
      <sheetName val="대가수량"/>
      <sheetName val="약품공급2"/>
      <sheetName val="우수공"/>
      <sheetName val="2000전체분"/>
      <sheetName val="2000년1차"/>
      <sheetName val="공량산출서"/>
      <sheetName val="단가"/>
      <sheetName val="삼원"/>
      <sheetName val="그린"/>
      <sheetName val="한창-을"/>
      <sheetName val="내역"/>
      <sheetName val="품셈"/>
      <sheetName val="7.경제성결과"/>
      <sheetName val="내역서"/>
      <sheetName val="프랜트면허"/>
      <sheetName val="토목주소"/>
      <sheetName val="총괄내역서"/>
      <sheetName val="을"/>
      <sheetName val="기둥(원형)"/>
      <sheetName val="제-노임"/>
      <sheetName val="제직재"/>
      <sheetName val="주현(해보)"/>
      <sheetName val="주현(영광)"/>
      <sheetName val="부하계산서"/>
      <sheetName val="유기공정"/>
      <sheetName val="가공비"/>
      <sheetName val="정부노임단가"/>
      <sheetName val="실행철강하도"/>
      <sheetName val="DATA"/>
      <sheetName val="빌딩 안내"/>
      <sheetName val="노임단가"/>
      <sheetName val="Baby일위대가"/>
      <sheetName val="SORCE1"/>
      <sheetName val="도로토적"/>
      <sheetName val="설비"/>
      <sheetName val="EP0618"/>
      <sheetName val="1.설계조건"/>
      <sheetName val="(전기)설계예산서"/>
      <sheetName val="マージン"/>
      <sheetName val="8.PILE  (돌출)"/>
      <sheetName val="여과지동"/>
      <sheetName val="기초자료"/>
      <sheetName val="참조-(1)"/>
      <sheetName val="간접"/>
      <sheetName val="N賃率-職"/>
      <sheetName val="내역(한신APT)"/>
      <sheetName val="설계조건"/>
      <sheetName val="우수"/>
      <sheetName val="산근1,2"/>
      <sheetName val="우각부보강"/>
      <sheetName val="수입"/>
      <sheetName val="본체"/>
      <sheetName val="Sheet2"/>
      <sheetName val="IW_LIST"/>
      <sheetName val="총괄집계표"/>
      <sheetName val="DATE"/>
      <sheetName val="청하배수"/>
      <sheetName val="견적대비"/>
      <sheetName val="인수공규격"/>
      <sheetName val="quotation"/>
      <sheetName val="조명시설"/>
      <sheetName val="단락전류-A"/>
      <sheetName val="산근터빈"/>
      <sheetName val="구성비"/>
      <sheetName val="TYPE-A"/>
      <sheetName val="집계표"/>
      <sheetName val="상반기손익차2총괄"/>
      <sheetName val="입출재고현황 (2)"/>
      <sheetName val="조도계산서 (도서)"/>
      <sheetName val="신우"/>
      <sheetName val="입찰안"/>
      <sheetName val="INPUT"/>
      <sheetName val="날개벽(좌,우=60도-4개)"/>
      <sheetName val="음료실행"/>
      <sheetName val="일위대가(계측기설치)"/>
      <sheetName val="단가 및 재료비"/>
      <sheetName val="단가산출2"/>
      <sheetName val="단가산출1"/>
      <sheetName val="중기사용료산출근거"/>
      <sheetName val="D-623D"/>
      <sheetName val="P3"/>
      <sheetName val="수선계획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약품공급2"/>
      <sheetName val="기기리스트"/>
      <sheetName val="약품설비"/>
      <sheetName val="노임이"/>
      <sheetName val="N賃率-職"/>
      <sheetName val="경비"/>
      <sheetName val="총괄"/>
      <sheetName val="갑지"/>
      <sheetName val="9GNG운반"/>
      <sheetName val="건축집계"/>
      <sheetName val="01"/>
      <sheetName val="Total"/>
      <sheetName val="3.공통공사대비"/>
      <sheetName val="BSD (2)"/>
      <sheetName val="효율계획(당월)"/>
      <sheetName val="전체실적"/>
      <sheetName val="설계내역서"/>
      <sheetName val="을"/>
      <sheetName val="3.자재비(총괄)"/>
      <sheetName val="일위대가(가설)"/>
      <sheetName val="갑지(추정)"/>
      <sheetName val="COVER-P"/>
      <sheetName val="잡비"/>
      <sheetName val="부안변전"/>
      <sheetName val="견적을지"/>
      <sheetName val="견적대비표"/>
      <sheetName val="전기"/>
      <sheetName val="합의경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침사지"/>
      <sheetName val="유입펌프"/>
      <sheetName val="조정조"/>
      <sheetName val="최초침전지"/>
      <sheetName val="포기조"/>
      <sheetName val="송풍기"/>
      <sheetName val="최종침전지"/>
      <sheetName val="UV소독"/>
      <sheetName val="용수공급"/>
      <sheetName val="농축조"/>
      <sheetName val="탈수기"/>
      <sheetName val="탈취설비"/>
      <sheetName val="약품설비"/>
      <sheetName val="약품공급2"/>
      <sheetName val="기기리스트"/>
      <sheetName val="잡비"/>
      <sheetName val="총괄"/>
      <sheetName val="견적대비표"/>
      <sheetName val="9GNG운반"/>
      <sheetName val="일위_파일"/>
      <sheetName val="밸브설치"/>
      <sheetName val="N賃率-職"/>
      <sheetName val="01"/>
      <sheetName val="#REF"/>
      <sheetName val="샘플표지"/>
      <sheetName val="을"/>
      <sheetName val="매립"/>
      <sheetName val="AS-YONG"/>
      <sheetName val="Sheet1"/>
      <sheetName val="에너지동"/>
      <sheetName val="3.자재비(총괄)"/>
      <sheetName val="전기"/>
      <sheetName val="산근터빈"/>
      <sheetName val="단위가격"/>
      <sheetName val="단가보완"/>
      <sheetName val="설계내역서"/>
      <sheetName val="내역서"/>
      <sheetName val="VXXXXX"/>
      <sheetName val="견적서"/>
      <sheetName val="프랜트면허"/>
      <sheetName val="토목주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RNITURE-01"/>
      <sheetName val="FURNITURE-02"/>
      <sheetName val="FURNITURE-03"/>
      <sheetName val="Steelcase-Chair"/>
      <sheetName val="Sheet5"/>
      <sheetName val="0226"/>
      <sheetName val="입찰안"/>
      <sheetName val="공통가설"/>
      <sheetName val="GAEYO"/>
      <sheetName val="약품설비"/>
      <sheetName val="갑지"/>
      <sheetName val="입출재고현황 (2)"/>
      <sheetName val="시멘트"/>
      <sheetName val="XZLC004_PART2"/>
      <sheetName val="C_d"/>
      <sheetName val="토목주소"/>
      <sheetName val="프랜트면허"/>
      <sheetName val="DLJ-F03"/>
      <sheetName val="asd"/>
      <sheetName val="월별수입"/>
      <sheetName val="9GNG운반"/>
      <sheetName val="공정코드"/>
      <sheetName val="공문"/>
      <sheetName val="금액내역서"/>
      <sheetName val="소요자재"/>
      <sheetName val="노무산출서"/>
      <sheetName val="기존단가 (2)"/>
      <sheetName val="입출재고현황_(2)"/>
      <sheetName val="ITEM"/>
      <sheetName val="광혁기성"/>
      <sheetName val="잡비"/>
      <sheetName val="SIHEUNG"/>
      <sheetName val="소비자가"/>
      <sheetName val="I一般比"/>
      <sheetName val="내역총괄"/>
      <sheetName val="내역총괄2"/>
      <sheetName val="내역총괄3"/>
      <sheetName val="기기리스트"/>
      <sheetName val="chitimc"/>
      <sheetName val="약품공급2"/>
    </sheetNames>
    <sheetDataSet>
      <sheetData sheetId="0" refreshError="1">
        <row r="3">
          <cell r="A3" t="str">
            <v>E  S  T  I  M  A  T  E       S  U  M  M  A  R  Y</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1"/>
      <sheetName val="Sheet1"/>
      <sheetName val="단가표"/>
      <sheetName val="직노"/>
      <sheetName val="Sheet5"/>
      <sheetName val="GAEYO"/>
      <sheetName val="공사개요"/>
      <sheetName val="입찰안"/>
      <sheetName val="부속동"/>
      <sheetName val="Customer Databas"/>
      <sheetName val="EACT10"/>
      <sheetName val="재료집계"/>
      <sheetName val="소비자가"/>
      <sheetName val="기계내역"/>
      <sheetName val="시화점실행"/>
      <sheetName val="교통대책내역"/>
      <sheetName val="b_gunmul"/>
      <sheetName val="b_balju (2)"/>
      <sheetName val="간선계산"/>
      <sheetName val="포장복구집계"/>
      <sheetName val="공사수행방안"/>
      <sheetName val="교각1"/>
      <sheetName val="수주실적0709"/>
      <sheetName val="ETC"/>
      <sheetName val="점수계산1-2"/>
      <sheetName val="Summary Sheets"/>
      <sheetName val="수로교총재료집계"/>
      <sheetName val="남양시작동자105노65기1.3화1.2"/>
      <sheetName val="갑지1"/>
      <sheetName val="2F 회의실견적(5_14 일대)"/>
      <sheetName val="FURNITURE-01"/>
      <sheetName val="전선"/>
      <sheetName val="XXXXXX"/>
      <sheetName val="VXXXXX"/>
      <sheetName val="2월1주차"/>
      <sheetName val="공통가설"/>
      <sheetName val="도급"/>
      <sheetName val="조건표"/>
      <sheetName val="업무절차서"/>
      <sheetName val="근로자명부"/>
      <sheetName val="증빙SCAN"/>
      <sheetName val="근로계약서"/>
      <sheetName val="실행예산서"/>
      <sheetName val="작업지시서"/>
      <sheetName val="PIPE"/>
      <sheetName val="FLANGE"/>
      <sheetName val="VALVE"/>
      <sheetName val="단면 (2)"/>
      <sheetName val="경비"/>
      <sheetName val="일위대가표"/>
      <sheetName val="MEMBER"/>
      <sheetName val="일위대가"/>
      <sheetName val="을지"/>
      <sheetName val="광혁기성"/>
      <sheetName val="공통부대비"/>
      <sheetName val="LEGEND"/>
      <sheetName val="연수동"/>
      <sheetName val="ilch"/>
      <sheetName val="차액보증"/>
      <sheetName val="DONGIA"/>
      <sheetName val="CHITIET"/>
      <sheetName val="BSD (2)"/>
      <sheetName val="예산서"/>
      <sheetName val="말뚝물량"/>
      <sheetName val="_x000d__x000a__x000d__x000a__x0000__x0003_"/>
      <sheetName val="내역1"/>
      <sheetName val="JUCK"/>
      <sheetName val="조직"/>
      <sheetName val="ITEM"/>
      <sheetName val="개요"/>
      <sheetName val="quotation"/>
      <sheetName val="9-1차이내역"/>
      <sheetName val="수입"/>
      <sheetName val="Customer_Databas"/>
      <sheetName val="b_balju_(2)"/>
      <sheetName val="Summary_Sheets"/>
      <sheetName val="남양시작동자105노65기1_3화1_2"/>
      <sheetName val="2F_회의실견적(5_14_일대)"/>
      <sheetName val="단면_(2)"/>
      <sheetName val="BSD_(2)"/>
      <sheetName val="_x000a__x000a_"/>
      <sheetName val="_x000a__x000a__x000a__x000a__x0000__x0003_"/>
      <sheetName val="AILC004"/>
      <sheetName val="열린교실"/>
      <sheetName val="선급비용"/>
      <sheetName val="정부노임단가"/>
      <sheetName val="TABLE"/>
      <sheetName val="내역"/>
      <sheetName val="총괄표"/>
      <sheetName val="FB25JN"/>
      <sheetName val="asd"/>
      <sheetName val="표지"/>
      <sheetName val="매입세"/>
      <sheetName val="노무비"/>
      <sheetName val="구의동공내역서"/>
      <sheetName val="실행내역서"/>
      <sheetName val="Customer_Databas1"/>
      <sheetName val="b_balju_(2)1"/>
      <sheetName val="Summary_Sheets1"/>
      <sheetName val="남양시작동자105노65기1_3화1_21"/>
      <sheetName val="2F_회의실견적(5_14_일대)1"/>
      <sheetName val="단면_(2)1"/>
      <sheetName val="BSD_(2)1"/>
      <sheetName val="_x000a__x000a__x000a__x000a_"/>
      <sheetName val="판관"/>
      <sheetName val="B767"/>
      <sheetName val="guard(mac)"/>
      <sheetName val="일위대가목차"/>
      <sheetName val="기계경비(시간당)"/>
      <sheetName val="램머"/>
      <sheetName val="단가 및 재료비"/>
      <sheetName val="슬래브(유곡)"/>
      <sheetName val="예가표"/>
      <sheetName val="#REF"/>
      <sheetName val="SULKEA"/>
      <sheetName val="잔수량(작성)"/>
      <sheetName val="2000년1차"/>
      <sheetName val="청천내"/>
      <sheetName val="Sheet6"/>
      <sheetName val="_x000d__x000a__x000d__x000a_"/>
      <sheetName val="노임이"/>
      <sheetName val="일반전기"/>
      <sheetName val="전차선로 물량표"/>
      <sheetName val="내역서"/>
      <sheetName val="산출내역서집계표"/>
      <sheetName val="산정기준"/>
      <sheetName val="BID"/>
      <sheetName val="총투입계"/>
      <sheetName val="주요항목별"/>
      <sheetName val="단가"/>
      <sheetName val="교각계산"/>
      <sheetName val="DATA"/>
      <sheetName val="진주방향"/>
      <sheetName val="인사자료총집계"/>
      <sheetName val="sort"/>
      <sheetName val="EKOG10건축"/>
      <sheetName val="DESIGN"/>
      <sheetName val="Macro1"/>
      <sheetName val="노임"/>
      <sheetName val="손익분석"/>
      <sheetName val="품셈TABLE"/>
      <sheetName val="품셈표"/>
      <sheetName val="1.설계조건"/>
      <sheetName val="자재단가비교표"/>
      <sheetName val="일위대가목록"/>
      <sheetName val="단가대비표"/>
      <sheetName val="Total"/>
      <sheetName val="매출"/>
      <sheetName val="전압강하계산"/>
      <sheetName val="법면"/>
      <sheetName val="부대공"/>
      <sheetName val="구조물공"/>
      <sheetName val="포장공"/>
      <sheetName val="토공"/>
      <sheetName val="배수공1"/>
      <sheetName val="중기일위대가"/>
      <sheetName val="2. Summary-cash"/>
      <sheetName val="2.주요계수총괄"/>
      <sheetName val="2.Summary-cash"/>
      <sheetName val="INMD1198"/>
      <sheetName val="賃料等一覧"/>
      <sheetName val="Initial Input Variable"/>
      <sheetName val="blocktime"/>
      <sheetName val="Sheet2"/>
      <sheetName val="참조자료"/>
      <sheetName val="20관리비율"/>
      <sheetName val="외주업체발주서(태라)"/>
      <sheetName val="대비표(현설)"/>
      <sheetName val="견적서"/>
      <sheetName val="암거공"/>
      <sheetName val="전력"/>
      <sheetName val="토목주소"/>
      <sheetName val="프랜트면허"/>
      <sheetName val="음료실행"/>
      <sheetName val="Sheet3"/>
      <sheetName val="갑지(추정)"/>
      <sheetName val="예정(3)"/>
      <sheetName val="AS복구"/>
      <sheetName val="중기터파기"/>
      <sheetName val="변수값"/>
      <sheetName val="중기상차"/>
      <sheetName val=" 견적서"/>
      <sheetName val="실행"/>
      <sheetName val="SAKUB"/>
      <sheetName val="_x005f_x000d__x005f_x000a__x005f_x000d__x005f_x000a__x0"/>
      <sheetName val="_x005f_x000a__x005f_x000a_"/>
      <sheetName val="_x005f_x000a__x005f_x000a__x005f_x000a__x005f_x000a__x0"/>
      <sheetName val="_x005f_x000a__x005f_x000a__x005f_x000a__x005f_x000a_"/>
      <sheetName val="월별수입"/>
      <sheetName val="_x000d___x000d__"/>
      <sheetName val="__"/>
      <sheetName val="____"/>
      <sheetName val="_x005f_x000d___x005f_x000d___x005f_x0000__x005f_x0003_"/>
      <sheetName val="_____x005f_x0000__x005f_x0003_"/>
      <sheetName val="_x005f_x000d___x005f_x000d__"/>
      <sheetName val="_x005f_x005f_x005f_x000d__x005f_x005f_x005f_x000a__x005"/>
      <sheetName val="_x005f_x005f_x005f_x000a__x005f_x005f_x005f_x000a_"/>
      <sheetName val="_x005f_x005f_x005f_x000a__x005f_x005f_x005f_x000a__x005"/>
      <sheetName val="준검 내역서"/>
      <sheetName val="을"/>
      <sheetName val="1ST"/>
      <sheetName val="계화배수(3대)"/>
      <sheetName val="기초견적가"/>
      <sheetName val="APT"/>
      <sheetName val="점별(추정)"/>
      <sheetName val="의왕실행"/>
      <sheetName val="21301동"/>
      <sheetName val="SUMMARY"/>
      <sheetName val="PAINT"/>
      <sheetName val="내역서2안"/>
      <sheetName val="1층"/>
      <sheetName val="B2BERP"/>
      <sheetName val="합천내역"/>
      <sheetName val="マスタ"/>
      <sheetName val="재무가정"/>
      <sheetName val="2공구산출내역"/>
      <sheetName val="인원계획-미화"/>
      <sheetName val="Customer_Databas2"/>
      <sheetName val="b_balju_(2)2"/>
      <sheetName val="Summary_Sheets2"/>
      <sheetName val="남양시작동자105노65기1_3화1_22"/>
      <sheetName val="2F_회의실견적(5_14_일대)2"/>
      <sheetName val="단면_(2)2"/>
      <sheetName val="BSD_(2)2"/>
      <sheetName val="전차선로_물량표"/>
      <sheetName val="단가_및_재료비"/>
      <sheetName val="1_설계조건"/>
      <sheetName val="2__Summary-cash"/>
      <sheetName val="2_주요계수총괄"/>
      <sheetName val="2_Summary-cash"/>
      <sheetName val="Initial_Input_Variable"/>
      <sheetName val="_견적서"/>
      <sheetName val="_x000a___x000a__"/>
      <sheetName val="준검_내역서"/>
      <sheetName val="약품공급2"/>
      <sheetName val="약품설비"/>
      <sheetName val="Mc"/>
      <sheetName val="    "/>
      <sheetName val="  "/>
      <sheetName val="토적계산서"/>
      <sheetName val="8.현장관리비"/>
      <sheetName val="TOT"/>
      <sheetName val="AV시스템"/>
      <sheetName val="wall"/>
      <sheetName val="Front"/>
      <sheetName val="견적비교표 AstraZeneca"/>
      <sheetName val="견적비교표 Genoplan"/>
      <sheetName val="Cash Flow"/>
      <sheetName val="Source"/>
      <sheetName val="BDGTCE"/>
      <sheetName val="01"/>
      <sheetName val="2000전체분"/>
      <sheetName val="총누계"/>
      <sheetName val="전기혼잡제경비(45)"/>
      <sheetName val="D16"/>
      <sheetName val="D25"/>
      <sheetName val="D22"/>
      <sheetName val="원가계산"/>
      <sheetName val="잡비"/>
      <sheetName val="P.M 별"/>
      <sheetName val="(갑지)"/>
      <sheetName val="일위_파일"/>
      <sheetName val="견적율"/>
      <sheetName val="수량산출"/>
      <sheetName val="INPUT"/>
      <sheetName val="Sheet4"/>
      <sheetName val="3BL공동구 수량"/>
      <sheetName val="1.동력공사"/>
      <sheetName val="항목(1)"/>
      <sheetName val="BOOK4"/>
      <sheetName val="갑지"/>
      <sheetName val="TEST1.XLS"/>
      <sheetName val="기존단가 (2)"/>
      <sheetName val="IMPEADENCE MAP 취수장"/>
      <sheetName val="견적을지"/>
      <sheetName val="현장지지물물량"/>
      <sheetName val="Y-WORK"/>
      <sheetName val="FOB발"/>
      <sheetName val="잡철물"/>
      <sheetName val="CONCRETE"/>
      <sheetName val="4 LINE"/>
      <sheetName val="7 th"/>
      <sheetName val="견적대비표"/>
      <sheetName val="EJ"/>
      <sheetName val="주관사업"/>
      <sheetName val="BASE"/>
      <sheetName val="원본"/>
      <sheetName val="CATV"/>
      <sheetName val="DANGA"/>
      <sheetName val="_x000d__x000a__x000d__x000a__x0"/>
      <sheetName val="_x000a__x000a__x000a__x000a__x0"/>
      <sheetName val="_x000d___x000d___x0000__x0003_"/>
      <sheetName val="_____x0000__x0003_"/>
      <sheetName val="_x005f_x000d__x005f_x000a__x005"/>
      <sheetName val="_x005f_x000a__x005f_x000a__x005"/>
      <sheetName val=" _ _"/>
      <sheetName val="_x000d___x000d___x0"/>
      <sheetName val="_____x0"/>
      <sheetName val="입력"/>
      <sheetName val="집계"/>
      <sheetName val="자판실행"/>
      <sheetName val="Cover(IF)"/>
      <sheetName val="Prelim"/>
      <sheetName val="Arch"/>
      <sheetName val="Mechanical"/>
      <sheetName val="Electrical"/>
      <sheetName val="견적 조건"/>
      <sheetName val="실행갑지"/>
      <sheetName val="실행을지"/>
      <sheetName val="현설일정표"/>
      <sheetName val="변수"/>
      <sheetName val="dV&amp;Cl"/>
      <sheetName val="CAP"/>
      <sheetName val="R"/>
      <sheetName val="Customer_Databas3"/>
      <sheetName val="b_balju_(2)3"/>
      <sheetName val="Summary_Sheets3"/>
      <sheetName val="남양시작동자105노65기1_3화1_23"/>
      <sheetName val="2F_회의실견적(5_14_일대)3"/>
      <sheetName val="단면_(2)3"/>
      <sheetName val="BSD_(2)3"/>
      <sheetName val="1_설계조건1"/>
      <sheetName val="전차선로_물량표1"/>
      <sheetName val="단가_및_재료비1"/>
      <sheetName val="2__Summary-cash1"/>
      <sheetName val="2_주요계수총괄1"/>
      <sheetName val="2_Summary-cash1"/>
      <sheetName val="Initial_Input_Variable1"/>
      <sheetName val="준검_내역서1"/>
      <sheetName val="_견적서1"/>
      <sheetName val="97년추정손익계산서"/>
      <sheetName val="_x000d_ _x000d_ _x0000__x0003_"/>
      <sheetName val="    _x0000__x0003_"/>
      <sheetName val="_x000d_ _x000d_ "/>
      <sheetName val="공정표"/>
      <sheetName val="터파기및재료"/>
      <sheetName val="우석문틀"/>
      <sheetName val="투자효율분석"/>
      <sheetName val="금액내역서"/>
      <sheetName val="요율"/>
      <sheetName val="_x000a___x000a___x0000__x0003_"/>
      <sheetName val="_x000a___x000a___x0"/>
      <sheetName val="1차 내역서"/>
      <sheetName val="지시단가"/>
      <sheetName val="오산갈곳"/>
      <sheetName val="A-4"/>
      <sheetName val="WORK"/>
      <sheetName val="자재집계표"/>
      <sheetName val="수량산출1"/>
      <sheetName val="자재단가표"/>
      <sheetName val="esc"/>
      <sheetName val="토공총괄집계"/>
      <sheetName val="Cover sheet"/>
      <sheetName val="System furniture"/>
      <sheetName val="Cabinet&amp;CPU Holder"/>
      <sheetName val="Chair"/>
      <sheetName val="Steelcase Fur"/>
      <sheetName val="Steelcase Chair"/>
      <sheetName val="Stelecase Fur - Cabinet"/>
      <sheetName val="원가서"/>
      <sheetName val="단가산출"/>
      <sheetName val="카니발(자105노60)"/>
      <sheetName val="금액집계"/>
      <sheetName val="N賃率-職"/>
      <sheetName val="현장"/>
      <sheetName val="8."/>
      <sheetName val="10."/>
      <sheetName val="5."/>
      <sheetName val="11"/>
      <sheetName val="12."/>
      <sheetName val="14."/>
      <sheetName val="9."/>
      <sheetName val="13"/>
      <sheetName val="7."/>
      <sheetName val="시설물일위"/>
      <sheetName val="    _x0"/>
      <sheetName val="_x000d__x000a__x005"/>
      <sheetName val="_x000a__x000a__x005"/>
      <sheetName val=" _ __x0"/>
      <sheetName val="CODE"/>
      <sheetName val="C"/>
      <sheetName val="실행(ALT1)"/>
      <sheetName val="전기실-1"/>
      <sheetName val="계산내역(설비)"/>
      <sheetName val="데이타"/>
      <sheetName val="평가데이터"/>
      <sheetName val="부대내역"/>
      <sheetName val="물량산출근거"/>
      <sheetName val="토공99-5=2"/>
      <sheetName val="EPro"/>
      <sheetName val="Parameters"/>
      <sheetName val="인테리어세부내역"/>
      <sheetName val="간접비계산"/>
      <sheetName val="전라자금"/>
      <sheetName val="Notes "/>
      <sheetName val="GENERAL"/>
      <sheetName val="unit 4"/>
      <sheetName val="기계내역서"/>
      <sheetName val="Sheet15"/>
      <sheetName val="경산"/>
      <sheetName val="암거날개벽재료집계"/>
      <sheetName val="낙찰표"/>
      <sheetName val="입찰내역 발주처 양식"/>
      <sheetName val="일위대가(가설)"/>
      <sheetName val="설계예산2"/>
      <sheetName val="노임단가"/>
      <sheetName val="Curves"/>
      <sheetName val="Note"/>
      <sheetName val="Heads"/>
      <sheetName val="Tables"/>
      <sheetName val="Page 2"/>
      <sheetName val="Dbase"/>
      <sheetName val="계화배수"/>
      <sheetName val="단양 00 아파트-세부내역"/>
      <sheetName val="c_balju"/>
      <sheetName val="하조서"/>
      <sheetName val="물량"/>
      <sheetName val="MATRLDATA"/>
      <sheetName val="측구집계"/>
      <sheetName val="CTEMCOST"/>
      <sheetName val="단위수량"/>
      <sheetName val="배명(단가)"/>
      <sheetName val="실행철강하도"/>
      <sheetName val="S1B PH2_3차기성내역서_130606-최종.xlsx"/>
      <sheetName val="CAT_5"/>
      <sheetName val="건설"/>
      <sheetName val="EQUIP-H"/>
      <sheetName val="토목"/>
      <sheetName val="골조시행"/>
      <sheetName val="네고율"/>
      <sheetName val="전기공사"/>
      <sheetName val=" K1 노후 UPS 교체 공사 시행건_2라인 5-1라인."/>
      <sheetName val="공사비예산서(토목분)"/>
      <sheetName val="Average PL Rates"/>
      <sheetName val="spec"/>
      <sheetName val="program"/>
      <sheetName val="studbolt no."/>
      <sheetName val="studbolt size"/>
      <sheetName val="item sort no"/>
      <sheetName val="ex"/>
      <sheetName val="투찰표 (-0.831%)"/>
      <sheetName val="삼호추정"/>
      <sheetName val="투찰표"/>
      <sheetName val="결과"/>
      <sheetName val="설계"/>
      <sheetName val="공내역"/>
      <sheetName val="부대원가"/>
      <sheetName val="토1"/>
      <sheetName val="토2"/>
      <sheetName val="철2"/>
      <sheetName val="강교"/>
      <sheetName val="협력(철콘자재)"/>
      <sheetName val="투찰"/>
      <sheetName val="하도급"/>
      <sheetName val="철1"/>
      <sheetName val="구룡-대보(2공)투찰2"/>
      <sheetName val="적현로"/>
      <sheetName val="일위대가내역"/>
      <sheetName val="광주운남을"/>
      <sheetName val="Customer_Databas4"/>
      <sheetName val="b_balju_(2)4"/>
      <sheetName val="Summary_Sheets4"/>
      <sheetName val="남양시작동자105노65기1_3화1_24"/>
      <sheetName val="2F_회의실견적(5_14_일대)4"/>
      <sheetName val="단면_(2)4"/>
      <sheetName val="BSD_(2)4"/>
      <sheetName val="단가_및_재료비2"/>
      <sheetName val="전차선로_물량표2"/>
      <sheetName val="1_설계조건2"/>
      <sheetName val="2__Summary-cash2"/>
      <sheetName val="2_주요계수총괄2"/>
      <sheetName val="2_Summary-cash2"/>
      <sheetName val="Initial_Input_Variable2"/>
      <sheetName val="____1"/>
      <sheetName val="__1"/>
      <sheetName val="_x000a__x000a__x0"/>
      <sheetName val="____2"/>
      <sheetName val="준검_내역서2"/>
      <sheetName val="_견적서2"/>
      <sheetName val="기존단가_(2)"/>
      <sheetName val="IMPEADENCE_MAP_취수장"/>
      <sheetName val="8_현장관리비"/>
      <sheetName val="4_LINE"/>
      <sheetName val="7_th"/>
      <sheetName val="Cash_Flow"/>
      <sheetName val="P_M_별"/>
      <sheetName val="3BL공동구_수량"/>
      <sheetName val="1_동력공사"/>
      <sheetName val="TEST1_XLS"/>
      <sheetName val="_x000a___x000a__1"/>
      <sheetName val="견적_조건"/>
      <sheetName val="Cover_sheet"/>
      <sheetName val="System_furniture"/>
      <sheetName val="Cabinet&amp;CPU_Holder"/>
      <sheetName val="Steelcase_Fur"/>
      <sheetName val="Steelcase_Chair"/>
      <sheetName val="Stelecase_Fur_-_Cabinet"/>
      <sheetName val="1차_내역서"/>
      <sheetName val="설치공사2"/>
      <sheetName val="단가조사"/>
      <sheetName val="_____x01"/>
      <sheetName val="_x000a__x005"/>
      <sheetName val="_____x02"/>
      <sheetName val="8_"/>
      <sheetName val="10_"/>
      <sheetName val="5_"/>
      <sheetName val="12_"/>
      <sheetName val="14_"/>
      <sheetName val="9_"/>
      <sheetName val="7_"/>
      <sheetName val="Notes_"/>
      <sheetName val="unit_4"/>
      <sheetName val="Page_2"/>
      <sheetName val="단양_00_아파트-세부내역"/>
      <sheetName val="S1B_PH2_3차기성내역서_130606-최종_xlsx"/>
      <sheetName val="_K1_노후_UPS_교체_공사_시행건_2라인_5-1라인_"/>
      <sheetName val="입찰내역_발주처_양식"/>
      <sheetName val="관음목장(제출용)자105인97.5"/>
      <sheetName val="BASIC (2)"/>
      <sheetName val="I一般比"/>
      <sheetName val="_x000d_ _x000d_ _x0"/>
      <sheetName val=" _ __x0000__x0003_"/>
      <sheetName val="_x000d_ _x005"/>
      <sheetName val="  _x005"/>
      <sheetName val="_x000a_ _x000a_ _x0000__x0003_"/>
      <sheetName val="장비부하"/>
      <sheetName val="물량산출"/>
      <sheetName val="BREAKDOWN"/>
      <sheetName val="6호기"/>
      <sheetName val="시설일위"/>
      <sheetName val="식재수량표"/>
      <sheetName val="식재일위"/>
      <sheetName val="일반부표"/>
      <sheetName val="유림골조"/>
      <sheetName val="일반관리비"/>
      <sheetName val="표지 (2)"/>
      <sheetName val="조명율표"/>
      <sheetName val="차도조도계산"/>
      <sheetName val="시멘트"/>
      <sheetName val="인제내역"/>
      <sheetName val="소일위대가코드표"/>
      <sheetName val="수목데이타_"/>
      <sheetName val="수목표준대가"/>
      <sheetName val="통장출금액"/>
      <sheetName val="대비표(토공1안)"/>
      <sheetName val="b_balju"/>
      <sheetName val="포장공사"/>
      <sheetName val="대비내역"/>
      <sheetName val="현황CODE"/>
      <sheetName val="NEWDRAW"/>
      <sheetName val="손익현황"/>
      <sheetName val="여흥"/>
      <sheetName val="중갑지"/>
      <sheetName val="공구원가계산"/>
      <sheetName val="부대공Ⅱ"/>
      <sheetName val="P_M_별1"/>
      <sheetName val="3BL공동구_수량1"/>
      <sheetName val="1_동력공사1"/>
      <sheetName val="토적계산"/>
      <sheetName val="sh1"/>
      <sheetName val="설계내역서"/>
      <sheetName val="공문"/>
      <sheetName val="업무일지 및 금액정산"/>
      <sheetName val="투자정리"/>
      <sheetName val="작성불가-지결베이스"/>
      <sheetName val="호환성 보고서"/>
      <sheetName val="S0"/>
      <sheetName val="에너지동"/>
      <sheetName val="CC16-내역서"/>
      <sheetName val="실행간접비용"/>
      <sheetName val="DATE"/>
      <sheetName val="일위"/>
      <sheetName val="직재"/>
      <sheetName val="재집"/>
      <sheetName val="부안일위"/>
      <sheetName val="와동25-3(변경)"/>
      <sheetName val="X17-TOTAL"/>
      <sheetName val="전기"/>
      <sheetName val="손익차9월2"/>
      <sheetName val="간접비"/>
      <sheetName val="간접1"/>
      <sheetName val="카렌스센터계량기설치공사"/>
      <sheetName val="사급자재"/>
      <sheetName val="HP1AMLIST"/>
      <sheetName val="신청서"/>
      <sheetName val="설계명세서"/>
      <sheetName val="일위(PN)"/>
      <sheetName val="AHU집계"/>
      <sheetName val="공조기휀"/>
      <sheetName val="공조기"/>
      <sheetName val="영업.일1"/>
      <sheetName val="EQT-ESTN"/>
      <sheetName val="견"/>
      <sheetName val="전계가"/>
      <sheetName val="copy"/>
      <sheetName val="서식"/>
      <sheetName val="COST"/>
      <sheetName val="지수"/>
      <sheetName val="화재 탐지 설비"/>
      <sheetName val="2.대외공문"/>
      <sheetName val="총괄"/>
      <sheetName val="식재인부"/>
      <sheetName val="빙장비사양"/>
      <sheetName val="장비사양"/>
      <sheetName val="관람석제출"/>
      <sheetName val="마산월령동골조물량변경"/>
      <sheetName val="예산명세서"/>
      <sheetName val="자료입력"/>
      <sheetName val="Interest"/>
      <sheetName val="S&amp;R"/>
      <sheetName val="내역서(갑지)"/>
      <sheetName val="Rent Roll"/>
      <sheetName val="BP Summary"/>
      <sheetName val="36신설수량"/>
      <sheetName val="Variable"/>
      <sheetName val="Balance"/>
      <sheetName val="DETBIL"/>
      <sheetName val="  _x0"/>
      <sheetName val="Comm Comparison"/>
      <sheetName val="Comm Rpt Income"/>
      <sheetName val="Comm Rpt Recoveries"/>
      <sheetName val="Comm Rpt Tenant Cap Ex"/>
      <sheetName val="Assumptions"/>
      <sheetName val="특별교실"/>
      <sheetName val="기초단가"/>
      <sheetName val="Cover"/>
      <sheetName val="Estimate-L"/>
      <sheetName val="Estimate-M"/>
      <sheetName val="gtrinh"/>
      <sheetName val="품목별"/>
      <sheetName val="데이터 입력장"/>
      <sheetName val=" _ _1"/>
      <sheetName val=" _x005"/>
      <sheetName val="TEL"/>
      <sheetName val="System_furni_x0000__x0000_Ԁ_x0000_"/>
      <sheetName val="CAPVC"/>
      <sheetName val="실행내역서 "/>
      <sheetName val="SP-B1"/>
      <sheetName val="_x005f_x000d__x000a__x005f_x000d__x000a__x005f_x0000__x005f_x0003_"/>
      <sheetName val="_x000a__x000a__x000a__x000a__x005f_x0000__x005f_x0003_"/>
      <sheetName val="실행(표지,갑,을)"/>
      <sheetName val="_x005f_x005f_x005f_x000d__x005f_x000a__x005f_x005f_x000"/>
      <sheetName val="버스운행안내"/>
      <sheetName val="예방접종계획"/>
      <sheetName val="근태계획서"/>
      <sheetName val="기안"/>
      <sheetName val="개산공사비"/>
      <sheetName val="성신"/>
      <sheetName val="현장관리비"/>
      <sheetName val="실행내역"/>
      <sheetName val="대구"/>
      <sheetName val="구미"/>
      <sheetName val="_x000a_ _x000a_ "/>
      <sheetName val="_x000a_ _x000a_ _x0"/>
      <sheetName val="_x000a_ _x005"/>
      <sheetName val="CodeTable"/>
      <sheetName val="사업자등록번호"/>
      <sheetName val="berlin"/>
      <sheetName val="FS"/>
      <sheetName val=""/>
      <sheetName val="M-EQPT-Z"/>
      <sheetName val="횡배수관토공수량"/>
      <sheetName val="정렬"/>
      <sheetName val="System_furni"/>
      <sheetName val="_x005f_x000d__x000a__x000"/>
      <sheetName val="투찰표 (-0׃⼫_x0000__x0000_ﹰ_x0000_"/>
      <sheetName val="투찰표 (-0_x0010__x0000_쯐ڋ׃⾈"/>
      <sheetName val="Personnel"/>
      <sheetName val="판매46"/>
      <sheetName val="기초1"/>
      <sheetName val="기초"/>
      <sheetName val="\\강동호\강동호\MSOFFICE\EXCEL\EXAMPL"/>
      <sheetName val="건축내역서"/>
      <sheetName val="System_furn_x0000__x0000_Ԁ_x0000_뀀"/>
      <sheetName val="System_furn_x0000__x0000_Ԁ_x0000_"/>
      <sheetName val="System_furn_x0000__x0000_Ԁ_x0000_ꀀ"/>
      <sheetName val="System_furn_x0000__x0000_Ԁ_x0000_　"/>
      <sheetName val="ITEM입력"/>
      <sheetName val="분석가정"/>
      <sheetName val="Comm_Comparison"/>
      <sheetName val="Comm_Rpt_Income"/>
      <sheetName val="Comm_Rpt_Recoveries"/>
      <sheetName val="Comm_Rpt_Tenant_Cap_Ex"/>
      <sheetName val="수정시산표"/>
      <sheetName val="습식공내역"/>
      <sheetName val="갑지.을부"/>
      <sheetName val="LBD "/>
      <sheetName val="EQUIPMENT -2"/>
      <sheetName val="내역기준"/>
      <sheetName val="날개벽수량표"/>
      <sheetName val="신표지1"/>
      <sheetName val="__________MSOFFICE_EXCEL_EXAM_2"/>
      <sheetName val="BillTemplate"/>
      <sheetName val="Rückstände-rent arrears"/>
      <sheetName val="Summery"/>
      <sheetName val="Financials"/>
      <sheetName val="Control Page"/>
      <sheetName val="대차대조"/>
      <sheetName val="A-Property"/>
      <sheetName val="A-UW1"/>
      <sheetName val="A-General"/>
      <sheetName val="_x000d__x000a__x000d__x000a_?_x0003_"/>
      <sheetName val="_x000a__x000a__x000a__x000a_?_x0003_"/>
      <sheetName val="정보"/>
      <sheetName val="토공(우물통,기타) "/>
      <sheetName val="C1ㅇ"/>
      <sheetName val="8-1차이내역"/>
      <sheetName val="10-3월별수입"/>
      <sheetName val="FND3"/>
      <sheetName val="UG1"/>
      <sheetName val="TRENCH"/>
      <sheetName val="_x000d_ _x000"/>
      <sheetName val="투찰표 (-0׃⼫"/>
      <sheetName val="_x000d_ _x000d_ _뫰જ"/>
      <sheetName val="_x000d_ _x000d_ __x0010__x0000_"/>
      <sheetName val="[TEST1.XLS][TEST1.XLS][TEST1.XL"/>
      <sheetName val="갑지(인테리어)"/>
      <sheetName val="인테리어 내역서"/>
      <sheetName val="OA,이동가구"/>
      <sheetName val="OPTION"/>
      <sheetName val="__________MSOFFICE_EXCEL_EXAM_3"/>
      <sheetName val="예비품"/>
      <sheetName val="부영5블럭-1"/>
      <sheetName val="소업1교"/>
      <sheetName val="사용자정의"/>
      <sheetName val="토공(완충)"/>
      <sheetName val="제품표준규격"/>
      <sheetName val="FAB별"/>
      <sheetName val="투찰표 (-0_x0010_"/>
      <sheetName val="System_furn"/>
      <sheetName val="원가계산서"/>
      <sheetName val="견적내역서"/>
      <sheetName val="T1"/>
      <sheetName val="System_furn¬_x0000_Ԁ_x0000_瀀"/>
      <sheetName val="투찰표 (-0_x0000__x0000__x0005__x0000_碠㩗"/>
      <sheetName val="설산1.나"/>
      <sheetName val="본사S"/>
      <sheetName val="본체"/>
      <sheetName val="공용정보"/>
      <sheetName val="워크오더갑지"/>
      <sheetName val="WO갑지"/>
      <sheetName val="견적갑지"/>
      <sheetName val="적용단가자료"/>
      <sheetName val="CABLE 산출서"/>
      <sheetName val="TRAY 산출서"/>
      <sheetName val="일위대가 TRAY Hanger"/>
      <sheetName val="금호"/>
      <sheetName val="2002하반기노임기준"/>
      <sheetName val="__________MSOFFICE_EXCEL_EXAM_4"/>
      <sheetName val="투찰표 (-0._xda30_朖U"/>
      <sheetName val="투찰표 (-0."/>
      <sheetName val="투찰표 (-0._xda30_朖U_x0000_ꉊ"/>
      <sheetName val="투찰표 (-0._x0000__x0000_ﾈɚ萹"/>
      <sheetName val="System_furni¬_x0000__x0000__x0000_"/>
      <sheetName val="__________MSOFFICE_EXCEL_EXAM_5"/>
      <sheetName val="Customer_Databas5"/>
      <sheetName val="b_balju_(2)5"/>
      <sheetName val="Summary_Sheets5"/>
      <sheetName val="남양시작동자105노65기1_3화1_25"/>
      <sheetName val="2F_회의실견적(5_14_일대)5"/>
      <sheetName val="단면_(2)5"/>
      <sheetName val="BSD_(2)5"/>
      <sheetName val="1_설계조건3"/>
      <sheetName val="전차선로_물량표3"/>
      <sheetName val="단가_및_재료비3"/>
      <sheetName val="2__Summary-cash3"/>
      <sheetName val="2_주요계수총괄3"/>
      <sheetName val="2_Summary-cash3"/>
      <sheetName val="Initial_Input_Variable3"/>
      <sheetName val="준검_내역서3"/>
      <sheetName val="_견적서3"/>
      <sheetName val="____3"/>
      <sheetName val="__2"/>
      <sheetName val="8_현장관리비1"/>
      <sheetName val="P_M_별2"/>
      <sheetName val="3BL공동구_수량2"/>
      <sheetName val="1_동력공사2"/>
      <sheetName val="TEST1_XLS1"/>
      <sheetName val="Cash_Flow1"/>
      <sheetName val="기존단가_(2)1"/>
      <sheetName val="IMPEADENCE_MAP_취수장1"/>
      <sheetName val="4_LINE1"/>
      <sheetName val="7_th1"/>
      <sheetName val="____4"/>
      <sheetName val="견적_조건1"/>
      <sheetName val="1차_내역서1"/>
      <sheetName val="_____x03"/>
      <sheetName val="_____x04"/>
      <sheetName val="Cover_sheet1"/>
      <sheetName val="System_furniture1"/>
      <sheetName val="Cabinet&amp;CPU_Holder1"/>
      <sheetName val="Steelcase_Fur1"/>
      <sheetName val="Steelcase_Chair1"/>
      <sheetName val="Stelecase_Fur_-_Cabinet1"/>
      <sheetName val="Notes_1"/>
      <sheetName val="8_1"/>
      <sheetName val="10_1"/>
      <sheetName val="5_1"/>
      <sheetName val="12_1"/>
      <sheetName val="14_1"/>
      <sheetName val="9_1"/>
      <sheetName val="7_1"/>
      <sheetName val="unit_41"/>
      <sheetName val="입찰내역_발주처_양식1"/>
      <sheetName val="Page_21"/>
      <sheetName val="단양_00_아파트-세부내역1"/>
      <sheetName val="S1B_PH2_3차기성내역서_130606-최종_xlsx1"/>
      <sheetName val="_K1_노후_UPS_교체_공사_시행건_2라인_5-1라인1"/>
      <sheetName val="Average_PL_Rates"/>
      <sheetName val="투찰표_(-0_831%)"/>
      <sheetName val="관음목장(제출용)자105인97_5"/>
      <sheetName val="BASIC_(2)"/>
      <sheetName val="_x000a___x000a___x01"/>
      <sheetName val="_x000a___x005"/>
      <sheetName val="___x005"/>
      <sheetName val="studbolt_no_"/>
      <sheetName val="studbolt_size"/>
      <sheetName val="item_sort_no"/>
      <sheetName val="표지_(2)"/>
      <sheetName val="업무일지_및_금액정산"/>
      <sheetName val="호환성_보고서"/>
      <sheetName val="영업_일1"/>
      <sheetName val="화재_탐지_설비"/>
      <sheetName val="2_대외공문"/>
      <sheetName val="Rent_Roll"/>
      <sheetName val="BP_Summary"/>
      <sheetName val="___x0"/>
      <sheetName val="Comm_Comparison1"/>
      <sheetName val="Comm_Rpt_Income1"/>
      <sheetName val="Comm_Rpt_Recoveries1"/>
      <sheetName val="Comm_Rpt_Tenant_Cap_Ex1"/>
      <sheetName val="데이터_입력장"/>
      <sheetName val="____11"/>
      <sheetName val="__x005"/>
      <sheetName val="실행내역서_"/>
      <sheetName val="_x000a___x000a__2"/>
      <sheetName val="견적비교표_AstraZeneca"/>
      <sheetName val="견적비교표_Genoplan"/>
      <sheetName val="투찰표_(-0׃⼫ﹰ"/>
      <sheetName val="투찰표_(-0쯐ڋ׃⾈"/>
      <sheetName val="갑지_을부"/>
      <sheetName val="LBD_"/>
      <sheetName val="EQUIPMENT_-2"/>
      <sheetName val="Rückstände-rent_arrears"/>
      <sheetName val="Control_Page"/>
      <sheetName val="_x000a__x000a_?"/>
      <sheetName val="_x000a__x000a__x000a__x000a_?"/>
      <sheetName val="토공(우물통,기타)_"/>
      <sheetName val="_x000a___x000"/>
      <sheetName val="투찰표_(-0׃⼫"/>
      <sheetName val="금액"/>
      <sheetName val="실행보고"/>
      <sheetName val="3.공통공사대비"/>
      <sheetName val="전차선로_물Ꮘ춦砀"/>
      <sheetName val="_x005f_x000d__x005f_x000a__x005f_x000d__x005f_x000a_"/>
      <sheetName val="_x005f_x005f_x005f_x000d___x005f_x005f_x005f_x000d___x0"/>
      <sheetName val="_____x005f_x005f_x005f_x0000__x005f_x005f_x005f_x0003_"/>
      <sheetName val="_x005f_x005f_x005f_x000d___x005f_x005f_x005f_x000d__"/>
      <sheetName val="_x005f_x005f_x005f_x005f_x005f_x005f_x005f_x000d__x005f"/>
      <sheetName val="_x005f_x005f_x005f_x005f_x005f_x005f_x005f_x000a__x005f"/>
      <sheetName val="_x005f_x000d_ _x005f_x000d_ _x005f_x0000__x005f_x0003_"/>
      <sheetName val="    _x005f_x0000__x005f_x0003_"/>
      <sheetName val="_x005f_x000d_ _x005f_x000d_ "/>
      <sheetName val="_x005f_x000d___x005f_x000d___x0"/>
      <sheetName val="_x005f_x000a___x005f_x000a__"/>
      <sheetName val="_x005f_x000a___x005f_x000a___x005f_x0000__x005f_x0003_"/>
      <sheetName val="_x005f_x000a___x005f_x000a___x0"/>
      <sheetName val="S1B PH2_3차기성내역서_1306_x0000__x0000_Ԁ_x0000_⩂㦑_x0002__x0000__x0000_"/>
      <sheetName val="건축원가"/>
      <sheetName val="소요자재"/>
      <sheetName val="정산내역서"/>
      <sheetName val="98수문일위"/>
      <sheetName val="System_furn¬"/>
      <sheetName val="투찰표 (-0"/>
      <sheetName val="S1B PH2_3차기성내역서_1306"/>
    </sheetNames>
    <definedNames>
      <definedName name="BringUserToAboutSheet"/>
      <definedName name="BringUserToCode"/>
      <definedName name="StartChart"/>
      <definedName name="StartSeller"/>
    </defined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sheetData sheetId="370"/>
      <sheetData sheetId="371"/>
      <sheetData sheetId="372"/>
      <sheetData sheetId="373"/>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refreshError="1"/>
      <sheetData sheetId="475"/>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sheetData sheetId="681" refreshError="1"/>
      <sheetData sheetId="682" refreshError="1"/>
      <sheetData sheetId="683" refreshError="1"/>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 sheetId="712"/>
      <sheetData sheetId="713" refreshError="1"/>
      <sheetData sheetId="714" refreshError="1"/>
      <sheetData sheetId="715" refreshError="1"/>
      <sheetData sheetId="716"/>
      <sheetData sheetId="717"/>
      <sheetData sheetId="718"/>
      <sheetData sheetId="719"/>
      <sheetData sheetId="720"/>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sheetData sheetId="731"/>
      <sheetData sheetId="732" refreshError="1"/>
      <sheetData sheetId="733" refreshError="1"/>
      <sheetData sheetId="734" refreshError="1"/>
      <sheetData sheetId="735" refreshError="1"/>
      <sheetData sheetId="736" refreshError="1"/>
      <sheetData sheetId="737" refreshError="1"/>
      <sheetData sheetId="738" refreshError="1"/>
      <sheetData sheetId="739"/>
      <sheetData sheetId="740"/>
      <sheetData sheetId="741"/>
      <sheetData sheetId="742"/>
      <sheetData sheetId="743"/>
      <sheetData sheetId="744"/>
      <sheetData sheetId="745"/>
      <sheetData sheetId="746" refreshError="1"/>
      <sheetData sheetId="747" refreshError="1"/>
      <sheetData sheetId="748"/>
      <sheetData sheetId="749" refreshError="1"/>
      <sheetData sheetId="750" refreshError="1"/>
      <sheetData sheetId="751" refreshError="1"/>
      <sheetData sheetId="752" refreshError="1"/>
      <sheetData sheetId="753" refreshError="1"/>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소비자가"/>
      <sheetName val="공통가설"/>
      <sheetName val="교통대책내역"/>
      <sheetName val="손익현황"/>
      <sheetName val="현황CODE"/>
      <sheetName val="분석"/>
      <sheetName val="EKOG10건축"/>
      <sheetName val="일위대가목차"/>
      <sheetName val="조경"/>
      <sheetName val="갑지(추정)"/>
      <sheetName val="내역서"/>
      <sheetName val="일위대가"/>
      <sheetName val="FB25JN"/>
      <sheetName val="내역서 제출"/>
      <sheetName val="hvac(제어동)"/>
      <sheetName val="전기일위대가"/>
      <sheetName val="현장지지물물량"/>
      <sheetName val="노임단가"/>
      <sheetName val="표지"/>
      <sheetName val="실행"/>
      <sheetName val="을"/>
      <sheetName val="대비내역"/>
      <sheetName val="BOQ건축"/>
      <sheetName val="다원(ZENECA)"/>
      <sheetName val="1-1"/>
      <sheetName val="Sheet5"/>
      <sheetName val="노임이"/>
      <sheetName val="COPING"/>
      <sheetName val="Material U.P"/>
      <sheetName val="내역"/>
      <sheetName val="미장"/>
      <sheetName val="철골"/>
      <sheetName val="GAEYO"/>
      <sheetName val="금액내역서"/>
      <sheetName val="Total"/>
      <sheetName val="내역서_제출"/>
      <sheetName val="본선 토공 분배표"/>
      <sheetName val="정부노임단가"/>
      <sheetName val="1ST"/>
      <sheetName val="Material_U_P"/>
      <sheetName val="Y-WORK"/>
      <sheetName val="INPUT"/>
      <sheetName val="6호기"/>
      <sheetName val="danga"/>
      <sheetName val="ilch"/>
      <sheetName val="부속동"/>
      <sheetName val="Data"/>
      <sheetName val="내역서_제출1"/>
      <sheetName val="Material_U_P1"/>
      <sheetName val="copy"/>
      <sheetName val="서식"/>
      <sheetName val="주경기-오배수"/>
      <sheetName val="건축"/>
      <sheetName val="물량표S"/>
      <sheetName val="물량표(신)"/>
      <sheetName val="DI1"/>
      <sheetName val="단가"/>
      <sheetName val="미드수량"/>
      <sheetName val="말뚝지지력산정"/>
      <sheetName val="건축집계"/>
      <sheetName val="데이타"/>
      <sheetName val="식재인부"/>
      <sheetName val="T1"/>
      <sheetName val="평형공사비"/>
      <sheetName val=" 냉각수펌프"/>
      <sheetName val="본선_토공_분배표"/>
      <sheetName val="Sheet1"/>
      <sheetName val="wall"/>
      <sheetName val="CAPVC"/>
      <sheetName val="골조시행"/>
      <sheetName val="내역서 "/>
      <sheetName val="h-013211-2"/>
      <sheetName val="카렌스센터계량기설치공사"/>
      <sheetName val="48평형"/>
      <sheetName val="62평형"/>
      <sheetName val="plan&amp;section of foundation"/>
      <sheetName val="design criteria"/>
      <sheetName val="#REF"/>
      <sheetName val="조명시설"/>
      <sheetName val="FD"/>
      <sheetName val="직노"/>
      <sheetName val="기둥(원형)"/>
      <sheetName val="일위대가 "/>
      <sheetName val="백암비스타내역"/>
      <sheetName val="견적"/>
      <sheetName val="자료"/>
      <sheetName val="집계표"/>
      <sheetName val="적용률"/>
      <sheetName val="AP1"/>
      <sheetName val="CIVIL"/>
      <sheetName val="TONG HOP VL-NC TT"/>
      <sheetName val="CHITIET VL-NC-TT -1p"/>
      <sheetName val="TDTKP1"/>
      <sheetName val="KPVC-BD "/>
      <sheetName val="2.야탑"/>
      <sheetName val="갑지1"/>
      <sheetName val="설계예산서"/>
      <sheetName val="예산내역서"/>
      <sheetName val="신우"/>
      <sheetName val="부대대비"/>
      <sheetName val="냉연집계"/>
      <sheetName val="단"/>
      <sheetName val="I.설계조건"/>
      <sheetName val="FRP내역서"/>
      <sheetName val="기계설비"/>
      <sheetName val="TB-내역서"/>
      <sheetName val="Customer Databas"/>
      <sheetName val="FURNITURE-01"/>
      <sheetName val="갑지"/>
      <sheetName val="asd"/>
      <sheetName val="약품공급2"/>
      <sheetName val="입력"/>
      <sheetName val="집계"/>
      <sheetName val="견적서"/>
      <sheetName val="소일위대가코드표"/>
      <sheetName val="단면가정"/>
      <sheetName val="DEF"/>
      <sheetName val="Summary"/>
      <sheetName val="99노임기준"/>
      <sheetName val="공사원가계산서"/>
      <sheetName val="입찰안"/>
      <sheetName val="연돌일위집계"/>
      <sheetName val="Front"/>
      <sheetName val="세부내역"/>
      <sheetName val="Sheet3"/>
      <sheetName val="월별손익"/>
      <sheetName val="내역서_제출2"/>
      <sheetName val="Material_U_P2"/>
      <sheetName val="본선_토공_분배표1"/>
      <sheetName val="_냉각수펌프"/>
      <sheetName val="내역서_"/>
      <sheetName val="plan&amp;section_of_foundation"/>
      <sheetName val="design_criteria"/>
      <sheetName val="일위대가_"/>
      <sheetName val="2_야탑"/>
      <sheetName val="TONG_HOP_VL-NC_TT"/>
      <sheetName val="CHITIET_VL-NC-TT_-1p"/>
      <sheetName val="KPVC-BD_"/>
      <sheetName val="작업자명단"/>
      <sheetName val="건축공사실행"/>
      <sheetName val="admin"/>
      <sheetName val="Breakdown"/>
      <sheetName val="UnitRate"/>
      <sheetName val="본장"/>
      <sheetName val="공통비(전체)"/>
      <sheetName val="예산서"/>
      <sheetName val="Apt내역"/>
      <sheetName val="표지 (2)"/>
      <sheetName val="guard(mac)"/>
      <sheetName val="설직재-1"/>
      <sheetName val="DATA1"/>
      <sheetName val="Æo°¡±aAØ"/>
      <sheetName val="9609Aß"/>
      <sheetName val="LD"/>
      <sheetName val="기계내역"/>
      <sheetName val="저"/>
      <sheetName val="MOTOR"/>
      <sheetName val="P3"/>
      <sheetName val="시멘트"/>
      <sheetName val="1차 내역서"/>
      <sheetName val="내역서_제출3"/>
      <sheetName val="Material_U_P3"/>
      <sheetName val="본선_토공_분배표2"/>
      <sheetName val="_냉각수펌프1"/>
      <sheetName val="내역서_1"/>
      <sheetName val="plan&amp;section_of_foundation1"/>
      <sheetName val="design_criteria1"/>
      <sheetName val="일위대가_1"/>
      <sheetName val="TONG_HOP_VL-NC_TT1"/>
      <sheetName val="CHITIET_VL-NC-TT_-1p1"/>
      <sheetName val="KPVC-BD_1"/>
      <sheetName val="2_야탑1"/>
      <sheetName val="I_설계조건"/>
      <sheetName val="Customer_Databas"/>
      <sheetName val="표지_(2)"/>
      <sheetName val="내역서_제출4"/>
      <sheetName val="Material_U_P4"/>
      <sheetName val="본선_토공_분배표3"/>
      <sheetName val="_냉각수펌프2"/>
      <sheetName val="내역서_2"/>
      <sheetName val="plan&amp;section_of_foundation2"/>
      <sheetName val="design_criteria2"/>
      <sheetName val="일위대가_2"/>
      <sheetName val="TONG_HOP_VL-NC_TT2"/>
      <sheetName val="CHITIET_VL-NC-TT_-1p2"/>
      <sheetName val="KPVC-BD_2"/>
      <sheetName val="2_야탑2"/>
      <sheetName val="I_설계조건1"/>
      <sheetName val="Customer_Databas1"/>
      <sheetName val="표지_(2)1"/>
      <sheetName val="연령현황"/>
      <sheetName val="비용"/>
      <sheetName val="일반공사"/>
      <sheetName val="직공비"/>
      <sheetName val="내역서_제출5"/>
      <sheetName val="Material_U_P5"/>
      <sheetName val="본선_토공_분배표4"/>
      <sheetName val="내역서_3"/>
      <sheetName val="_냉각수펌프3"/>
      <sheetName val="plan&amp;section_of_foundation3"/>
      <sheetName val="design_criteria3"/>
      <sheetName val="일위대가_3"/>
      <sheetName val="2_야탑3"/>
      <sheetName val="TONG_HOP_VL-NC_TT3"/>
      <sheetName val="CHITIET_VL-NC-TT_-1p3"/>
      <sheetName val="KPVC-BD_3"/>
      <sheetName val="I_설계조건2"/>
      <sheetName val="Customer_Databas2"/>
      <sheetName val="표지_(2)2"/>
      <sheetName val="1차_내역서"/>
      <sheetName val="BSD (2)"/>
      <sheetName val="견적대비 견적서"/>
      <sheetName val="내역서_제출6"/>
      <sheetName val="Material_U_P6"/>
      <sheetName val="본선_토공_분배표5"/>
      <sheetName val="_냉각수펌프4"/>
      <sheetName val="내역서_4"/>
      <sheetName val="plan&amp;section_of_foundation4"/>
      <sheetName val="design_criteria4"/>
      <sheetName val="일위대가_4"/>
      <sheetName val="2_야탑4"/>
      <sheetName val="TONG_HOP_VL-NC_TT4"/>
      <sheetName val="CHITIET_VL-NC-TT_-1p4"/>
      <sheetName val="KPVC-BD_4"/>
      <sheetName val="I_설계조건3"/>
      <sheetName val="Customer_Databas3"/>
      <sheetName val="표지_(2)3"/>
      <sheetName val="1차_내역서1"/>
      <sheetName val="내역서_제출7"/>
      <sheetName val="Material_U_P7"/>
      <sheetName val="본선_토공_분배표6"/>
      <sheetName val="_냉각수펌프5"/>
      <sheetName val="내역서_5"/>
      <sheetName val="plan&amp;section_of_foundation5"/>
      <sheetName val="design_criteria5"/>
      <sheetName val="일위대가_5"/>
      <sheetName val="TONG_HOP_VL-NC_TT5"/>
      <sheetName val="CHITIET_VL-NC-TT_-1p5"/>
      <sheetName val="KPVC-BD_5"/>
      <sheetName val="2_야탑5"/>
      <sheetName val="I_설계조건4"/>
      <sheetName val="Customer_Databas4"/>
      <sheetName val="표지_(2)4"/>
      <sheetName val="1차_내역서2"/>
      <sheetName val="BSD_(2)"/>
      <sheetName val="견적대비_견적서"/>
      <sheetName val="내역서_제출8"/>
      <sheetName val="Material_U_P8"/>
      <sheetName val="본선_토공_분배표7"/>
      <sheetName val="내역서_6"/>
      <sheetName val="_냉각수펌프6"/>
      <sheetName val="plan&amp;section_of_foundation6"/>
      <sheetName val="design_criteria6"/>
      <sheetName val="일위대가_6"/>
      <sheetName val="2_야탑6"/>
      <sheetName val="TONG_HOP_VL-NC_TT6"/>
      <sheetName val="CHITIET_VL-NC-TT_-1p6"/>
      <sheetName val="KPVC-BD_6"/>
      <sheetName val="I_설계조건5"/>
      <sheetName val="Customer_Databas5"/>
      <sheetName val="표지_(2)5"/>
      <sheetName val="1차_내역서3"/>
      <sheetName val="BSD_(2)1"/>
      <sheetName val="견적대비_견적서1"/>
      <sheetName val="Tables"/>
      <sheetName val="I一般比"/>
      <sheetName val="VENT"/>
      <sheetName val="일위"/>
      <sheetName val="경율산정.XLS"/>
      <sheetName val="제-노임"/>
      <sheetName val="제직재"/>
      <sheetName val="J直材4"/>
      <sheetName val="목차"/>
      <sheetName val="1.우편집중내역서"/>
      <sheetName val="제품"/>
      <sheetName val="N賃率-職"/>
      <sheetName val="20관리비율"/>
      <sheetName val="공사현황"/>
      <sheetName val="7단가"/>
      <sheetName val="원본(갑지)"/>
      <sheetName val="대비표(토공1안)"/>
      <sheetName val="경비2내역"/>
      <sheetName val="빗물받이(910-510-410)"/>
      <sheetName val="집수정(600-700)"/>
      <sheetName val="토목공사"/>
      <sheetName val="총물량"/>
      <sheetName val="1월"/>
      <sheetName val="설계"/>
      <sheetName val="토목"/>
      <sheetName val="분석표_아파트동"/>
      <sheetName val="분석표_부속동"/>
      <sheetName val="단가대비표"/>
      <sheetName val="일위대가목록"/>
      <sheetName val="일반부표"/>
      <sheetName val="정보"/>
      <sheetName val="코드"/>
      <sheetName val="공사개요"/>
      <sheetName val="공사비"/>
      <sheetName val="경비"/>
      <sheetName val="입력1"/>
      <sheetName val="내역1"/>
      <sheetName val="맨홀수량산출"/>
      <sheetName val="을-ATYPE"/>
      <sheetName val="분전함신설"/>
      <sheetName val="접지1종"/>
      <sheetName val="인사자료총집계"/>
      <sheetName val="기본사항"/>
      <sheetName val="견적내역"/>
      <sheetName val="도급실행(본관-주차장)"/>
      <sheetName val="마산월령동골조물량변경"/>
      <sheetName val="납부서"/>
      <sheetName val="기본일위"/>
      <sheetName val="노무산출서"/>
      <sheetName val="총괄갑 "/>
      <sheetName val="샤워실위생"/>
      <sheetName val="Sheet1 (2)"/>
      <sheetName val="Sheet4"/>
      <sheetName val="노무비단가"/>
      <sheetName val="형틀공사"/>
      <sheetName val="단가 및 재료비"/>
      <sheetName val="부재리스트"/>
      <sheetName val="상반기손익차2총괄"/>
      <sheetName val="기초자료입력"/>
      <sheetName val="하수급견적대비"/>
      <sheetName val="설계명세서"/>
      <sheetName val="환산"/>
      <sheetName val="노임"/>
      <sheetName val="국내조달(통합-1)"/>
      <sheetName val="호표"/>
      <sheetName val="수입"/>
      <sheetName val="자재 DB LIST"/>
      <sheetName val="새공통"/>
      <sheetName val="총괄갑_"/>
      <sheetName val="Sheet1_(2)"/>
      <sheetName val="경산"/>
      <sheetName val="노임단가 (2)"/>
      <sheetName val="개산공사비"/>
      <sheetName val="0000"/>
      <sheetName val="자재단가"/>
      <sheetName val="회사정보"/>
      <sheetName val="공사내역"/>
      <sheetName val="일용직내역"/>
      <sheetName val="."/>
      <sheetName val="업체명"/>
      <sheetName val="관리"/>
      <sheetName val="가격조사서"/>
      <sheetName val="본공사"/>
      <sheetName val="tggwan(mac)"/>
      <sheetName val="Setup"/>
      <sheetName val="금융비용"/>
      <sheetName val="날개벽수량표"/>
      <sheetName val="2공구산출내역"/>
      <sheetName val="TOWER 10TON"/>
      <sheetName val="48수량"/>
      <sheetName val="49일위"/>
      <sheetName val="49수량"/>
      <sheetName val="완도-군외"/>
      <sheetName val="수량집계(방송설비)"/>
      <sheetName val="수량집계(전기시계)"/>
      <sheetName val="수량집계(출입통제)"/>
      <sheetName val="수량집계(통합배선)"/>
      <sheetName val="수량집계(CATV)"/>
      <sheetName val="수량집계(CCTV)"/>
      <sheetName val="공사비산출내역"/>
      <sheetName val="수량산출서(철거)"/>
      <sheetName val="실행내역"/>
      <sheetName val="시설투자"/>
      <sheetName val="지급자재"/>
      <sheetName val="TYPE-A"/>
      <sheetName val="수지"/>
      <sheetName val="기초일위"/>
      <sheetName val="총괄"/>
      <sheetName val="조직"/>
      <sheetName val="4.2유효폭의 계산"/>
      <sheetName val="입찰"/>
      <sheetName val="현경"/>
      <sheetName val="공비대비"/>
      <sheetName val="3.공통공사대비"/>
      <sheetName val="투찰"/>
      <sheetName val="구리토평1전기"/>
      <sheetName val="총괄갑_1"/>
      <sheetName val="Sheet1_(2)1"/>
      <sheetName val="단가_및_재료비"/>
      <sheetName val="자재_DB_LIST"/>
      <sheetName val="노임단가_(2)"/>
      <sheetName val="_"/>
      <sheetName val="현장관리비"/>
      <sheetName val="APT"/>
      <sheetName val="총괄갑_2"/>
      <sheetName val="Sheet1_(2)2"/>
      <sheetName val="단가_및_재료비1"/>
      <sheetName val="노임단가_(2)1"/>
      <sheetName val="자재_DB_LIST1"/>
      <sheetName val="_1"/>
      <sheetName val="EQT-ESTN"/>
      <sheetName val="노무비"/>
      <sheetName val="물량표"/>
      <sheetName val="수량산출내역1115"/>
      <sheetName val="물가시세"/>
      <sheetName val="설계내역서"/>
      <sheetName val="소방"/>
      <sheetName val="Macro7"/>
      <sheetName val="기준층(외주부)"/>
      <sheetName val="인건비"/>
      <sheetName val="내역서(신규OFFICE(14))"/>
      <sheetName val="하부철근수량"/>
      <sheetName val="내   역"/>
      <sheetName val="차액보증"/>
      <sheetName val="전기집계표"/>
      <sheetName val="산출서"/>
      <sheetName val="2008년상반기"/>
      <sheetName val="인원자료"/>
      <sheetName val="실행철강하도"/>
      <sheetName val="도급FORM"/>
      <sheetName val="원가계산서"/>
      <sheetName val="부서별3월"/>
      <sheetName val="단가산출"/>
      <sheetName val="4 노임단가"/>
      <sheetName val="M-EQPT-Z"/>
      <sheetName val="실행,원가 최종예상"/>
      <sheetName val="내역표지"/>
      <sheetName val="수목단가"/>
      <sheetName val="시설수량표"/>
      <sheetName val="식재수량표"/>
      <sheetName val="수량산출"/>
      <sheetName val="인제내역"/>
      <sheetName val="건축내역서"/>
      <sheetName val="설비내역서"/>
      <sheetName val="전기내역서"/>
      <sheetName val="정공공사"/>
      <sheetName val="설명서 "/>
      <sheetName val="실행(ALT1)"/>
      <sheetName val="내역서2안"/>
      <sheetName val="연습"/>
      <sheetName val="WC96709"/>
      <sheetName val="문학간접"/>
      <sheetName val="간접"/>
      <sheetName val="4_노임단가"/>
      <sheetName val="실행,원가_최종예상"/>
      <sheetName val="사장실도배발주서"/>
      <sheetName val="설명서_"/>
      <sheetName val="SG"/>
      <sheetName val="4_노임단가1"/>
      <sheetName val="실행,원가_최종예상1"/>
      <sheetName val="설명서_1"/>
      <sheetName val="조명율표"/>
      <sheetName val="차도조도계산"/>
      <sheetName val="순공사비"/>
      <sheetName val="기결의"/>
      <sheetName val="토목공사일반"/>
      <sheetName val="101동"/>
      <sheetName val="현장"/>
      <sheetName val="철거산출근거"/>
      <sheetName val="일위목록"/>
      <sheetName val="환경기계공정표 (3)"/>
      <sheetName val="결재갑지"/>
      <sheetName val="판관"/>
      <sheetName val="중기"/>
      <sheetName val="건축명"/>
      <sheetName val="기계명"/>
      <sheetName val="전기명"/>
      <sheetName val="토목명"/>
      <sheetName val="빙장비사양"/>
      <sheetName val="장비사양"/>
      <sheetName val="견적을(1안)"/>
      <sheetName val="2.대외공문"/>
      <sheetName val="을지"/>
      <sheetName val="01"/>
      <sheetName val="건축내역"/>
      <sheetName val="전도금정산서(27)"/>
      <sheetName val="전기"/>
      <sheetName val="기본단가표"/>
      <sheetName val="원가계산"/>
      <sheetName val="인테리어내역"/>
      <sheetName val="수량산출(음암)"/>
      <sheetName val="단가표"/>
      <sheetName val="주공 갑지"/>
      <sheetName val="2-1. 경관조명 내역총괄표"/>
      <sheetName val="내역서1999.8최종"/>
      <sheetName val="도급자재"/>
      <sheetName val="총원가계산서(요율)"/>
      <sheetName val="참조"/>
      <sheetName val="케이블류 OLD"/>
      <sheetName val="가스(내역)"/>
      <sheetName val="설계기준"/>
      <sheetName val="내역을"/>
      <sheetName val="수량산출서"/>
      <sheetName val="연결임시"/>
      <sheetName val="가격비"/>
      <sheetName val="금호내역서"/>
      <sheetName val="금액집계"/>
      <sheetName val="상계견적"/>
      <sheetName val="T13(P68~72,78)"/>
      <sheetName val="단중표"/>
      <sheetName val="H-PILE수량집계"/>
      <sheetName val="경비내역(을)-1"/>
      <sheetName val="연부97-1"/>
      <sheetName val="산출근거"/>
      <sheetName val="예총"/>
      <sheetName val="가시설단위수량"/>
      <sheetName val="SORCE1"/>
      <sheetName val="단위수량"/>
      <sheetName val="약품설비"/>
      <sheetName val="기기리스트"/>
      <sheetName val="4_노임단가2"/>
      <sheetName val="실행,원가_최종예상2"/>
      <sheetName val="설명서_2"/>
      <sheetName val="환경기계공정표_(3)"/>
      <sheetName val="2_대외공문"/>
      <sheetName val="주공_갑지"/>
      <sheetName val="2-1__경관조명_내역총괄표"/>
      <sheetName val="내역서1999_8최종"/>
      <sheetName val="케이블류_OLD"/>
      <sheetName val="직재"/>
      <sheetName val="재집"/>
      <sheetName val="4_노임단가3"/>
      <sheetName val="실행,원가_최종예상3"/>
      <sheetName val="설명서_3"/>
      <sheetName val="2_대외공문1"/>
      <sheetName val="환경기계공정표_(3)1"/>
      <sheetName val="2-1__경관조명_내역총괄표1"/>
      <sheetName val="내역서1999_8최종1"/>
      <sheetName val="주공_갑지1"/>
      <sheetName val="케이블류_OLD1"/>
      <sheetName val="가시설수량"/>
      <sheetName val="테이블"/>
      <sheetName val="제경비율"/>
      <sheetName val="토적계산서"/>
      <sheetName val="건축공사"/>
      <sheetName val="2.Summary-cash"/>
      <sheetName val="95WBS"/>
      <sheetName val="CASHFLOW"/>
      <sheetName val="견적990322"/>
      <sheetName val="건축내역서 (2)"/>
      <sheetName val="Inve. &amp; Income Assum."/>
      <sheetName val="Annex C - 1 - Cash"/>
      <sheetName val="Assumptions"/>
      <sheetName val="Macro Codes"/>
      <sheetName val="화재 탐지 설비"/>
      <sheetName val="MATRLDATA"/>
      <sheetName val="공종단가"/>
      <sheetName val="냉천부속동"/>
      <sheetName val="4 LINE"/>
      <sheetName val="7 th"/>
      <sheetName val="FANDBS"/>
      <sheetName val="GRDATA"/>
      <sheetName val="SHAFTDBSE"/>
      <sheetName val="EJ"/>
      <sheetName val="2002상반기노임기준"/>
      <sheetName val="960318-1"/>
      <sheetName val="할증 "/>
      <sheetName val="경동~상록"/>
      <sheetName val="우주~로베로"/>
      <sheetName val="일위대가표"/>
      <sheetName val="직접비"/>
      <sheetName val="SAM"/>
      <sheetName val="수지표"/>
      <sheetName val="셀명"/>
      <sheetName val="식재"/>
      <sheetName val="시설물"/>
      <sheetName val="식재출력용"/>
      <sheetName val="유지관리"/>
      <sheetName val="설계가"/>
      <sheetName val="D"/>
      <sheetName val="PL단가산정"/>
      <sheetName val="그림"/>
      <sheetName val="그림2"/>
      <sheetName val="지질조사"/>
      <sheetName val="AS포장복구 "/>
      <sheetName val="산출내역서집계표"/>
      <sheetName val="DB"/>
      <sheetName val="총괄갑_3"/>
      <sheetName val="Sheet1_(2)3"/>
      <sheetName val="단가_및_재료비2"/>
      <sheetName val="자재_DB_LIST2"/>
      <sheetName val="노임단가_(2)2"/>
      <sheetName val="_2"/>
      <sheetName val="TOWER_10TON"/>
      <sheetName val="4_2유효폭의_계산"/>
      <sheetName val="3_공통공사대비"/>
      <sheetName val="내___역"/>
      <sheetName val="총괄갑_4"/>
      <sheetName val="Sheet1_(2)4"/>
      <sheetName val="단가_및_재료비3"/>
      <sheetName val="자재_DB_LIST3"/>
      <sheetName val="노임단가_(2)3"/>
      <sheetName val="_3"/>
      <sheetName val="TOWER_10TON1"/>
      <sheetName val="4_2유효폭의_계산1"/>
      <sheetName val="3_공통공사대비1"/>
      <sheetName val="내___역1"/>
      <sheetName val="은행"/>
      <sheetName val="1차_내역서4"/>
      <sheetName val="4_노임단가4"/>
      <sheetName val="실행,원가_최종예상4"/>
      <sheetName val="설명서_4"/>
      <sheetName val="환경기계공정표_(3)2"/>
      <sheetName val="2_대외공문2"/>
      <sheetName val="주공_갑지2"/>
      <sheetName val="2-1__경관조명_내역총괄표2"/>
      <sheetName val="내역서1999_8최종2"/>
      <sheetName val="케이블류_OLD2"/>
      <sheetName val="2_Summary-cash"/>
      <sheetName val="건축내역서_(2)"/>
      <sheetName val="Inve__&amp;_Income_Assum_"/>
      <sheetName val="Annex_C_-_1_-_Cash"/>
      <sheetName val="Macro_Codes"/>
      <sheetName val="화재_탐지_설비"/>
      <sheetName val="4_LINE"/>
      <sheetName val="7_th"/>
      <sheetName val="할증_"/>
      <sheetName val="AS포장복구_"/>
      <sheetName val="1차_내역서5"/>
      <sheetName val="4_노임단가5"/>
      <sheetName val="실행,원가_최종예상5"/>
      <sheetName val="설명서_5"/>
      <sheetName val="환경기계공정표_(3)3"/>
      <sheetName val="2_대외공문3"/>
      <sheetName val="주공_갑지3"/>
      <sheetName val="2-1__경관조명_내역총괄표3"/>
      <sheetName val="내역서1999_8최종3"/>
      <sheetName val="케이블류_OLD3"/>
      <sheetName val="2_Summary-cash1"/>
      <sheetName val="건축내역서_(2)1"/>
      <sheetName val="Inve__&amp;_Income_Assum_1"/>
      <sheetName val="Annex_C_-_1_-_Cash1"/>
      <sheetName val="Macro_Codes1"/>
      <sheetName val="화재_탐지_설비1"/>
      <sheetName val="4_LINE1"/>
      <sheetName val="7_th1"/>
      <sheetName val="할증_1"/>
      <sheetName val="AS포장복구_1"/>
      <sheetName val="ITEM"/>
      <sheetName val="가격표"/>
      <sheetName val="간접1"/>
      <sheetName val="Customer_Databas6"/>
      <sheetName val="1차_내역서6"/>
      <sheetName val="4_노임단가6"/>
      <sheetName val="실행,원가_최종예상6"/>
      <sheetName val="설명서_6"/>
      <sheetName val="2_대외공문4"/>
      <sheetName val="환경기계공정표_(3)4"/>
      <sheetName val="주공_갑지4"/>
      <sheetName val="2-1__경관조명_내역총괄표4"/>
      <sheetName val="내역서1999_8최종4"/>
      <sheetName val="케이블류_OLD4"/>
      <sheetName val="2_Summary-cash2"/>
      <sheetName val="건축내역서_(2)2"/>
      <sheetName val="Inve__&amp;_Income_Assum_2"/>
      <sheetName val="Annex_C_-_1_-_Cash2"/>
      <sheetName val="Macro_Codes2"/>
      <sheetName val="화재_탐지_설비2"/>
      <sheetName val="4_LINE2"/>
      <sheetName val="7_th2"/>
      <sheetName val="할증_2"/>
      <sheetName val="AS포장복구_2"/>
      <sheetName val="CTEMCOST"/>
      <sheetName val="터널조도"/>
      <sheetName val="단가일람"/>
      <sheetName val="공내역"/>
      <sheetName val="사리부설"/>
      <sheetName val="Sheet6"/>
      <sheetName val="기초단가"/>
      <sheetName val="관리,공감"/>
      <sheetName val="정화조동내역"/>
      <sheetName val="총괄갑_5"/>
      <sheetName val="Sheet1_(2)5"/>
      <sheetName val="단가_및_재료비4"/>
      <sheetName val="노임단가_(2)4"/>
      <sheetName val="자재_DB_LIST4"/>
      <sheetName val="_4"/>
      <sheetName val="TOWER_10TON2"/>
      <sheetName val="4_2유효폭의_계산2"/>
      <sheetName val="3_공통공사대비2"/>
      <sheetName val="내___역2"/>
      <sheetName val="①매출"/>
      <sheetName val="수원공사비"/>
      <sheetName val="자재대"/>
      <sheetName val="중기손료"/>
      <sheetName val="현장별계약현황('98.10.31)"/>
      <sheetName val="Customer_Databas7"/>
      <sheetName val="1차_내역서7"/>
      <sheetName val="4_노임단가7"/>
      <sheetName val="실행,원가_최종예상7"/>
      <sheetName val="설명서_7"/>
      <sheetName val="환경기계공정표_(3)5"/>
      <sheetName val="2_대외공문5"/>
      <sheetName val="2-1__경관조명_내역총괄표5"/>
      <sheetName val="내역서1999_8최종5"/>
      <sheetName val="주공_갑지5"/>
      <sheetName val="케이블류_OLD5"/>
      <sheetName val="2_Summary-cash3"/>
      <sheetName val="건축내역서_(2)3"/>
      <sheetName val="Inve__&amp;_Income_Assum_3"/>
      <sheetName val="Annex_C_-_1_-_Cash3"/>
      <sheetName val="Macro_Codes3"/>
      <sheetName val="화재_탐지_설비3"/>
      <sheetName val="4_LINE3"/>
      <sheetName val="7_th3"/>
      <sheetName val="할증_3"/>
      <sheetName val="AS포장복구_3"/>
      <sheetName val="Customer_Databas8"/>
      <sheetName val="1차_내역서8"/>
      <sheetName val="4_노임단가8"/>
      <sheetName val="실행,원가_최종예상8"/>
      <sheetName val="설명서_8"/>
      <sheetName val="환경기계공정표_(3)6"/>
      <sheetName val="2_대외공문6"/>
      <sheetName val="주공_갑지6"/>
      <sheetName val="2-1__경관조명_내역총괄표6"/>
      <sheetName val="내역서1999_8최종6"/>
      <sheetName val="케이블류_OLD6"/>
      <sheetName val="총괄갑_6"/>
      <sheetName val="Sheet1_(2)6"/>
      <sheetName val="노임단가_(2)5"/>
      <sheetName val="단가_및_재료비5"/>
      <sheetName val="자재_DB_LIST5"/>
      <sheetName val="_5"/>
      <sheetName val="2_Summary-cash4"/>
      <sheetName val="건축내역서_(2)4"/>
      <sheetName val="Inve__&amp;_Income_Assum_4"/>
      <sheetName val="Annex_C_-_1_-_Cash4"/>
      <sheetName val="Macro_Codes4"/>
      <sheetName val="화재_탐지_설비4"/>
      <sheetName val="4_LINE4"/>
      <sheetName val="7_th4"/>
      <sheetName val="할증_4"/>
      <sheetName val="AS포장복구_4"/>
      <sheetName val="Customer_Databas9"/>
      <sheetName val="1차_내역서9"/>
      <sheetName val="4_노임단가9"/>
      <sheetName val="실행,원가_최종예상9"/>
      <sheetName val="내역서_제출9"/>
      <sheetName val="설명서_9"/>
      <sheetName val="2_대외공문7"/>
      <sheetName val="환경기계공정표_(3)7"/>
      <sheetName val="주공_갑지7"/>
      <sheetName val="2-1__경관조명_내역총괄표7"/>
      <sheetName val="내역서1999_8최종7"/>
      <sheetName val="케이블류_OLD7"/>
      <sheetName val="총괄갑_7"/>
      <sheetName val="Sheet1_(2)7"/>
      <sheetName val="노임단가_(2)6"/>
      <sheetName val="단가_및_재료비6"/>
      <sheetName val="자재_DB_LIST6"/>
      <sheetName val="_6"/>
      <sheetName val="2_Summary-cash5"/>
      <sheetName val="건축내역서_(2)5"/>
      <sheetName val="Inve__&amp;_Income_Assum_5"/>
      <sheetName val="Annex_C_-_1_-_Cash5"/>
      <sheetName val="Macro_Codes5"/>
      <sheetName val="화재_탐지_설비5"/>
      <sheetName val="4_LINE5"/>
      <sheetName val="7_th5"/>
      <sheetName val="할증_5"/>
      <sheetName val="AS포장복구_5"/>
      <sheetName val="수목데이타"/>
      <sheetName val="시설물일위"/>
      <sheetName val="가설공사"/>
      <sheetName val="단가결정"/>
      <sheetName val="내역아"/>
      <sheetName val="울타리"/>
      <sheetName val="본사인상전"/>
      <sheetName val="2-1__경관조명_내역총괄표ꢠ"/>
      <sheetName val="개요"/>
      <sheetName val="2-1__경관조명_내역총괄표恴"/>
      <sheetName val="2-1__경관조명_내역총괄표悯"/>
      <sheetName val="NP-총정리"/>
      <sheetName val="남양시작동자105노65기1.3화1.2"/>
      <sheetName val="TOWER_10TON3"/>
      <sheetName val="4_2유효폭의_계산3"/>
      <sheetName val="3_공통공사대비3"/>
      <sheetName val="내___역3"/>
      <sheetName val="TOWER_10TON4"/>
      <sheetName val="4_2유효폭의_계산4"/>
      <sheetName val="3_공통공사대비4"/>
      <sheetName val="내___역4"/>
      <sheetName val="총괄갑_8"/>
      <sheetName val="Sheet1_(2)8"/>
      <sheetName val="단가_및_재료비7"/>
      <sheetName val="일위대가_7"/>
      <sheetName val="노임단가_(2)7"/>
      <sheetName val="자재_DB_LIST7"/>
      <sheetName val="_7"/>
      <sheetName val="TOWER_10TON5"/>
      <sheetName val="4_2유효폭의_계산5"/>
      <sheetName val="3_공통공사대비5"/>
      <sheetName val="내___역5"/>
      <sheetName val="판매시설"/>
      <sheetName val="대비"/>
      <sheetName val="유림총괄"/>
      <sheetName val="충주"/>
      <sheetName val="재료비"/>
      <sheetName val="경비일반이윤"/>
      <sheetName val="Project Brief"/>
      <sheetName val="2F 회의실견적(5_14 일대)"/>
      <sheetName val="다원(ZENECA).xls"/>
      <sheetName val="UR2-Calculation"/>
      <sheetName val="원형맨홀수량"/>
      <sheetName val="c_balju"/>
      <sheetName val="성남여성복지내역"/>
      <sheetName val="대전21토목내역서"/>
      <sheetName val="학생내역"/>
      <sheetName val="원도급"/>
      <sheetName val="하도급"/>
      <sheetName val="요약"/>
      <sheetName val="부록"/>
      <sheetName val="내역서_제출10"/>
      <sheetName val="Material_U_P9"/>
      <sheetName val="본선_토공_분배표8"/>
      <sheetName val="_냉각수펌프7"/>
      <sheetName val="내역서_7"/>
      <sheetName val="plan&amp;section_of_foundation7"/>
      <sheetName val="design_criteria7"/>
      <sheetName val="일위대가_8"/>
      <sheetName val="2_야탑7"/>
      <sheetName val="TONG_HOP_VL-NC_TT7"/>
      <sheetName val="CHITIET_VL-NC-TT_-1p7"/>
      <sheetName val="KPVC-BD_7"/>
      <sheetName val="I_설계조건6"/>
      <sheetName val="Customer_Databas10"/>
      <sheetName val="표지_(2)6"/>
      <sheetName val="1차_내역서10"/>
      <sheetName val="BSD_(2)2"/>
      <sheetName val="견적대비_견적서2"/>
      <sheetName val="경율산정_XLS"/>
      <sheetName val="1_우편집중내역서"/>
      <sheetName val="총괄갑_9"/>
      <sheetName val="Sheet1_(2)9"/>
      <sheetName val="단가_및_재료비8"/>
      <sheetName val="자재_DB_LIST8"/>
      <sheetName val="노임단가_(2)8"/>
      <sheetName val="_8"/>
      <sheetName val="TOWER_10TON6"/>
      <sheetName val="4_2유효폭의_계산6"/>
      <sheetName val="3_공통공사대비6"/>
      <sheetName val="내___역6"/>
      <sheetName val="4_노임단가10"/>
      <sheetName val="실행,원가_최종예상10"/>
      <sheetName val="설명서_10"/>
      <sheetName val="환경기계공정표_(3)8"/>
      <sheetName val="2_대외공문8"/>
      <sheetName val="주공_갑지8"/>
      <sheetName val="2-1__경관조명_내역총괄표8"/>
      <sheetName val="내역서1999_8최종8"/>
      <sheetName val="케이블류_OLD8"/>
      <sheetName val="2_Summary-cash6"/>
      <sheetName val="건축내역서_(2)6"/>
      <sheetName val="Inve__&amp;_Income_Assum_6"/>
      <sheetName val="Annex_C_-_1_-_Cash6"/>
      <sheetName val="Macro_Codes6"/>
      <sheetName val="화재_탐지_설비6"/>
      <sheetName val="4_LINE6"/>
      <sheetName val="7_th6"/>
      <sheetName val="할증_6"/>
      <sheetName val="AS포장복구_6"/>
      <sheetName val="현장별계약현황('98_10_31)"/>
      <sheetName val="남양시작동자105노65기1_3화1_2"/>
      <sheetName val="Project_Brief"/>
      <sheetName val="2F_회의실견적(5_14_일대)"/>
      <sheetName val="다원(ZENECA)_xls"/>
    </sheetNames>
    <sheetDataSet>
      <sheetData sheetId="0" refreshError="1"/>
      <sheetData sheetId="1" refreshError="1">
        <row r="46">
          <cell r="I46" t="str">
            <v>내용</v>
          </cell>
          <cell r="J46" t="str">
            <v>단가</v>
          </cell>
        </row>
        <row r="47">
          <cell r="I47" t="str">
            <v>ED008</v>
          </cell>
          <cell r="J47">
            <v>141800</v>
          </cell>
        </row>
        <row r="48">
          <cell r="I48" t="str">
            <v>ED012</v>
          </cell>
          <cell r="J48">
            <v>173300</v>
          </cell>
        </row>
        <row r="49">
          <cell r="I49" t="str">
            <v>ED014</v>
          </cell>
          <cell r="J49">
            <v>216300</v>
          </cell>
        </row>
        <row r="50">
          <cell r="I50" t="str">
            <v>ED016</v>
          </cell>
          <cell r="J50">
            <v>231000</v>
          </cell>
        </row>
        <row r="51">
          <cell r="I51" t="str">
            <v>ED018</v>
          </cell>
          <cell r="J51">
            <v>243600</v>
          </cell>
        </row>
        <row r="52">
          <cell r="I52" t="str">
            <v>ED018X</v>
          </cell>
          <cell r="J52">
            <v>268800</v>
          </cell>
        </row>
        <row r="53">
          <cell r="I53" t="str">
            <v>ED0108</v>
          </cell>
          <cell r="J53">
            <v>105000</v>
          </cell>
        </row>
        <row r="54">
          <cell r="I54" t="str">
            <v>ED0112</v>
          </cell>
          <cell r="J54">
            <v>132300</v>
          </cell>
        </row>
        <row r="55">
          <cell r="I55" t="str">
            <v>ED0114</v>
          </cell>
          <cell r="J55">
            <v>162800</v>
          </cell>
        </row>
        <row r="56">
          <cell r="I56" t="str">
            <v>ED0116</v>
          </cell>
          <cell r="J56">
            <v>177500</v>
          </cell>
        </row>
        <row r="57">
          <cell r="I57" t="str">
            <v>EP0202</v>
          </cell>
          <cell r="J57">
            <v>131300</v>
          </cell>
        </row>
        <row r="58">
          <cell r="I58" t="str">
            <v>EP0203</v>
          </cell>
          <cell r="J58">
            <v>131300</v>
          </cell>
        </row>
        <row r="59">
          <cell r="I59" t="str">
            <v>EP0302</v>
          </cell>
          <cell r="J59">
            <v>168000</v>
          </cell>
        </row>
        <row r="60">
          <cell r="I60" t="str">
            <v>EP0303</v>
          </cell>
          <cell r="J60">
            <v>168000</v>
          </cell>
        </row>
        <row r="61">
          <cell r="I61" t="str">
            <v>ED401</v>
          </cell>
          <cell r="J61">
            <v>128100</v>
          </cell>
        </row>
        <row r="62">
          <cell r="I62" t="str">
            <v>ED410R</v>
          </cell>
          <cell r="J62">
            <v>160700</v>
          </cell>
        </row>
        <row r="63">
          <cell r="I63" t="str">
            <v>ED410L</v>
          </cell>
          <cell r="J63">
            <v>160700</v>
          </cell>
        </row>
        <row r="64">
          <cell r="I64" t="str">
            <v>ED412</v>
          </cell>
          <cell r="J64">
            <v>160700</v>
          </cell>
        </row>
        <row r="65">
          <cell r="I65" t="str">
            <v>ED950</v>
          </cell>
          <cell r="J65">
            <v>264600</v>
          </cell>
        </row>
        <row r="66">
          <cell r="I66" t="str">
            <v>ED5086R</v>
          </cell>
          <cell r="J66">
            <v>105000</v>
          </cell>
        </row>
        <row r="67">
          <cell r="I67" t="str">
            <v>ED5086L</v>
          </cell>
          <cell r="J67">
            <v>105000</v>
          </cell>
        </row>
        <row r="68">
          <cell r="I68" t="str">
            <v>ED5466</v>
          </cell>
          <cell r="J68">
            <v>33600</v>
          </cell>
        </row>
        <row r="69">
          <cell r="I69" t="str">
            <v>ED5966</v>
          </cell>
          <cell r="J69">
            <v>56700</v>
          </cell>
        </row>
        <row r="70">
          <cell r="I70" t="str">
            <v>ED912</v>
          </cell>
          <cell r="J70">
            <v>203700</v>
          </cell>
        </row>
        <row r="71">
          <cell r="I71" t="str">
            <v>ED916</v>
          </cell>
          <cell r="J71">
            <v>249900</v>
          </cell>
        </row>
        <row r="72">
          <cell r="I72" t="str">
            <v>ED516</v>
          </cell>
          <cell r="J72">
            <v>63000</v>
          </cell>
        </row>
        <row r="73">
          <cell r="I73" t="str">
            <v>ED517R</v>
          </cell>
          <cell r="J73">
            <v>74600</v>
          </cell>
        </row>
        <row r="74">
          <cell r="I74" t="str">
            <v>ED517L</v>
          </cell>
          <cell r="J74">
            <v>74600</v>
          </cell>
        </row>
        <row r="75">
          <cell r="I75" t="str">
            <v>ED5488</v>
          </cell>
          <cell r="J75">
            <v>39900</v>
          </cell>
        </row>
        <row r="76">
          <cell r="I76" t="str">
            <v>ED5988</v>
          </cell>
          <cell r="J76">
            <v>65100</v>
          </cell>
        </row>
        <row r="77">
          <cell r="I77" t="str">
            <v>ED0608</v>
          </cell>
          <cell r="J77">
            <v>54600</v>
          </cell>
        </row>
        <row r="78">
          <cell r="I78" t="str">
            <v>ED0612</v>
          </cell>
          <cell r="J78">
            <v>65100</v>
          </cell>
        </row>
        <row r="81">
          <cell r="I81" t="str">
            <v>ED0616</v>
          </cell>
          <cell r="J81">
            <v>92400</v>
          </cell>
        </row>
        <row r="82">
          <cell r="I82" t="str">
            <v>ED0706</v>
          </cell>
          <cell r="J82">
            <v>105000</v>
          </cell>
        </row>
        <row r="83">
          <cell r="I83" t="str">
            <v>ED0708</v>
          </cell>
          <cell r="J83">
            <v>141800</v>
          </cell>
        </row>
        <row r="84">
          <cell r="I84" t="str">
            <v>ED0806</v>
          </cell>
          <cell r="J84">
            <v>122900</v>
          </cell>
        </row>
        <row r="85">
          <cell r="I85" t="str">
            <v>ED0808</v>
          </cell>
          <cell r="J85">
            <v>164900</v>
          </cell>
        </row>
        <row r="86">
          <cell r="I86" t="str">
            <v>EZ016</v>
          </cell>
          <cell r="J86">
            <v>371700</v>
          </cell>
        </row>
        <row r="87">
          <cell r="I87" t="str">
            <v>EZ018</v>
          </cell>
          <cell r="J87">
            <v>400100</v>
          </cell>
        </row>
        <row r="88">
          <cell r="I88" t="str">
            <v>TD008</v>
          </cell>
          <cell r="J88">
            <v>155400</v>
          </cell>
        </row>
        <row r="89">
          <cell r="I89" t="str">
            <v>TD010</v>
          </cell>
          <cell r="J89">
            <v>173300</v>
          </cell>
        </row>
        <row r="90">
          <cell r="I90" t="str">
            <v>TD012</v>
          </cell>
          <cell r="J90">
            <v>191100</v>
          </cell>
        </row>
        <row r="91">
          <cell r="I91" t="str">
            <v>TD014</v>
          </cell>
          <cell r="J91">
            <v>236300</v>
          </cell>
        </row>
        <row r="92">
          <cell r="I92" t="str">
            <v>TD016</v>
          </cell>
          <cell r="J92">
            <v>254100</v>
          </cell>
        </row>
        <row r="93">
          <cell r="I93" t="str">
            <v>TD018</v>
          </cell>
          <cell r="J93">
            <v>272000</v>
          </cell>
        </row>
        <row r="94">
          <cell r="I94" t="str">
            <v>TD108</v>
          </cell>
          <cell r="J94">
            <v>115500</v>
          </cell>
        </row>
        <row r="112">
          <cell r="I112" t="str">
            <v>TD110</v>
          </cell>
          <cell r="J112">
            <v>130200</v>
          </cell>
        </row>
        <row r="113">
          <cell r="I113" t="str">
            <v>TD112</v>
          </cell>
          <cell r="J113">
            <v>147000</v>
          </cell>
        </row>
        <row r="114">
          <cell r="I114" t="str">
            <v>TD114</v>
          </cell>
          <cell r="J114">
            <v>178500</v>
          </cell>
        </row>
        <row r="115">
          <cell r="I115" t="str">
            <v>TD116</v>
          </cell>
          <cell r="J115">
            <v>196400</v>
          </cell>
        </row>
        <row r="116">
          <cell r="I116" t="str">
            <v>TD118</v>
          </cell>
          <cell r="J116">
            <v>222600</v>
          </cell>
        </row>
        <row r="117">
          <cell r="I117" t="str">
            <v>TP0302</v>
          </cell>
          <cell r="J117">
            <v>198500</v>
          </cell>
        </row>
        <row r="118">
          <cell r="I118" t="str">
            <v>TP0303</v>
          </cell>
          <cell r="J118">
            <v>206900</v>
          </cell>
        </row>
        <row r="119">
          <cell r="I119" t="str">
            <v>TP0312</v>
          </cell>
          <cell r="J119">
            <v>156500</v>
          </cell>
        </row>
        <row r="120">
          <cell r="I120" t="str">
            <v>TP0313</v>
          </cell>
          <cell r="J120">
            <v>162800</v>
          </cell>
        </row>
        <row r="121">
          <cell r="I121" t="str">
            <v>TP0502</v>
          </cell>
          <cell r="J121">
            <v>149100</v>
          </cell>
        </row>
        <row r="122">
          <cell r="I122" t="str">
            <v>TP0503</v>
          </cell>
          <cell r="J122">
            <v>152300</v>
          </cell>
        </row>
        <row r="123">
          <cell r="I123" t="str">
            <v>TD410</v>
          </cell>
          <cell r="J123">
            <v>163800</v>
          </cell>
        </row>
        <row r="124">
          <cell r="I124" t="str">
            <v>TD412</v>
          </cell>
          <cell r="J124">
            <v>173300</v>
          </cell>
        </row>
        <row r="125">
          <cell r="I125" t="str">
            <v>TD546</v>
          </cell>
          <cell r="J125">
            <v>46200</v>
          </cell>
        </row>
        <row r="126">
          <cell r="I126" t="str">
            <v>TD596</v>
          </cell>
          <cell r="J126">
            <v>68300</v>
          </cell>
        </row>
        <row r="127">
          <cell r="I127" t="str">
            <v>TD516</v>
          </cell>
          <cell r="J127">
            <v>83000</v>
          </cell>
        </row>
        <row r="128">
          <cell r="I128" t="str">
            <v>TD517R</v>
          </cell>
          <cell r="J128">
            <v>97700</v>
          </cell>
        </row>
        <row r="129">
          <cell r="I129" t="str">
            <v>TD517L</v>
          </cell>
          <cell r="J129">
            <v>97700</v>
          </cell>
        </row>
        <row r="130">
          <cell r="I130" t="str">
            <v>TD518</v>
          </cell>
          <cell r="J130">
            <v>108200</v>
          </cell>
        </row>
        <row r="131">
          <cell r="I131" t="str">
            <v>TD546</v>
          </cell>
          <cell r="J131">
            <v>46200</v>
          </cell>
        </row>
        <row r="132">
          <cell r="I132" t="str">
            <v>TD548</v>
          </cell>
          <cell r="J132">
            <v>66200</v>
          </cell>
        </row>
        <row r="133">
          <cell r="I133" t="str">
            <v>TD506</v>
          </cell>
          <cell r="J133">
            <v>159600</v>
          </cell>
        </row>
        <row r="134">
          <cell r="I134" t="str">
            <v>TD507R</v>
          </cell>
          <cell r="J134">
            <v>171200</v>
          </cell>
        </row>
        <row r="135">
          <cell r="I135" t="str">
            <v>TD507L</v>
          </cell>
          <cell r="J135">
            <v>171200</v>
          </cell>
        </row>
        <row r="136">
          <cell r="I136" t="str">
            <v>TD508</v>
          </cell>
          <cell r="J136">
            <v>183800</v>
          </cell>
        </row>
        <row r="137">
          <cell r="I137" t="str">
            <v>TD598</v>
          </cell>
          <cell r="J137">
            <v>95600</v>
          </cell>
        </row>
        <row r="138">
          <cell r="I138" t="str">
            <v>TD597R</v>
          </cell>
          <cell r="J138">
            <v>86100</v>
          </cell>
        </row>
        <row r="139">
          <cell r="I139" t="str">
            <v>TD597L</v>
          </cell>
          <cell r="J139">
            <v>86100</v>
          </cell>
        </row>
        <row r="140">
          <cell r="I140" t="str">
            <v>TD0608</v>
          </cell>
          <cell r="J140">
            <v>56700</v>
          </cell>
        </row>
        <row r="141">
          <cell r="I141" t="str">
            <v>TD0612</v>
          </cell>
          <cell r="J141">
            <v>68300</v>
          </cell>
        </row>
        <row r="142">
          <cell r="I142" t="str">
            <v>TD0614</v>
          </cell>
          <cell r="J142">
            <v>86100</v>
          </cell>
        </row>
        <row r="143">
          <cell r="I143" t="str">
            <v>TD0616</v>
          </cell>
          <cell r="J143">
            <v>96600</v>
          </cell>
        </row>
        <row r="144">
          <cell r="I144" t="str">
            <v>TD712</v>
          </cell>
          <cell r="J144">
            <v>212100</v>
          </cell>
        </row>
        <row r="145">
          <cell r="I145" t="str">
            <v>TD808</v>
          </cell>
          <cell r="J145">
            <v>180600</v>
          </cell>
        </row>
        <row r="146">
          <cell r="I146" t="str">
            <v>TD990</v>
          </cell>
          <cell r="J146">
            <v>159600</v>
          </cell>
        </row>
        <row r="147">
          <cell r="I147" t="str">
            <v>TD912</v>
          </cell>
          <cell r="J147">
            <v>129200</v>
          </cell>
        </row>
        <row r="148">
          <cell r="I148" t="str">
            <v>TD916</v>
          </cell>
          <cell r="J148">
            <v>171200</v>
          </cell>
        </row>
        <row r="149">
          <cell r="I149" t="str">
            <v>TD966</v>
          </cell>
          <cell r="J149">
            <v>96600</v>
          </cell>
        </row>
        <row r="150">
          <cell r="I150" t="str">
            <v>TD988</v>
          </cell>
          <cell r="J150">
            <v>155400</v>
          </cell>
        </row>
        <row r="151">
          <cell r="I151" t="str">
            <v>TF008</v>
          </cell>
          <cell r="J151">
            <v>51500</v>
          </cell>
        </row>
        <row r="152">
          <cell r="I152" t="str">
            <v>TF010</v>
          </cell>
          <cell r="J152">
            <v>61700</v>
          </cell>
        </row>
        <row r="153">
          <cell r="I153" t="str">
            <v>TF012</v>
          </cell>
          <cell r="J153">
            <v>69300</v>
          </cell>
        </row>
        <row r="154">
          <cell r="I154" t="str">
            <v>TF014</v>
          </cell>
          <cell r="J154">
            <v>85100</v>
          </cell>
        </row>
        <row r="155">
          <cell r="I155" t="str">
            <v>TF016</v>
          </cell>
          <cell r="J155">
            <v>92400</v>
          </cell>
        </row>
        <row r="156">
          <cell r="I156" t="str">
            <v>TF018</v>
          </cell>
          <cell r="J156">
            <v>103800</v>
          </cell>
        </row>
        <row r="157">
          <cell r="I157" t="str">
            <v>YD018</v>
          </cell>
          <cell r="J157">
            <v>351800</v>
          </cell>
        </row>
        <row r="158">
          <cell r="I158" t="str">
            <v>YP0302</v>
          </cell>
          <cell r="J158">
            <v>233100</v>
          </cell>
        </row>
        <row r="159">
          <cell r="I159" t="str">
            <v>YP0303</v>
          </cell>
          <cell r="J159">
            <v>233100</v>
          </cell>
        </row>
        <row r="160">
          <cell r="I160" t="str">
            <v>YD412</v>
          </cell>
          <cell r="J160">
            <v>194300</v>
          </cell>
        </row>
        <row r="161">
          <cell r="I161" t="str">
            <v>YC055L</v>
          </cell>
          <cell r="J161">
            <v>290900</v>
          </cell>
        </row>
        <row r="162">
          <cell r="I162" t="str">
            <v>YC555R</v>
          </cell>
          <cell r="J162">
            <v>290900</v>
          </cell>
        </row>
        <row r="163">
          <cell r="I163" t="str">
            <v>YC085</v>
          </cell>
          <cell r="J163">
            <v>396900</v>
          </cell>
        </row>
        <row r="164">
          <cell r="I164" t="str">
            <v>YC2082</v>
          </cell>
          <cell r="J164">
            <v>411600</v>
          </cell>
        </row>
        <row r="165">
          <cell r="I165" t="str">
            <v>YC182</v>
          </cell>
          <cell r="J165">
            <v>226800</v>
          </cell>
        </row>
        <row r="166">
          <cell r="I166" t="str">
            <v>YD990</v>
          </cell>
          <cell r="J166">
            <v>202700</v>
          </cell>
        </row>
        <row r="167">
          <cell r="I167" t="str">
            <v>PD018</v>
          </cell>
          <cell r="J167">
            <v>584900</v>
          </cell>
        </row>
        <row r="168">
          <cell r="I168" t="str">
            <v>PD021</v>
          </cell>
          <cell r="J168">
            <v>621600</v>
          </cell>
        </row>
        <row r="169">
          <cell r="I169" t="str">
            <v>PP0202</v>
          </cell>
          <cell r="J169">
            <v>246800</v>
          </cell>
        </row>
        <row r="170">
          <cell r="I170" t="str">
            <v>PP0203</v>
          </cell>
          <cell r="J170">
            <v>246800</v>
          </cell>
        </row>
        <row r="171">
          <cell r="I171" t="str">
            <v>PP0302</v>
          </cell>
          <cell r="J171">
            <v>246800</v>
          </cell>
        </row>
        <row r="172">
          <cell r="I172" t="str">
            <v>PP0303</v>
          </cell>
          <cell r="J172">
            <v>246800</v>
          </cell>
        </row>
        <row r="173">
          <cell r="I173" t="str">
            <v>PD414</v>
          </cell>
          <cell r="J173">
            <v>484100</v>
          </cell>
        </row>
        <row r="174">
          <cell r="I174" t="str">
            <v>PZ021</v>
          </cell>
          <cell r="J174">
            <v>696200</v>
          </cell>
        </row>
        <row r="175">
          <cell r="I175" t="str">
            <v>PC055L</v>
          </cell>
          <cell r="J175">
            <v>347600</v>
          </cell>
        </row>
        <row r="176">
          <cell r="I176" t="str">
            <v>PC355L</v>
          </cell>
          <cell r="J176">
            <v>487200</v>
          </cell>
        </row>
        <row r="177">
          <cell r="I177" t="str">
            <v>PC5055R</v>
          </cell>
          <cell r="J177">
            <v>353900</v>
          </cell>
        </row>
        <row r="178">
          <cell r="I178" t="str">
            <v>PC085</v>
          </cell>
          <cell r="J178">
            <v>513500</v>
          </cell>
        </row>
        <row r="179">
          <cell r="I179" t="str">
            <v>LD021</v>
          </cell>
          <cell r="J179">
            <v>2876000</v>
          </cell>
        </row>
        <row r="180">
          <cell r="I180" t="str">
            <v>LD018</v>
          </cell>
          <cell r="J180">
            <v>2595600</v>
          </cell>
        </row>
        <row r="181">
          <cell r="I181" t="str">
            <v>LD712R</v>
          </cell>
          <cell r="J181">
            <v>781200</v>
          </cell>
        </row>
        <row r="182">
          <cell r="I182" t="str">
            <v>LD712L</v>
          </cell>
          <cell r="J182">
            <v>781200</v>
          </cell>
        </row>
        <row r="183">
          <cell r="I183" t="str">
            <v>LC01</v>
          </cell>
          <cell r="J183">
            <v>5120900</v>
          </cell>
        </row>
        <row r="184">
          <cell r="I184" t="str">
            <v>LC02</v>
          </cell>
          <cell r="J184">
            <v>4102400</v>
          </cell>
        </row>
        <row r="185">
          <cell r="I185" t="str">
            <v>LC03</v>
          </cell>
          <cell r="J185">
            <v>3716000</v>
          </cell>
        </row>
        <row r="186">
          <cell r="I186" t="str">
            <v>LC04</v>
          </cell>
          <cell r="J186">
            <v>5292000</v>
          </cell>
        </row>
        <row r="187">
          <cell r="I187" t="str">
            <v>LC05</v>
          </cell>
          <cell r="J187">
            <v>4273500</v>
          </cell>
        </row>
        <row r="188">
          <cell r="I188" t="str">
            <v>LC11</v>
          </cell>
          <cell r="J188">
            <v>4237800</v>
          </cell>
        </row>
        <row r="189">
          <cell r="I189" t="str">
            <v>LC12</v>
          </cell>
          <cell r="J189">
            <v>3182600</v>
          </cell>
        </row>
        <row r="190">
          <cell r="I190" t="str">
            <v>LC06</v>
          </cell>
          <cell r="J190">
            <v>3887100</v>
          </cell>
        </row>
        <row r="191">
          <cell r="I191" t="str">
            <v>LC21</v>
          </cell>
          <cell r="J191">
            <v>3257100</v>
          </cell>
        </row>
        <row r="192">
          <cell r="I192" t="str">
            <v>LC22</v>
          </cell>
          <cell r="J192">
            <v>2519000</v>
          </cell>
        </row>
        <row r="193">
          <cell r="I193" t="str">
            <v>LC23</v>
          </cell>
          <cell r="J193">
            <v>3782100</v>
          </cell>
        </row>
        <row r="194">
          <cell r="I194" t="str">
            <v>LC24</v>
          </cell>
          <cell r="J194">
            <v>3044000</v>
          </cell>
        </row>
        <row r="195">
          <cell r="I195" t="str">
            <v>LC565R</v>
          </cell>
          <cell r="J195">
            <v>750800</v>
          </cell>
        </row>
        <row r="196">
          <cell r="I196" t="str">
            <v>LC065L</v>
          </cell>
          <cell r="J196">
            <v>729800</v>
          </cell>
        </row>
        <row r="197">
          <cell r="I197" t="str">
            <v>LC162R</v>
          </cell>
          <cell r="J197">
            <v>343400</v>
          </cell>
        </row>
        <row r="198">
          <cell r="I198" t="str">
            <v>LC162L</v>
          </cell>
          <cell r="J198">
            <v>343400</v>
          </cell>
        </row>
        <row r="199">
          <cell r="I199" t="str">
            <v>LC6122</v>
          </cell>
          <cell r="J199">
            <v>515600</v>
          </cell>
        </row>
        <row r="200">
          <cell r="I200" t="str">
            <v>LC7064</v>
          </cell>
          <cell r="J200">
            <v>605900</v>
          </cell>
        </row>
        <row r="201">
          <cell r="I201" t="str">
            <v>LC1063S</v>
          </cell>
          <cell r="J201">
            <v>89300</v>
          </cell>
        </row>
        <row r="202">
          <cell r="I202" t="str">
            <v>LB1063G</v>
          </cell>
          <cell r="J202">
            <v>190100</v>
          </cell>
        </row>
        <row r="203">
          <cell r="I203" t="str">
            <v>LC9112</v>
          </cell>
          <cell r="J203">
            <v>179600</v>
          </cell>
        </row>
        <row r="204">
          <cell r="I204" t="str">
            <v>LC9118</v>
          </cell>
          <cell r="J204">
            <v>237300</v>
          </cell>
        </row>
        <row r="205">
          <cell r="I205" t="str">
            <v>LC9124</v>
          </cell>
          <cell r="J205">
            <v>336000</v>
          </cell>
        </row>
        <row r="206">
          <cell r="I206" t="str">
            <v>LC9106T</v>
          </cell>
          <cell r="J206">
            <v>86100</v>
          </cell>
        </row>
        <row r="207">
          <cell r="I207" t="str">
            <v>LC9112T</v>
          </cell>
          <cell r="J207">
            <v>179600</v>
          </cell>
        </row>
        <row r="208">
          <cell r="I208" t="str">
            <v>LC9118T</v>
          </cell>
          <cell r="J208">
            <v>217400</v>
          </cell>
        </row>
        <row r="209">
          <cell r="I209" t="str">
            <v>LC9124T</v>
          </cell>
          <cell r="J209">
            <v>287700</v>
          </cell>
        </row>
        <row r="210">
          <cell r="I210" t="str">
            <v>LC9124N</v>
          </cell>
          <cell r="J210">
            <v>336000</v>
          </cell>
        </row>
        <row r="211">
          <cell r="I211" t="str">
            <v>LZ01</v>
          </cell>
          <cell r="J211">
            <v>2063300</v>
          </cell>
        </row>
        <row r="212">
          <cell r="I212" t="str">
            <v>LZ02</v>
          </cell>
          <cell r="J212">
            <v>2234400</v>
          </cell>
        </row>
        <row r="213">
          <cell r="I213" t="str">
            <v>LZ11</v>
          </cell>
          <cell r="J213">
            <v>1529900</v>
          </cell>
        </row>
        <row r="214">
          <cell r="I214" t="str">
            <v>LR024</v>
          </cell>
          <cell r="J214">
            <v>1932000</v>
          </cell>
        </row>
        <row r="215">
          <cell r="I215" t="str">
            <v>LR012</v>
          </cell>
          <cell r="J215">
            <v>1430100</v>
          </cell>
        </row>
        <row r="216">
          <cell r="I216" t="str">
            <v>LS7001C</v>
          </cell>
          <cell r="J216">
            <v>1045800</v>
          </cell>
        </row>
        <row r="217">
          <cell r="I217" t="str">
            <v>LS7001W</v>
          </cell>
          <cell r="J217">
            <v>1045800</v>
          </cell>
        </row>
        <row r="218">
          <cell r="I218" t="str">
            <v>LS7003C</v>
          </cell>
          <cell r="J218">
            <v>1708400</v>
          </cell>
        </row>
        <row r="219">
          <cell r="I219" t="str">
            <v>LS7003W</v>
          </cell>
          <cell r="J219">
            <v>1708400</v>
          </cell>
        </row>
        <row r="220">
          <cell r="I220" t="str">
            <v>LL016</v>
          </cell>
          <cell r="J220">
            <v>1146600</v>
          </cell>
        </row>
        <row r="221">
          <cell r="I221" t="str">
            <v>LL008</v>
          </cell>
          <cell r="J221">
            <v>1019600</v>
          </cell>
        </row>
        <row r="222">
          <cell r="I222" t="str">
            <v>LL0007</v>
          </cell>
          <cell r="J222">
            <v>393800</v>
          </cell>
        </row>
        <row r="223">
          <cell r="I223" t="str">
            <v>CA0302</v>
          </cell>
          <cell r="J223">
            <v>60900</v>
          </cell>
        </row>
        <row r="224">
          <cell r="I224" t="str">
            <v>CA0301</v>
          </cell>
          <cell r="J224">
            <v>10500</v>
          </cell>
        </row>
        <row r="225">
          <cell r="I225" t="str">
            <v>CA1101</v>
          </cell>
          <cell r="J225">
            <v>10500</v>
          </cell>
        </row>
        <row r="226">
          <cell r="I226" t="str">
            <v>CC1082</v>
          </cell>
          <cell r="J226">
            <v>107100</v>
          </cell>
        </row>
        <row r="227">
          <cell r="I227" t="str">
            <v>CC1083</v>
          </cell>
          <cell r="J227">
            <v>147000</v>
          </cell>
        </row>
        <row r="228">
          <cell r="I228" t="str">
            <v>CC0054</v>
          </cell>
          <cell r="J228">
            <v>108200</v>
          </cell>
        </row>
        <row r="229">
          <cell r="I229" t="str">
            <v>CC0055</v>
          </cell>
          <cell r="J229">
            <v>129200</v>
          </cell>
        </row>
        <row r="230">
          <cell r="I230" t="str">
            <v>CC0084</v>
          </cell>
          <cell r="J230">
            <v>147000</v>
          </cell>
        </row>
        <row r="231">
          <cell r="I231" t="str">
            <v>CC0085</v>
          </cell>
          <cell r="J231">
            <v>164900</v>
          </cell>
        </row>
        <row r="232">
          <cell r="I232" t="str">
            <v>CC0084N</v>
          </cell>
          <cell r="J232">
            <v>113400</v>
          </cell>
        </row>
        <row r="233">
          <cell r="I233" t="str">
            <v>CC0085N</v>
          </cell>
          <cell r="J233">
            <v>129200</v>
          </cell>
        </row>
        <row r="234">
          <cell r="I234" t="str">
            <v>CC5054</v>
          </cell>
          <cell r="J234">
            <v>101900</v>
          </cell>
        </row>
        <row r="235">
          <cell r="I235" t="str">
            <v>CC5055</v>
          </cell>
          <cell r="J235">
            <v>117600</v>
          </cell>
        </row>
        <row r="236">
          <cell r="I236" t="str">
            <v>TB1082</v>
          </cell>
          <cell r="J236">
            <v>69300</v>
          </cell>
        </row>
        <row r="237">
          <cell r="I237" t="str">
            <v>TB1083</v>
          </cell>
          <cell r="J237">
            <v>90300</v>
          </cell>
        </row>
        <row r="238">
          <cell r="I238" t="str">
            <v>TB0082</v>
          </cell>
          <cell r="J238">
            <v>69300</v>
          </cell>
        </row>
        <row r="239">
          <cell r="I239" t="str">
            <v>TB084</v>
          </cell>
          <cell r="J239">
            <v>127100</v>
          </cell>
        </row>
        <row r="240">
          <cell r="I240" t="str">
            <v>TB085</v>
          </cell>
          <cell r="J240">
            <v>152300</v>
          </cell>
        </row>
        <row r="241">
          <cell r="I241" t="str">
            <v>TB0052R</v>
          </cell>
          <cell r="J241">
            <v>50400</v>
          </cell>
        </row>
        <row r="242">
          <cell r="I242" t="str">
            <v>TB0052L</v>
          </cell>
          <cell r="J242">
            <v>50400</v>
          </cell>
        </row>
        <row r="243">
          <cell r="I243" t="str">
            <v>TB0054R</v>
          </cell>
          <cell r="J243">
            <v>90300</v>
          </cell>
        </row>
        <row r="244">
          <cell r="I244" t="str">
            <v>TB0054L</v>
          </cell>
          <cell r="J244">
            <v>90300</v>
          </cell>
        </row>
        <row r="245">
          <cell r="I245" t="str">
            <v>TB0055R</v>
          </cell>
          <cell r="J245">
            <v>102900</v>
          </cell>
        </row>
        <row r="246">
          <cell r="I246" t="str">
            <v>TB0055L</v>
          </cell>
          <cell r="J246">
            <v>102900</v>
          </cell>
        </row>
        <row r="247">
          <cell r="I247" t="str">
            <v>TB0083G</v>
          </cell>
          <cell r="J247">
            <v>76700</v>
          </cell>
        </row>
        <row r="248">
          <cell r="I248" t="str">
            <v>EB1083G</v>
          </cell>
          <cell r="J248">
            <v>72500</v>
          </cell>
        </row>
        <row r="249">
          <cell r="I249" t="str">
            <v>EB1082</v>
          </cell>
          <cell r="J249">
            <v>54600</v>
          </cell>
        </row>
        <row r="250">
          <cell r="I250" t="str">
            <v>EB1083</v>
          </cell>
          <cell r="J250">
            <v>72500</v>
          </cell>
        </row>
        <row r="251">
          <cell r="I251" t="str">
            <v>EB0082</v>
          </cell>
          <cell r="J251">
            <v>54600</v>
          </cell>
        </row>
        <row r="252">
          <cell r="I252" t="str">
            <v>EB084</v>
          </cell>
          <cell r="J252">
            <v>101900</v>
          </cell>
        </row>
        <row r="253">
          <cell r="I253" t="str">
            <v>EB085</v>
          </cell>
          <cell r="J253">
            <v>120800</v>
          </cell>
        </row>
        <row r="254">
          <cell r="I254" t="str">
            <v>EB0052R</v>
          </cell>
          <cell r="J254">
            <v>42000</v>
          </cell>
        </row>
        <row r="255">
          <cell r="I255" t="str">
            <v>EB0052L</v>
          </cell>
          <cell r="J255">
            <v>42000</v>
          </cell>
        </row>
        <row r="256">
          <cell r="I256" t="str">
            <v>EB0054R</v>
          </cell>
          <cell r="J256">
            <v>74600</v>
          </cell>
        </row>
        <row r="257">
          <cell r="I257" t="str">
            <v>EB0054L</v>
          </cell>
          <cell r="J257">
            <v>74600</v>
          </cell>
        </row>
        <row r="258">
          <cell r="I258" t="str">
            <v>EB0055R</v>
          </cell>
          <cell r="J258">
            <v>86100</v>
          </cell>
        </row>
        <row r="259">
          <cell r="I259" t="str">
            <v>EB0055L</v>
          </cell>
          <cell r="J259">
            <v>86100</v>
          </cell>
        </row>
        <row r="260">
          <cell r="I260" t="str">
            <v>EC2052</v>
          </cell>
          <cell r="J260">
            <v>201600</v>
          </cell>
        </row>
        <row r="261">
          <cell r="I261" t="str">
            <v>EC2053</v>
          </cell>
          <cell r="J261">
            <v>269900</v>
          </cell>
        </row>
        <row r="262">
          <cell r="I262" t="str">
            <v>EC2050</v>
          </cell>
          <cell r="J262">
            <v>38900</v>
          </cell>
        </row>
        <row r="263">
          <cell r="I263" t="str">
            <v>TC2042</v>
          </cell>
          <cell r="J263">
            <v>242600</v>
          </cell>
        </row>
        <row r="264">
          <cell r="I264" t="str">
            <v>TC2043</v>
          </cell>
          <cell r="J264">
            <v>327600</v>
          </cell>
        </row>
        <row r="265">
          <cell r="I265" t="str">
            <v>TC2082</v>
          </cell>
          <cell r="J265">
            <v>371700</v>
          </cell>
        </row>
        <row r="266">
          <cell r="I266" t="str">
            <v>TC2083</v>
          </cell>
          <cell r="J266">
            <v>492500</v>
          </cell>
        </row>
        <row r="267">
          <cell r="I267" t="str">
            <v>TC242S</v>
          </cell>
          <cell r="J267">
            <v>253100</v>
          </cell>
        </row>
        <row r="268">
          <cell r="I268" t="str">
            <v>TC242N</v>
          </cell>
          <cell r="J268">
            <v>246800</v>
          </cell>
        </row>
        <row r="269">
          <cell r="I269" t="str">
            <v>CB9054</v>
          </cell>
          <cell r="J269">
            <v>27300</v>
          </cell>
        </row>
        <row r="270">
          <cell r="I270" t="str">
            <v>CB955</v>
          </cell>
          <cell r="J270">
            <v>35700</v>
          </cell>
        </row>
        <row r="271">
          <cell r="I271" t="str">
            <v>CB9084</v>
          </cell>
          <cell r="J271">
            <v>42000</v>
          </cell>
        </row>
        <row r="272">
          <cell r="I272" t="str">
            <v>CB985</v>
          </cell>
          <cell r="J272">
            <v>54600</v>
          </cell>
        </row>
        <row r="273">
          <cell r="I273" t="str">
            <v>XX100</v>
          </cell>
          <cell r="J273">
            <v>459900</v>
          </cell>
        </row>
        <row r="274">
          <cell r="I274" t="str">
            <v>XC100</v>
          </cell>
          <cell r="J274">
            <v>430500</v>
          </cell>
        </row>
        <row r="275">
          <cell r="I275" t="str">
            <v>XC150R</v>
          </cell>
          <cell r="J275">
            <v>279300</v>
          </cell>
        </row>
        <row r="276">
          <cell r="I276" t="str">
            <v>XC150L</v>
          </cell>
          <cell r="J276">
            <v>279300</v>
          </cell>
        </row>
        <row r="277">
          <cell r="I277" t="str">
            <v>CR1007</v>
          </cell>
          <cell r="J277">
            <v>132300</v>
          </cell>
        </row>
        <row r="278">
          <cell r="I278" t="str">
            <v>CR1015</v>
          </cell>
          <cell r="J278">
            <v>183800</v>
          </cell>
        </row>
        <row r="279">
          <cell r="I279" t="str">
            <v>CR1066</v>
          </cell>
          <cell r="J279">
            <v>201600</v>
          </cell>
        </row>
        <row r="280">
          <cell r="I280" t="str">
            <v>CR1107</v>
          </cell>
          <cell r="J280">
            <v>114500</v>
          </cell>
        </row>
        <row r="281">
          <cell r="I281" t="str">
            <v>CR1115</v>
          </cell>
          <cell r="J281">
            <v>150200</v>
          </cell>
        </row>
        <row r="282">
          <cell r="I282" t="str">
            <v>CR1166</v>
          </cell>
          <cell r="J282">
            <v>158600</v>
          </cell>
        </row>
        <row r="283">
          <cell r="I283" t="str">
            <v>CR1206</v>
          </cell>
          <cell r="J283">
            <v>30500</v>
          </cell>
        </row>
        <row r="284">
          <cell r="I284" t="str">
            <v>CR1207</v>
          </cell>
          <cell r="J284">
            <v>33600</v>
          </cell>
        </row>
        <row r="285">
          <cell r="I285" t="str">
            <v>CR1307</v>
          </cell>
          <cell r="J285">
            <v>17900</v>
          </cell>
        </row>
        <row r="286">
          <cell r="I286" t="str">
            <v>CR1315</v>
          </cell>
          <cell r="J286">
            <v>33600</v>
          </cell>
        </row>
        <row r="287">
          <cell r="I287" t="str">
            <v>CR1360</v>
          </cell>
          <cell r="J287">
            <v>17900</v>
          </cell>
        </row>
        <row r="288">
          <cell r="I288" t="str">
            <v>CR1361</v>
          </cell>
          <cell r="J288">
            <v>17900</v>
          </cell>
        </row>
        <row r="289">
          <cell r="I289" t="str">
            <v>CR2008N</v>
          </cell>
          <cell r="J289">
            <v>150200</v>
          </cell>
        </row>
        <row r="290">
          <cell r="I290" t="str">
            <v>CR2016N</v>
          </cell>
          <cell r="J290">
            <v>246800</v>
          </cell>
        </row>
        <row r="291">
          <cell r="I291" t="str">
            <v>CR2590N</v>
          </cell>
          <cell r="J291">
            <v>135500</v>
          </cell>
        </row>
        <row r="292">
          <cell r="I292" t="str">
            <v>CR2000</v>
          </cell>
          <cell r="J292">
            <v>48300</v>
          </cell>
        </row>
        <row r="293">
          <cell r="I293" t="str">
            <v>CR2000S</v>
          </cell>
          <cell r="J293">
            <v>26300</v>
          </cell>
        </row>
        <row r="294">
          <cell r="I294" t="str">
            <v>CR2000E</v>
          </cell>
          <cell r="J294">
            <v>48300</v>
          </cell>
        </row>
        <row r="295">
          <cell r="I295" t="str">
            <v>CR018</v>
          </cell>
          <cell r="J295">
            <v>278300</v>
          </cell>
        </row>
        <row r="296">
          <cell r="I296" t="str">
            <v>CR024</v>
          </cell>
          <cell r="J296">
            <v>354900</v>
          </cell>
        </row>
        <row r="297">
          <cell r="I297" t="str">
            <v>CR3118</v>
          </cell>
          <cell r="J297">
            <v>285600</v>
          </cell>
        </row>
        <row r="298">
          <cell r="I298" t="str">
            <v>CR3218</v>
          </cell>
          <cell r="J298">
            <v>249900</v>
          </cell>
        </row>
        <row r="299">
          <cell r="I299" t="str">
            <v>CR3114N</v>
          </cell>
          <cell r="J299">
            <v>225800</v>
          </cell>
        </row>
        <row r="300">
          <cell r="I300" t="str">
            <v>CR3214N</v>
          </cell>
          <cell r="J300">
            <v>206900</v>
          </cell>
        </row>
        <row r="301">
          <cell r="I301" t="str">
            <v>CR4110</v>
          </cell>
          <cell r="J301">
            <v>107100</v>
          </cell>
        </row>
        <row r="302">
          <cell r="I302" t="str">
            <v>SR009</v>
          </cell>
          <cell r="J302">
            <v>225800</v>
          </cell>
        </row>
        <row r="303">
          <cell r="I303" t="str">
            <v>SR012</v>
          </cell>
          <cell r="J303">
            <v>241500</v>
          </cell>
        </row>
        <row r="304">
          <cell r="I304" t="str">
            <v>SR018</v>
          </cell>
          <cell r="J304">
            <v>303500</v>
          </cell>
        </row>
        <row r="305">
          <cell r="I305" t="str">
            <v>SR024S</v>
          </cell>
          <cell r="J305">
            <v>375900</v>
          </cell>
        </row>
        <row r="306">
          <cell r="I306" t="str">
            <v>SR024</v>
          </cell>
          <cell r="J306">
            <v>375900</v>
          </cell>
        </row>
        <row r="307">
          <cell r="I307" t="str">
            <v>SR032</v>
          </cell>
          <cell r="J307">
            <v>483000</v>
          </cell>
        </row>
        <row r="308">
          <cell r="I308" t="str">
            <v>CR413</v>
          </cell>
          <cell r="J308">
            <v>129200</v>
          </cell>
        </row>
        <row r="309">
          <cell r="I309" t="str">
            <v>CA9900</v>
          </cell>
          <cell r="J309">
            <v>5300</v>
          </cell>
        </row>
        <row r="310">
          <cell r="I310" t="str">
            <v>CA9901</v>
          </cell>
          <cell r="J310">
            <v>4200</v>
          </cell>
        </row>
        <row r="311">
          <cell r="I311" t="str">
            <v>CA0100</v>
          </cell>
          <cell r="J311">
            <v>26300</v>
          </cell>
        </row>
        <row r="312">
          <cell r="I312" t="str">
            <v>CA0401</v>
          </cell>
          <cell r="J312">
            <v>175400</v>
          </cell>
        </row>
        <row r="313">
          <cell r="I313" t="str">
            <v>CA0402</v>
          </cell>
          <cell r="J313">
            <v>194300</v>
          </cell>
        </row>
        <row r="314">
          <cell r="I314" t="str">
            <v>CA0501</v>
          </cell>
          <cell r="J314">
            <v>161700</v>
          </cell>
        </row>
        <row r="315">
          <cell r="I315" t="str">
            <v>CA0601</v>
          </cell>
          <cell r="J315">
            <v>99800</v>
          </cell>
        </row>
        <row r="316">
          <cell r="I316" t="str">
            <v>CA0702</v>
          </cell>
          <cell r="J316">
            <v>24200</v>
          </cell>
        </row>
        <row r="317">
          <cell r="I317" t="str">
            <v>CA0703</v>
          </cell>
          <cell r="J317">
            <v>18900</v>
          </cell>
        </row>
        <row r="318">
          <cell r="I318" t="str">
            <v>CA0801</v>
          </cell>
          <cell r="J318">
            <v>15800</v>
          </cell>
        </row>
        <row r="319">
          <cell r="I319" t="str">
            <v>CA0802</v>
          </cell>
          <cell r="J319">
            <v>142800</v>
          </cell>
        </row>
        <row r="320">
          <cell r="I320" t="str">
            <v>CA0803</v>
          </cell>
          <cell r="J320">
            <v>66200</v>
          </cell>
        </row>
        <row r="321">
          <cell r="I321" t="str">
            <v>CA0901</v>
          </cell>
          <cell r="J321">
            <v>48300</v>
          </cell>
        </row>
        <row r="322">
          <cell r="I322" t="str">
            <v>CA0001</v>
          </cell>
          <cell r="J322">
            <v>62000</v>
          </cell>
        </row>
        <row r="323">
          <cell r="I323" t="str">
            <v>CA0002</v>
          </cell>
          <cell r="J323">
            <v>172200</v>
          </cell>
        </row>
        <row r="324">
          <cell r="I324" t="str">
            <v>CA0110</v>
          </cell>
          <cell r="J324">
            <v>105000</v>
          </cell>
        </row>
        <row r="325">
          <cell r="I325" t="str">
            <v>CA1003</v>
          </cell>
          <cell r="J325">
            <v>44100</v>
          </cell>
        </row>
        <row r="326">
          <cell r="I326" t="str">
            <v>CA1004</v>
          </cell>
          <cell r="J326">
            <v>44100</v>
          </cell>
        </row>
        <row r="327">
          <cell r="I327" t="str">
            <v>CA1005</v>
          </cell>
          <cell r="J327">
            <v>44000</v>
          </cell>
        </row>
        <row r="328">
          <cell r="I328" t="str">
            <v>CA120</v>
          </cell>
          <cell r="J328">
            <v>123900</v>
          </cell>
        </row>
        <row r="329">
          <cell r="I329" t="str">
            <v>CA0120</v>
          </cell>
          <cell r="J329">
            <v>62000</v>
          </cell>
        </row>
        <row r="330">
          <cell r="I330" t="str">
            <v>NF0060</v>
          </cell>
          <cell r="J330">
            <v>110300</v>
          </cell>
        </row>
        <row r="331">
          <cell r="I331" t="str">
            <v>NF0080</v>
          </cell>
          <cell r="J331">
            <v>122900</v>
          </cell>
        </row>
        <row r="332">
          <cell r="I332" t="str">
            <v>NF0100</v>
          </cell>
          <cell r="J332">
            <v>134400</v>
          </cell>
        </row>
        <row r="333">
          <cell r="I333" t="str">
            <v>NF0120</v>
          </cell>
          <cell r="J333">
            <v>144900</v>
          </cell>
        </row>
        <row r="334">
          <cell r="I334" t="str">
            <v>NF0062</v>
          </cell>
          <cell r="J334">
            <v>123900</v>
          </cell>
        </row>
        <row r="335">
          <cell r="I335" t="str">
            <v>NF0082</v>
          </cell>
          <cell r="J335">
            <v>135500</v>
          </cell>
        </row>
        <row r="336">
          <cell r="I336" t="str">
            <v>NF0102</v>
          </cell>
          <cell r="J336">
            <v>147000</v>
          </cell>
        </row>
        <row r="337">
          <cell r="I337" t="str">
            <v>NF0122</v>
          </cell>
          <cell r="J337">
            <v>159600</v>
          </cell>
        </row>
        <row r="338">
          <cell r="I338" t="str">
            <v>NF0065</v>
          </cell>
          <cell r="J338">
            <v>143900</v>
          </cell>
        </row>
        <row r="339">
          <cell r="I339" t="str">
            <v>NF0085</v>
          </cell>
          <cell r="J339">
            <v>161700</v>
          </cell>
        </row>
        <row r="340">
          <cell r="I340" t="str">
            <v>NF0105</v>
          </cell>
          <cell r="J340">
            <v>177500</v>
          </cell>
        </row>
        <row r="341">
          <cell r="I341" t="str">
            <v>NF0125</v>
          </cell>
          <cell r="J341">
            <v>195300</v>
          </cell>
        </row>
        <row r="342">
          <cell r="I342" t="str">
            <v>NF0068</v>
          </cell>
          <cell r="J342">
            <v>170100</v>
          </cell>
        </row>
        <row r="343">
          <cell r="I343" t="str">
            <v>NF0088</v>
          </cell>
          <cell r="J343">
            <v>195300</v>
          </cell>
        </row>
        <row r="344">
          <cell r="I344" t="str">
            <v>NF0108</v>
          </cell>
          <cell r="J344">
            <v>221600</v>
          </cell>
        </row>
        <row r="345">
          <cell r="I345" t="str">
            <v>NF0128</v>
          </cell>
          <cell r="J345">
            <v>245700</v>
          </cell>
        </row>
        <row r="346">
          <cell r="I346" t="str">
            <v>NF1082</v>
          </cell>
          <cell r="J346">
            <v>204800</v>
          </cell>
        </row>
        <row r="347">
          <cell r="I347" t="str">
            <v>NF1102</v>
          </cell>
          <cell r="J347">
            <v>231000</v>
          </cell>
        </row>
        <row r="348">
          <cell r="I348" t="str">
            <v>NF1085</v>
          </cell>
          <cell r="J348">
            <v>234200</v>
          </cell>
        </row>
        <row r="349">
          <cell r="I349" t="str">
            <v>NF1105</v>
          </cell>
          <cell r="J349">
            <v>273000</v>
          </cell>
        </row>
        <row r="350">
          <cell r="I350" t="str">
            <v>NF1088</v>
          </cell>
          <cell r="J350">
            <v>273000</v>
          </cell>
        </row>
        <row r="351">
          <cell r="I351" t="str">
            <v>NF1108</v>
          </cell>
          <cell r="J351">
            <v>321300</v>
          </cell>
        </row>
        <row r="352">
          <cell r="I352" t="str">
            <v>NF2085</v>
          </cell>
          <cell r="J352">
            <v>242600</v>
          </cell>
        </row>
        <row r="353">
          <cell r="I353" t="str">
            <v>NF2105</v>
          </cell>
          <cell r="J353">
            <v>281400</v>
          </cell>
        </row>
        <row r="354">
          <cell r="I354" t="str">
            <v>NF2088</v>
          </cell>
          <cell r="J354">
            <v>281400</v>
          </cell>
        </row>
        <row r="355">
          <cell r="I355" t="str">
            <v>NF2108</v>
          </cell>
          <cell r="J355">
            <v>329700</v>
          </cell>
        </row>
        <row r="356">
          <cell r="I356" t="str">
            <v>NF0060X</v>
          </cell>
          <cell r="J356">
            <v>114500</v>
          </cell>
        </row>
        <row r="357">
          <cell r="I357" t="str">
            <v>NF0080X</v>
          </cell>
          <cell r="J357">
            <v>128100</v>
          </cell>
        </row>
        <row r="358">
          <cell r="I358" t="str">
            <v>NF0100X</v>
          </cell>
          <cell r="J358">
            <v>138600</v>
          </cell>
        </row>
        <row r="359">
          <cell r="I359" t="str">
            <v>NF0120X</v>
          </cell>
          <cell r="J359">
            <v>150200</v>
          </cell>
        </row>
        <row r="360">
          <cell r="I360" t="str">
            <v>NA0001</v>
          </cell>
          <cell r="J360">
            <v>1600</v>
          </cell>
        </row>
        <row r="361">
          <cell r="I361" t="str">
            <v>NA0006</v>
          </cell>
          <cell r="J361">
            <v>11300</v>
          </cell>
        </row>
        <row r="362">
          <cell r="I362" t="str">
            <v>NA0008</v>
          </cell>
          <cell r="J362">
            <v>14500</v>
          </cell>
        </row>
        <row r="363">
          <cell r="I363" t="str">
            <v>NA0010</v>
          </cell>
          <cell r="J363">
            <v>17700</v>
          </cell>
        </row>
        <row r="364">
          <cell r="I364" t="str">
            <v>NA0012</v>
          </cell>
          <cell r="J364">
            <v>21000</v>
          </cell>
        </row>
        <row r="365">
          <cell r="I365" t="str">
            <v>NA0014</v>
          </cell>
          <cell r="J365">
            <v>24300</v>
          </cell>
        </row>
        <row r="366">
          <cell r="I366" t="str">
            <v>NA0016</v>
          </cell>
          <cell r="J366">
            <v>27500</v>
          </cell>
        </row>
        <row r="367">
          <cell r="I367" t="str">
            <v>NA0101</v>
          </cell>
          <cell r="J367">
            <v>14500</v>
          </cell>
        </row>
        <row r="368">
          <cell r="I368" t="str">
            <v>NA0102</v>
          </cell>
          <cell r="J368">
            <v>27500</v>
          </cell>
        </row>
        <row r="369">
          <cell r="I369" t="str">
            <v>NA0103</v>
          </cell>
          <cell r="J369">
            <v>16200</v>
          </cell>
        </row>
        <row r="370">
          <cell r="I370" t="str">
            <v>NA0104</v>
          </cell>
          <cell r="J370">
            <v>50100</v>
          </cell>
        </row>
        <row r="371">
          <cell r="I371" t="str">
            <v>NA0105</v>
          </cell>
          <cell r="J371">
            <v>14500</v>
          </cell>
        </row>
        <row r="372">
          <cell r="I372" t="str">
            <v>NA0106</v>
          </cell>
          <cell r="J372">
            <v>11300</v>
          </cell>
        </row>
        <row r="373">
          <cell r="I373" t="str">
            <v>NA0107</v>
          </cell>
          <cell r="J373">
            <v>11300</v>
          </cell>
        </row>
        <row r="374">
          <cell r="I374" t="str">
            <v>NF8001</v>
          </cell>
          <cell r="J374">
            <v>25700</v>
          </cell>
        </row>
        <row r="375">
          <cell r="I375" t="str">
            <v>NF8002</v>
          </cell>
          <cell r="J375">
            <v>3300</v>
          </cell>
        </row>
        <row r="376">
          <cell r="I376" t="str">
            <v>NF5109</v>
          </cell>
          <cell r="J376">
            <v>14700</v>
          </cell>
        </row>
        <row r="377">
          <cell r="I377" t="str">
            <v>NF5110</v>
          </cell>
          <cell r="J377">
            <v>16300</v>
          </cell>
        </row>
        <row r="378">
          <cell r="I378" t="str">
            <v>NF5112</v>
          </cell>
          <cell r="J378">
            <v>16300</v>
          </cell>
        </row>
        <row r="379">
          <cell r="I379" t="str">
            <v>NF5115</v>
          </cell>
          <cell r="J379">
            <v>21000</v>
          </cell>
        </row>
        <row r="380">
          <cell r="I380" t="str">
            <v>NF5118</v>
          </cell>
          <cell r="J380">
            <v>24200</v>
          </cell>
        </row>
        <row r="381">
          <cell r="I381" t="str">
            <v>NF5209</v>
          </cell>
          <cell r="J381">
            <v>17900</v>
          </cell>
        </row>
        <row r="382">
          <cell r="I382" t="str">
            <v>NF5210</v>
          </cell>
          <cell r="J382">
            <v>21000</v>
          </cell>
        </row>
        <row r="383">
          <cell r="I383" t="str">
            <v>NF5212</v>
          </cell>
          <cell r="J383">
            <v>21000</v>
          </cell>
        </row>
        <row r="384">
          <cell r="I384" t="str">
            <v>NF5215</v>
          </cell>
          <cell r="J384">
            <v>24200</v>
          </cell>
        </row>
        <row r="385">
          <cell r="I385" t="str">
            <v>NF5218</v>
          </cell>
          <cell r="J385">
            <v>27300</v>
          </cell>
        </row>
        <row r="386">
          <cell r="I386" t="str">
            <v>NF5309</v>
          </cell>
          <cell r="J386">
            <v>14700</v>
          </cell>
        </row>
        <row r="387">
          <cell r="I387" t="str">
            <v>NF5310</v>
          </cell>
          <cell r="J387">
            <v>16300</v>
          </cell>
        </row>
        <row r="388">
          <cell r="I388" t="str">
            <v>NF5312</v>
          </cell>
          <cell r="J388">
            <v>16300</v>
          </cell>
        </row>
        <row r="389">
          <cell r="I389" t="str">
            <v>NF5315</v>
          </cell>
          <cell r="J389">
            <v>21000</v>
          </cell>
        </row>
        <row r="390">
          <cell r="I390" t="str">
            <v>NF5318</v>
          </cell>
          <cell r="J390">
            <v>24200</v>
          </cell>
        </row>
        <row r="391">
          <cell r="I391" t="str">
            <v>NF5409</v>
          </cell>
          <cell r="J391">
            <v>14700</v>
          </cell>
        </row>
        <row r="392">
          <cell r="I392" t="str">
            <v>NF5410</v>
          </cell>
          <cell r="J392">
            <v>16300</v>
          </cell>
        </row>
        <row r="393">
          <cell r="I393" t="str">
            <v>NF5412</v>
          </cell>
          <cell r="J393">
            <v>16300</v>
          </cell>
        </row>
        <row r="394">
          <cell r="I394" t="str">
            <v>NF5415</v>
          </cell>
          <cell r="J394">
            <v>21000</v>
          </cell>
        </row>
        <row r="395">
          <cell r="I395" t="str">
            <v>NF5418</v>
          </cell>
          <cell r="J395">
            <v>24200</v>
          </cell>
        </row>
        <row r="396">
          <cell r="I396" t="str">
            <v>NF5500</v>
          </cell>
          <cell r="J396">
            <v>11600</v>
          </cell>
        </row>
        <row r="397">
          <cell r="I397" t="str">
            <v>NF5600</v>
          </cell>
          <cell r="J397">
            <v>11600</v>
          </cell>
        </row>
        <row r="398">
          <cell r="I398" t="str">
            <v>NF6009</v>
          </cell>
          <cell r="J398">
            <v>3200</v>
          </cell>
        </row>
        <row r="399">
          <cell r="I399" t="str">
            <v>NF6010</v>
          </cell>
          <cell r="J399">
            <v>3200</v>
          </cell>
        </row>
        <row r="400">
          <cell r="I400" t="str">
            <v>NF6012</v>
          </cell>
          <cell r="J400">
            <v>3200</v>
          </cell>
        </row>
        <row r="401">
          <cell r="I401" t="str">
            <v>NF6015</v>
          </cell>
          <cell r="J401">
            <v>4700</v>
          </cell>
        </row>
        <row r="402">
          <cell r="I402" t="str">
            <v>NF6018</v>
          </cell>
          <cell r="J402">
            <v>4700</v>
          </cell>
        </row>
        <row r="403">
          <cell r="I403" t="str">
            <v>NF6103</v>
          </cell>
          <cell r="J403">
            <v>1600</v>
          </cell>
        </row>
        <row r="404">
          <cell r="I404" t="str">
            <v>NF6106</v>
          </cell>
          <cell r="J404">
            <v>1600</v>
          </cell>
        </row>
        <row r="405">
          <cell r="I405" t="str">
            <v>NF6109</v>
          </cell>
          <cell r="J405">
            <v>3200</v>
          </cell>
        </row>
        <row r="406">
          <cell r="I406" t="str">
            <v>NF6303</v>
          </cell>
          <cell r="J406">
            <v>9500</v>
          </cell>
        </row>
        <row r="407">
          <cell r="I407" t="str">
            <v>NF6306</v>
          </cell>
          <cell r="J407">
            <v>11600</v>
          </cell>
        </row>
        <row r="408">
          <cell r="I408" t="str">
            <v>NF6309</v>
          </cell>
          <cell r="J408">
            <v>13100</v>
          </cell>
        </row>
        <row r="409">
          <cell r="I409" t="str">
            <v>NF6403</v>
          </cell>
          <cell r="J409">
            <v>9500</v>
          </cell>
        </row>
        <row r="410">
          <cell r="I410" t="str">
            <v>NF6406</v>
          </cell>
          <cell r="J410">
            <v>11600</v>
          </cell>
        </row>
        <row r="411">
          <cell r="I411" t="str">
            <v>NF6409</v>
          </cell>
          <cell r="J411">
            <v>12600</v>
          </cell>
        </row>
        <row r="412">
          <cell r="I412" t="str">
            <v>NT8001</v>
          </cell>
          <cell r="J412">
            <v>17900</v>
          </cell>
        </row>
        <row r="413">
          <cell r="I413" t="str">
            <v>NT0006</v>
          </cell>
          <cell r="J413">
            <v>66200</v>
          </cell>
        </row>
        <row r="414">
          <cell r="I414" t="str">
            <v>NT0008</v>
          </cell>
          <cell r="J414">
            <v>74600</v>
          </cell>
        </row>
        <row r="415">
          <cell r="I415" t="str">
            <v>NT0010</v>
          </cell>
          <cell r="J415">
            <v>87200</v>
          </cell>
        </row>
        <row r="416">
          <cell r="I416" t="str">
            <v>NT0012</v>
          </cell>
          <cell r="J416">
            <v>92400</v>
          </cell>
        </row>
        <row r="417">
          <cell r="I417" t="str">
            <v>NT0016</v>
          </cell>
          <cell r="J417">
            <v>123900</v>
          </cell>
        </row>
        <row r="418">
          <cell r="I418" t="str">
            <v>NT0018</v>
          </cell>
          <cell r="J418">
            <v>140700</v>
          </cell>
        </row>
        <row r="419">
          <cell r="I419" t="str">
            <v>NT0106</v>
          </cell>
          <cell r="J419">
            <v>54600</v>
          </cell>
        </row>
        <row r="420">
          <cell r="I420" t="str">
            <v>NT0108</v>
          </cell>
          <cell r="J420">
            <v>63000</v>
          </cell>
        </row>
        <row r="421">
          <cell r="I421" t="str">
            <v>NT0110</v>
          </cell>
          <cell r="J421">
            <v>72500</v>
          </cell>
        </row>
        <row r="422">
          <cell r="I422" t="str">
            <v>NT0112</v>
          </cell>
          <cell r="J422">
            <v>75600</v>
          </cell>
        </row>
        <row r="423">
          <cell r="I423" t="str">
            <v>NT0116</v>
          </cell>
          <cell r="J423">
            <v>102900</v>
          </cell>
        </row>
        <row r="424">
          <cell r="I424" t="str">
            <v>NT0118</v>
          </cell>
          <cell r="J424">
            <v>116600</v>
          </cell>
        </row>
        <row r="425">
          <cell r="I425" t="str">
            <v>NT0100</v>
          </cell>
          <cell r="J425">
            <v>63000</v>
          </cell>
        </row>
        <row r="426">
          <cell r="I426" t="str">
            <v>NT0000</v>
          </cell>
          <cell r="J426">
            <v>72500</v>
          </cell>
        </row>
        <row r="427">
          <cell r="I427" t="str">
            <v>NT2004</v>
          </cell>
          <cell r="J427">
            <v>39900</v>
          </cell>
        </row>
        <row r="428">
          <cell r="I428" t="str">
            <v>NT2006</v>
          </cell>
          <cell r="J428">
            <v>45200</v>
          </cell>
        </row>
        <row r="429">
          <cell r="I429" t="str">
            <v>NT2008</v>
          </cell>
          <cell r="J429">
            <v>53600</v>
          </cell>
        </row>
        <row r="430">
          <cell r="I430" t="str">
            <v>NT2010</v>
          </cell>
          <cell r="J430">
            <v>63000</v>
          </cell>
        </row>
        <row r="431">
          <cell r="I431" t="str">
            <v>NT2012</v>
          </cell>
          <cell r="J431">
            <v>66200</v>
          </cell>
        </row>
        <row r="432">
          <cell r="I432" t="str">
            <v>NT2014</v>
          </cell>
          <cell r="J432">
            <v>81900</v>
          </cell>
        </row>
        <row r="433">
          <cell r="I433" t="str">
            <v>NT2016</v>
          </cell>
          <cell r="J433">
            <v>92400</v>
          </cell>
        </row>
        <row r="434">
          <cell r="I434" t="str">
            <v>NT2018</v>
          </cell>
          <cell r="J434">
            <v>95600</v>
          </cell>
        </row>
        <row r="435">
          <cell r="I435" t="str">
            <v>NT2122</v>
          </cell>
          <cell r="J435">
            <v>26300</v>
          </cell>
        </row>
        <row r="436">
          <cell r="I436" t="str">
            <v>NT2206</v>
          </cell>
          <cell r="J436">
            <v>53600</v>
          </cell>
        </row>
        <row r="437">
          <cell r="I437" t="str">
            <v>NT2208</v>
          </cell>
          <cell r="J437">
            <v>59900</v>
          </cell>
        </row>
        <row r="438">
          <cell r="I438" t="str">
            <v>NT2210</v>
          </cell>
          <cell r="J438">
            <v>66200</v>
          </cell>
        </row>
        <row r="439">
          <cell r="I439" t="str">
            <v>NT2212</v>
          </cell>
          <cell r="J439">
            <v>75600</v>
          </cell>
        </row>
        <row r="440">
          <cell r="I440" t="str">
            <v>NT2308</v>
          </cell>
          <cell r="J440">
            <v>45200</v>
          </cell>
        </row>
        <row r="441">
          <cell r="I441" t="str">
            <v>NT912</v>
          </cell>
          <cell r="J441">
            <v>84000</v>
          </cell>
        </row>
        <row r="442">
          <cell r="I442" t="str">
            <v>NT916</v>
          </cell>
          <cell r="J442">
            <v>129200</v>
          </cell>
        </row>
        <row r="443">
          <cell r="I443" t="str">
            <v>NT918</v>
          </cell>
          <cell r="J443">
            <v>153300</v>
          </cell>
        </row>
        <row r="444">
          <cell r="I444" t="str">
            <v>NT966</v>
          </cell>
          <cell r="J444">
            <v>112400</v>
          </cell>
        </row>
        <row r="445">
          <cell r="I445" t="str">
            <v>NT988</v>
          </cell>
          <cell r="J445">
            <v>143900</v>
          </cell>
        </row>
        <row r="446">
          <cell r="I446" t="str">
            <v>NT5566</v>
          </cell>
          <cell r="J446">
            <v>119700</v>
          </cell>
        </row>
        <row r="447">
          <cell r="I447" t="str">
            <v>NT5586R</v>
          </cell>
          <cell r="J447">
            <v>137600</v>
          </cell>
        </row>
        <row r="448">
          <cell r="I448" t="str">
            <v>NT5586L</v>
          </cell>
          <cell r="J448">
            <v>137600</v>
          </cell>
        </row>
        <row r="449">
          <cell r="I449" t="str">
            <v>NT5588</v>
          </cell>
          <cell r="J449">
            <v>144900</v>
          </cell>
        </row>
        <row r="450">
          <cell r="I450" t="str">
            <v>NT5806R</v>
          </cell>
          <cell r="J450">
            <v>80900</v>
          </cell>
        </row>
        <row r="451">
          <cell r="I451" t="str">
            <v>NT5806L</v>
          </cell>
          <cell r="J451">
            <v>80900</v>
          </cell>
        </row>
        <row r="452">
          <cell r="I452" t="str">
            <v>NT5266</v>
          </cell>
          <cell r="J452">
            <v>150200</v>
          </cell>
        </row>
        <row r="453">
          <cell r="I453" t="str">
            <v>NT5288</v>
          </cell>
          <cell r="J453">
            <v>155400</v>
          </cell>
        </row>
        <row r="454">
          <cell r="I454" t="str">
            <v>NT3006</v>
          </cell>
          <cell r="J454">
            <v>30500</v>
          </cell>
        </row>
        <row r="455">
          <cell r="I455" t="str">
            <v>NT3008</v>
          </cell>
          <cell r="J455">
            <v>35700</v>
          </cell>
        </row>
        <row r="456">
          <cell r="I456" t="str">
            <v>NT3010</v>
          </cell>
          <cell r="J456">
            <v>39900</v>
          </cell>
        </row>
        <row r="457">
          <cell r="I457" t="str">
            <v>NT3012</v>
          </cell>
          <cell r="J457">
            <v>45200</v>
          </cell>
        </row>
        <row r="458">
          <cell r="I458" t="str">
            <v>NT3306</v>
          </cell>
          <cell r="J458">
            <v>90300</v>
          </cell>
        </row>
        <row r="459">
          <cell r="I459" t="str">
            <v>NT3308</v>
          </cell>
          <cell r="J459">
            <v>99800</v>
          </cell>
        </row>
        <row r="460">
          <cell r="I460" t="str">
            <v>NT3310</v>
          </cell>
          <cell r="J460">
            <v>119700</v>
          </cell>
        </row>
        <row r="461">
          <cell r="I461" t="str">
            <v>NT3312</v>
          </cell>
          <cell r="J461">
            <v>161700</v>
          </cell>
        </row>
        <row r="462">
          <cell r="I462" t="str">
            <v>NA0206</v>
          </cell>
          <cell r="J462">
            <v>6500</v>
          </cell>
        </row>
        <row r="463">
          <cell r="I463" t="str">
            <v>NA0208</v>
          </cell>
          <cell r="J463">
            <v>6500</v>
          </cell>
        </row>
        <row r="464">
          <cell r="I464" t="str">
            <v>NA0210</v>
          </cell>
          <cell r="J464">
            <v>8100</v>
          </cell>
        </row>
        <row r="465">
          <cell r="I465" t="str">
            <v>NA0212</v>
          </cell>
          <cell r="J465">
            <v>8100</v>
          </cell>
        </row>
        <row r="466">
          <cell r="I466" t="str">
            <v>NA0300</v>
          </cell>
          <cell r="J466">
            <v>4800</v>
          </cell>
        </row>
        <row r="467">
          <cell r="I467" t="str">
            <v>NA0400</v>
          </cell>
          <cell r="J467">
            <v>1300</v>
          </cell>
        </row>
        <row r="468">
          <cell r="I468" t="str">
            <v>CH0001</v>
          </cell>
          <cell r="J468">
            <v>39900</v>
          </cell>
        </row>
        <row r="469">
          <cell r="I469" t="str">
            <v>CH0002</v>
          </cell>
          <cell r="J469">
            <v>75600</v>
          </cell>
        </row>
        <row r="470">
          <cell r="I470" t="str">
            <v>CH0003</v>
          </cell>
          <cell r="J470">
            <v>65100</v>
          </cell>
        </row>
        <row r="471">
          <cell r="I471" t="str">
            <v>CH0004</v>
          </cell>
          <cell r="J471">
            <v>80900</v>
          </cell>
        </row>
        <row r="472">
          <cell r="I472" t="str">
            <v>CH0005</v>
          </cell>
          <cell r="J472">
            <v>158600</v>
          </cell>
        </row>
        <row r="473">
          <cell r="I473" t="str">
            <v>CH0005R</v>
          </cell>
          <cell r="J473">
            <v>13700</v>
          </cell>
        </row>
        <row r="474">
          <cell r="I474" t="str">
            <v>CH0005T</v>
          </cell>
          <cell r="J474">
            <v>34700</v>
          </cell>
        </row>
        <row r="475">
          <cell r="I475" t="str">
            <v>CH0007</v>
          </cell>
          <cell r="J475">
            <v>94500</v>
          </cell>
        </row>
        <row r="476">
          <cell r="I476" t="str">
            <v>CH0007천</v>
          </cell>
          <cell r="J476">
            <v>113400</v>
          </cell>
        </row>
        <row r="477">
          <cell r="I477" t="str">
            <v>CH0007B</v>
          </cell>
          <cell r="J477">
            <v>55700</v>
          </cell>
        </row>
        <row r="478">
          <cell r="I478" t="str">
            <v>CH0007B천</v>
          </cell>
          <cell r="J478">
            <v>75600</v>
          </cell>
        </row>
        <row r="479">
          <cell r="I479" t="str">
            <v>CH0007T</v>
          </cell>
          <cell r="J479">
            <v>27300</v>
          </cell>
        </row>
        <row r="480">
          <cell r="I480" t="str">
            <v>CH0007A</v>
          </cell>
          <cell r="J480">
            <v>10700</v>
          </cell>
        </row>
        <row r="481">
          <cell r="I481" t="str">
            <v>CH0007S</v>
          </cell>
          <cell r="J481">
            <v>27300</v>
          </cell>
        </row>
        <row r="482">
          <cell r="I482" t="str">
            <v>CH0007C</v>
          </cell>
          <cell r="J482">
            <v>26800</v>
          </cell>
        </row>
        <row r="483">
          <cell r="I483" t="str">
            <v>CH0007N</v>
          </cell>
          <cell r="J483">
            <v>500</v>
          </cell>
        </row>
        <row r="484">
          <cell r="I484" t="str">
            <v>CH0100</v>
          </cell>
          <cell r="J484">
            <v>602700</v>
          </cell>
        </row>
        <row r="485">
          <cell r="I485" t="str">
            <v>CH0101</v>
          </cell>
          <cell r="J485">
            <v>383300</v>
          </cell>
        </row>
        <row r="486">
          <cell r="I486" t="str">
            <v>CH0111</v>
          </cell>
          <cell r="J486">
            <v>254100</v>
          </cell>
        </row>
        <row r="487">
          <cell r="I487" t="str">
            <v>CH0200</v>
          </cell>
          <cell r="J487">
            <v>326600</v>
          </cell>
        </row>
        <row r="488">
          <cell r="I488" t="str">
            <v>CH0201</v>
          </cell>
          <cell r="J488">
            <v>302400</v>
          </cell>
        </row>
        <row r="489">
          <cell r="I489" t="str">
            <v>CH0211</v>
          </cell>
          <cell r="J489">
            <v>246800</v>
          </cell>
        </row>
        <row r="490">
          <cell r="I490" t="str">
            <v>CH0300</v>
          </cell>
          <cell r="J490">
            <v>153300</v>
          </cell>
        </row>
        <row r="491">
          <cell r="I491" t="str">
            <v>CH0303</v>
          </cell>
          <cell r="J491">
            <v>152300</v>
          </cell>
        </row>
        <row r="492">
          <cell r="I492" t="str">
            <v>CH0301</v>
          </cell>
          <cell r="J492">
            <v>135500</v>
          </cell>
        </row>
        <row r="493">
          <cell r="I493" t="str">
            <v>CH0302</v>
          </cell>
          <cell r="J493">
            <v>117600</v>
          </cell>
        </row>
        <row r="494">
          <cell r="I494" t="str">
            <v>CH0311</v>
          </cell>
          <cell r="J494">
            <v>98700</v>
          </cell>
        </row>
        <row r="495">
          <cell r="I495" t="str">
            <v>CH0300B</v>
          </cell>
          <cell r="J495">
            <v>170100</v>
          </cell>
        </row>
        <row r="496">
          <cell r="I496" t="str">
            <v>CH0301B</v>
          </cell>
          <cell r="J496">
            <v>143900</v>
          </cell>
        </row>
        <row r="497">
          <cell r="I497" t="str">
            <v>CH0311B</v>
          </cell>
          <cell r="J497">
            <v>119700</v>
          </cell>
        </row>
        <row r="498">
          <cell r="I498" t="str">
            <v>CH0332</v>
          </cell>
          <cell r="J498">
            <v>185900</v>
          </cell>
        </row>
        <row r="499">
          <cell r="I499" t="str">
            <v>CH0333</v>
          </cell>
          <cell r="J499">
            <v>257300</v>
          </cell>
        </row>
        <row r="500">
          <cell r="I500" t="str">
            <v>CH0332S</v>
          </cell>
          <cell r="J500">
            <v>210000</v>
          </cell>
        </row>
        <row r="501">
          <cell r="I501" t="str">
            <v>CH0032</v>
          </cell>
          <cell r="J501">
            <v>98100</v>
          </cell>
        </row>
        <row r="502">
          <cell r="I502" t="str">
            <v>CH0033</v>
          </cell>
          <cell r="J502">
            <v>126000</v>
          </cell>
        </row>
        <row r="503">
          <cell r="I503" t="str">
            <v>CH0032S</v>
          </cell>
          <cell r="J503">
            <v>120800</v>
          </cell>
        </row>
        <row r="504">
          <cell r="I504" t="str">
            <v>CH0342</v>
          </cell>
          <cell r="J504">
            <v>120800</v>
          </cell>
        </row>
        <row r="505">
          <cell r="I505" t="str">
            <v>CH0342S</v>
          </cell>
          <cell r="J505">
            <v>147000</v>
          </cell>
        </row>
        <row r="506">
          <cell r="I506" t="str">
            <v>CH0343</v>
          </cell>
          <cell r="J506">
            <v>159600</v>
          </cell>
        </row>
        <row r="507">
          <cell r="I507" t="str">
            <v>CH0401</v>
          </cell>
          <cell r="J507">
            <v>219500</v>
          </cell>
        </row>
        <row r="508">
          <cell r="I508" t="str">
            <v>CH0402</v>
          </cell>
          <cell r="J508">
            <v>189000</v>
          </cell>
        </row>
        <row r="509">
          <cell r="I509" t="str">
            <v>CH0411</v>
          </cell>
          <cell r="J509">
            <v>135500</v>
          </cell>
        </row>
        <row r="510">
          <cell r="I510" t="str">
            <v>CH0491</v>
          </cell>
          <cell r="J510">
            <v>23100</v>
          </cell>
        </row>
        <row r="511">
          <cell r="I511" t="str">
            <v>CH0500</v>
          </cell>
          <cell r="J511">
            <v>170100</v>
          </cell>
        </row>
        <row r="512">
          <cell r="I512" t="str">
            <v>CH0501</v>
          </cell>
          <cell r="J512">
            <v>159600</v>
          </cell>
        </row>
        <row r="513">
          <cell r="I513" t="str">
            <v>CH0502</v>
          </cell>
          <cell r="J513">
            <v>150200</v>
          </cell>
        </row>
        <row r="514">
          <cell r="I514" t="str">
            <v>CH0511</v>
          </cell>
          <cell r="J514">
            <v>107100</v>
          </cell>
        </row>
        <row r="515">
          <cell r="I515" t="str">
            <v>CH0600</v>
          </cell>
          <cell r="J515">
            <v>221600</v>
          </cell>
        </row>
        <row r="516">
          <cell r="I516" t="str">
            <v>CH0601</v>
          </cell>
          <cell r="J516">
            <v>201600</v>
          </cell>
        </row>
        <row r="517">
          <cell r="I517" t="str">
            <v>CH0602</v>
          </cell>
          <cell r="J517">
            <v>177500</v>
          </cell>
        </row>
        <row r="518">
          <cell r="I518" t="str">
            <v>CH0611</v>
          </cell>
          <cell r="J518">
            <v>159600</v>
          </cell>
        </row>
        <row r="519">
          <cell r="I519" t="str">
            <v>CH0701</v>
          </cell>
          <cell r="J519">
            <v>120800</v>
          </cell>
        </row>
        <row r="520">
          <cell r="I520" t="str">
            <v>CH0702</v>
          </cell>
          <cell r="J520">
            <v>102900</v>
          </cell>
        </row>
        <row r="521">
          <cell r="I521" t="str">
            <v>CH0712</v>
          </cell>
          <cell r="J521">
            <v>78800</v>
          </cell>
        </row>
        <row r="522">
          <cell r="I522" t="str">
            <v>CH0801</v>
          </cell>
          <cell r="J522">
            <v>108200</v>
          </cell>
        </row>
        <row r="523">
          <cell r="I523" t="str">
            <v>CH0802</v>
          </cell>
          <cell r="J523">
            <v>90300</v>
          </cell>
        </row>
        <row r="524">
          <cell r="I524" t="str">
            <v>CH0812</v>
          </cell>
          <cell r="J524">
            <v>66200</v>
          </cell>
        </row>
        <row r="525">
          <cell r="I525" t="str">
            <v>CH0900</v>
          </cell>
          <cell r="J525">
            <v>798000</v>
          </cell>
        </row>
        <row r="526">
          <cell r="I526" t="str">
            <v>CH0901</v>
          </cell>
          <cell r="J526">
            <v>707700</v>
          </cell>
        </row>
        <row r="527">
          <cell r="I527" t="str">
            <v>CH0911</v>
          </cell>
          <cell r="J527">
            <v>614300</v>
          </cell>
        </row>
        <row r="528">
          <cell r="I528" t="str">
            <v>CH1000</v>
          </cell>
          <cell r="J528">
            <v>882000</v>
          </cell>
        </row>
        <row r="529">
          <cell r="I529" t="str">
            <v>CH1001</v>
          </cell>
          <cell r="J529">
            <v>764400</v>
          </cell>
        </row>
        <row r="530">
          <cell r="I530" t="str">
            <v>CH9000</v>
          </cell>
          <cell r="J530">
            <v>3011400</v>
          </cell>
        </row>
        <row r="531">
          <cell r="I531" t="str">
            <v>CH9901</v>
          </cell>
          <cell r="J531">
            <v>45200</v>
          </cell>
        </row>
        <row r="532">
          <cell r="I532" t="str">
            <v>CH9903</v>
          </cell>
          <cell r="J532">
            <v>45200</v>
          </cell>
        </row>
        <row r="533">
          <cell r="I533" t="str">
            <v>CH9905</v>
          </cell>
          <cell r="J533">
            <v>66200</v>
          </cell>
        </row>
        <row r="534">
          <cell r="I534" t="str">
            <v>CH0907</v>
          </cell>
          <cell r="J534">
            <v>102900</v>
          </cell>
        </row>
        <row r="535">
          <cell r="I535" t="str">
            <v>CH9917</v>
          </cell>
          <cell r="J535">
            <v>210000</v>
          </cell>
        </row>
        <row r="536">
          <cell r="I536" t="str">
            <v>CS0101</v>
          </cell>
          <cell r="J536">
            <v>219500</v>
          </cell>
        </row>
        <row r="537">
          <cell r="I537" t="str">
            <v>CS0103</v>
          </cell>
          <cell r="J537">
            <v>392700</v>
          </cell>
        </row>
        <row r="538">
          <cell r="I538" t="str">
            <v>CS0301</v>
          </cell>
          <cell r="J538">
            <v>258300</v>
          </cell>
        </row>
        <row r="539">
          <cell r="I539" t="str">
            <v>CS0303</v>
          </cell>
          <cell r="J539">
            <v>449400</v>
          </cell>
        </row>
        <row r="540">
          <cell r="I540" t="str">
            <v>CS401천연</v>
          </cell>
          <cell r="J540">
            <v>407400</v>
          </cell>
        </row>
        <row r="541">
          <cell r="I541" t="str">
            <v>CS401인조</v>
          </cell>
          <cell r="J541">
            <v>300300</v>
          </cell>
        </row>
        <row r="542">
          <cell r="I542" t="str">
            <v>CS0501</v>
          </cell>
          <cell r="J542">
            <v>197400</v>
          </cell>
        </row>
        <row r="543">
          <cell r="I543" t="str">
            <v>CS0503</v>
          </cell>
          <cell r="J543">
            <v>329700</v>
          </cell>
        </row>
        <row r="544">
          <cell r="I544" t="str">
            <v>CS0601</v>
          </cell>
          <cell r="J544">
            <v>246800</v>
          </cell>
        </row>
        <row r="545">
          <cell r="I545" t="str">
            <v>CS0603</v>
          </cell>
          <cell r="J545">
            <v>411600</v>
          </cell>
        </row>
        <row r="546">
          <cell r="I546" t="str">
            <v>CS0701</v>
          </cell>
          <cell r="J546">
            <v>305600</v>
          </cell>
        </row>
        <row r="547">
          <cell r="I547" t="str">
            <v>CS0703</v>
          </cell>
          <cell r="J547">
            <v>483000</v>
          </cell>
        </row>
        <row r="548">
          <cell r="I548" t="str">
            <v>CS0801천연</v>
          </cell>
          <cell r="J548">
            <v>909300</v>
          </cell>
        </row>
        <row r="549">
          <cell r="I549" t="str">
            <v>CS0803천연</v>
          </cell>
          <cell r="J549">
            <v>357000</v>
          </cell>
        </row>
        <row r="550">
          <cell r="I550" t="str">
            <v>CS0801인조</v>
          </cell>
          <cell r="J550">
            <v>1494200</v>
          </cell>
        </row>
        <row r="551">
          <cell r="I551" t="str">
            <v>CS0803인조</v>
          </cell>
          <cell r="J551">
            <v>576500</v>
          </cell>
        </row>
        <row r="552">
          <cell r="I552" t="str">
            <v>CS0901</v>
          </cell>
          <cell r="J552">
            <v>906200</v>
          </cell>
        </row>
        <row r="553">
          <cell r="I553" t="str">
            <v>CS0902</v>
          </cell>
          <cell r="J553">
            <v>1107800</v>
          </cell>
        </row>
        <row r="554">
          <cell r="I554" t="str">
            <v>CS0903</v>
          </cell>
          <cell r="J554">
            <v>1434300</v>
          </cell>
        </row>
        <row r="555">
          <cell r="I555" t="str">
            <v>CS1001</v>
          </cell>
          <cell r="J555">
            <v>945000</v>
          </cell>
        </row>
        <row r="556">
          <cell r="I556" t="str">
            <v>CS1002</v>
          </cell>
          <cell r="J556">
            <v>1211700</v>
          </cell>
        </row>
        <row r="557">
          <cell r="I557" t="str">
            <v>CS1003</v>
          </cell>
          <cell r="J557">
            <v>1530900</v>
          </cell>
        </row>
        <row r="558">
          <cell r="I558" t="str">
            <v>EL0104</v>
          </cell>
          <cell r="J558">
            <v>68300</v>
          </cell>
        </row>
        <row r="559">
          <cell r="I559" t="str">
            <v>EL0112</v>
          </cell>
          <cell r="J559">
            <v>98700</v>
          </cell>
        </row>
        <row r="560">
          <cell r="I560" t="str">
            <v>CL0204</v>
          </cell>
          <cell r="J560">
            <v>90300</v>
          </cell>
        </row>
        <row r="561">
          <cell r="I561" t="str">
            <v>CL0207</v>
          </cell>
          <cell r="J561">
            <v>86100</v>
          </cell>
        </row>
        <row r="562">
          <cell r="I562" t="str">
            <v>CL0212</v>
          </cell>
          <cell r="J562">
            <v>107100</v>
          </cell>
        </row>
        <row r="563">
          <cell r="I563" t="str">
            <v>CL034</v>
          </cell>
          <cell r="J563">
            <v>153300</v>
          </cell>
        </row>
        <row r="564">
          <cell r="I564" t="str">
            <v>CL031</v>
          </cell>
          <cell r="J564">
            <v>183800</v>
          </cell>
        </row>
        <row r="565">
          <cell r="I565" t="str">
            <v>CL046</v>
          </cell>
          <cell r="J565">
            <v>174300</v>
          </cell>
        </row>
        <row r="566">
          <cell r="I566" t="str">
            <v>CL044</v>
          </cell>
          <cell r="J566">
            <v>185900</v>
          </cell>
        </row>
        <row r="567">
          <cell r="I567" t="str">
            <v>CL041</v>
          </cell>
          <cell r="J567">
            <v>243600</v>
          </cell>
        </row>
        <row r="568">
          <cell r="I568" t="str">
            <v>CL056</v>
          </cell>
          <cell r="J568">
            <v>117600</v>
          </cell>
        </row>
        <row r="569">
          <cell r="I569" t="str">
            <v>CL054</v>
          </cell>
          <cell r="J569">
            <v>129200</v>
          </cell>
        </row>
        <row r="570">
          <cell r="I570" t="str">
            <v>CL051</v>
          </cell>
          <cell r="J570">
            <v>185900</v>
          </cell>
        </row>
        <row r="571">
          <cell r="I571" t="str">
            <v>PL0904</v>
          </cell>
          <cell r="J571">
            <v>245700</v>
          </cell>
        </row>
        <row r="572">
          <cell r="I572" t="str">
            <v>PL0908</v>
          </cell>
          <cell r="J572">
            <v>227900</v>
          </cell>
        </row>
        <row r="573">
          <cell r="I573" t="str">
            <v>PL0912</v>
          </cell>
          <cell r="J573">
            <v>261500</v>
          </cell>
        </row>
        <row r="574">
          <cell r="I574" t="str">
            <v>PL0914</v>
          </cell>
          <cell r="J574">
            <v>297200</v>
          </cell>
        </row>
        <row r="575">
          <cell r="I575" t="str">
            <v>AT0106</v>
          </cell>
          <cell r="J575">
            <v>54600</v>
          </cell>
        </row>
        <row r="576">
          <cell r="I576" t="str">
            <v>AT0108</v>
          </cell>
          <cell r="J576">
            <v>63000</v>
          </cell>
        </row>
        <row r="577">
          <cell r="I577" t="str">
            <v>AT0110</v>
          </cell>
          <cell r="J577">
            <v>72500</v>
          </cell>
        </row>
        <row r="578">
          <cell r="I578" t="str">
            <v>AT0112</v>
          </cell>
          <cell r="J578">
            <v>75600</v>
          </cell>
        </row>
        <row r="579">
          <cell r="I579" t="str">
            <v>AT0114</v>
          </cell>
          <cell r="J579">
            <v>87200</v>
          </cell>
        </row>
        <row r="580">
          <cell r="I580" t="str">
            <v>AT0116</v>
          </cell>
          <cell r="J580">
            <v>102900</v>
          </cell>
        </row>
        <row r="581">
          <cell r="I581" t="str">
            <v>AT0118</v>
          </cell>
          <cell r="J581">
            <v>116600</v>
          </cell>
        </row>
        <row r="582">
          <cell r="I582" t="str">
            <v>AT0006</v>
          </cell>
          <cell r="J582">
            <v>66200</v>
          </cell>
        </row>
        <row r="583">
          <cell r="I583" t="str">
            <v>AT0008</v>
          </cell>
          <cell r="J583">
            <v>74600</v>
          </cell>
        </row>
        <row r="584">
          <cell r="I584" t="str">
            <v>AT0010</v>
          </cell>
          <cell r="J584">
            <v>87200</v>
          </cell>
        </row>
        <row r="585">
          <cell r="I585" t="str">
            <v>AT0012</v>
          </cell>
          <cell r="J585">
            <v>92400</v>
          </cell>
        </row>
        <row r="586">
          <cell r="I586" t="str">
            <v>AT0014</v>
          </cell>
          <cell r="J586">
            <v>110300</v>
          </cell>
        </row>
        <row r="587">
          <cell r="I587" t="str">
            <v>AT0016</v>
          </cell>
          <cell r="J587">
            <v>123900</v>
          </cell>
        </row>
        <row r="588">
          <cell r="I588" t="str">
            <v>AT0018</v>
          </cell>
          <cell r="J588">
            <v>140700</v>
          </cell>
        </row>
        <row r="589">
          <cell r="I589" t="str">
            <v>AT0000R</v>
          </cell>
          <cell r="J589">
            <v>56700</v>
          </cell>
        </row>
        <row r="590">
          <cell r="I590" t="str">
            <v>AT0000L</v>
          </cell>
          <cell r="J590">
            <v>56700</v>
          </cell>
        </row>
        <row r="591">
          <cell r="I591" t="str">
            <v>AT0100R</v>
          </cell>
          <cell r="J591">
            <v>45200</v>
          </cell>
        </row>
        <row r="592">
          <cell r="I592" t="str">
            <v>AT0100L</v>
          </cell>
          <cell r="J592">
            <v>45200</v>
          </cell>
        </row>
        <row r="593">
          <cell r="I593" t="str">
            <v>AT5066</v>
          </cell>
          <cell r="J593">
            <v>128100</v>
          </cell>
        </row>
        <row r="594">
          <cell r="I594" t="str">
            <v>AT5086R</v>
          </cell>
          <cell r="J594">
            <v>144900</v>
          </cell>
        </row>
        <row r="595">
          <cell r="I595" t="str">
            <v>AT5086L</v>
          </cell>
          <cell r="J595">
            <v>144900</v>
          </cell>
        </row>
        <row r="596">
          <cell r="I596" t="str">
            <v>AT5088</v>
          </cell>
          <cell r="J596">
            <v>155400</v>
          </cell>
        </row>
        <row r="597">
          <cell r="I597" t="str">
            <v>AT5806R</v>
          </cell>
          <cell r="J597">
            <v>90300</v>
          </cell>
        </row>
        <row r="598">
          <cell r="I598" t="str">
            <v>AT5806L</v>
          </cell>
          <cell r="J598">
            <v>90300</v>
          </cell>
        </row>
        <row r="599">
          <cell r="I599" t="str">
            <v>AT5166</v>
          </cell>
          <cell r="J599">
            <v>110300</v>
          </cell>
        </row>
        <row r="600">
          <cell r="I600" t="str">
            <v>AT5186R</v>
          </cell>
          <cell r="J600">
            <v>128100</v>
          </cell>
        </row>
        <row r="601">
          <cell r="I601" t="str">
            <v>AT5186L</v>
          </cell>
          <cell r="J601">
            <v>128100</v>
          </cell>
        </row>
        <row r="602">
          <cell r="I602" t="str">
            <v>AT5188</v>
          </cell>
          <cell r="J602">
            <v>137600</v>
          </cell>
        </row>
        <row r="603">
          <cell r="I603" t="str">
            <v>AT5266</v>
          </cell>
          <cell r="J603">
            <v>161700</v>
          </cell>
        </row>
        <row r="604">
          <cell r="I604" t="str">
            <v>AT5288</v>
          </cell>
          <cell r="J604">
            <v>164900</v>
          </cell>
        </row>
        <row r="605">
          <cell r="I605" t="str">
            <v>AT912</v>
          </cell>
          <cell r="J605">
            <v>122900</v>
          </cell>
        </row>
        <row r="606">
          <cell r="I606" t="str">
            <v>AT914</v>
          </cell>
          <cell r="J606">
            <v>156500</v>
          </cell>
        </row>
        <row r="607">
          <cell r="I607" t="str">
            <v>AT916</v>
          </cell>
          <cell r="J607">
            <v>162800</v>
          </cell>
        </row>
        <row r="608">
          <cell r="I608" t="str">
            <v>AT918</v>
          </cell>
          <cell r="J608">
            <v>185900</v>
          </cell>
        </row>
        <row r="609">
          <cell r="I609" t="str">
            <v>AT988A</v>
          </cell>
          <cell r="J609">
            <v>176400</v>
          </cell>
        </row>
        <row r="610">
          <cell r="I610" t="str">
            <v>AT966A</v>
          </cell>
          <cell r="J610">
            <v>144900</v>
          </cell>
        </row>
        <row r="611">
          <cell r="I611" t="str">
            <v>AT988B</v>
          </cell>
          <cell r="J611">
            <v>198500</v>
          </cell>
        </row>
        <row r="612">
          <cell r="I612" t="str">
            <v>AT966B</v>
          </cell>
          <cell r="J612">
            <v>186900</v>
          </cell>
        </row>
        <row r="613">
          <cell r="I613" t="str">
            <v>AT914CR</v>
          </cell>
          <cell r="J613">
            <v>183800</v>
          </cell>
        </row>
        <row r="614">
          <cell r="I614" t="str">
            <v>AT914CL</v>
          </cell>
          <cell r="J614">
            <v>183800</v>
          </cell>
        </row>
        <row r="615">
          <cell r="I615" t="str">
            <v>AT916CR</v>
          </cell>
          <cell r="J615">
            <v>195300</v>
          </cell>
        </row>
        <row r="616">
          <cell r="I616" t="str">
            <v>AT916CL</v>
          </cell>
          <cell r="J616">
            <v>195300</v>
          </cell>
        </row>
        <row r="617">
          <cell r="I617" t="str">
            <v>AT966D</v>
          </cell>
          <cell r="J617">
            <v>203700</v>
          </cell>
        </row>
        <row r="618">
          <cell r="I618" t="str">
            <v>AT2004</v>
          </cell>
          <cell r="J618">
            <v>39900</v>
          </cell>
        </row>
        <row r="619">
          <cell r="I619" t="str">
            <v>AT2006</v>
          </cell>
          <cell r="J619">
            <v>45200</v>
          </cell>
        </row>
        <row r="620">
          <cell r="I620" t="str">
            <v>AT2008</v>
          </cell>
          <cell r="J620">
            <v>53600</v>
          </cell>
        </row>
        <row r="621">
          <cell r="I621" t="str">
            <v>AT2010</v>
          </cell>
          <cell r="J621">
            <v>63000</v>
          </cell>
        </row>
        <row r="622">
          <cell r="I622" t="str">
            <v>AT2012</v>
          </cell>
          <cell r="J622">
            <v>66200</v>
          </cell>
        </row>
        <row r="623">
          <cell r="I623" t="str">
            <v>AT2014</v>
          </cell>
          <cell r="J623">
            <v>81900</v>
          </cell>
        </row>
        <row r="624">
          <cell r="I624" t="str">
            <v>AT2016</v>
          </cell>
          <cell r="J624">
            <v>92400</v>
          </cell>
        </row>
        <row r="625">
          <cell r="I625" t="str">
            <v>AT2018</v>
          </cell>
          <cell r="J625">
            <v>95600</v>
          </cell>
        </row>
        <row r="626">
          <cell r="I626" t="str">
            <v>AT2122</v>
          </cell>
          <cell r="J626">
            <v>26300</v>
          </cell>
        </row>
        <row r="627">
          <cell r="I627" t="str">
            <v>AT2206</v>
          </cell>
          <cell r="J627">
            <v>53600</v>
          </cell>
        </row>
        <row r="628">
          <cell r="I628" t="str">
            <v>AT2208</v>
          </cell>
          <cell r="J628">
            <v>59900</v>
          </cell>
        </row>
        <row r="629">
          <cell r="I629" t="str">
            <v>AT2210</v>
          </cell>
          <cell r="J629">
            <v>66200</v>
          </cell>
        </row>
        <row r="630">
          <cell r="I630" t="str">
            <v>AT2212</v>
          </cell>
          <cell r="J630">
            <v>75600</v>
          </cell>
        </row>
        <row r="631">
          <cell r="I631" t="str">
            <v>AT2308</v>
          </cell>
          <cell r="J631">
            <v>45200</v>
          </cell>
        </row>
        <row r="632">
          <cell r="I632" t="str">
            <v>AA0006</v>
          </cell>
          <cell r="J632">
            <v>12600</v>
          </cell>
        </row>
        <row r="633">
          <cell r="I633" t="str">
            <v>AA0007</v>
          </cell>
          <cell r="J633">
            <v>14700</v>
          </cell>
        </row>
        <row r="634">
          <cell r="I634" t="str">
            <v>AA0008</v>
          </cell>
          <cell r="J634">
            <v>16200</v>
          </cell>
        </row>
        <row r="635">
          <cell r="I635" t="str">
            <v>AA0010</v>
          </cell>
          <cell r="J635">
            <v>20000</v>
          </cell>
        </row>
        <row r="636">
          <cell r="I636" t="str">
            <v>AA0012</v>
          </cell>
          <cell r="J636">
            <v>23400</v>
          </cell>
        </row>
        <row r="637">
          <cell r="I637" t="str">
            <v>AA0101</v>
          </cell>
          <cell r="J637">
            <v>5400</v>
          </cell>
        </row>
        <row r="638">
          <cell r="I638" t="str">
            <v>AA0102</v>
          </cell>
          <cell r="J638">
            <v>7600</v>
          </cell>
        </row>
        <row r="639">
          <cell r="I639" t="str">
            <v>AA0103</v>
          </cell>
          <cell r="J639">
            <v>9500</v>
          </cell>
        </row>
        <row r="640">
          <cell r="I640" t="str">
            <v>AA0104</v>
          </cell>
          <cell r="J640">
            <v>4200</v>
          </cell>
        </row>
        <row r="641">
          <cell r="I641" t="str">
            <v>AA0105</v>
          </cell>
          <cell r="J641">
            <v>6600</v>
          </cell>
        </row>
        <row r="642">
          <cell r="I642" t="str">
            <v>AA0106</v>
          </cell>
          <cell r="J642">
            <v>3400</v>
          </cell>
        </row>
        <row r="643">
          <cell r="I643" t="str">
            <v>AA1006</v>
          </cell>
          <cell r="J643">
            <v>9700</v>
          </cell>
        </row>
        <row r="644">
          <cell r="I644" t="str">
            <v>AA1007</v>
          </cell>
          <cell r="J644">
            <v>10800</v>
          </cell>
        </row>
        <row r="645">
          <cell r="I645" t="str">
            <v>AA1008</v>
          </cell>
          <cell r="J645">
            <v>12000</v>
          </cell>
        </row>
        <row r="646">
          <cell r="I646" t="str">
            <v>AA1010</v>
          </cell>
          <cell r="J646">
            <v>14400</v>
          </cell>
        </row>
        <row r="647">
          <cell r="I647" t="str">
            <v>AA1012</v>
          </cell>
          <cell r="J647">
            <v>16800</v>
          </cell>
        </row>
        <row r="648">
          <cell r="I648" t="str">
            <v>AA0901B</v>
          </cell>
          <cell r="J648">
            <v>82200</v>
          </cell>
        </row>
        <row r="649">
          <cell r="I649" t="str">
            <v>AA9901</v>
          </cell>
          <cell r="J649">
            <v>6000</v>
          </cell>
        </row>
        <row r="650">
          <cell r="I650" t="str">
            <v>AA0200</v>
          </cell>
          <cell r="J650">
            <v>1300</v>
          </cell>
        </row>
        <row r="651">
          <cell r="I651" t="str">
            <v>AF060</v>
          </cell>
          <cell r="J651">
            <v>143900</v>
          </cell>
        </row>
        <row r="652">
          <cell r="I652" t="str">
            <v>AF070</v>
          </cell>
          <cell r="J652">
            <v>157500</v>
          </cell>
        </row>
        <row r="653">
          <cell r="I653" t="str">
            <v>AF080</v>
          </cell>
          <cell r="J653">
            <v>167000</v>
          </cell>
        </row>
        <row r="654">
          <cell r="I654" t="str">
            <v>AF100</v>
          </cell>
          <cell r="J654">
            <v>184800</v>
          </cell>
        </row>
        <row r="655">
          <cell r="I655" t="str">
            <v>AF120</v>
          </cell>
          <cell r="J655">
            <v>204800</v>
          </cell>
        </row>
        <row r="656">
          <cell r="I656" t="str">
            <v>AF062</v>
          </cell>
          <cell r="J656">
            <v>170100</v>
          </cell>
        </row>
        <row r="657">
          <cell r="I657" t="str">
            <v>AF072</v>
          </cell>
          <cell r="J657">
            <v>184800</v>
          </cell>
        </row>
        <row r="658">
          <cell r="I658" t="str">
            <v>AF082</v>
          </cell>
          <cell r="J658">
            <v>198500</v>
          </cell>
        </row>
        <row r="659">
          <cell r="I659" t="str">
            <v>AF102</v>
          </cell>
          <cell r="J659">
            <v>220500</v>
          </cell>
        </row>
        <row r="660">
          <cell r="I660" t="str">
            <v>AF122</v>
          </cell>
          <cell r="J660">
            <v>244700</v>
          </cell>
        </row>
        <row r="661">
          <cell r="I661" t="str">
            <v>AF064</v>
          </cell>
          <cell r="J661">
            <v>195300</v>
          </cell>
        </row>
        <row r="662">
          <cell r="I662" t="str">
            <v>AF074</v>
          </cell>
          <cell r="J662">
            <v>214200</v>
          </cell>
        </row>
        <row r="663">
          <cell r="I663" t="str">
            <v>AF084</v>
          </cell>
          <cell r="J663">
            <v>228900</v>
          </cell>
        </row>
        <row r="664">
          <cell r="I664" t="str">
            <v>AF104</v>
          </cell>
          <cell r="J664">
            <v>256200</v>
          </cell>
        </row>
        <row r="665">
          <cell r="I665" t="str">
            <v>AF124</v>
          </cell>
          <cell r="J665">
            <v>285600</v>
          </cell>
        </row>
        <row r="666">
          <cell r="I666" t="str">
            <v>AF066</v>
          </cell>
          <cell r="J666">
            <v>221600</v>
          </cell>
        </row>
        <row r="667">
          <cell r="I667" t="str">
            <v>AF076</v>
          </cell>
          <cell r="J667">
            <v>241500</v>
          </cell>
        </row>
        <row r="668">
          <cell r="I668" t="str">
            <v>AF086</v>
          </cell>
          <cell r="J668">
            <v>260400</v>
          </cell>
        </row>
        <row r="669">
          <cell r="I669" t="str">
            <v>AF106</v>
          </cell>
          <cell r="J669">
            <v>291900</v>
          </cell>
        </row>
        <row r="670">
          <cell r="I670" t="str">
            <v>AF126</v>
          </cell>
          <cell r="J670">
            <v>325500</v>
          </cell>
        </row>
        <row r="671">
          <cell r="I671" t="str">
            <v>AF068</v>
          </cell>
          <cell r="J671">
            <v>246800</v>
          </cell>
        </row>
        <row r="672">
          <cell r="I672" t="str">
            <v>AF078</v>
          </cell>
          <cell r="J672">
            <v>270900</v>
          </cell>
        </row>
        <row r="673">
          <cell r="I673" t="str">
            <v>AF088</v>
          </cell>
          <cell r="J673">
            <v>290900</v>
          </cell>
        </row>
        <row r="674">
          <cell r="I674" t="str">
            <v>AF108</v>
          </cell>
          <cell r="J674">
            <v>327600</v>
          </cell>
        </row>
        <row r="675">
          <cell r="I675" t="str">
            <v>AF128</v>
          </cell>
          <cell r="J675">
            <v>366500</v>
          </cell>
        </row>
        <row r="676">
          <cell r="I676" t="str">
            <v>AF062H</v>
          </cell>
          <cell r="J676">
            <v>179600</v>
          </cell>
        </row>
        <row r="677">
          <cell r="I677" t="str">
            <v>AF072H</v>
          </cell>
          <cell r="J677">
            <v>196400</v>
          </cell>
        </row>
        <row r="678">
          <cell r="I678" t="str">
            <v>AF082H</v>
          </cell>
          <cell r="J678">
            <v>211100</v>
          </cell>
        </row>
        <row r="679">
          <cell r="I679" t="str">
            <v>AF102H</v>
          </cell>
          <cell r="J679">
            <v>236300</v>
          </cell>
        </row>
        <row r="680">
          <cell r="I680" t="str">
            <v>AF122H</v>
          </cell>
          <cell r="J680">
            <v>263600</v>
          </cell>
        </row>
        <row r="681">
          <cell r="I681" t="str">
            <v>AF064H</v>
          </cell>
          <cell r="J681">
            <v>211100</v>
          </cell>
        </row>
        <row r="682">
          <cell r="I682" t="str">
            <v>AF074H</v>
          </cell>
          <cell r="J682">
            <v>232100</v>
          </cell>
        </row>
        <row r="683">
          <cell r="I683" t="str">
            <v>AF084H</v>
          </cell>
          <cell r="J683">
            <v>248900</v>
          </cell>
        </row>
        <row r="684">
          <cell r="I684" t="str">
            <v>AF104H</v>
          </cell>
          <cell r="J684">
            <v>279300</v>
          </cell>
        </row>
        <row r="685">
          <cell r="I685" t="str">
            <v>AF124H</v>
          </cell>
          <cell r="J685">
            <v>315000</v>
          </cell>
        </row>
        <row r="686">
          <cell r="I686" t="str">
            <v>AF066H</v>
          </cell>
          <cell r="J686">
            <v>237300</v>
          </cell>
        </row>
        <row r="687">
          <cell r="I687" t="str">
            <v>AF076H</v>
          </cell>
          <cell r="J687">
            <v>259400</v>
          </cell>
        </row>
        <row r="688">
          <cell r="I688" t="str">
            <v>AF086H</v>
          </cell>
          <cell r="J688">
            <v>280400</v>
          </cell>
        </row>
        <row r="689">
          <cell r="I689" t="str">
            <v>AF106H</v>
          </cell>
          <cell r="J689">
            <v>315000</v>
          </cell>
        </row>
        <row r="690">
          <cell r="I690" t="str">
            <v>AF126H</v>
          </cell>
          <cell r="J690">
            <v>354900</v>
          </cell>
        </row>
        <row r="691">
          <cell r="I691" t="str">
            <v>AF068H</v>
          </cell>
          <cell r="J691">
            <v>262500</v>
          </cell>
        </row>
        <row r="692">
          <cell r="I692" t="str">
            <v>AF078H</v>
          </cell>
          <cell r="J692">
            <v>288800</v>
          </cell>
        </row>
        <row r="693">
          <cell r="I693" t="str">
            <v>AF088H</v>
          </cell>
          <cell r="J693">
            <v>310800</v>
          </cell>
        </row>
        <row r="694">
          <cell r="I694" t="str">
            <v>AF108H</v>
          </cell>
          <cell r="J694">
            <v>350700</v>
          </cell>
        </row>
        <row r="695">
          <cell r="I695" t="str">
            <v>AF128H</v>
          </cell>
          <cell r="J695">
            <v>395900</v>
          </cell>
        </row>
        <row r="696">
          <cell r="I696" t="str">
            <v>AF060G</v>
          </cell>
          <cell r="J696">
            <v>170100</v>
          </cell>
        </row>
        <row r="697">
          <cell r="I697" t="str">
            <v>AF070G</v>
          </cell>
          <cell r="J697">
            <v>183800</v>
          </cell>
        </row>
        <row r="698">
          <cell r="I698" t="str">
            <v>AF080G</v>
          </cell>
          <cell r="J698">
            <v>193200</v>
          </cell>
        </row>
        <row r="699">
          <cell r="I699" t="str">
            <v>AF100G</v>
          </cell>
          <cell r="J699">
            <v>214200</v>
          </cell>
        </row>
        <row r="700">
          <cell r="I700" t="str">
            <v>AF120G</v>
          </cell>
          <cell r="J700">
            <v>237300</v>
          </cell>
        </row>
        <row r="701">
          <cell r="I701" t="str">
            <v>AF062G</v>
          </cell>
          <cell r="J701">
            <v>205800</v>
          </cell>
        </row>
        <row r="702">
          <cell r="I702" t="str">
            <v>AF072G</v>
          </cell>
          <cell r="J702">
            <v>222600</v>
          </cell>
        </row>
        <row r="703">
          <cell r="I703" t="str">
            <v>AF082G</v>
          </cell>
          <cell r="J703">
            <v>237300</v>
          </cell>
        </row>
        <row r="704">
          <cell r="I704" t="str">
            <v>AF102G</v>
          </cell>
          <cell r="J704">
            <v>265700</v>
          </cell>
        </row>
        <row r="705">
          <cell r="I705" t="str">
            <v>AF122G</v>
          </cell>
          <cell r="J705">
            <v>296100</v>
          </cell>
        </row>
        <row r="706">
          <cell r="I706" t="str">
            <v>AF064G</v>
          </cell>
          <cell r="J706">
            <v>237300</v>
          </cell>
        </row>
        <row r="707">
          <cell r="I707" t="str">
            <v>AF074G</v>
          </cell>
          <cell r="J707">
            <v>258300</v>
          </cell>
        </row>
        <row r="708">
          <cell r="I708" t="str">
            <v>AF084G</v>
          </cell>
          <cell r="J708">
            <v>275100</v>
          </cell>
        </row>
        <row r="709">
          <cell r="I709" t="str">
            <v>AF104G</v>
          </cell>
          <cell r="J709">
            <v>308700</v>
          </cell>
        </row>
        <row r="710">
          <cell r="I710" t="str">
            <v>AF124G</v>
          </cell>
          <cell r="J710">
            <v>347600</v>
          </cell>
        </row>
        <row r="711">
          <cell r="I711" t="str">
            <v>AF066G</v>
          </cell>
          <cell r="J711">
            <v>273000</v>
          </cell>
        </row>
        <row r="712">
          <cell r="I712" t="str">
            <v>AF076G</v>
          </cell>
          <cell r="J712">
            <v>297200</v>
          </cell>
        </row>
        <row r="713">
          <cell r="I713" t="str">
            <v>AF086G</v>
          </cell>
          <cell r="J713">
            <v>319200</v>
          </cell>
        </row>
        <row r="714">
          <cell r="I714" t="str">
            <v>AF106G</v>
          </cell>
          <cell r="J714">
            <v>360200</v>
          </cell>
        </row>
        <row r="715">
          <cell r="I715" t="str">
            <v>AF126G</v>
          </cell>
          <cell r="J715">
            <v>406400</v>
          </cell>
        </row>
        <row r="716">
          <cell r="I716" t="str">
            <v>AF068G</v>
          </cell>
          <cell r="J716">
            <v>304500</v>
          </cell>
        </row>
        <row r="717">
          <cell r="I717" t="str">
            <v>AF078G</v>
          </cell>
          <cell r="J717">
            <v>332900</v>
          </cell>
        </row>
        <row r="718">
          <cell r="I718" t="str">
            <v>AF088G</v>
          </cell>
          <cell r="J718">
            <v>357000</v>
          </cell>
        </row>
        <row r="719">
          <cell r="I719" t="str">
            <v>AF108G</v>
          </cell>
          <cell r="J719">
            <v>403200</v>
          </cell>
        </row>
        <row r="720">
          <cell r="I720" t="str">
            <v>AF128G</v>
          </cell>
          <cell r="J720">
            <v>457800</v>
          </cell>
        </row>
        <row r="721">
          <cell r="I721" t="str">
            <v>AF0060</v>
          </cell>
          <cell r="J721">
            <v>74600</v>
          </cell>
        </row>
        <row r="722">
          <cell r="I722" t="str">
            <v>AF0070</v>
          </cell>
          <cell r="J722">
            <v>77700</v>
          </cell>
        </row>
        <row r="723">
          <cell r="I723" t="str">
            <v>AF0080</v>
          </cell>
          <cell r="J723">
            <v>78800</v>
          </cell>
        </row>
        <row r="724">
          <cell r="I724" t="str">
            <v>AF0100</v>
          </cell>
          <cell r="J724">
            <v>84000</v>
          </cell>
        </row>
        <row r="725">
          <cell r="I725" t="str">
            <v>AF0120</v>
          </cell>
          <cell r="J725">
            <v>89300</v>
          </cell>
        </row>
        <row r="726">
          <cell r="I726" t="str">
            <v>AF0062</v>
          </cell>
          <cell r="J726">
            <v>77700</v>
          </cell>
        </row>
        <row r="727">
          <cell r="I727" t="str">
            <v>AF0072</v>
          </cell>
          <cell r="J727">
            <v>80900</v>
          </cell>
        </row>
        <row r="728">
          <cell r="I728" t="str">
            <v>AF0082</v>
          </cell>
          <cell r="J728">
            <v>84000</v>
          </cell>
        </row>
        <row r="729">
          <cell r="I729" t="str">
            <v>AF0102</v>
          </cell>
          <cell r="J729">
            <v>90300</v>
          </cell>
        </row>
        <row r="730">
          <cell r="I730" t="str">
            <v>AF0122</v>
          </cell>
          <cell r="J730">
            <v>96600</v>
          </cell>
        </row>
        <row r="731">
          <cell r="I731" t="str">
            <v>AF0064S</v>
          </cell>
          <cell r="J731">
            <v>18900</v>
          </cell>
        </row>
        <row r="732">
          <cell r="I732" t="str">
            <v>AF0074S</v>
          </cell>
          <cell r="J732">
            <v>21000</v>
          </cell>
        </row>
        <row r="733">
          <cell r="I733" t="str">
            <v>AF0084S</v>
          </cell>
          <cell r="J733">
            <v>23100</v>
          </cell>
        </row>
        <row r="734">
          <cell r="I734" t="str">
            <v>AF0104S</v>
          </cell>
          <cell r="J734">
            <v>26300</v>
          </cell>
        </row>
        <row r="735">
          <cell r="I735" t="str">
            <v>AF0124S</v>
          </cell>
          <cell r="J735">
            <v>29400</v>
          </cell>
        </row>
        <row r="736">
          <cell r="I736" t="str">
            <v>AF5110</v>
          </cell>
          <cell r="J736">
            <v>25800</v>
          </cell>
        </row>
        <row r="737">
          <cell r="I737" t="str">
            <v>AF5112</v>
          </cell>
          <cell r="J737">
            <v>29100</v>
          </cell>
        </row>
        <row r="738">
          <cell r="I738" t="str">
            <v>AF5114</v>
          </cell>
          <cell r="J738">
            <v>32300</v>
          </cell>
        </row>
        <row r="739">
          <cell r="I739" t="str">
            <v>AF5116</v>
          </cell>
          <cell r="J739">
            <v>35500</v>
          </cell>
        </row>
        <row r="740">
          <cell r="I740" t="str">
            <v>AF5118</v>
          </cell>
          <cell r="J740">
            <v>38700</v>
          </cell>
        </row>
        <row r="741">
          <cell r="I741" t="str">
            <v>AF5120</v>
          </cell>
          <cell r="J741">
            <v>42000</v>
          </cell>
        </row>
        <row r="742">
          <cell r="I742" t="str">
            <v>AF5210</v>
          </cell>
          <cell r="J742">
            <v>30700</v>
          </cell>
        </row>
        <row r="743">
          <cell r="I743" t="str">
            <v>AF5212</v>
          </cell>
          <cell r="J743">
            <v>35500</v>
          </cell>
        </row>
        <row r="744">
          <cell r="I744" t="str">
            <v>AF5214</v>
          </cell>
          <cell r="J744">
            <v>40400</v>
          </cell>
        </row>
        <row r="745">
          <cell r="I745" t="str">
            <v>AF5216</v>
          </cell>
          <cell r="J745">
            <v>45300</v>
          </cell>
        </row>
        <row r="746">
          <cell r="I746" t="str">
            <v>AF5218</v>
          </cell>
          <cell r="J746">
            <v>50100</v>
          </cell>
        </row>
        <row r="747">
          <cell r="I747" t="str">
            <v>AF5220</v>
          </cell>
          <cell r="J747">
            <v>54900</v>
          </cell>
        </row>
        <row r="748">
          <cell r="I748" t="str">
            <v>AF5510</v>
          </cell>
          <cell r="J748">
            <v>29100</v>
          </cell>
        </row>
        <row r="749">
          <cell r="I749" t="str">
            <v>AF5512</v>
          </cell>
          <cell r="J749">
            <v>33900</v>
          </cell>
        </row>
        <row r="750">
          <cell r="I750" t="str">
            <v>AF5514</v>
          </cell>
          <cell r="J750">
            <v>38700</v>
          </cell>
        </row>
        <row r="751">
          <cell r="I751" t="str">
            <v>AF5516</v>
          </cell>
          <cell r="J751">
            <v>43600</v>
          </cell>
        </row>
        <row r="752">
          <cell r="I752" t="str">
            <v>AF5518</v>
          </cell>
          <cell r="J752">
            <v>48500</v>
          </cell>
        </row>
        <row r="753">
          <cell r="I753" t="str">
            <v>AF5520</v>
          </cell>
          <cell r="J753">
            <v>53300</v>
          </cell>
        </row>
        <row r="754">
          <cell r="I754" t="str">
            <v>AF5310</v>
          </cell>
          <cell r="J754">
            <v>24300</v>
          </cell>
        </row>
        <row r="755">
          <cell r="I755" t="str">
            <v>AF5312</v>
          </cell>
          <cell r="J755">
            <v>27500</v>
          </cell>
        </row>
        <row r="756">
          <cell r="I756" t="str">
            <v>AF5314</v>
          </cell>
          <cell r="J756">
            <v>30700</v>
          </cell>
        </row>
        <row r="757">
          <cell r="I757" t="str">
            <v>AF5316</v>
          </cell>
          <cell r="J757">
            <v>33900</v>
          </cell>
        </row>
        <row r="758">
          <cell r="I758" t="str">
            <v>AF5318</v>
          </cell>
          <cell r="J758">
            <v>37200</v>
          </cell>
        </row>
        <row r="759">
          <cell r="I759" t="str">
            <v>AF5320</v>
          </cell>
          <cell r="J759">
            <v>40400</v>
          </cell>
        </row>
        <row r="760">
          <cell r="I760" t="str">
            <v>AF5610</v>
          </cell>
          <cell r="J760">
            <v>22600</v>
          </cell>
        </row>
        <row r="761">
          <cell r="I761" t="str">
            <v>AF5612</v>
          </cell>
          <cell r="J761">
            <v>25800</v>
          </cell>
        </row>
        <row r="762">
          <cell r="I762" t="str">
            <v>AF5614</v>
          </cell>
          <cell r="J762">
            <v>29100</v>
          </cell>
        </row>
        <row r="763">
          <cell r="I763" t="str">
            <v>AF5616</v>
          </cell>
          <cell r="J763">
            <v>32300</v>
          </cell>
        </row>
        <row r="764">
          <cell r="I764" t="str">
            <v>AF5618</v>
          </cell>
          <cell r="J764">
            <v>35500</v>
          </cell>
        </row>
        <row r="765">
          <cell r="I765" t="str">
            <v>AF5620</v>
          </cell>
          <cell r="J765">
            <v>38700</v>
          </cell>
        </row>
        <row r="766">
          <cell r="I766" t="str">
            <v>AF6010</v>
          </cell>
          <cell r="J766">
            <v>9700</v>
          </cell>
        </row>
        <row r="767">
          <cell r="I767" t="str">
            <v>AF6012</v>
          </cell>
          <cell r="J767">
            <v>11300</v>
          </cell>
        </row>
        <row r="768">
          <cell r="I768" t="str">
            <v>AF6014</v>
          </cell>
          <cell r="J768">
            <v>12900</v>
          </cell>
        </row>
        <row r="769">
          <cell r="I769" t="str">
            <v>AF6016</v>
          </cell>
          <cell r="J769">
            <v>14500</v>
          </cell>
        </row>
        <row r="770">
          <cell r="I770" t="str">
            <v>AF6018</v>
          </cell>
          <cell r="J770">
            <v>16200</v>
          </cell>
        </row>
        <row r="771">
          <cell r="I771" t="str">
            <v>AF6020</v>
          </cell>
          <cell r="J771">
            <v>17700</v>
          </cell>
        </row>
        <row r="772">
          <cell r="I772" t="str">
            <v>AF6102</v>
          </cell>
          <cell r="J772">
            <v>3300</v>
          </cell>
        </row>
        <row r="773">
          <cell r="I773" t="str">
            <v>AF6104</v>
          </cell>
          <cell r="J773">
            <v>4800</v>
          </cell>
        </row>
        <row r="774">
          <cell r="I774" t="str">
            <v>AF6106</v>
          </cell>
          <cell r="J774">
            <v>6500</v>
          </cell>
        </row>
        <row r="775">
          <cell r="I775" t="str">
            <v>AF6108</v>
          </cell>
          <cell r="J775">
            <v>8100</v>
          </cell>
        </row>
        <row r="776">
          <cell r="I776" t="str">
            <v>AF6102T</v>
          </cell>
          <cell r="J776">
            <v>3300</v>
          </cell>
        </row>
        <row r="777">
          <cell r="I777" t="str">
            <v>AF6104T</v>
          </cell>
          <cell r="J777">
            <v>4800</v>
          </cell>
        </row>
        <row r="778">
          <cell r="I778" t="str">
            <v>AF6106T</v>
          </cell>
          <cell r="J778">
            <v>6500</v>
          </cell>
        </row>
        <row r="779">
          <cell r="I779" t="str">
            <v>AF6108T</v>
          </cell>
          <cell r="J779">
            <v>8100</v>
          </cell>
        </row>
        <row r="780">
          <cell r="I780" t="str">
            <v>AF6202</v>
          </cell>
          <cell r="J780">
            <v>1600</v>
          </cell>
        </row>
        <row r="781">
          <cell r="I781" t="str">
            <v>AF6204</v>
          </cell>
          <cell r="J781">
            <v>3300</v>
          </cell>
        </row>
        <row r="782">
          <cell r="I782" t="str">
            <v>AF6206</v>
          </cell>
          <cell r="J782">
            <v>4800</v>
          </cell>
        </row>
        <row r="783">
          <cell r="I783" t="str">
            <v>AF6208</v>
          </cell>
          <cell r="J783">
            <v>6500</v>
          </cell>
        </row>
        <row r="784">
          <cell r="I784" t="str">
            <v>AF8001</v>
          </cell>
          <cell r="J784">
            <v>38900</v>
          </cell>
        </row>
        <row r="785">
          <cell r="I785" t="str">
            <v>AT8001</v>
          </cell>
          <cell r="J785">
            <v>6300</v>
          </cell>
        </row>
        <row r="786">
          <cell r="I786" t="str">
            <v>AT8002</v>
          </cell>
          <cell r="J786">
            <v>6300</v>
          </cell>
        </row>
        <row r="787">
          <cell r="I787" t="str">
            <v>AT8003</v>
          </cell>
          <cell r="J787">
            <v>3200</v>
          </cell>
        </row>
        <row r="788">
          <cell r="I788" t="str">
            <v>CX0011</v>
          </cell>
          <cell r="J788">
            <v>24200</v>
          </cell>
        </row>
        <row r="789">
          <cell r="I789" t="str">
            <v>CX0012</v>
          </cell>
          <cell r="J789">
            <v>24200</v>
          </cell>
        </row>
        <row r="790">
          <cell r="I790" t="str">
            <v>AT8006</v>
          </cell>
          <cell r="J790">
            <v>8400</v>
          </cell>
        </row>
        <row r="791">
          <cell r="I791" t="str">
            <v>AT8007</v>
          </cell>
          <cell r="J791">
            <v>8400</v>
          </cell>
        </row>
        <row r="792">
          <cell r="I792" t="str">
            <v>AT8008</v>
          </cell>
          <cell r="J792">
            <v>8400</v>
          </cell>
        </row>
        <row r="793">
          <cell r="I793" t="str">
            <v>AT8010</v>
          </cell>
          <cell r="J793">
            <v>10500</v>
          </cell>
        </row>
        <row r="794">
          <cell r="I794" t="str">
            <v>AT8012</v>
          </cell>
          <cell r="J794">
            <v>10500</v>
          </cell>
        </row>
        <row r="795">
          <cell r="I795" t="str">
            <v>AF1062</v>
          </cell>
          <cell r="J795">
            <v>11600</v>
          </cell>
        </row>
        <row r="796">
          <cell r="I796" t="str">
            <v>AF1064</v>
          </cell>
          <cell r="J796">
            <v>16300</v>
          </cell>
        </row>
        <row r="797">
          <cell r="I797" t="str">
            <v>AF1066</v>
          </cell>
          <cell r="J797">
            <v>19400</v>
          </cell>
        </row>
        <row r="798">
          <cell r="I798" t="str">
            <v>AF1072</v>
          </cell>
          <cell r="J798">
            <v>12100</v>
          </cell>
        </row>
        <row r="799">
          <cell r="I799" t="str">
            <v>AF1074</v>
          </cell>
          <cell r="J799">
            <v>17900</v>
          </cell>
        </row>
        <row r="800">
          <cell r="I800" t="str">
            <v>AF1076</v>
          </cell>
          <cell r="J800">
            <v>22600</v>
          </cell>
        </row>
        <row r="801">
          <cell r="I801" t="str">
            <v>AF1082</v>
          </cell>
          <cell r="J801">
            <v>13100</v>
          </cell>
        </row>
        <row r="802">
          <cell r="I802" t="str">
            <v>AF1084</v>
          </cell>
          <cell r="J802">
            <v>19400</v>
          </cell>
        </row>
        <row r="803">
          <cell r="I803" t="str">
            <v>AF1086</v>
          </cell>
          <cell r="J803">
            <v>25700</v>
          </cell>
        </row>
        <row r="804">
          <cell r="I804" t="str">
            <v>AF1102</v>
          </cell>
          <cell r="J804">
            <v>14700</v>
          </cell>
        </row>
        <row r="805">
          <cell r="I805" t="str">
            <v>AF1104</v>
          </cell>
          <cell r="J805">
            <v>22600</v>
          </cell>
        </row>
        <row r="806">
          <cell r="I806" t="str">
            <v>AF1106</v>
          </cell>
          <cell r="J806">
            <v>30500</v>
          </cell>
        </row>
        <row r="807">
          <cell r="I807" t="str">
            <v>AF1122</v>
          </cell>
          <cell r="J807">
            <v>16300</v>
          </cell>
        </row>
        <row r="808">
          <cell r="I808" t="str">
            <v>AF1124</v>
          </cell>
          <cell r="J808">
            <v>25700</v>
          </cell>
        </row>
        <row r="809">
          <cell r="I809" t="str">
            <v>AF1126</v>
          </cell>
          <cell r="J809">
            <v>35700</v>
          </cell>
        </row>
        <row r="810">
          <cell r="I810" t="str">
            <v>AF1062G</v>
          </cell>
          <cell r="J810">
            <v>16300</v>
          </cell>
        </row>
        <row r="811">
          <cell r="I811" t="str">
            <v>AF1064G</v>
          </cell>
          <cell r="J811">
            <v>24200</v>
          </cell>
        </row>
        <row r="812">
          <cell r="I812" t="str">
            <v>AF1066G</v>
          </cell>
          <cell r="J812">
            <v>32600</v>
          </cell>
        </row>
        <row r="813">
          <cell r="I813" t="str">
            <v>AF1072G</v>
          </cell>
          <cell r="J813">
            <v>17900</v>
          </cell>
        </row>
        <row r="814">
          <cell r="I814" t="str">
            <v>AF1074G</v>
          </cell>
          <cell r="J814">
            <v>26800</v>
          </cell>
        </row>
        <row r="815">
          <cell r="I815" t="str">
            <v>AF1076G</v>
          </cell>
          <cell r="J815">
            <v>35700</v>
          </cell>
        </row>
        <row r="816">
          <cell r="I816" t="str">
            <v>AF1082G</v>
          </cell>
          <cell r="J816">
            <v>19400</v>
          </cell>
        </row>
        <row r="817">
          <cell r="I817" t="str">
            <v>AF1084G</v>
          </cell>
          <cell r="J817">
            <v>29400</v>
          </cell>
        </row>
        <row r="818">
          <cell r="I818" t="str">
            <v>AF1086G</v>
          </cell>
          <cell r="J818">
            <v>38900</v>
          </cell>
        </row>
        <row r="819">
          <cell r="I819" t="str">
            <v>AF1102G</v>
          </cell>
          <cell r="J819">
            <v>22600</v>
          </cell>
        </row>
        <row r="820">
          <cell r="I820" t="str">
            <v>AF1104G</v>
          </cell>
          <cell r="J820">
            <v>34100</v>
          </cell>
        </row>
        <row r="821">
          <cell r="I821" t="str">
            <v>AF1106G</v>
          </cell>
          <cell r="J821">
            <v>45200</v>
          </cell>
        </row>
        <row r="822">
          <cell r="I822" t="str">
            <v>AF1122G</v>
          </cell>
          <cell r="J822">
            <v>25700</v>
          </cell>
        </row>
        <row r="823">
          <cell r="I823" t="str">
            <v>AF1124G</v>
          </cell>
          <cell r="J823">
            <v>40400</v>
          </cell>
        </row>
        <row r="824">
          <cell r="I824" t="str">
            <v>AF1126G</v>
          </cell>
          <cell r="J824">
            <v>52000</v>
          </cell>
        </row>
        <row r="825">
          <cell r="I825" t="str">
            <v>AF2062</v>
          </cell>
          <cell r="J825">
            <v>12100</v>
          </cell>
        </row>
        <row r="826">
          <cell r="I826" t="str">
            <v>AF2072</v>
          </cell>
          <cell r="J826">
            <v>13100</v>
          </cell>
        </row>
        <row r="827">
          <cell r="I827" t="str">
            <v>AF2082</v>
          </cell>
          <cell r="J827">
            <v>14200</v>
          </cell>
        </row>
        <row r="828">
          <cell r="I828" t="str">
            <v>AF2102</v>
          </cell>
          <cell r="J828">
            <v>15200</v>
          </cell>
        </row>
        <row r="829">
          <cell r="I829" t="str">
            <v>AF2122</v>
          </cell>
          <cell r="J829">
            <v>16300</v>
          </cell>
        </row>
        <row r="830">
          <cell r="I830" t="str">
            <v>AF3061</v>
          </cell>
          <cell r="J830">
            <v>3200</v>
          </cell>
        </row>
        <row r="831">
          <cell r="I831" t="str">
            <v>AF3071</v>
          </cell>
          <cell r="J831">
            <v>4200</v>
          </cell>
        </row>
        <row r="832">
          <cell r="I832" t="str">
            <v>AF3081</v>
          </cell>
          <cell r="J832">
            <v>4200</v>
          </cell>
        </row>
        <row r="833">
          <cell r="I833" t="str">
            <v>AF3101</v>
          </cell>
          <cell r="J833">
            <v>4700</v>
          </cell>
        </row>
        <row r="834">
          <cell r="I834" t="str">
            <v>AF3121</v>
          </cell>
          <cell r="J834">
            <v>5800</v>
          </cell>
        </row>
        <row r="835">
          <cell r="I835" t="str">
            <v>AF1062A</v>
          </cell>
          <cell r="J835">
            <v>17900</v>
          </cell>
        </row>
        <row r="836">
          <cell r="I836" t="str">
            <v>AF1064A</v>
          </cell>
          <cell r="J836">
            <v>32600</v>
          </cell>
        </row>
        <row r="837">
          <cell r="I837" t="str">
            <v>AF1072A</v>
          </cell>
          <cell r="J837">
            <v>19400</v>
          </cell>
        </row>
        <row r="838">
          <cell r="I838" t="str">
            <v>AF1074A</v>
          </cell>
          <cell r="J838">
            <v>35700</v>
          </cell>
        </row>
        <row r="839">
          <cell r="I839" t="str">
            <v>AF1082A</v>
          </cell>
          <cell r="J839">
            <v>21000</v>
          </cell>
        </row>
        <row r="840">
          <cell r="I840" t="str">
            <v>AF1084A</v>
          </cell>
          <cell r="J840">
            <v>38900</v>
          </cell>
        </row>
        <row r="841">
          <cell r="I841" t="str">
            <v>AF1102A</v>
          </cell>
          <cell r="J841">
            <v>24200</v>
          </cell>
        </row>
        <row r="842">
          <cell r="I842" t="str">
            <v>AF1104A</v>
          </cell>
          <cell r="J842">
            <v>45200</v>
          </cell>
        </row>
        <row r="843">
          <cell r="I843" t="str">
            <v>AF1122A</v>
          </cell>
          <cell r="J843">
            <v>27300</v>
          </cell>
        </row>
        <row r="844">
          <cell r="I844" t="str">
            <v>AF1124A</v>
          </cell>
          <cell r="J844">
            <v>51500</v>
          </cell>
        </row>
        <row r="845">
          <cell r="I845" t="str">
            <v>AF1064B</v>
          </cell>
          <cell r="J845">
            <v>30500</v>
          </cell>
        </row>
        <row r="846">
          <cell r="I846" t="str">
            <v>AF1074B</v>
          </cell>
          <cell r="J846">
            <v>34700</v>
          </cell>
        </row>
        <row r="847">
          <cell r="I847" t="str">
            <v>AF1084B</v>
          </cell>
          <cell r="J847">
            <v>38900</v>
          </cell>
        </row>
        <row r="848">
          <cell r="I848" t="str">
            <v>AF1104B</v>
          </cell>
          <cell r="J848">
            <v>54600</v>
          </cell>
        </row>
        <row r="849">
          <cell r="I849" t="str">
            <v>AF1124B</v>
          </cell>
          <cell r="J849">
            <v>59900</v>
          </cell>
        </row>
        <row r="850">
          <cell r="I850" t="str">
            <v>AT3006</v>
          </cell>
          <cell r="J850">
            <v>66200</v>
          </cell>
        </row>
        <row r="851">
          <cell r="I851" t="str">
            <v>AT3007</v>
          </cell>
          <cell r="J851">
            <v>69300</v>
          </cell>
        </row>
        <row r="852">
          <cell r="I852" t="str">
            <v>AT3008</v>
          </cell>
          <cell r="J852">
            <v>71400</v>
          </cell>
        </row>
        <row r="853">
          <cell r="I853" t="str">
            <v>AT3010</v>
          </cell>
          <cell r="J853">
            <v>77700</v>
          </cell>
        </row>
        <row r="854">
          <cell r="I854" t="str">
            <v>AT3012</v>
          </cell>
          <cell r="J854">
            <v>81900</v>
          </cell>
        </row>
        <row r="855">
          <cell r="I855" t="str">
            <v>AT3406</v>
          </cell>
          <cell r="J855">
            <v>78800</v>
          </cell>
        </row>
        <row r="856">
          <cell r="I856" t="str">
            <v>AT3407</v>
          </cell>
          <cell r="J856">
            <v>81900</v>
          </cell>
        </row>
        <row r="857">
          <cell r="I857" t="str">
            <v>AT3408</v>
          </cell>
          <cell r="J857">
            <v>84000</v>
          </cell>
        </row>
        <row r="858">
          <cell r="I858" t="str">
            <v>AT3410</v>
          </cell>
          <cell r="J858">
            <v>89300</v>
          </cell>
        </row>
        <row r="859">
          <cell r="I859" t="str">
            <v>AT3412</v>
          </cell>
          <cell r="J859">
            <v>93500</v>
          </cell>
        </row>
        <row r="860">
          <cell r="I860" t="str">
            <v>AT3306</v>
          </cell>
          <cell r="J860">
            <v>168000</v>
          </cell>
        </row>
        <row r="861">
          <cell r="I861" t="str">
            <v>AT3307</v>
          </cell>
          <cell r="J861">
            <v>173300</v>
          </cell>
        </row>
        <row r="862">
          <cell r="I862" t="str">
            <v>AT3308</v>
          </cell>
          <cell r="J862">
            <v>177500</v>
          </cell>
        </row>
        <row r="863">
          <cell r="I863" t="str">
            <v>AT3310</v>
          </cell>
          <cell r="J863">
            <v>189000</v>
          </cell>
        </row>
        <row r="864">
          <cell r="I864" t="str">
            <v>AT3312</v>
          </cell>
          <cell r="J864">
            <v>198500</v>
          </cell>
        </row>
        <row r="865">
          <cell r="I865" t="str">
            <v>AF066HB</v>
          </cell>
          <cell r="J865">
            <v>246800</v>
          </cell>
        </row>
        <row r="866">
          <cell r="I866" t="str">
            <v>AF076HB</v>
          </cell>
          <cell r="J866">
            <v>270900</v>
          </cell>
        </row>
        <row r="867">
          <cell r="I867" t="str">
            <v>AF086HB</v>
          </cell>
          <cell r="J867">
            <v>293000</v>
          </cell>
        </row>
        <row r="868">
          <cell r="I868" t="str">
            <v>AF106HB</v>
          </cell>
          <cell r="J868">
            <v>330800</v>
          </cell>
        </row>
        <row r="869">
          <cell r="I869" t="str">
            <v>AF126HB</v>
          </cell>
          <cell r="J869">
            <v>373800</v>
          </cell>
        </row>
        <row r="870">
          <cell r="I870" t="str">
            <v>AF068HB</v>
          </cell>
          <cell r="J870">
            <v>278300</v>
          </cell>
        </row>
        <row r="871">
          <cell r="I871" t="str">
            <v>AF078HB</v>
          </cell>
          <cell r="J871">
            <v>306600</v>
          </cell>
        </row>
        <row r="872">
          <cell r="I872" t="str">
            <v>AF088HB</v>
          </cell>
          <cell r="J872">
            <v>330800</v>
          </cell>
        </row>
        <row r="873">
          <cell r="I873" t="str">
            <v>AF108HB</v>
          </cell>
          <cell r="J873">
            <v>373800</v>
          </cell>
        </row>
        <row r="874">
          <cell r="I874" t="str">
            <v>AF128HB</v>
          </cell>
          <cell r="J874">
            <v>425300</v>
          </cell>
        </row>
        <row r="875">
          <cell r="I875" t="str">
            <v>AF062C</v>
          </cell>
          <cell r="J875">
            <v>176400</v>
          </cell>
        </row>
        <row r="876">
          <cell r="I876" t="str">
            <v>AF072C</v>
          </cell>
          <cell r="J876">
            <v>192200</v>
          </cell>
        </row>
        <row r="877">
          <cell r="I877" t="str">
            <v>AF082C</v>
          </cell>
          <cell r="J877">
            <v>206300</v>
          </cell>
        </row>
        <row r="878">
          <cell r="I878" t="str">
            <v>AF102C</v>
          </cell>
          <cell r="J878">
            <v>230000</v>
          </cell>
        </row>
        <row r="879">
          <cell r="I879" t="str">
            <v>AF122C</v>
          </cell>
          <cell r="J879">
            <v>255700</v>
          </cell>
        </row>
        <row r="880">
          <cell r="I880" t="str">
            <v>AF064S</v>
          </cell>
          <cell r="J880">
            <v>51500</v>
          </cell>
        </row>
        <row r="881">
          <cell r="I881" t="str">
            <v>AF074S</v>
          </cell>
          <cell r="J881">
            <v>56700</v>
          </cell>
        </row>
        <row r="882">
          <cell r="I882" t="str">
            <v>AF084S</v>
          </cell>
          <cell r="J882">
            <v>62000</v>
          </cell>
        </row>
        <row r="883">
          <cell r="I883" t="str">
            <v>AF104S</v>
          </cell>
          <cell r="J883">
            <v>71400</v>
          </cell>
        </row>
        <row r="884">
          <cell r="I884" t="str">
            <v>AF124S</v>
          </cell>
          <cell r="J884">
            <v>80900</v>
          </cell>
        </row>
        <row r="885">
          <cell r="I885" t="str">
            <v>AF064SG</v>
          </cell>
          <cell r="J885">
            <v>67200</v>
          </cell>
        </row>
        <row r="886">
          <cell r="I886" t="str">
            <v>AF074SG</v>
          </cell>
          <cell r="J886">
            <v>74600</v>
          </cell>
        </row>
        <row r="887">
          <cell r="I887" t="str">
            <v>AF084SG</v>
          </cell>
          <cell r="J887">
            <v>81900</v>
          </cell>
        </row>
        <row r="888">
          <cell r="I888" t="str">
            <v>AF104SG</v>
          </cell>
          <cell r="J888">
            <v>94500</v>
          </cell>
        </row>
        <row r="889">
          <cell r="I889" t="str">
            <v>AF124SG</v>
          </cell>
          <cell r="J889">
            <v>110300</v>
          </cell>
        </row>
        <row r="890">
          <cell r="I890" t="str">
            <v>AF064SB</v>
          </cell>
          <cell r="J890">
            <v>79800</v>
          </cell>
        </row>
        <row r="891">
          <cell r="I891" t="str">
            <v>AF074SB</v>
          </cell>
          <cell r="J891">
            <v>90300</v>
          </cell>
        </row>
        <row r="892">
          <cell r="I892" t="str">
            <v>AF084SB</v>
          </cell>
          <cell r="J892">
            <v>100800</v>
          </cell>
        </row>
        <row r="893">
          <cell r="I893" t="str">
            <v>AF104SB</v>
          </cell>
          <cell r="J893">
            <v>135500</v>
          </cell>
        </row>
        <row r="894">
          <cell r="I894" t="str">
            <v>AF124SB</v>
          </cell>
          <cell r="J894">
            <v>149100</v>
          </cell>
        </row>
        <row r="895">
          <cell r="I895" t="str">
            <v>AF064SA</v>
          </cell>
          <cell r="J895">
            <v>84000</v>
          </cell>
        </row>
        <row r="896">
          <cell r="I896" t="str">
            <v>AF074SA</v>
          </cell>
          <cell r="J896">
            <v>92400</v>
          </cell>
        </row>
        <row r="897">
          <cell r="I897" t="str">
            <v>AF084SA</v>
          </cell>
          <cell r="J897">
            <v>100800</v>
          </cell>
        </row>
        <row r="898">
          <cell r="I898" t="str">
            <v>AF104SA</v>
          </cell>
          <cell r="J898">
            <v>116600</v>
          </cell>
        </row>
        <row r="899">
          <cell r="I899" t="str">
            <v>AF124SA</v>
          </cell>
          <cell r="J899">
            <v>132300</v>
          </cell>
        </row>
        <row r="900">
          <cell r="I900" t="str">
            <v>AF064SD</v>
          </cell>
          <cell r="J900">
            <v>65600</v>
          </cell>
        </row>
        <row r="901">
          <cell r="I901" t="str">
            <v>AF074SD</v>
          </cell>
          <cell r="J901">
            <v>73500</v>
          </cell>
        </row>
        <row r="902">
          <cell r="I902" t="str">
            <v>AF084SD</v>
          </cell>
          <cell r="J902">
            <v>81400</v>
          </cell>
        </row>
        <row r="903">
          <cell r="I903" t="str">
            <v>AF104SD</v>
          </cell>
          <cell r="J903">
            <v>103400</v>
          </cell>
        </row>
        <row r="904">
          <cell r="I904" t="str">
            <v>AF124SD</v>
          </cell>
          <cell r="J904">
            <v>115000</v>
          </cell>
        </row>
        <row r="905">
          <cell r="I905" t="str">
            <v>AF064SC</v>
          </cell>
          <cell r="J905">
            <v>67700</v>
          </cell>
        </row>
        <row r="906">
          <cell r="I906" t="str">
            <v>AF074SC</v>
          </cell>
          <cell r="J906">
            <v>74600</v>
          </cell>
        </row>
        <row r="907">
          <cell r="I907" t="str">
            <v>AF084SC</v>
          </cell>
          <cell r="J907">
            <v>81400</v>
          </cell>
        </row>
        <row r="908">
          <cell r="I908" t="str">
            <v>AF104SC</v>
          </cell>
          <cell r="J908">
            <v>94000</v>
          </cell>
        </row>
        <row r="909">
          <cell r="I909" t="str">
            <v>AF124SC</v>
          </cell>
          <cell r="J909">
            <v>106600</v>
          </cell>
        </row>
        <row r="910">
          <cell r="I910" t="str">
            <v>AF064SM</v>
          </cell>
          <cell r="J910">
            <v>81900</v>
          </cell>
        </row>
        <row r="911">
          <cell r="I911" t="str">
            <v>AF074SM</v>
          </cell>
          <cell r="J911">
            <v>91400</v>
          </cell>
        </row>
        <row r="912">
          <cell r="I912" t="str">
            <v>AF084SM</v>
          </cell>
          <cell r="J912">
            <v>100800</v>
          </cell>
        </row>
        <row r="913">
          <cell r="I913" t="str">
            <v>AF104SM</v>
          </cell>
          <cell r="J913">
            <v>126000</v>
          </cell>
        </row>
        <row r="914">
          <cell r="I914" t="str">
            <v>AF124SM</v>
          </cell>
          <cell r="J914">
            <v>140700</v>
          </cell>
        </row>
        <row r="915">
          <cell r="I915" t="str">
            <v>AF062A</v>
          </cell>
          <cell r="J915">
            <v>182700</v>
          </cell>
        </row>
        <row r="916">
          <cell r="I916" t="str">
            <v>AF072A</v>
          </cell>
          <cell r="J916">
            <v>199500</v>
          </cell>
        </row>
        <row r="917">
          <cell r="I917" t="str">
            <v>AF082A</v>
          </cell>
          <cell r="J917">
            <v>214200</v>
          </cell>
        </row>
        <row r="918">
          <cell r="I918" t="str">
            <v>AF102A</v>
          </cell>
          <cell r="J918">
            <v>239400</v>
          </cell>
        </row>
        <row r="919">
          <cell r="I919" t="str">
            <v>AF122A</v>
          </cell>
          <cell r="J919">
            <v>266700</v>
          </cell>
        </row>
        <row r="920">
          <cell r="I920" t="str">
            <v>SD008L</v>
          </cell>
          <cell r="J920">
            <v>177500</v>
          </cell>
        </row>
        <row r="921">
          <cell r="I921" t="str">
            <v>SD008R</v>
          </cell>
          <cell r="J921">
            <v>177500</v>
          </cell>
        </row>
        <row r="922">
          <cell r="I922" t="str">
            <v>SD008</v>
          </cell>
          <cell r="J922">
            <v>177500</v>
          </cell>
        </row>
        <row r="923">
          <cell r="I923" t="str">
            <v>SD012L</v>
          </cell>
          <cell r="J923">
            <v>210000</v>
          </cell>
        </row>
        <row r="924">
          <cell r="I924" t="str">
            <v>SD012R</v>
          </cell>
          <cell r="J924">
            <v>210000</v>
          </cell>
        </row>
        <row r="925">
          <cell r="I925" t="str">
            <v>SD012</v>
          </cell>
          <cell r="J925">
            <v>210000</v>
          </cell>
        </row>
        <row r="926">
          <cell r="I926" t="str">
            <v>SD014L</v>
          </cell>
          <cell r="J926">
            <v>236300</v>
          </cell>
        </row>
        <row r="927">
          <cell r="I927" t="str">
            <v>SD014R</v>
          </cell>
          <cell r="J927">
            <v>236300</v>
          </cell>
        </row>
        <row r="928">
          <cell r="I928" t="str">
            <v>SD014</v>
          </cell>
          <cell r="J928">
            <v>236300</v>
          </cell>
        </row>
        <row r="929">
          <cell r="I929" t="str">
            <v>SD016L</v>
          </cell>
          <cell r="J929">
            <v>254100</v>
          </cell>
        </row>
        <row r="930">
          <cell r="I930" t="str">
            <v>SD016R</v>
          </cell>
          <cell r="J930">
            <v>254100</v>
          </cell>
        </row>
        <row r="931">
          <cell r="I931" t="str">
            <v>SD016</v>
          </cell>
          <cell r="J931">
            <v>254100</v>
          </cell>
        </row>
        <row r="932">
          <cell r="I932" t="str">
            <v>SD316L</v>
          </cell>
          <cell r="J932">
            <v>339200</v>
          </cell>
        </row>
        <row r="933">
          <cell r="I933" t="str">
            <v>SD316R</v>
          </cell>
          <cell r="J933">
            <v>339200</v>
          </cell>
        </row>
        <row r="934">
          <cell r="I934" t="str">
            <v>SD318R</v>
          </cell>
          <cell r="J934">
            <v>356000</v>
          </cell>
        </row>
        <row r="935">
          <cell r="I935" t="str">
            <v>SD318L</v>
          </cell>
          <cell r="J935">
            <v>356000</v>
          </cell>
        </row>
        <row r="936">
          <cell r="I936" t="str">
            <v>SP0202</v>
          </cell>
          <cell r="J936">
            <v>146000</v>
          </cell>
        </row>
        <row r="937">
          <cell r="I937" t="str">
            <v>SP0203</v>
          </cell>
          <cell r="J937">
            <v>161700</v>
          </cell>
        </row>
        <row r="938">
          <cell r="I938" t="str">
            <v>SP0302</v>
          </cell>
          <cell r="J938">
            <v>170100</v>
          </cell>
        </row>
        <row r="939">
          <cell r="I939" t="str">
            <v>SP0303</v>
          </cell>
          <cell r="J939">
            <v>185900</v>
          </cell>
        </row>
        <row r="940">
          <cell r="I940" t="str">
            <v>SP0300</v>
          </cell>
          <cell r="J940">
            <v>53600</v>
          </cell>
        </row>
        <row r="941">
          <cell r="I941" t="str">
            <v>SD507</v>
          </cell>
          <cell r="J941">
            <v>174300</v>
          </cell>
        </row>
        <row r="942">
          <cell r="I942" t="str">
            <v>SD507F</v>
          </cell>
          <cell r="J942">
            <v>298200</v>
          </cell>
        </row>
        <row r="943">
          <cell r="I943" t="str">
            <v>SD517</v>
          </cell>
          <cell r="J943">
            <v>92400</v>
          </cell>
        </row>
        <row r="944">
          <cell r="I944" t="str">
            <v>SD517F</v>
          </cell>
          <cell r="J944">
            <v>217400</v>
          </cell>
        </row>
        <row r="945">
          <cell r="I945" t="str">
            <v>SD547</v>
          </cell>
          <cell r="J945">
            <v>60900</v>
          </cell>
        </row>
        <row r="946">
          <cell r="I946" t="str">
            <v>SD597</v>
          </cell>
          <cell r="J946">
            <v>77700</v>
          </cell>
        </row>
        <row r="947">
          <cell r="I947" t="str">
            <v>SD406L</v>
          </cell>
          <cell r="J947">
            <v>84000</v>
          </cell>
        </row>
        <row r="948">
          <cell r="I948" t="str">
            <v>SD406R</v>
          </cell>
          <cell r="J948">
            <v>84000</v>
          </cell>
        </row>
        <row r="949">
          <cell r="I949" t="str">
            <v>SD912</v>
          </cell>
          <cell r="J949">
            <v>162800</v>
          </cell>
        </row>
        <row r="950">
          <cell r="I950" t="str">
            <v>SD912F</v>
          </cell>
          <cell r="J950">
            <v>199500</v>
          </cell>
        </row>
        <row r="951">
          <cell r="I951" t="str">
            <v>SD955</v>
          </cell>
          <cell r="J951">
            <v>99800</v>
          </cell>
        </row>
        <row r="952">
          <cell r="I952" t="str">
            <v>SD977</v>
          </cell>
          <cell r="J952">
            <v>189000</v>
          </cell>
        </row>
        <row r="953">
          <cell r="I953" t="str">
            <v>SD927L</v>
          </cell>
          <cell r="J953">
            <v>165900</v>
          </cell>
        </row>
        <row r="954">
          <cell r="I954" t="str">
            <v>SD927R</v>
          </cell>
          <cell r="J954">
            <v>165900</v>
          </cell>
        </row>
        <row r="955">
          <cell r="I955" t="str">
            <v>SD990</v>
          </cell>
          <cell r="J955">
            <v>153300</v>
          </cell>
        </row>
        <row r="956">
          <cell r="I956" t="str">
            <v>SF008</v>
          </cell>
          <cell r="J956">
            <v>75600</v>
          </cell>
        </row>
        <row r="957">
          <cell r="I957" t="str">
            <v>SF008BE</v>
          </cell>
          <cell r="J957">
            <v>67200</v>
          </cell>
        </row>
        <row r="958">
          <cell r="I958" t="str">
            <v>SF012</v>
          </cell>
          <cell r="J958">
            <v>94500</v>
          </cell>
        </row>
        <row r="959">
          <cell r="I959" t="str">
            <v>SF012BE</v>
          </cell>
          <cell r="J959">
            <v>84000</v>
          </cell>
        </row>
        <row r="960">
          <cell r="I960" t="str">
            <v>SF014</v>
          </cell>
          <cell r="J960">
            <v>105000</v>
          </cell>
        </row>
        <row r="961">
          <cell r="I961" t="str">
            <v>SF014BE</v>
          </cell>
          <cell r="J961">
            <v>93500</v>
          </cell>
        </row>
        <row r="962">
          <cell r="I962" t="str">
            <v>SF016</v>
          </cell>
          <cell r="J962">
            <v>114500</v>
          </cell>
        </row>
        <row r="963">
          <cell r="I963" t="str">
            <v>SF016BE</v>
          </cell>
          <cell r="J963">
            <v>101900</v>
          </cell>
        </row>
        <row r="964">
          <cell r="I964" t="str">
            <v>SF300</v>
          </cell>
          <cell r="J964">
            <v>34700</v>
          </cell>
        </row>
        <row r="965">
          <cell r="I965" t="str">
            <v>SF300BE</v>
          </cell>
          <cell r="J965">
            <v>29400</v>
          </cell>
        </row>
        <row r="966">
          <cell r="I966" t="str">
            <v>SF912</v>
          </cell>
          <cell r="J966">
            <v>49400</v>
          </cell>
        </row>
        <row r="967">
          <cell r="I967" t="str">
            <v>SF912BE</v>
          </cell>
          <cell r="J967">
            <v>42000</v>
          </cell>
        </row>
        <row r="968">
          <cell r="I968" t="str">
            <v>SF507</v>
          </cell>
          <cell r="J968">
            <v>173300</v>
          </cell>
        </row>
        <row r="969">
          <cell r="I969" t="str">
            <v>SF507BE</v>
          </cell>
          <cell r="J969">
            <v>152300</v>
          </cell>
        </row>
        <row r="970">
          <cell r="I970" t="str">
            <v>SF517</v>
          </cell>
          <cell r="J970">
            <v>135500</v>
          </cell>
        </row>
        <row r="971">
          <cell r="I971" t="str">
            <v>SF517BE</v>
          </cell>
          <cell r="J971">
            <v>118700</v>
          </cell>
        </row>
        <row r="972">
          <cell r="I972" t="str">
            <v>SF316</v>
          </cell>
          <cell r="J972">
            <v>193200</v>
          </cell>
        </row>
        <row r="973">
          <cell r="I973" t="str">
            <v>SF316BE</v>
          </cell>
          <cell r="J973">
            <v>170100</v>
          </cell>
        </row>
        <row r="974">
          <cell r="I974" t="str">
            <v>SF507T</v>
          </cell>
          <cell r="J974">
            <v>260400</v>
          </cell>
        </row>
        <row r="975">
          <cell r="I975" t="str">
            <v>SF507TBE</v>
          </cell>
          <cell r="J975">
            <v>228900</v>
          </cell>
        </row>
        <row r="976">
          <cell r="I976" t="str">
            <v>SC182</v>
          </cell>
          <cell r="J976">
            <v>116600</v>
          </cell>
        </row>
        <row r="977">
          <cell r="I977" t="str">
            <v>SC183</v>
          </cell>
          <cell r="J977">
            <v>149100</v>
          </cell>
        </row>
        <row r="978">
          <cell r="I978" t="str">
            <v>SC1082</v>
          </cell>
          <cell r="J978">
            <v>80900</v>
          </cell>
        </row>
        <row r="979">
          <cell r="I979" t="str">
            <v>SC1083</v>
          </cell>
          <cell r="J979">
            <v>113400</v>
          </cell>
        </row>
        <row r="980">
          <cell r="I980" t="str">
            <v>SC0084</v>
          </cell>
          <cell r="J980">
            <v>144900</v>
          </cell>
        </row>
        <row r="981">
          <cell r="I981" t="str">
            <v>SC0085S</v>
          </cell>
          <cell r="J981">
            <v>153300</v>
          </cell>
        </row>
        <row r="982">
          <cell r="I982" t="str">
            <v>SC0086</v>
          </cell>
          <cell r="J982">
            <v>202700</v>
          </cell>
        </row>
        <row r="983">
          <cell r="I983" t="str">
            <v>SC0054</v>
          </cell>
          <cell r="J983">
            <v>110300</v>
          </cell>
        </row>
        <row r="984">
          <cell r="I984" t="str">
            <v>SC0055S</v>
          </cell>
          <cell r="J984">
            <v>122900</v>
          </cell>
        </row>
        <row r="985">
          <cell r="I985" t="str">
            <v>SC0056</v>
          </cell>
          <cell r="J985">
            <v>170100</v>
          </cell>
        </row>
        <row r="986">
          <cell r="I986" t="str">
            <v>SC5054</v>
          </cell>
          <cell r="J986">
            <v>110300</v>
          </cell>
        </row>
        <row r="987">
          <cell r="I987" t="str">
            <v>SC5055S</v>
          </cell>
          <cell r="J987">
            <v>122900</v>
          </cell>
        </row>
        <row r="988">
          <cell r="I988" t="str">
            <v>SC9108</v>
          </cell>
          <cell r="J988">
            <v>35700</v>
          </cell>
        </row>
        <row r="989">
          <cell r="I989" t="str">
            <v>SC9105</v>
          </cell>
          <cell r="J989">
            <v>26300</v>
          </cell>
        </row>
        <row r="990">
          <cell r="I990" t="str">
            <v>SB1082</v>
          </cell>
          <cell r="J990">
            <v>65100</v>
          </cell>
        </row>
        <row r="991">
          <cell r="I991" t="str">
            <v>SB1083</v>
          </cell>
          <cell r="J991">
            <v>81900</v>
          </cell>
        </row>
        <row r="992">
          <cell r="I992" t="str">
            <v>SB0082</v>
          </cell>
          <cell r="J992">
            <v>65100</v>
          </cell>
        </row>
        <row r="993">
          <cell r="I993" t="str">
            <v>SB0084</v>
          </cell>
          <cell r="J993">
            <v>108200</v>
          </cell>
        </row>
        <row r="994">
          <cell r="I994" t="str">
            <v>SB0085S</v>
          </cell>
          <cell r="J994">
            <v>120800</v>
          </cell>
        </row>
        <row r="995">
          <cell r="I995" t="str">
            <v>SB0086</v>
          </cell>
          <cell r="J995">
            <v>143900</v>
          </cell>
        </row>
        <row r="996">
          <cell r="I996" t="str">
            <v>SB0083SG</v>
          </cell>
          <cell r="J996">
            <v>85100</v>
          </cell>
        </row>
        <row r="997">
          <cell r="I997" t="str">
            <v>SB052L</v>
          </cell>
          <cell r="J997">
            <v>45200</v>
          </cell>
        </row>
        <row r="998">
          <cell r="I998" t="str">
            <v>SB052R</v>
          </cell>
          <cell r="J998">
            <v>45200</v>
          </cell>
        </row>
        <row r="999">
          <cell r="I999" t="str">
            <v>SB054L</v>
          </cell>
          <cell r="J999">
            <v>74600</v>
          </cell>
        </row>
        <row r="1000">
          <cell r="I1000" t="str">
            <v>SB054R</v>
          </cell>
          <cell r="J1000">
            <v>74600</v>
          </cell>
        </row>
        <row r="1001">
          <cell r="I1001" t="str">
            <v>SB055SL</v>
          </cell>
          <cell r="J1001">
            <v>80900</v>
          </cell>
        </row>
        <row r="1002">
          <cell r="I1002" t="str">
            <v>SB055SR</v>
          </cell>
          <cell r="J1002">
            <v>80900</v>
          </cell>
        </row>
        <row r="1003">
          <cell r="I1003" t="str">
            <v>SB056L</v>
          </cell>
          <cell r="J1003">
            <v>107100</v>
          </cell>
        </row>
        <row r="1004">
          <cell r="I1004" t="str">
            <v>SB056R</v>
          </cell>
          <cell r="J1004">
            <v>107100</v>
          </cell>
        </row>
        <row r="1005">
          <cell r="I1005" t="str">
            <v>SB9082</v>
          </cell>
          <cell r="J1005">
            <v>39900</v>
          </cell>
        </row>
        <row r="1006">
          <cell r="I1006" t="str">
            <v>SB9082BE</v>
          </cell>
          <cell r="J1006">
            <v>25800</v>
          </cell>
        </row>
        <row r="1007">
          <cell r="I1007" t="str">
            <v>SB9083</v>
          </cell>
          <cell r="J1007">
            <v>59900</v>
          </cell>
        </row>
        <row r="1008">
          <cell r="I1008" t="str">
            <v>SB9083BE</v>
          </cell>
          <cell r="J1008">
            <v>38900</v>
          </cell>
        </row>
        <row r="1009">
          <cell r="I1009" t="str">
            <v>SB9084</v>
          </cell>
          <cell r="J1009">
            <v>80900</v>
          </cell>
        </row>
        <row r="1010">
          <cell r="I1010" t="str">
            <v>SB9084BE</v>
          </cell>
          <cell r="J1010">
            <v>53600</v>
          </cell>
        </row>
        <row r="1011">
          <cell r="I1011" t="str">
            <v>SB9085S</v>
          </cell>
          <cell r="J1011">
            <v>93500</v>
          </cell>
        </row>
        <row r="1012">
          <cell r="I1012" t="str">
            <v>SB9055SBE</v>
          </cell>
          <cell r="J1012">
            <v>63000</v>
          </cell>
        </row>
        <row r="1013">
          <cell r="I1013" t="str">
            <v>SB9054</v>
          </cell>
          <cell r="J1013">
            <v>45200</v>
          </cell>
        </row>
        <row r="1014">
          <cell r="I1014" t="str">
            <v>SB9054BE</v>
          </cell>
          <cell r="J1014">
            <v>32600</v>
          </cell>
        </row>
        <row r="1015">
          <cell r="I1015" t="str">
            <v>SB9055S</v>
          </cell>
          <cell r="J1015">
            <v>57800</v>
          </cell>
        </row>
        <row r="1016">
          <cell r="I1016" t="str">
            <v>SB9055SBE</v>
          </cell>
          <cell r="J1016">
            <v>38900</v>
          </cell>
        </row>
        <row r="1017">
          <cell r="I1017" t="str">
            <v>SC981F</v>
          </cell>
          <cell r="J1017">
            <v>93000</v>
          </cell>
        </row>
        <row r="1018">
          <cell r="I1018" t="str">
            <v>SC981C</v>
          </cell>
          <cell r="J1018">
            <v>73000</v>
          </cell>
        </row>
        <row r="1019">
          <cell r="I1019" t="str">
            <v>SC982F</v>
          </cell>
          <cell r="J1019">
            <v>137000</v>
          </cell>
        </row>
        <row r="1020">
          <cell r="I1020" t="str">
            <v>SC982C</v>
          </cell>
          <cell r="J1020">
            <v>108000</v>
          </cell>
        </row>
        <row r="1021">
          <cell r="I1021" t="str">
            <v>SC951F</v>
          </cell>
          <cell r="J1021">
            <v>77000</v>
          </cell>
        </row>
        <row r="1022">
          <cell r="I1022" t="str">
            <v>SC951C</v>
          </cell>
          <cell r="J1022">
            <v>57000</v>
          </cell>
        </row>
        <row r="1023">
          <cell r="I1023" t="str">
            <v>SC952F</v>
          </cell>
          <cell r="J1023">
            <v>113000</v>
          </cell>
        </row>
        <row r="1024">
          <cell r="I1024" t="str">
            <v>SC952C</v>
          </cell>
          <cell r="J1024">
            <v>84000</v>
          </cell>
        </row>
        <row r="1025">
          <cell r="I1025" t="str">
            <v>SC9350</v>
          </cell>
          <cell r="J1025">
            <v>18000</v>
          </cell>
        </row>
        <row r="1026">
          <cell r="I1026" t="str">
            <v>SC9380</v>
          </cell>
          <cell r="J1026">
            <v>26000</v>
          </cell>
        </row>
        <row r="1027">
          <cell r="I1027" t="str">
            <v>SF517T</v>
          </cell>
          <cell r="J1027">
            <v>203700</v>
          </cell>
        </row>
        <row r="1028">
          <cell r="I1028" t="str">
            <v>SF517TBE</v>
          </cell>
          <cell r="J1028">
            <v>178500</v>
          </cell>
        </row>
        <row r="1029">
          <cell r="I1029" t="str">
            <v>SF316TA</v>
          </cell>
          <cell r="J1029">
            <v>300300</v>
          </cell>
        </row>
        <row r="1030">
          <cell r="I1030" t="str">
            <v>SF316TABE</v>
          </cell>
          <cell r="J1030">
            <v>264600</v>
          </cell>
        </row>
        <row r="1031">
          <cell r="I1031" t="str">
            <v>SF316TB</v>
          </cell>
          <cell r="J1031">
            <v>280400</v>
          </cell>
        </row>
        <row r="1032">
          <cell r="I1032" t="str">
            <v>SF316TBBE</v>
          </cell>
          <cell r="J1032">
            <v>246800</v>
          </cell>
        </row>
        <row r="1033">
          <cell r="I1033" t="str">
            <v>SC282</v>
          </cell>
          <cell r="J1033">
            <v>362300</v>
          </cell>
        </row>
        <row r="1034">
          <cell r="I1034" t="str">
            <v>SC283</v>
          </cell>
          <cell r="J1034">
            <v>485100</v>
          </cell>
        </row>
        <row r="1035">
          <cell r="I1035" t="str">
            <v>SC2082</v>
          </cell>
          <cell r="J1035">
            <v>326600</v>
          </cell>
        </row>
        <row r="1036">
          <cell r="I1036" t="str">
            <v>SC2083</v>
          </cell>
          <cell r="J1036">
            <v>449400</v>
          </cell>
        </row>
        <row r="1037">
          <cell r="I1037" t="str">
            <v>SC162</v>
          </cell>
          <cell r="J1037">
            <v>114500</v>
          </cell>
        </row>
        <row r="1038">
          <cell r="I1038" t="str">
            <v>SC662L</v>
          </cell>
          <cell r="J1038">
            <v>236300</v>
          </cell>
        </row>
        <row r="1039">
          <cell r="I1039" t="str">
            <v>SC662R</v>
          </cell>
          <cell r="J1039">
            <v>236300</v>
          </cell>
        </row>
        <row r="1040">
          <cell r="I1040" t="str">
            <v>SC764</v>
          </cell>
          <cell r="J1040">
            <v>239400</v>
          </cell>
        </row>
        <row r="1041">
          <cell r="I1041" t="str">
            <v>SA0101</v>
          </cell>
          <cell r="J1041">
            <v>4800</v>
          </cell>
        </row>
        <row r="1042">
          <cell r="I1042" t="str">
            <v>SA0102</v>
          </cell>
          <cell r="J1042">
            <v>4800</v>
          </cell>
        </row>
        <row r="1043">
          <cell r="I1043" t="str">
            <v>SA0103</v>
          </cell>
          <cell r="J1043">
            <v>4800</v>
          </cell>
        </row>
        <row r="1044">
          <cell r="I1044" t="str">
            <v>SA0104</v>
          </cell>
          <cell r="J1044">
            <v>9700</v>
          </cell>
        </row>
        <row r="1045">
          <cell r="I1045" t="str">
            <v>SA1012</v>
          </cell>
          <cell r="J1045">
            <v>60900</v>
          </cell>
        </row>
        <row r="1046">
          <cell r="I1046" t="str">
            <v>SA1014</v>
          </cell>
          <cell r="J1046">
            <v>68300</v>
          </cell>
        </row>
        <row r="1047">
          <cell r="I1047" t="str">
            <v>SA0201</v>
          </cell>
          <cell r="J1047">
            <v>57800</v>
          </cell>
        </row>
        <row r="1048">
          <cell r="I1048" t="str">
            <v>SA0301</v>
          </cell>
          <cell r="J1048">
            <v>14700</v>
          </cell>
        </row>
        <row r="1049">
          <cell r="I1049" t="str">
            <v>SA0401</v>
          </cell>
          <cell r="J1049">
            <v>14700</v>
          </cell>
        </row>
        <row r="1050">
          <cell r="I1050" t="str">
            <v>SA9900</v>
          </cell>
          <cell r="J1050">
            <v>8900</v>
          </cell>
        </row>
        <row r="1051">
          <cell r="I1051" t="str">
            <v>IF0060</v>
          </cell>
          <cell r="J1051">
            <v>33600</v>
          </cell>
        </row>
        <row r="1052">
          <cell r="I1052" t="str">
            <v>IF0070</v>
          </cell>
          <cell r="J1052">
            <v>36800</v>
          </cell>
        </row>
        <row r="1053">
          <cell r="I1053" t="str">
            <v>IF0080</v>
          </cell>
          <cell r="J1053">
            <v>39900</v>
          </cell>
        </row>
        <row r="1054">
          <cell r="I1054" t="str">
            <v>IF0100</v>
          </cell>
          <cell r="J1054">
            <v>45200</v>
          </cell>
        </row>
        <row r="1055">
          <cell r="I1055" t="str">
            <v>IF0120</v>
          </cell>
          <cell r="J1055">
            <v>50400</v>
          </cell>
        </row>
        <row r="1056">
          <cell r="I1056" t="str">
            <v>IF0062</v>
          </cell>
          <cell r="J1056">
            <v>36800</v>
          </cell>
        </row>
        <row r="1057">
          <cell r="I1057" t="str">
            <v>IF0072</v>
          </cell>
          <cell r="J1057">
            <v>39900</v>
          </cell>
        </row>
        <row r="1058">
          <cell r="I1058" t="str">
            <v>IF0082</v>
          </cell>
          <cell r="J1058">
            <v>43100</v>
          </cell>
        </row>
        <row r="1059">
          <cell r="I1059" t="str">
            <v>IF0102</v>
          </cell>
          <cell r="J1059">
            <v>48300</v>
          </cell>
        </row>
        <row r="1060">
          <cell r="I1060" t="str">
            <v>IF0122</v>
          </cell>
          <cell r="J1060">
            <v>53600</v>
          </cell>
        </row>
        <row r="1061">
          <cell r="I1061" t="str">
            <v>IF0064</v>
          </cell>
          <cell r="J1061">
            <v>42000</v>
          </cell>
        </row>
        <row r="1062">
          <cell r="I1062" t="str">
            <v>IF0074</v>
          </cell>
          <cell r="J1062">
            <v>45200</v>
          </cell>
        </row>
        <row r="1063">
          <cell r="I1063" t="str">
            <v>IF0084</v>
          </cell>
          <cell r="J1063">
            <v>48300</v>
          </cell>
        </row>
        <row r="1064">
          <cell r="I1064" t="str">
            <v>IF0104</v>
          </cell>
          <cell r="J1064">
            <v>53600</v>
          </cell>
        </row>
        <row r="1065">
          <cell r="I1065" t="str">
            <v>IF0124</v>
          </cell>
          <cell r="J1065">
            <v>58800</v>
          </cell>
        </row>
        <row r="1066">
          <cell r="I1066" t="str">
            <v>IF0066</v>
          </cell>
          <cell r="J1066">
            <v>47300</v>
          </cell>
        </row>
        <row r="1067">
          <cell r="I1067" t="str">
            <v>IF0076</v>
          </cell>
          <cell r="J1067">
            <v>50400</v>
          </cell>
        </row>
        <row r="1068">
          <cell r="I1068" t="str">
            <v>IF0086</v>
          </cell>
          <cell r="J1068">
            <v>53600</v>
          </cell>
        </row>
        <row r="1069">
          <cell r="I1069" t="str">
            <v>IF0106</v>
          </cell>
          <cell r="J1069">
            <v>58800</v>
          </cell>
        </row>
        <row r="1070">
          <cell r="I1070" t="str">
            <v>IF0126</v>
          </cell>
          <cell r="J1070">
            <v>64100</v>
          </cell>
        </row>
        <row r="1071">
          <cell r="I1071" t="str">
            <v>IF0068</v>
          </cell>
          <cell r="J1071">
            <v>51500</v>
          </cell>
        </row>
        <row r="1072">
          <cell r="I1072" t="str">
            <v>IF0078</v>
          </cell>
          <cell r="J1072">
            <v>54600</v>
          </cell>
        </row>
        <row r="1073">
          <cell r="I1073" t="str">
            <v>IF0088</v>
          </cell>
          <cell r="J1073">
            <v>57800</v>
          </cell>
        </row>
        <row r="1074">
          <cell r="I1074" t="str">
            <v>IF0108</v>
          </cell>
          <cell r="J1074">
            <v>63000</v>
          </cell>
        </row>
        <row r="1075">
          <cell r="I1075" t="str">
            <v>IF0128</v>
          </cell>
          <cell r="J1075">
            <v>68300</v>
          </cell>
        </row>
        <row r="1076">
          <cell r="I1076" t="str">
            <v>IF3061</v>
          </cell>
          <cell r="J1076">
            <v>10000</v>
          </cell>
        </row>
        <row r="1077">
          <cell r="I1077" t="str">
            <v>IF3071</v>
          </cell>
          <cell r="J1077">
            <v>11000</v>
          </cell>
        </row>
        <row r="1078">
          <cell r="I1078" t="str">
            <v>IF3081</v>
          </cell>
          <cell r="J1078">
            <v>12600</v>
          </cell>
        </row>
        <row r="1079">
          <cell r="I1079" t="str">
            <v>IF3101</v>
          </cell>
          <cell r="J1079">
            <v>14700</v>
          </cell>
        </row>
        <row r="1080">
          <cell r="I1080" t="str">
            <v>IF3121</v>
          </cell>
          <cell r="J1080">
            <v>16800</v>
          </cell>
        </row>
        <row r="1081">
          <cell r="I1081" t="str">
            <v>IF1062</v>
          </cell>
          <cell r="J1081">
            <v>8400</v>
          </cell>
        </row>
        <row r="1082">
          <cell r="I1082" t="str">
            <v>IF1072</v>
          </cell>
          <cell r="J1082">
            <v>10000</v>
          </cell>
        </row>
        <row r="1083">
          <cell r="I1083" t="str">
            <v>IF1082</v>
          </cell>
          <cell r="J1083">
            <v>11600</v>
          </cell>
        </row>
        <row r="1084">
          <cell r="I1084" t="str">
            <v>IF1102</v>
          </cell>
          <cell r="J1084">
            <v>13100</v>
          </cell>
        </row>
        <row r="1085">
          <cell r="I1085" t="str">
            <v>IF1122</v>
          </cell>
          <cell r="J1085">
            <v>14700</v>
          </cell>
        </row>
        <row r="1086">
          <cell r="I1086" t="str">
            <v>IF1064</v>
          </cell>
          <cell r="J1086">
            <v>14700</v>
          </cell>
        </row>
        <row r="1087">
          <cell r="I1087" t="str">
            <v>IF1074</v>
          </cell>
          <cell r="J1087">
            <v>16300</v>
          </cell>
        </row>
        <row r="1088">
          <cell r="I1088" t="str">
            <v>IF1084</v>
          </cell>
          <cell r="J1088">
            <v>17900</v>
          </cell>
        </row>
        <row r="1089">
          <cell r="I1089" t="str">
            <v>IF1104</v>
          </cell>
          <cell r="J1089">
            <v>21000</v>
          </cell>
        </row>
        <row r="1090">
          <cell r="I1090" t="str">
            <v>IF1124</v>
          </cell>
          <cell r="J1090">
            <v>24200</v>
          </cell>
        </row>
        <row r="1091">
          <cell r="I1091" t="str">
            <v>IF1066</v>
          </cell>
          <cell r="J1091">
            <v>21000</v>
          </cell>
        </row>
        <row r="1092">
          <cell r="I1092" t="str">
            <v>IF1076</v>
          </cell>
          <cell r="J1092">
            <v>22600</v>
          </cell>
        </row>
        <row r="1093">
          <cell r="I1093" t="str">
            <v>IF1086</v>
          </cell>
          <cell r="J1093">
            <v>24200</v>
          </cell>
        </row>
        <row r="1094">
          <cell r="I1094" t="str">
            <v>IF1106</v>
          </cell>
          <cell r="J1094">
            <v>27300</v>
          </cell>
        </row>
        <row r="1095">
          <cell r="I1095" t="str">
            <v>IF1126</v>
          </cell>
          <cell r="J1095">
            <v>30500</v>
          </cell>
        </row>
        <row r="1096">
          <cell r="I1096" t="str">
            <v>IF1066MM</v>
          </cell>
          <cell r="J1096">
            <v>17900</v>
          </cell>
        </row>
        <row r="1097">
          <cell r="I1097" t="str">
            <v>IF1066BE</v>
          </cell>
          <cell r="J1097">
            <v>17900</v>
          </cell>
        </row>
        <row r="1098">
          <cell r="I1098" t="str">
            <v>IF1076MM</v>
          </cell>
          <cell r="J1098">
            <v>19400</v>
          </cell>
        </row>
        <row r="1099">
          <cell r="I1099" t="str">
            <v>IF1076BE</v>
          </cell>
          <cell r="J1099">
            <v>19400</v>
          </cell>
        </row>
        <row r="1100">
          <cell r="I1100" t="str">
            <v>IF1086MM</v>
          </cell>
          <cell r="J1100">
            <v>21000</v>
          </cell>
        </row>
        <row r="1101">
          <cell r="I1101" t="str">
            <v>IF1086BE</v>
          </cell>
          <cell r="J1101">
            <v>21000</v>
          </cell>
        </row>
        <row r="1102">
          <cell r="I1102" t="str">
            <v>IF1106MM</v>
          </cell>
          <cell r="J1102">
            <v>23100</v>
          </cell>
        </row>
        <row r="1103">
          <cell r="I1103" t="str">
            <v>IF1106BE</v>
          </cell>
          <cell r="J1103">
            <v>23100</v>
          </cell>
        </row>
        <row r="1104">
          <cell r="I1104" t="str">
            <v>IF1126MM</v>
          </cell>
          <cell r="J1104">
            <v>26300</v>
          </cell>
        </row>
        <row r="1105">
          <cell r="I1105" t="str">
            <v>IF1126BE</v>
          </cell>
          <cell r="J1105">
            <v>26300</v>
          </cell>
        </row>
        <row r="1106">
          <cell r="I1106" t="str">
            <v>IF1064G</v>
          </cell>
          <cell r="J1106">
            <v>13100</v>
          </cell>
        </row>
        <row r="1107">
          <cell r="I1107" t="str">
            <v>IF1074G</v>
          </cell>
          <cell r="J1107">
            <v>15800</v>
          </cell>
        </row>
        <row r="1108">
          <cell r="I1108" t="str">
            <v>IF1084G</v>
          </cell>
          <cell r="J1108">
            <v>18900</v>
          </cell>
        </row>
        <row r="1109">
          <cell r="I1109" t="str">
            <v>IF1104G</v>
          </cell>
          <cell r="J1109">
            <v>24200</v>
          </cell>
        </row>
        <row r="1110">
          <cell r="I1110" t="str">
            <v>IF1124G</v>
          </cell>
          <cell r="J1110">
            <v>29400</v>
          </cell>
        </row>
        <row r="1111">
          <cell r="I1111" t="str">
            <v>IF1066G</v>
          </cell>
          <cell r="J1111">
            <v>21500</v>
          </cell>
        </row>
        <row r="1112">
          <cell r="I1112" t="str">
            <v>IF1076G</v>
          </cell>
          <cell r="J1112">
            <v>24200</v>
          </cell>
        </row>
        <row r="1113">
          <cell r="I1113" t="str">
            <v>IF1086G</v>
          </cell>
          <cell r="J1113">
            <v>27300</v>
          </cell>
        </row>
        <row r="1114">
          <cell r="I1114" t="str">
            <v>IF1106G</v>
          </cell>
          <cell r="J1114">
            <v>32600</v>
          </cell>
        </row>
        <row r="1115">
          <cell r="I1115" t="str">
            <v>IF1126G</v>
          </cell>
          <cell r="J1115">
            <v>37800</v>
          </cell>
        </row>
        <row r="1116">
          <cell r="I1116" t="str">
            <v>IF1064K</v>
          </cell>
          <cell r="J1116">
            <v>15800</v>
          </cell>
        </row>
        <row r="1117">
          <cell r="I1117" t="str">
            <v>IF1074K</v>
          </cell>
          <cell r="J1117">
            <v>18900</v>
          </cell>
        </row>
        <row r="1118">
          <cell r="I1118" t="str">
            <v>IF1084K</v>
          </cell>
          <cell r="J1118">
            <v>23100</v>
          </cell>
        </row>
        <row r="1119">
          <cell r="I1119" t="str">
            <v>IF1104K</v>
          </cell>
          <cell r="J1119">
            <v>27300</v>
          </cell>
        </row>
        <row r="1120">
          <cell r="I1120" t="str">
            <v>IF1124K</v>
          </cell>
          <cell r="J1120">
            <v>32600</v>
          </cell>
        </row>
        <row r="1121">
          <cell r="I1121" t="str">
            <v>IF1066K</v>
          </cell>
          <cell r="J1121">
            <v>26300</v>
          </cell>
        </row>
        <row r="1122">
          <cell r="I1122" t="str">
            <v>IF1076K</v>
          </cell>
          <cell r="J1122">
            <v>29400</v>
          </cell>
        </row>
        <row r="1123">
          <cell r="I1123" t="str">
            <v>IF1086K</v>
          </cell>
          <cell r="J1123">
            <v>32600</v>
          </cell>
        </row>
        <row r="1124">
          <cell r="I1124" t="str">
            <v>IF1106K</v>
          </cell>
          <cell r="J1124">
            <v>36800</v>
          </cell>
        </row>
        <row r="1125">
          <cell r="I1125" t="str">
            <v>IF1126K</v>
          </cell>
          <cell r="J1125">
            <v>42000</v>
          </cell>
        </row>
        <row r="1126">
          <cell r="I1126" t="str">
            <v>IF1064B</v>
          </cell>
          <cell r="J1126">
            <v>20000</v>
          </cell>
        </row>
        <row r="1127">
          <cell r="I1127" t="str">
            <v>IF1074B</v>
          </cell>
          <cell r="J1127">
            <v>22100</v>
          </cell>
        </row>
        <row r="1128">
          <cell r="I1128" t="str">
            <v>IF1084B</v>
          </cell>
          <cell r="J1128">
            <v>24200</v>
          </cell>
        </row>
        <row r="1129">
          <cell r="I1129" t="str">
            <v>IF1104B</v>
          </cell>
          <cell r="J1129">
            <v>35700</v>
          </cell>
        </row>
        <row r="1130">
          <cell r="I1130" t="str">
            <v>IF1124B</v>
          </cell>
          <cell r="J1130">
            <v>38900</v>
          </cell>
        </row>
        <row r="1131">
          <cell r="I1131" t="str">
            <v>IF1066B</v>
          </cell>
          <cell r="J1131">
            <v>27300</v>
          </cell>
        </row>
        <row r="1132">
          <cell r="I1132" t="str">
            <v>IF1076B</v>
          </cell>
          <cell r="J1132">
            <v>30500</v>
          </cell>
        </row>
        <row r="1133">
          <cell r="I1133" t="str">
            <v>IF1086B</v>
          </cell>
          <cell r="J1133">
            <v>33600</v>
          </cell>
        </row>
        <row r="1134">
          <cell r="I1134" t="str">
            <v>IF1106B</v>
          </cell>
          <cell r="J1134">
            <v>42000</v>
          </cell>
        </row>
        <row r="1135">
          <cell r="I1135" t="str">
            <v>IF1126B</v>
          </cell>
          <cell r="J1135">
            <v>46200</v>
          </cell>
        </row>
        <row r="1136">
          <cell r="I1136" t="str">
            <v>IF5110</v>
          </cell>
          <cell r="J1136">
            <v>17900</v>
          </cell>
        </row>
        <row r="1137">
          <cell r="I1137" t="str">
            <v>IF5112</v>
          </cell>
          <cell r="J1137">
            <v>19400</v>
          </cell>
        </row>
        <row r="1138">
          <cell r="I1138" t="str">
            <v>IF5114</v>
          </cell>
          <cell r="J1138">
            <v>21000</v>
          </cell>
        </row>
        <row r="1139">
          <cell r="I1139" t="str">
            <v>IF5116</v>
          </cell>
          <cell r="J1139">
            <v>24200</v>
          </cell>
        </row>
        <row r="1140">
          <cell r="I1140" t="str">
            <v>IF5118</v>
          </cell>
          <cell r="J1140">
            <v>28400</v>
          </cell>
        </row>
        <row r="1141">
          <cell r="I1141" t="str">
            <v>IF5210</v>
          </cell>
          <cell r="J1141">
            <v>21000</v>
          </cell>
        </row>
        <row r="1142">
          <cell r="I1142" t="str">
            <v>IF5212</v>
          </cell>
          <cell r="J1142">
            <v>22600</v>
          </cell>
        </row>
        <row r="1143">
          <cell r="I1143" t="str">
            <v>IF5214</v>
          </cell>
          <cell r="J1143">
            <v>24200</v>
          </cell>
        </row>
        <row r="1144">
          <cell r="I1144" t="str">
            <v>IF5216</v>
          </cell>
          <cell r="J1144">
            <v>27300</v>
          </cell>
        </row>
        <row r="1145">
          <cell r="I1145" t="str">
            <v>IF5218</v>
          </cell>
          <cell r="J1145">
            <v>31500</v>
          </cell>
        </row>
        <row r="1146">
          <cell r="I1146" t="str">
            <v>IF5510</v>
          </cell>
          <cell r="J1146">
            <v>24200</v>
          </cell>
        </row>
        <row r="1147">
          <cell r="I1147" t="str">
            <v>IF5512</v>
          </cell>
          <cell r="J1147">
            <v>25700</v>
          </cell>
        </row>
        <row r="1148">
          <cell r="I1148" t="str">
            <v>IF5514</v>
          </cell>
          <cell r="J1148">
            <v>27300</v>
          </cell>
        </row>
        <row r="1149">
          <cell r="I1149" t="str">
            <v>IF5516</v>
          </cell>
          <cell r="J1149">
            <v>30500</v>
          </cell>
        </row>
        <row r="1150">
          <cell r="I1150" t="str">
            <v>IF5518</v>
          </cell>
          <cell r="J1150">
            <v>34700</v>
          </cell>
        </row>
        <row r="1151">
          <cell r="I1151" t="str">
            <v>IF6010</v>
          </cell>
          <cell r="J1151">
            <v>6300</v>
          </cell>
        </row>
        <row r="1152">
          <cell r="I1152" t="str">
            <v>IF6012</v>
          </cell>
          <cell r="J1152">
            <v>7900</v>
          </cell>
        </row>
        <row r="1153">
          <cell r="I1153" t="str">
            <v>IF6014</v>
          </cell>
          <cell r="J1153">
            <v>9500</v>
          </cell>
        </row>
        <row r="1154">
          <cell r="I1154" t="str">
            <v>IF6016</v>
          </cell>
          <cell r="J1154">
            <v>11600</v>
          </cell>
        </row>
        <row r="1155">
          <cell r="I1155" t="str">
            <v>IF6018</v>
          </cell>
          <cell r="J1155">
            <v>13700</v>
          </cell>
        </row>
        <row r="1156">
          <cell r="I1156" t="str">
            <v>IF6102</v>
          </cell>
          <cell r="J1156">
            <v>3200</v>
          </cell>
        </row>
        <row r="1157">
          <cell r="I1157" t="str">
            <v>IF6104</v>
          </cell>
          <cell r="J1157">
            <v>4200</v>
          </cell>
        </row>
        <row r="1158">
          <cell r="I1158" t="str">
            <v>IF6106</v>
          </cell>
          <cell r="J1158">
            <v>4700</v>
          </cell>
        </row>
        <row r="1159">
          <cell r="I1159" t="str">
            <v>IF6108</v>
          </cell>
          <cell r="J1159">
            <v>5800</v>
          </cell>
        </row>
        <row r="1160">
          <cell r="I1160" t="str">
            <v>IF6102T</v>
          </cell>
          <cell r="J1160">
            <v>3200</v>
          </cell>
        </row>
        <row r="1161">
          <cell r="I1161" t="str">
            <v>IF6104T</v>
          </cell>
          <cell r="J1161">
            <v>4200</v>
          </cell>
        </row>
        <row r="1162">
          <cell r="I1162" t="str">
            <v>IF6106T</v>
          </cell>
          <cell r="J1162">
            <v>4700</v>
          </cell>
        </row>
        <row r="1163">
          <cell r="I1163" t="str">
            <v>IF6108T</v>
          </cell>
          <cell r="J1163">
            <v>5800</v>
          </cell>
        </row>
        <row r="1164">
          <cell r="I1164" t="str">
            <v>IF8001</v>
          </cell>
          <cell r="J1164">
            <v>23100</v>
          </cell>
        </row>
        <row r="1165">
          <cell r="I1165" t="str">
            <v>IF8002</v>
          </cell>
          <cell r="J1165">
            <v>3200</v>
          </cell>
        </row>
        <row r="1166">
          <cell r="I1166" t="str">
            <v>IT8001</v>
          </cell>
          <cell r="J1166">
            <v>5300</v>
          </cell>
        </row>
        <row r="1167">
          <cell r="I1167" t="str">
            <v>IT8002</v>
          </cell>
          <cell r="J1167">
            <v>5300</v>
          </cell>
        </row>
        <row r="1168">
          <cell r="I1168" t="str">
            <v>IT8003</v>
          </cell>
          <cell r="J1168">
            <v>2600</v>
          </cell>
        </row>
        <row r="1169">
          <cell r="I1169" t="str">
            <v>IT0008L</v>
          </cell>
          <cell r="J1169">
            <v>57800</v>
          </cell>
        </row>
        <row r="1170">
          <cell r="I1170" t="str">
            <v>IT0008R</v>
          </cell>
          <cell r="J1170">
            <v>57800</v>
          </cell>
        </row>
        <row r="1171">
          <cell r="I1171" t="str">
            <v>IT0008</v>
          </cell>
          <cell r="J1171">
            <v>57800</v>
          </cell>
        </row>
        <row r="1172">
          <cell r="I1172" t="str">
            <v>IT0010L</v>
          </cell>
          <cell r="J1172">
            <v>71400</v>
          </cell>
        </row>
        <row r="1173">
          <cell r="I1173" t="str">
            <v>IT0010R</v>
          </cell>
          <cell r="J1173">
            <v>71400</v>
          </cell>
        </row>
        <row r="1174">
          <cell r="I1174" t="str">
            <v>IT0100</v>
          </cell>
          <cell r="J1174">
            <v>71400</v>
          </cell>
        </row>
        <row r="1175">
          <cell r="I1175" t="str">
            <v>IT0012L</v>
          </cell>
          <cell r="J1175">
            <v>80900</v>
          </cell>
        </row>
        <row r="1176">
          <cell r="I1176" t="str">
            <v>IT0012R</v>
          </cell>
          <cell r="J1176">
            <v>80900</v>
          </cell>
        </row>
        <row r="1177">
          <cell r="I1177" t="str">
            <v>IT0012</v>
          </cell>
          <cell r="J1177">
            <v>80900</v>
          </cell>
        </row>
        <row r="1178">
          <cell r="I1178" t="str">
            <v>IT0116</v>
          </cell>
          <cell r="J1178">
            <v>92400</v>
          </cell>
        </row>
        <row r="1179">
          <cell r="I1179" t="str">
            <v>IT0118</v>
          </cell>
          <cell r="J1179">
            <v>101900</v>
          </cell>
        </row>
        <row r="1180">
          <cell r="I1180" t="str">
            <v>IT0100L</v>
          </cell>
          <cell r="J1180">
            <v>36800</v>
          </cell>
        </row>
        <row r="1181">
          <cell r="I1181" t="str">
            <v>IT0100R</v>
          </cell>
          <cell r="J1181">
            <v>36800</v>
          </cell>
        </row>
        <row r="1182">
          <cell r="I1182" t="str">
            <v>IT5066</v>
          </cell>
          <cell r="J1182">
            <v>110300</v>
          </cell>
        </row>
        <row r="1183">
          <cell r="I1183" t="str">
            <v>IT5077</v>
          </cell>
          <cell r="J1183">
            <v>135500</v>
          </cell>
        </row>
        <row r="1184">
          <cell r="I1184" t="str">
            <v>IT912</v>
          </cell>
          <cell r="J1184">
            <v>108200</v>
          </cell>
        </row>
        <row r="1185">
          <cell r="I1185" t="str">
            <v>IT916</v>
          </cell>
          <cell r="J1185">
            <v>160700</v>
          </cell>
        </row>
        <row r="1186">
          <cell r="I1186" t="str">
            <v>IT966</v>
          </cell>
          <cell r="J1186">
            <v>161700</v>
          </cell>
        </row>
        <row r="1187">
          <cell r="I1187" t="str">
            <v>IT977</v>
          </cell>
          <cell r="J1187">
            <v>172200</v>
          </cell>
        </row>
        <row r="1188">
          <cell r="I1188" t="str">
            <v>IT926L</v>
          </cell>
          <cell r="J1188">
            <v>138600</v>
          </cell>
        </row>
        <row r="1189">
          <cell r="I1189" t="str">
            <v>IT926R</v>
          </cell>
          <cell r="J1189">
            <v>138600</v>
          </cell>
        </row>
        <row r="1190">
          <cell r="I1190" t="str">
            <v>IT927L</v>
          </cell>
          <cell r="J1190">
            <v>141800</v>
          </cell>
        </row>
        <row r="1191">
          <cell r="I1191" t="str">
            <v>IT927R</v>
          </cell>
          <cell r="J1191">
            <v>141800</v>
          </cell>
        </row>
        <row r="1192">
          <cell r="I1192" t="str">
            <v>IT912CL</v>
          </cell>
          <cell r="J1192">
            <v>126000</v>
          </cell>
        </row>
        <row r="1193">
          <cell r="I1193" t="str">
            <v>IT912CR</v>
          </cell>
          <cell r="J1193">
            <v>126000</v>
          </cell>
        </row>
        <row r="1194">
          <cell r="I1194" t="str">
            <v>IT918CL</v>
          </cell>
          <cell r="J1194">
            <v>176400</v>
          </cell>
        </row>
        <row r="1195">
          <cell r="I1195" t="str">
            <v>IT918CR</v>
          </cell>
          <cell r="J1195">
            <v>176400</v>
          </cell>
        </row>
        <row r="1196">
          <cell r="I1196" t="str">
            <v>IT912DL</v>
          </cell>
          <cell r="J1196">
            <v>126000</v>
          </cell>
        </row>
        <row r="1197">
          <cell r="I1197" t="str">
            <v>IT912DR</v>
          </cell>
          <cell r="J1197">
            <v>126000</v>
          </cell>
        </row>
        <row r="1198">
          <cell r="I1198" t="str">
            <v>IT918DR</v>
          </cell>
          <cell r="J1198">
            <v>176400</v>
          </cell>
        </row>
        <row r="1199">
          <cell r="I1199" t="str">
            <v>IT918DL</v>
          </cell>
          <cell r="J1199">
            <v>176400</v>
          </cell>
        </row>
        <row r="1200">
          <cell r="I1200" t="str">
            <v>IT2004</v>
          </cell>
          <cell r="J1200">
            <v>21000</v>
          </cell>
        </row>
        <row r="1201">
          <cell r="I1201" t="str">
            <v>IT2005</v>
          </cell>
          <cell r="J1201">
            <v>24200</v>
          </cell>
        </row>
        <row r="1202">
          <cell r="I1202" t="str">
            <v>IT2006</v>
          </cell>
          <cell r="J1202">
            <v>27300</v>
          </cell>
        </row>
        <row r="1203">
          <cell r="I1203" t="str">
            <v>IT2007</v>
          </cell>
          <cell r="J1203">
            <v>30500</v>
          </cell>
        </row>
        <row r="1204">
          <cell r="I1204" t="str">
            <v>IT2008</v>
          </cell>
          <cell r="J1204">
            <v>33600</v>
          </cell>
        </row>
        <row r="1205">
          <cell r="I1205" t="str">
            <v>IT2010</v>
          </cell>
          <cell r="J1205">
            <v>39900</v>
          </cell>
        </row>
        <row r="1206">
          <cell r="I1206" t="str">
            <v>IT2012</v>
          </cell>
          <cell r="J1206">
            <v>47300</v>
          </cell>
        </row>
        <row r="1207">
          <cell r="I1207" t="str">
            <v>IT2014</v>
          </cell>
          <cell r="J1207">
            <v>54600</v>
          </cell>
        </row>
        <row r="1208">
          <cell r="I1208" t="str">
            <v>IT2016</v>
          </cell>
          <cell r="J1208">
            <v>60900</v>
          </cell>
        </row>
        <row r="1209">
          <cell r="I1209" t="str">
            <v>IT2122</v>
          </cell>
          <cell r="J1209">
            <v>21000</v>
          </cell>
        </row>
        <row r="1210">
          <cell r="I1210" t="str">
            <v>IT2204</v>
          </cell>
          <cell r="J1210">
            <v>24200</v>
          </cell>
        </row>
        <row r="1211">
          <cell r="I1211" t="str">
            <v>IT2205</v>
          </cell>
          <cell r="J1211">
            <v>27300</v>
          </cell>
        </row>
        <row r="1212">
          <cell r="I1212" t="str">
            <v>IT2206</v>
          </cell>
          <cell r="J1212">
            <v>30500</v>
          </cell>
        </row>
        <row r="1213">
          <cell r="I1213" t="str">
            <v>IT2207</v>
          </cell>
          <cell r="J1213">
            <v>33600</v>
          </cell>
        </row>
        <row r="1214">
          <cell r="I1214" t="str">
            <v>IT2208</v>
          </cell>
          <cell r="J1214">
            <v>36800</v>
          </cell>
        </row>
        <row r="1215">
          <cell r="I1215" t="str">
            <v>IT2210</v>
          </cell>
          <cell r="J1215">
            <v>44100</v>
          </cell>
        </row>
        <row r="1216">
          <cell r="I1216" t="str">
            <v>IT2212</v>
          </cell>
          <cell r="J1216">
            <v>51500</v>
          </cell>
        </row>
        <row r="1217">
          <cell r="I1217" t="str">
            <v>IT3006</v>
          </cell>
          <cell r="J1217">
            <v>44100</v>
          </cell>
        </row>
        <row r="1218">
          <cell r="I1218" t="str">
            <v>IT3007</v>
          </cell>
          <cell r="J1218">
            <v>47300</v>
          </cell>
        </row>
        <row r="1219">
          <cell r="I1219" t="str">
            <v>IT3008</v>
          </cell>
          <cell r="J1219">
            <v>51500</v>
          </cell>
        </row>
        <row r="1220">
          <cell r="I1220" t="str">
            <v>IT3010</v>
          </cell>
          <cell r="J1220">
            <v>57800</v>
          </cell>
        </row>
        <row r="1221">
          <cell r="I1221" t="str">
            <v>IT3012</v>
          </cell>
          <cell r="J1221">
            <v>65100</v>
          </cell>
        </row>
        <row r="1222">
          <cell r="I1222" t="str">
            <v>IT3406</v>
          </cell>
          <cell r="J1222">
            <v>53600</v>
          </cell>
        </row>
        <row r="1223">
          <cell r="I1223" t="str">
            <v>IT3407</v>
          </cell>
          <cell r="J1223">
            <v>56700</v>
          </cell>
        </row>
        <row r="1224">
          <cell r="I1224" t="str">
            <v>IT3408</v>
          </cell>
          <cell r="J1224">
            <v>59900</v>
          </cell>
        </row>
        <row r="1225">
          <cell r="I1225" t="str">
            <v>IT3410</v>
          </cell>
          <cell r="J1225">
            <v>66200</v>
          </cell>
        </row>
        <row r="1226">
          <cell r="I1226" t="str">
            <v>IT3412</v>
          </cell>
          <cell r="J1226">
            <v>72500</v>
          </cell>
        </row>
        <row r="1227">
          <cell r="I1227" t="str">
            <v>IT3106</v>
          </cell>
          <cell r="J1227">
            <v>44100</v>
          </cell>
        </row>
        <row r="1228">
          <cell r="I1228" t="str">
            <v>IT3107</v>
          </cell>
          <cell r="J1228">
            <v>47300</v>
          </cell>
        </row>
        <row r="1229">
          <cell r="I1229" t="str">
            <v>IT3108</v>
          </cell>
          <cell r="J1229">
            <v>51500</v>
          </cell>
        </row>
        <row r="1230">
          <cell r="I1230" t="str">
            <v>IT3110</v>
          </cell>
          <cell r="J1230">
            <v>57800</v>
          </cell>
        </row>
        <row r="1231">
          <cell r="I1231" t="str">
            <v>IT3112</v>
          </cell>
          <cell r="J1231">
            <v>65100</v>
          </cell>
        </row>
        <row r="1232">
          <cell r="I1232" t="str">
            <v>IT3306</v>
          </cell>
          <cell r="J1232">
            <v>162800</v>
          </cell>
        </row>
        <row r="1233">
          <cell r="I1233" t="str">
            <v>IT3307</v>
          </cell>
          <cell r="J1233">
            <v>170100</v>
          </cell>
        </row>
        <row r="1234">
          <cell r="I1234" t="str">
            <v>IT3308</v>
          </cell>
          <cell r="J1234">
            <v>174300</v>
          </cell>
        </row>
        <row r="1235">
          <cell r="I1235" t="str">
            <v>IT3310</v>
          </cell>
          <cell r="J1235">
            <v>183800</v>
          </cell>
        </row>
        <row r="1236">
          <cell r="I1236" t="str">
            <v>IT3312</v>
          </cell>
          <cell r="J1236">
            <v>195300</v>
          </cell>
        </row>
        <row r="1237">
          <cell r="I1237" t="str">
            <v>IA0006</v>
          </cell>
          <cell r="J1237">
            <v>12600</v>
          </cell>
        </row>
        <row r="1238">
          <cell r="I1238" t="str">
            <v>IA0007</v>
          </cell>
          <cell r="J1238">
            <v>14200</v>
          </cell>
        </row>
        <row r="1239">
          <cell r="I1239" t="str">
            <v>IA0008</v>
          </cell>
          <cell r="J1239">
            <v>15800</v>
          </cell>
        </row>
        <row r="1240">
          <cell r="I1240" t="str">
            <v>IA0010</v>
          </cell>
          <cell r="J1240">
            <v>18900</v>
          </cell>
        </row>
        <row r="1241">
          <cell r="I1241" t="str">
            <v>IA0012</v>
          </cell>
          <cell r="J1241">
            <v>21000</v>
          </cell>
        </row>
        <row r="1242">
          <cell r="I1242" t="str">
            <v>IA9901</v>
          </cell>
          <cell r="J1242">
            <v>5800</v>
          </cell>
        </row>
        <row r="1243">
          <cell r="I1243" t="str">
            <v>IF060</v>
          </cell>
          <cell r="J1243">
            <v>102400</v>
          </cell>
        </row>
        <row r="1244">
          <cell r="I1244" t="str">
            <v>IF070</v>
          </cell>
          <cell r="J1244">
            <v>112900</v>
          </cell>
        </row>
        <row r="1245">
          <cell r="I1245" t="str">
            <v>IF080</v>
          </cell>
          <cell r="J1245">
            <v>123900</v>
          </cell>
        </row>
        <row r="1246">
          <cell r="I1246" t="str">
            <v>IF100</v>
          </cell>
          <cell r="J1246">
            <v>140700</v>
          </cell>
        </row>
        <row r="1247">
          <cell r="I1247" t="str">
            <v>IF120</v>
          </cell>
          <cell r="J1247">
            <v>157500</v>
          </cell>
        </row>
        <row r="1248">
          <cell r="I1248" t="str">
            <v>IF062</v>
          </cell>
          <cell r="J1248">
            <v>118100</v>
          </cell>
        </row>
        <row r="1249">
          <cell r="I1249" t="str">
            <v>IF072</v>
          </cell>
          <cell r="J1249">
            <v>128600</v>
          </cell>
        </row>
        <row r="1250">
          <cell r="I1250" t="str">
            <v>IF082</v>
          </cell>
          <cell r="J1250">
            <v>139700</v>
          </cell>
        </row>
        <row r="1251">
          <cell r="I1251" t="str">
            <v>IF102</v>
          </cell>
          <cell r="J1251">
            <v>159600</v>
          </cell>
        </row>
        <row r="1252">
          <cell r="I1252" t="str">
            <v>IF122</v>
          </cell>
          <cell r="J1252">
            <v>179600</v>
          </cell>
        </row>
        <row r="1253">
          <cell r="I1253" t="str">
            <v>IF064</v>
          </cell>
          <cell r="J1253">
            <v>136000</v>
          </cell>
        </row>
        <row r="1254">
          <cell r="I1254" t="str">
            <v>IF074</v>
          </cell>
          <cell r="J1254">
            <v>146500</v>
          </cell>
        </row>
        <row r="1255">
          <cell r="I1255" t="str">
            <v>IF084</v>
          </cell>
          <cell r="J1255">
            <v>157500</v>
          </cell>
        </row>
        <row r="1256">
          <cell r="I1256" t="str">
            <v>IF104</v>
          </cell>
          <cell r="J1256">
            <v>177500</v>
          </cell>
        </row>
        <row r="1257">
          <cell r="I1257" t="str">
            <v>IF124</v>
          </cell>
          <cell r="J1257">
            <v>197400</v>
          </cell>
        </row>
        <row r="1258">
          <cell r="I1258" t="str">
            <v>IF066</v>
          </cell>
          <cell r="J1258">
            <v>158000</v>
          </cell>
        </row>
        <row r="1259">
          <cell r="I1259" t="str">
            <v>IF076</v>
          </cell>
          <cell r="J1259">
            <v>171700</v>
          </cell>
        </row>
        <row r="1260">
          <cell r="I1260" t="str">
            <v>IF086</v>
          </cell>
          <cell r="J1260">
            <v>185900</v>
          </cell>
        </row>
        <row r="1261">
          <cell r="I1261" t="str">
            <v>IF106</v>
          </cell>
          <cell r="J1261">
            <v>212100</v>
          </cell>
        </row>
        <row r="1262">
          <cell r="I1262" t="str">
            <v>IF126</v>
          </cell>
          <cell r="J1262">
            <v>238400</v>
          </cell>
        </row>
        <row r="1263">
          <cell r="I1263" t="str">
            <v>IF068</v>
          </cell>
          <cell r="J1263">
            <v>174800</v>
          </cell>
        </row>
        <row r="1264">
          <cell r="I1264" t="str">
            <v>IF078</v>
          </cell>
          <cell r="J1264">
            <v>188500</v>
          </cell>
        </row>
        <row r="1265">
          <cell r="I1265" t="str">
            <v>IF088</v>
          </cell>
          <cell r="J1265">
            <v>202700</v>
          </cell>
        </row>
        <row r="1266">
          <cell r="I1266" t="str">
            <v>IF108</v>
          </cell>
          <cell r="J1266">
            <v>228900</v>
          </cell>
        </row>
        <row r="1267">
          <cell r="I1267" t="str">
            <v>IF128</v>
          </cell>
          <cell r="J1267">
            <v>255200</v>
          </cell>
        </row>
        <row r="1268">
          <cell r="I1268" t="str">
            <v>IF060T</v>
          </cell>
          <cell r="J1268">
            <v>96100</v>
          </cell>
        </row>
        <row r="1269">
          <cell r="I1269" t="str">
            <v>IF070T</v>
          </cell>
          <cell r="J1269">
            <v>106600</v>
          </cell>
        </row>
        <row r="1270">
          <cell r="I1270" t="str">
            <v>IF080T</v>
          </cell>
          <cell r="J1270">
            <v>117600</v>
          </cell>
        </row>
        <row r="1271">
          <cell r="I1271" t="str">
            <v>IF100T</v>
          </cell>
          <cell r="J1271">
            <v>132300</v>
          </cell>
        </row>
        <row r="1272">
          <cell r="I1272" t="str">
            <v>IF120T</v>
          </cell>
          <cell r="J1272">
            <v>149100</v>
          </cell>
        </row>
        <row r="1273">
          <cell r="I1273" t="str">
            <v>IF062T</v>
          </cell>
          <cell r="J1273">
            <v>111800</v>
          </cell>
        </row>
        <row r="1274">
          <cell r="I1274" t="str">
            <v>IF072T</v>
          </cell>
          <cell r="J1274">
            <v>122300</v>
          </cell>
        </row>
        <row r="1275">
          <cell r="I1275" t="str">
            <v>IF082T</v>
          </cell>
          <cell r="J1275">
            <v>133400</v>
          </cell>
        </row>
        <row r="1276">
          <cell r="I1276" t="str">
            <v>IF102T</v>
          </cell>
          <cell r="J1276">
            <v>151200</v>
          </cell>
        </row>
        <row r="1277">
          <cell r="I1277" t="str">
            <v>IF122T</v>
          </cell>
          <cell r="J1277">
            <v>171200</v>
          </cell>
        </row>
        <row r="1278">
          <cell r="I1278" t="str">
            <v>IF064T</v>
          </cell>
          <cell r="J1278">
            <v>129700</v>
          </cell>
        </row>
        <row r="1279">
          <cell r="I1279" t="str">
            <v>IF074T</v>
          </cell>
          <cell r="J1279">
            <v>140200</v>
          </cell>
        </row>
        <row r="1280">
          <cell r="I1280" t="str">
            <v>IF084T</v>
          </cell>
          <cell r="J1280">
            <v>151200</v>
          </cell>
        </row>
        <row r="1281">
          <cell r="I1281" t="str">
            <v>IF104T</v>
          </cell>
          <cell r="J1281">
            <v>169100</v>
          </cell>
        </row>
        <row r="1282">
          <cell r="I1282" t="str">
            <v>IF124T</v>
          </cell>
          <cell r="J1282">
            <v>189000</v>
          </cell>
        </row>
        <row r="1283">
          <cell r="I1283" t="str">
            <v>IF066T</v>
          </cell>
          <cell r="J1283">
            <v>151700</v>
          </cell>
        </row>
        <row r="1284">
          <cell r="I1284" t="str">
            <v>IF076T</v>
          </cell>
          <cell r="J1284">
            <v>165400</v>
          </cell>
        </row>
        <row r="1285">
          <cell r="I1285" t="str">
            <v>IF086T</v>
          </cell>
          <cell r="J1285">
            <v>179600</v>
          </cell>
        </row>
        <row r="1286">
          <cell r="I1286" t="str">
            <v>IF106T</v>
          </cell>
          <cell r="J1286">
            <v>302700</v>
          </cell>
        </row>
        <row r="1287">
          <cell r="I1287" t="str">
            <v>IF126T</v>
          </cell>
          <cell r="J1287">
            <v>230000</v>
          </cell>
        </row>
        <row r="1288">
          <cell r="I1288" t="str">
            <v>IF068T</v>
          </cell>
          <cell r="J1288">
            <v>168500</v>
          </cell>
        </row>
        <row r="1289">
          <cell r="I1289" t="str">
            <v>IF078T</v>
          </cell>
          <cell r="J1289">
            <v>182200</v>
          </cell>
        </row>
        <row r="1290">
          <cell r="I1290" t="str">
            <v>IF088T</v>
          </cell>
          <cell r="J1290">
            <v>196400</v>
          </cell>
        </row>
        <row r="1291">
          <cell r="I1291" t="str">
            <v>IF108T</v>
          </cell>
          <cell r="J1291">
            <v>220500</v>
          </cell>
        </row>
        <row r="1292">
          <cell r="I1292" t="str">
            <v>IF128T</v>
          </cell>
          <cell r="J1292">
            <v>246800</v>
          </cell>
        </row>
        <row r="1293">
          <cell r="I1293" t="str">
            <v>IF060W</v>
          </cell>
          <cell r="J1293">
            <v>99200</v>
          </cell>
        </row>
        <row r="1294">
          <cell r="I1294" t="str">
            <v>IF070W</v>
          </cell>
          <cell r="J1294">
            <v>109700</v>
          </cell>
        </row>
        <row r="1295">
          <cell r="I1295" t="str">
            <v>IF080W</v>
          </cell>
          <cell r="J1295">
            <v>120800</v>
          </cell>
        </row>
        <row r="1296">
          <cell r="I1296" t="str">
            <v>IF100W</v>
          </cell>
          <cell r="J1296">
            <v>136500</v>
          </cell>
        </row>
        <row r="1297">
          <cell r="I1297" t="str">
            <v>IF120W</v>
          </cell>
          <cell r="J1297">
            <v>153300</v>
          </cell>
        </row>
        <row r="1298">
          <cell r="I1298" t="str">
            <v>IF062W</v>
          </cell>
          <cell r="J1298">
            <v>115000</v>
          </cell>
        </row>
        <row r="1299">
          <cell r="I1299" t="str">
            <v>IF072W</v>
          </cell>
          <cell r="J1299">
            <v>125500</v>
          </cell>
        </row>
        <row r="1300">
          <cell r="I1300" t="str">
            <v>IF082W</v>
          </cell>
          <cell r="J1300">
            <v>136500</v>
          </cell>
        </row>
        <row r="1301">
          <cell r="I1301" t="str">
            <v>IF102W</v>
          </cell>
          <cell r="J1301">
            <v>155400</v>
          </cell>
        </row>
        <row r="1302">
          <cell r="I1302" t="str">
            <v>IF122W</v>
          </cell>
          <cell r="J1302">
            <v>175400</v>
          </cell>
        </row>
        <row r="1303">
          <cell r="I1303" t="str">
            <v>IF064W</v>
          </cell>
          <cell r="J1303">
            <v>132800</v>
          </cell>
        </row>
        <row r="1304">
          <cell r="I1304" t="str">
            <v>IF074W</v>
          </cell>
          <cell r="J1304">
            <v>143300</v>
          </cell>
        </row>
        <row r="1305">
          <cell r="I1305" t="str">
            <v>IF084W</v>
          </cell>
          <cell r="J1305">
            <v>154400</v>
          </cell>
        </row>
        <row r="1306">
          <cell r="I1306" t="str">
            <v>IF104W</v>
          </cell>
          <cell r="J1306">
            <v>173300</v>
          </cell>
        </row>
        <row r="1307">
          <cell r="I1307" t="str">
            <v>IF124W</v>
          </cell>
          <cell r="J1307">
            <v>193200</v>
          </cell>
        </row>
        <row r="1308">
          <cell r="I1308" t="str">
            <v>IF066W</v>
          </cell>
          <cell r="J1308">
            <v>154900</v>
          </cell>
        </row>
        <row r="1309">
          <cell r="I1309" t="str">
            <v>IF076W</v>
          </cell>
          <cell r="J1309">
            <v>168500</v>
          </cell>
        </row>
        <row r="1310">
          <cell r="I1310" t="str">
            <v>IF086W</v>
          </cell>
          <cell r="J1310">
            <v>182700</v>
          </cell>
        </row>
        <row r="1311">
          <cell r="I1311" t="str">
            <v>IF106W</v>
          </cell>
          <cell r="J1311">
            <v>207900</v>
          </cell>
        </row>
        <row r="1312">
          <cell r="I1312" t="str">
            <v>IF126W</v>
          </cell>
          <cell r="J1312">
            <v>234200</v>
          </cell>
        </row>
        <row r="1313">
          <cell r="I1313" t="str">
            <v>IF068W</v>
          </cell>
          <cell r="J1313">
            <v>171700</v>
          </cell>
        </row>
        <row r="1314">
          <cell r="I1314" t="str">
            <v>IF078W</v>
          </cell>
          <cell r="J1314">
            <v>185300</v>
          </cell>
        </row>
        <row r="1315">
          <cell r="I1315" t="str">
            <v>IF088W</v>
          </cell>
          <cell r="J1315">
            <v>199500</v>
          </cell>
        </row>
        <row r="1316">
          <cell r="I1316" t="str">
            <v>IF108W</v>
          </cell>
          <cell r="J1316">
            <v>224700</v>
          </cell>
        </row>
        <row r="1317">
          <cell r="I1317" t="str">
            <v>IF128W</v>
          </cell>
          <cell r="J1317">
            <v>251000</v>
          </cell>
        </row>
        <row r="1318">
          <cell r="I1318" t="str">
            <v>IF062G</v>
          </cell>
          <cell r="J1318">
            <v>116000</v>
          </cell>
        </row>
        <row r="1319">
          <cell r="I1319" t="str">
            <v>IF072G</v>
          </cell>
          <cell r="J1319">
            <v>130700</v>
          </cell>
        </row>
        <row r="1320">
          <cell r="I1320" t="str">
            <v>IF082G</v>
          </cell>
          <cell r="J1320">
            <v>148100</v>
          </cell>
        </row>
        <row r="1321">
          <cell r="I1321" t="str">
            <v>IF102G</v>
          </cell>
          <cell r="J1321">
            <v>176400</v>
          </cell>
        </row>
        <row r="1322">
          <cell r="I1322" t="str">
            <v>IF122G</v>
          </cell>
          <cell r="J1322">
            <v>204800</v>
          </cell>
        </row>
        <row r="1323">
          <cell r="I1323" t="str">
            <v>IF064G</v>
          </cell>
          <cell r="J1323">
            <v>138100</v>
          </cell>
        </row>
        <row r="1324">
          <cell r="I1324" t="str">
            <v>IF074G</v>
          </cell>
          <cell r="J1324">
            <v>152800</v>
          </cell>
        </row>
        <row r="1325">
          <cell r="I1325" t="str">
            <v>IF084G</v>
          </cell>
          <cell r="J1325">
            <v>170100</v>
          </cell>
        </row>
        <row r="1326">
          <cell r="I1326" t="str">
            <v>IF104G</v>
          </cell>
          <cell r="J1326">
            <v>198500</v>
          </cell>
        </row>
        <row r="1327">
          <cell r="I1327" t="str">
            <v>IF124G</v>
          </cell>
          <cell r="J1327">
            <v>226800</v>
          </cell>
        </row>
        <row r="1328">
          <cell r="I1328" t="str">
            <v>IF066G</v>
          </cell>
          <cell r="J1328">
            <v>152800</v>
          </cell>
        </row>
        <row r="1329">
          <cell r="I1329" t="str">
            <v>IF076G</v>
          </cell>
          <cell r="J1329">
            <v>172700</v>
          </cell>
        </row>
        <row r="1330">
          <cell r="I1330" t="str">
            <v>IF086G</v>
          </cell>
          <cell r="J1330">
            <v>196400</v>
          </cell>
        </row>
        <row r="1331">
          <cell r="I1331" t="str">
            <v>IF106G</v>
          </cell>
          <cell r="J1331">
            <v>235200</v>
          </cell>
        </row>
        <row r="1332">
          <cell r="I1332" t="str">
            <v>IF126G</v>
          </cell>
          <cell r="J1332">
            <v>274100</v>
          </cell>
        </row>
        <row r="1333">
          <cell r="I1333" t="str">
            <v>IF068G</v>
          </cell>
          <cell r="J1333">
            <v>173800</v>
          </cell>
        </row>
        <row r="1334">
          <cell r="I1334" t="str">
            <v>IF078G</v>
          </cell>
          <cell r="J1334">
            <v>193700</v>
          </cell>
        </row>
        <row r="1335">
          <cell r="I1335" t="str">
            <v>IF088G</v>
          </cell>
          <cell r="J1335">
            <v>217400</v>
          </cell>
        </row>
        <row r="1336">
          <cell r="I1336" t="str">
            <v>IF108G</v>
          </cell>
          <cell r="J1336">
            <v>256200</v>
          </cell>
        </row>
        <row r="1337">
          <cell r="I1337" t="str">
            <v>IF128G</v>
          </cell>
          <cell r="J1337">
            <v>295100</v>
          </cell>
        </row>
        <row r="1338">
          <cell r="I1338" t="str">
            <v>IF062H</v>
          </cell>
          <cell r="J1338">
            <v>115000</v>
          </cell>
        </row>
        <row r="1339">
          <cell r="I1339" t="str">
            <v>IF072H</v>
          </cell>
          <cell r="J1339">
            <v>127600</v>
          </cell>
        </row>
        <row r="1340">
          <cell r="I1340" t="str">
            <v>IF082H</v>
          </cell>
          <cell r="J1340">
            <v>141800</v>
          </cell>
        </row>
        <row r="1341">
          <cell r="I1341" t="str">
            <v>IF102H</v>
          </cell>
          <cell r="J1341">
            <v>165900</v>
          </cell>
        </row>
        <row r="1342">
          <cell r="I1342" t="str">
            <v>IF122H</v>
          </cell>
          <cell r="J1342">
            <v>190100</v>
          </cell>
        </row>
        <row r="1343">
          <cell r="I1343" t="str">
            <v>IF064H</v>
          </cell>
          <cell r="J1343">
            <v>137000</v>
          </cell>
        </row>
        <row r="1344">
          <cell r="I1344" t="str">
            <v>IF074H</v>
          </cell>
          <cell r="J1344">
            <v>149600</v>
          </cell>
        </row>
        <row r="1345">
          <cell r="I1345" t="str">
            <v>IF084H</v>
          </cell>
          <cell r="J1345">
            <v>163800</v>
          </cell>
        </row>
        <row r="1346">
          <cell r="I1346" t="str">
            <v>IF104H</v>
          </cell>
          <cell r="J1346">
            <v>188000</v>
          </cell>
        </row>
        <row r="1347">
          <cell r="I1347" t="str">
            <v>IF124H</v>
          </cell>
          <cell r="J1347">
            <v>212100</v>
          </cell>
        </row>
        <row r="1348">
          <cell r="I1348" t="str">
            <v>IF066H</v>
          </cell>
          <cell r="J1348">
            <v>154900</v>
          </cell>
        </row>
        <row r="1349">
          <cell r="I1349" t="str">
            <v>IF076H</v>
          </cell>
          <cell r="J1349">
            <v>170600</v>
          </cell>
        </row>
        <row r="1350">
          <cell r="I1350" t="str">
            <v>IF086H</v>
          </cell>
          <cell r="J1350">
            <v>188000</v>
          </cell>
        </row>
        <row r="1351">
          <cell r="I1351" t="str">
            <v>IF106H</v>
          </cell>
          <cell r="J1351">
            <v>218400</v>
          </cell>
        </row>
        <row r="1352">
          <cell r="I1352" t="str">
            <v>IF126H</v>
          </cell>
          <cell r="J1352">
            <v>248900</v>
          </cell>
        </row>
        <row r="1353">
          <cell r="I1353" t="str">
            <v>IF068H</v>
          </cell>
          <cell r="J1353">
            <v>175900</v>
          </cell>
        </row>
        <row r="1354">
          <cell r="I1354" t="str">
            <v>IF078H</v>
          </cell>
          <cell r="J1354">
            <v>191600</v>
          </cell>
        </row>
        <row r="1355">
          <cell r="I1355" t="str">
            <v>IF088H</v>
          </cell>
          <cell r="J1355">
            <v>209000</v>
          </cell>
        </row>
        <row r="1356">
          <cell r="I1356" t="str">
            <v>IF108H</v>
          </cell>
          <cell r="J1356">
            <v>239400</v>
          </cell>
        </row>
        <row r="1357">
          <cell r="I1357" t="str">
            <v>IF128H</v>
          </cell>
          <cell r="J1357">
            <v>269900</v>
          </cell>
        </row>
        <row r="1358">
          <cell r="I1358" t="str">
            <v>IF062B</v>
          </cell>
          <cell r="J1358">
            <v>128600</v>
          </cell>
        </row>
        <row r="1359">
          <cell r="I1359" t="str">
            <v>IF072B</v>
          </cell>
          <cell r="J1359">
            <v>140200</v>
          </cell>
        </row>
        <row r="1360">
          <cell r="I1360" t="str">
            <v>IF082B</v>
          </cell>
          <cell r="J1360">
            <v>152300</v>
          </cell>
        </row>
        <row r="1361">
          <cell r="I1361" t="str">
            <v>IF102B</v>
          </cell>
          <cell r="J1361">
            <v>176400</v>
          </cell>
        </row>
        <row r="1362">
          <cell r="I1362" t="str">
            <v>IF122B</v>
          </cell>
          <cell r="J1362">
            <v>200600</v>
          </cell>
        </row>
        <row r="1363">
          <cell r="I1363" t="str">
            <v>IF064B</v>
          </cell>
          <cell r="J1363">
            <v>148600</v>
          </cell>
        </row>
        <row r="1364">
          <cell r="I1364" t="str">
            <v>IF074B</v>
          </cell>
          <cell r="J1364">
            <v>162200</v>
          </cell>
        </row>
        <row r="1365">
          <cell r="I1365" t="str">
            <v>IF084B</v>
          </cell>
          <cell r="J1365">
            <v>176400</v>
          </cell>
        </row>
        <row r="1366">
          <cell r="I1366" t="str">
            <v>IF104B</v>
          </cell>
          <cell r="J1366">
            <v>202700</v>
          </cell>
        </row>
        <row r="1367">
          <cell r="I1367" t="str">
            <v>IF124B</v>
          </cell>
          <cell r="J1367">
            <v>228900</v>
          </cell>
        </row>
        <row r="1368">
          <cell r="I1368" t="str">
            <v>IF066B</v>
          </cell>
          <cell r="J1368">
            <v>168500</v>
          </cell>
        </row>
        <row r="1369">
          <cell r="I1369" t="str">
            <v>IF076B</v>
          </cell>
          <cell r="J1369">
            <v>183200</v>
          </cell>
        </row>
        <row r="1370">
          <cell r="I1370" t="str">
            <v>IF086B</v>
          </cell>
          <cell r="J1370">
            <v>198500</v>
          </cell>
        </row>
        <row r="1371">
          <cell r="I1371" t="str">
            <v>IF106B</v>
          </cell>
          <cell r="J1371">
            <v>228900</v>
          </cell>
        </row>
        <row r="1372">
          <cell r="I1372" t="str">
            <v>IF126B</v>
          </cell>
          <cell r="J1372">
            <v>259400</v>
          </cell>
        </row>
        <row r="1373">
          <cell r="I1373" t="str">
            <v>IF068B</v>
          </cell>
          <cell r="J1373">
            <v>187400</v>
          </cell>
        </row>
        <row r="1374">
          <cell r="I1374" t="str">
            <v>IF078B</v>
          </cell>
          <cell r="J1374">
            <v>204200</v>
          </cell>
        </row>
        <row r="1375">
          <cell r="I1375" t="str">
            <v>IF088B</v>
          </cell>
          <cell r="J1375">
            <v>221600</v>
          </cell>
        </row>
        <row r="1376">
          <cell r="I1376" t="str">
            <v>IF108B</v>
          </cell>
          <cell r="J1376">
            <v>254100</v>
          </cell>
        </row>
        <row r="1377">
          <cell r="I1377" t="str">
            <v>IF128B</v>
          </cell>
          <cell r="J1377">
            <v>286700</v>
          </cell>
        </row>
        <row r="1378">
          <cell r="I1378" t="str">
            <v>IF066HB</v>
          </cell>
          <cell r="J1378">
            <v>151700</v>
          </cell>
        </row>
        <row r="1379">
          <cell r="I1379" t="str">
            <v>IF076HB</v>
          </cell>
          <cell r="J1379">
            <v>169600</v>
          </cell>
        </row>
        <row r="1380">
          <cell r="I1380" t="str">
            <v>IF086HB</v>
          </cell>
          <cell r="J1380">
            <v>190100</v>
          </cell>
        </row>
        <row r="1381">
          <cell r="I1381" t="str">
            <v>IF106HB</v>
          </cell>
          <cell r="J1381">
            <v>224700</v>
          </cell>
        </row>
        <row r="1382">
          <cell r="I1382" t="str">
            <v>IF126HB</v>
          </cell>
          <cell r="J1382">
            <v>259400</v>
          </cell>
        </row>
        <row r="1383">
          <cell r="I1383" t="str">
            <v>IF068HB</v>
          </cell>
          <cell r="J1383">
            <v>172700</v>
          </cell>
        </row>
        <row r="1384">
          <cell r="I1384" t="str">
            <v>IF078HB</v>
          </cell>
          <cell r="J1384">
            <v>190600</v>
          </cell>
        </row>
        <row r="1385">
          <cell r="I1385" t="str">
            <v>IF088HB</v>
          </cell>
          <cell r="J1385">
            <v>211100</v>
          </cell>
        </row>
        <row r="1386">
          <cell r="I1386" t="str">
            <v>IF108HB</v>
          </cell>
          <cell r="J1386">
            <v>245700</v>
          </cell>
        </row>
        <row r="1387">
          <cell r="I1387" t="str">
            <v>IF128HB</v>
          </cell>
          <cell r="J1387">
            <v>280400</v>
          </cell>
        </row>
        <row r="1388">
          <cell r="I1388" t="str">
            <v>IF062D</v>
          </cell>
          <cell r="J1388">
            <v>123400</v>
          </cell>
        </row>
        <row r="1389">
          <cell r="I1389" t="str">
            <v>IF072D</v>
          </cell>
          <cell r="J1389">
            <v>134400</v>
          </cell>
        </row>
        <row r="1390">
          <cell r="I1390" t="str">
            <v>IF082D</v>
          </cell>
          <cell r="J1390">
            <v>146000</v>
          </cell>
        </row>
        <row r="1391">
          <cell r="I1391" t="str">
            <v>IF102D</v>
          </cell>
          <cell r="J1391">
            <v>168000</v>
          </cell>
        </row>
        <row r="1392">
          <cell r="I1392" t="str">
            <v>IF122D</v>
          </cell>
          <cell r="J1392">
            <v>190100</v>
          </cell>
        </row>
        <row r="1393">
          <cell r="I1393" t="str">
            <v>IF064D</v>
          </cell>
          <cell r="J1393">
            <v>142300</v>
          </cell>
        </row>
        <row r="1394">
          <cell r="I1394" t="str">
            <v>IF074D</v>
          </cell>
          <cell r="J1394">
            <v>154400</v>
          </cell>
        </row>
        <row r="1395">
          <cell r="I1395" t="str">
            <v>IF084D</v>
          </cell>
          <cell r="J1395">
            <v>167000</v>
          </cell>
        </row>
        <row r="1396">
          <cell r="I1396" t="str">
            <v>IF104D</v>
          </cell>
          <cell r="J1396">
            <v>190100</v>
          </cell>
        </row>
        <row r="1397">
          <cell r="I1397" t="str">
            <v>IF124D</v>
          </cell>
          <cell r="J1397">
            <v>213200</v>
          </cell>
        </row>
        <row r="1398">
          <cell r="I1398" t="str">
            <v>IF066D</v>
          </cell>
          <cell r="J1398">
            <v>163300</v>
          </cell>
        </row>
        <row r="1399">
          <cell r="I1399" t="str">
            <v>IF076D</v>
          </cell>
          <cell r="J1399">
            <v>177500</v>
          </cell>
        </row>
        <row r="1400">
          <cell r="I1400" t="str">
            <v>IF086D</v>
          </cell>
          <cell r="J1400">
            <v>192200</v>
          </cell>
        </row>
        <row r="1401">
          <cell r="I1401" t="str">
            <v>IF106D</v>
          </cell>
          <cell r="J1401">
            <v>220500</v>
          </cell>
        </row>
        <row r="1402">
          <cell r="I1402" t="str">
            <v>IF126D</v>
          </cell>
          <cell r="J1402">
            <v>248900</v>
          </cell>
        </row>
        <row r="1403">
          <cell r="I1403" t="str">
            <v>IF068D</v>
          </cell>
          <cell r="J1403">
            <v>181100</v>
          </cell>
        </row>
        <row r="1404">
          <cell r="I1404" t="str">
            <v>IF078D</v>
          </cell>
          <cell r="J1404">
            <v>196400</v>
          </cell>
        </row>
        <row r="1405">
          <cell r="I1405" t="str">
            <v>IF088D</v>
          </cell>
          <cell r="J1405">
            <v>212100</v>
          </cell>
        </row>
        <row r="1406">
          <cell r="I1406" t="str">
            <v>IF108D</v>
          </cell>
          <cell r="J1406">
            <v>241500</v>
          </cell>
        </row>
        <row r="1407">
          <cell r="I1407" t="str">
            <v>IF128D</v>
          </cell>
          <cell r="J1407">
            <v>270900</v>
          </cell>
        </row>
        <row r="1408">
          <cell r="I1408" t="str">
            <v>유리ED008</v>
          </cell>
          <cell r="J1408">
            <v>28000</v>
          </cell>
        </row>
        <row r="1409">
          <cell r="I1409" t="str">
            <v>유리ED012</v>
          </cell>
          <cell r="J1409">
            <v>32000</v>
          </cell>
        </row>
        <row r="1410">
          <cell r="I1410" t="str">
            <v>유리ED014</v>
          </cell>
          <cell r="J1410">
            <v>37000</v>
          </cell>
        </row>
        <row r="1411">
          <cell r="I1411" t="str">
            <v>유리ED016</v>
          </cell>
          <cell r="J1411">
            <v>43000</v>
          </cell>
        </row>
        <row r="1412">
          <cell r="I1412" t="str">
            <v>유리ED018</v>
          </cell>
          <cell r="J1412">
            <v>48000</v>
          </cell>
        </row>
        <row r="1413">
          <cell r="I1413" t="str">
            <v>유리ED018X</v>
          </cell>
          <cell r="J1413">
            <v>50000</v>
          </cell>
        </row>
        <row r="1414">
          <cell r="I1414" t="str">
            <v>유리ED0108</v>
          </cell>
          <cell r="J1414">
            <v>22000</v>
          </cell>
        </row>
        <row r="1415">
          <cell r="I1415" t="str">
            <v>유리ED0112</v>
          </cell>
          <cell r="J1415">
            <v>26000</v>
          </cell>
        </row>
        <row r="1416">
          <cell r="I1416" t="str">
            <v>유리ED0114</v>
          </cell>
          <cell r="J1416">
            <v>28000</v>
          </cell>
        </row>
        <row r="1417">
          <cell r="I1417" t="str">
            <v>유리ED0116</v>
          </cell>
          <cell r="J1417">
            <v>32000</v>
          </cell>
        </row>
        <row r="1418">
          <cell r="I1418" t="str">
            <v>유리ED401</v>
          </cell>
          <cell r="J1418">
            <v>20000</v>
          </cell>
        </row>
        <row r="1419">
          <cell r="I1419" t="str">
            <v>유리ED410</v>
          </cell>
          <cell r="J1419">
            <v>20000</v>
          </cell>
        </row>
        <row r="1420">
          <cell r="I1420" t="str">
            <v>유리ED412</v>
          </cell>
          <cell r="J1420">
            <v>22000</v>
          </cell>
        </row>
        <row r="1421">
          <cell r="I1421" t="str">
            <v>유리ED0706</v>
          </cell>
          <cell r="J1421">
            <v>22000</v>
          </cell>
        </row>
        <row r="1422">
          <cell r="I1422" t="str">
            <v>유리ED0708</v>
          </cell>
          <cell r="J1422">
            <v>27000</v>
          </cell>
        </row>
        <row r="1423">
          <cell r="I1423" t="str">
            <v>유리ED0806</v>
          </cell>
          <cell r="J1423">
            <v>15000</v>
          </cell>
        </row>
        <row r="1424">
          <cell r="I1424" t="str">
            <v>유리ED0808</v>
          </cell>
          <cell r="J1424">
            <v>18000</v>
          </cell>
        </row>
        <row r="1425">
          <cell r="I1425" t="str">
            <v>유리ED5466</v>
          </cell>
          <cell r="J1425">
            <v>22000</v>
          </cell>
        </row>
        <row r="1426">
          <cell r="I1426" t="str">
            <v>유리ED5488</v>
          </cell>
          <cell r="J1426">
            <v>25000</v>
          </cell>
        </row>
        <row r="1427">
          <cell r="I1427" t="str">
            <v>유리ED5966</v>
          </cell>
          <cell r="J1427">
            <v>22000</v>
          </cell>
        </row>
        <row r="1428">
          <cell r="I1428" t="str">
            <v>유리ED5988</v>
          </cell>
          <cell r="J1428">
            <v>25000</v>
          </cell>
        </row>
        <row r="1429">
          <cell r="I1429" t="str">
            <v>유리ED950</v>
          </cell>
          <cell r="J1429">
            <v>40000</v>
          </cell>
        </row>
        <row r="1430">
          <cell r="I1430" t="str">
            <v>유리ED912</v>
          </cell>
          <cell r="J1430">
            <v>28000</v>
          </cell>
        </row>
        <row r="1431">
          <cell r="I1431" t="str">
            <v>유리ED916</v>
          </cell>
          <cell r="J1431">
            <v>43000</v>
          </cell>
        </row>
        <row r="1432">
          <cell r="I1432" t="str">
            <v>유리EZ016</v>
          </cell>
          <cell r="J1432">
            <v>30000</v>
          </cell>
        </row>
        <row r="1433">
          <cell r="I1433" t="str">
            <v>유리TD008</v>
          </cell>
          <cell r="J1433">
            <v>30000</v>
          </cell>
        </row>
        <row r="1434">
          <cell r="I1434" t="str">
            <v>유리TD010</v>
          </cell>
          <cell r="J1434">
            <v>35000</v>
          </cell>
        </row>
        <row r="1435">
          <cell r="I1435" t="str">
            <v>유리TD012</v>
          </cell>
          <cell r="J1435">
            <v>37000</v>
          </cell>
        </row>
        <row r="1436">
          <cell r="I1436" t="str">
            <v>유리TD014</v>
          </cell>
          <cell r="J1436">
            <v>42000</v>
          </cell>
        </row>
        <row r="1437">
          <cell r="I1437" t="str">
            <v>유리TD016</v>
          </cell>
          <cell r="J1437">
            <v>47000</v>
          </cell>
        </row>
        <row r="1438">
          <cell r="I1438" t="str">
            <v>유리TD018</v>
          </cell>
          <cell r="J1438">
            <v>52000</v>
          </cell>
        </row>
        <row r="1439">
          <cell r="I1439" t="str">
            <v>유리TD108</v>
          </cell>
          <cell r="J1439">
            <v>23000</v>
          </cell>
        </row>
        <row r="1440">
          <cell r="I1440" t="str">
            <v>유리TD110</v>
          </cell>
          <cell r="J1440">
            <v>28000</v>
          </cell>
        </row>
        <row r="1441">
          <cell r="I1441" t="str">
            <v>유리TD112</v>
          </cell>
          <cell r="J1441">
            <v>30000</v>
          </cell>
        </row>
        <row r="1442">
          <cell r="I1442" t="str">
            <v>유리TD114</v>
          </cell>
          <cell r="J1442">
            <v>35000</v>
          </cell>
        </row>
        <row r="1443">
          <cell r="I1443" t="str">
            <v>유리TD116</v>
          </cell>
          <cell r="J1443">
            <v>40000</v>
          </cell>
        </row>
        <row r="1444">
          <cell r="I1444" t="str">
            <v>유리TD118</v>
          </cell>
          <cell r="J1444">
            <v>43000</v>
          </cell>
        </row>
        <row r="1445">
          <cell r="I1445" t="str">
            <v>유리TD912</v>
          </cell>
          <cell r="J1445">
            <v>27000</v>
          </cell>
        </row>
        <row r="1446">
          <cell r="I1446" t="str">
            <v>유리TD916</v>
          </cell>
          <cell r="J1446">
            <v>40000</v>
          </cell>
        </row>
        <row r="1447">
          <cell r="I1447" t="str">
            <v>유리TD990</v>
          </cell>
          <cell r="J1447">
            <v>42000</v>
          </cell>
        </row>
        <row r="1448">
          <cell r="I1448" t="str">
            <v>유리TD966</v>
          </cell>
          <cell r="J1448">
            <v>32000</v>
          </cell>
        </row>
        <row r="1449">
          <cell r="I1449" t="str">
            <v>유리TD988</v>
          </cell>
          <cell r="J1449">
            <v>43000</v>
          </cell>
        </row>
        <row r="1450">
          <cell r="I1450" t="str">
            <v>유리TD412</v>
          </cell>
          <cell r="J1450">
            <v>20000</v>
          </cell>
        </row>
        <row r="1451">
          <cell r="I1451" t="str">
            <v>유리TD508</v>
          </cell>
          <cell r="J1451">
            <v>46000</v>
          </cell>
        </row>
        <row r="1452">
          <cell r="I1452" t="str">
            <v>유리TD507</v>
          </cell>
          <cell r="J1452">
            <v>46000</v>
          </cell>
        </row>
        <row r="1453">
          <cell r="I1453" t="str">
            <v>유리TD518</v>
          </cell>
          <cell r="J1453">
            <v>35000</v>
          </cell>
        </row>
        <row r="1454">
          <cell r="I1454" t="str">
            <v>유리TD516</v>
          </cell>
          <cell r="J1454">
            <v>30000</v>
          </cell>
        </row>
        <row r="1455">
          <cell r="I1455" t="str">
            <v>유리NT0006</v>
          </cell>
          <cell r="J1455">
            <v>18000</v>
          </cell>
        </row>
        <row r="1456">
          <cell r="I1456" t="str">
            <v>유리NT0008</v>
          </cell>
          <cell r="J1456">
            <v>23000</v>
          </cell>
        </row>
        <row r="1457">
          <cell r="I1457" t="str">
            <v>유리NT0010</v>
          </cell>
          <cell r="J1457">
            <v>28000</v>
          </cell>
        </row>
        <row r="1458">
          <cell r="I1458" t="str">
            <v>유리NT0012</v>
          </cell>
          <cell r="J1458">
            <v>32000</v>
          </cell>
        </row>
        <row r="1459">
          <cell r="I1459" t="str">
            <v>유리NT0016</v>
          </cell>
          <cell r="J1459">
            <v>43000</v>
          </cell>
        </row>
        <row r="1460">
          <cell r="I1460" t="str">
            <v>유리NT0018</v>
          </cell>
          <cell r="J1460">
            <v>45000</v>
          </cell>
        </row>
        <row r="1461">
          <cell r="I1461" t="str">
            <v>유리NT0106</v>
          </cell>
          <cell r="J1461">
            <v>18000</v>
          </cell>
        </row>
        <row r="1462">
          <cell r="I1462" t="str">
            <v>유리NT0108</v>
          </cell>
          <cell r="J1462">
            <v>22000</v>
          </cell>
        </row>
        <row r="1463">
          <cell r="I1463" t="str">
            <v>유리NT0110</v>
          </cell>
          <cell r="J1463">
            <v>23000</v>
          </cell>
        </row>
        <row r="1464">
          <cell r="I1464" t="str">
            <v>유리NT0112</v>
          </cell>
          <cell r="J1464">
            <v>25000</v>
          </cell>
        </row>
        <row r="1465">
          <cell r="I1465" t="str">
            <v>유리NT0114</v>
          </cell>
          <cell r="J1465">
            <v>30000</v>
          </cell>
        </row>
        <row r="1466">
          <cell r="I1466" t="str">
            <v>유리NT0116</v>
          </cell>
          <cell r="J1466">
            <v>34000</v>
          </cell>
        </row>
        <row r="1467">
          <cell r="I1467" t="str">
            <v>유리NT0118</v>
          </cell>
          <cell r="J1467">
            <v>38000</v>
          </cell>
        </row>
        <row r="1468">
          <cell r="I1468" t="str">
            <v>유리NT966</v>
          </cell>
          <cell r="J1468">
            <v>40000</v>
          </cell>
        </row>
        <row r="1469">
          <cell r="I1469" t="str">
            <v>유리NT5566</v>
          </cell>
          <cell r="J1469">
            <v>47000</v>
          </cell>
        </row>
        <row r="1470">
          <cell r="I1470" t="str">
            <v>유리NT988</v>
          </cell>
          <cell r="J1470">
            <v>45000</v>
          </cell>
        </row>
        <row r="1471">
          <cell r="I1471" t="str">
            <v>유리NT912</v>
          </cell>
          <cell r="J1471">
            <v>28000</v>
          </cell>
        </row>
        <row r="1472">
          <cell r="I1472" t="str">
            <v>유리NT916</v>
          </cell>
          <cell r="J1472">
            <v>38000</v>
          </cell>
        </row>
        <row r="1473">
          <cell r="I1473" t="str">
            <v>유리NT918</v>
          </cell>
          <cell r="J1473">
            <v>45000</v>
          </cell>
        </row>
        <row r="1474">
          <cell r="I1474" t="str">
            <v>유리NT5586</v>
          </cell>
          <cell r="J1474">
            <v>50000</v>
          </cell>
        </row>
        <row r="1475">
          <cell r="I1475" t="str">
            <v>유리NT5588</v>
          </cell>
          <cell r="J1475">
            <v>52000</v>
          </cell>
        </row>
        <row r="1476">
          <cell r="I1476" t="str">
            <v>유리YD018</v>
          </cell>
          <cell r="J1476">
            <v>60000</v>
          </cell>
        </row>
        <row r="1477">
          <cell r="I1477" t="str">
            <v>유리YD412</v>
          </cell>
          <cell r="J1477">
            <v>25000</v>
          </cell>
        </row>
        <row r="1478">
          <cell r="I1478" t="str">
            <v>유리YD990</v>
          </cell>
          <cell r="J1478">
            <v>40000</v>
          </cell>
        </row>
        <row r="1479">
          <cell r="I1479" t="str">
            <v>유리CR009</v>
          </cell>
          <cell r="J1479">
            <v>27000</v>
          </cell>
        </row>
        <row r="1480">
          <cell r="I1480" t="str">
            <v>유리CR012</v>
          </cell>
          <cell r="J1480">
            <v>40000</v>
          </cell>
        </row>
        <row r="1481">
          <cell r="I1481" t="str">
            <v>유리CR018</v>
          </cell>
          <cell r="J1481">
            <v>48000</v>
          </cell>
        </row>
        <row r="1482">
          <cell r="I1482" t="str">
            <v>유리CR024</v>
          </cell>
          <cell r="J1482">
            <v>75000</v>
          </cell>
        </row>
        <row r="1483">
          <cell r="I1483" t="str">
            <v>유리SR009</v>
          </cell>
          <cell r="J1483">
            <v>25000</v>
          </cell>
        </row>
        <row r="1484">
          <cell r="I1484" t="str">
            <v>유리SR012</v>
          </cell>
          <cell r="J1484">
            <v>40000</v>
          </cell>
        </row>
        <row r="1485">
          <cell r="I1485" t="str">
            <v>유리SR018</v>
          </cell>
          <cell r="J1485">
            <v>46000</v>
          </cell>
        </row>
        <row r="1486">
          <cell r="I1486" t="str">
            <v>유리SR024S</v>
          </cell>
          <cell r="J1486">
            <v>62000</v>
          </cell>
        </row>
        <row r="1487">
          <cell r="I1487" t="str">
            <v>유리SR024</v>
          </cell>
          <cell r="J1487">
            <v>70000</v>
          </cell>
        </row>
        <row r="1488">
          <cell r="I1488" t="str">
            <v>유리SR032</v>
          </cell>
          <cell r="J1488">
            <v>85000</v>
          </cell>
        </row>
        <row r="1489">
          <cell r="I1489" t="str">
            <v>유리PD018</v>
          </cell>
          <cell r="J1489">
            <v>56000</v>
          </cell>
        </row>
        <row r="1490">
          <cell r="I1490" t="str">
            <v>유리PD021</v>
          </cell>
          <cell r="J1490">
            <v>72000</v>
          </cell>
        </row>
        <row r="1491">
          <cell r="I1491" t="str">
            <v>유리PD414</v>
          </cell>
          <cell r="J1491">
            <v>28000</v>
          </cell>
        </row>
        <row r="1492">
          <cell r="I1492" t="str">
            <v>유리EL0112</v>
          </cell>
          <cell r="J1492">
            <v>25000</v>
          </cell>
        </row>
        <row r="1493">
          <cell r="I1493" t="str">
            <v>유리EL0104</v>
          </cell>
          <cell r="J1493">
            <v>15000</v>
          </cell>
        </row>
        <row r="1494">
          <cell r="I1494" t="str">
            <v>유리CL0207</v>
          </cell>
          <cell r="J1494">
            <v>26000</v>
          </cell>
        </row>
        <row r="1495">
          <cell r="I1495" t="str">
            <v>유리CL0212</v>
          </cell>
          <cell r="J1495">
            <v>25000</v>
          </cell>
        </row>
        <row r="1496">
          <cell r="I1496" t="str">
            <v>유리CL0204</v>
          </cell>
          <cell r="J1496">
            <v>18000</v>
          </cell>
        </row>
        <row r="1497">
          <cell r="I1497" t="str">
            <v>유리LD021</v>
          </cell>
          <cell r="J1497">
            <v>70000</v>
          </cell>
        </row>
        <row r="1498">
          <cell r="I1498" t="str">
            <v>유리LD018</v>
          </cell>
          <cell r="J1498">
            <v>45000</v>
          </cell>
        </row>
        <row r="1499">
          <cell r="I1499" t="str">
            <v>유리LZ01</v>
          </cell>
          <cell r="J1499">
            <v>40000</v>
          </cell>
        </row>
        <row r="1500">
          <cell r="I1500" t="str">
            <v>유리LZ11</v>
          </cell>
          <cell r="J1500">
            <v>30000</v>
          </cell>
        </row>
        <row r="1501">
          <cell r="I1501" t="str">
            <v>유리LL016</v>
          </cell>
          <cell r="J1501">
            <v>45000</v>
          </cell>
        </row>
        <row r="1502">
          <cell r="I1502" t="str">
            <v>유리LL008</v>
          </cell>
          <cell r="J1502">
            <v>25000</v>
          </cell>
        </row>
        <row r="1503">
          <cell r="I1503" t="str">
            <v>유리LL0007</v>
          </cell>
          <cell r="J1503">
            <v>18000</v>
          </cell>
        </row>
        <row r="1504">
          <cell r="I1504" t="str">
            <v>유리CR1107</v>
          </cell>
          <cell r="J1504">
            <v>18000</v>
          </cell>
        </row>
        <row r="1505">
          <cell r="I1505" t="str">
            <v>유리CR1115</v>
          </cell>
          <cell r="J1505">
            <v>25000</v>
          </cell>
        </row>
        <row r="1506">
          <cell r="I1506" t="str">
            <v>유리CR1166</v>
          </cell>
          <cell r="J1506">
            <v>25000</v>
          </cell>
        </row>
        <row r="1507">
          <cell r="I1507" t="str">
            <v>유리CR1007</v>
          </cell>
          <cell r="J1507">
            <v>20000</v>
          </cell>
        </row>
        <row r="1508">
          <cell r="I1508" t="str">
            <v>유리CR1015</v>
          </cell>
          <cell r="J1508">
            <v>40000</v>
          </cell>
        </row>
        <row r="1509">
          <cell r="I1509" t="str">
            <v>유리CR1066</v>
          </cell>
          <cell r="J1509">
            <v>45000</v>
          </cell>
        </row>
        <row r="1510">
          <cell r="I1510" t="str">
            <v>유리CR3118</v>
          </cell>
          <cell r="J1510">
            <v>30000</v>
          </cell>
        </row>
        <row r="1511">
          <cell r="I1511" t="str">
            <v>유리SD008</v>
          </cell>
          <cell r="J1511">
            <v>23000</v>
          </cell>
        </row>
        <row r="1512">
          <cell r="I1512" t="str">
            <v>유리SD008L</v>
          </cell>
          <cell r="J1512">
            <v>23000</v>
          </cell>
        </row>
        <row r="1513">
          <cell r="I1513" t="str">
            <v>유리SD008R</v>
          </cell>
          <cell r="J1513">
            <v>23000</v>
          </cell>
        </row>
        <row r="1514">
          <cell r="I1514" t="str">
            <v>유리SD012</v>
          </cell>
          <cell r="J1514">
            <v>30000</v>
          </cell>
        </row>
        <row r="1515">
          <cell r="I1515" t="str">
            <v>유리SD012L</v>
          </cell>
          <cell r="J1515">
            <v>30000</v>
          </cell>
        </row>
        <row r="1516">
          <cell r="I1516" t="str">
            <v>유리SD012R</v>
          </cell>
          <cell r="J1516">
            <v>30000</v>
          </cell>
        </row>
        <row r="1517">
          <cell r="I1517" t="str">
            <v>유리SD014</v>
          </cell>
          <cell r="J1517">
            <v>40000</v>
          </cell>
        </row>
        <row r="1518">
          <cell r="I1518" t="str">
            <v>유리SD014L</v>
          </cell>
          <cell r="J1518">
            <v>40000</v>
          </cell>
        </row>
        <row r="1519">
          <cell r="I1519" t="str">
            <v>유리SD014R</v>
          </cell>
          <cell r="J1519">
            <v>40000</v>
          </cell>
        </row>
        <row r="1520">
          <cell r="I1520" t="str">
            <v>유리SD016</v>
          </cell>
          <cell r="J1520">
            <v>50000</v>
          </cell>
        </row>
        <row r="1521">
          <cell r="I1521" t="str">
            <v>유리SD016R</v>
          </cell>
          <cell r="J1521">
            <v>50000</v>
          </cell>
        </row>
        <row r="1522">
          <cell r="I1522" t="str">
            <v>유리SD016L</v>
          </cell>
          <cell r="J1522">
            <v>50000</v>
          </cell>
        </row>
        <row r="1523">
          <cell r="I1523" t="str">
            <v>유리SD316R</v>
          </cell>
          <cell r="J1523">
            <v>60000</v>
          </cell>
        </row>
        <row r="1524">
          <cell r="I1524" t="str">
            <v>유리SD316L</v>
          </cell>
          <cell r="J1524">
            <v>60000</v>
          </cell>
        </row>
        <row r="1525">
          <cell r="I1525" t="str">
            <v>유리SD507</v>
          </cell>
          <cell r="J1525">
            <v>40000</v>
          </cell>
        </row>
        <row r="1526">
          <cell r="I1526" t="str">
            <v>유리SD517</v>
          </cell>
          <cell r="J1526">
            <v>30000</v>
          </cell>
        </row>
        <row r="1527">
          <cell r="I1527" t="str">
            <v>유리SD547</v>
          </cell>
          <cell r="J1527">
            <v>18000</v>
          </cell>
        </row>
        <row r="1528">
          <cell r="I1528" t="str">
            <v>유리SD597</v>
          </cell>
          <cell r="J1528">
            <v>23000</v>
          </cell>
        </row>
        <row r="1529">
          <cell r="I1529" t="str">
            <v>유리SD406L</v>
          </cell>
          <cell r="J1529">
            <v>15000</v>
          </cell>
        </row>
        <row r="1530">
          <cell r="I1530" t="str">
            <v>유리SD406R</v>
          </cell>
          <cell r="J1530">
            <v>15000</v>
          </cell>
        </row>
        <row r="1531">
          <cell r="I1531" t="str">
            <v>유리SD912</v>
          </cell>
          <cell r="J1531">
            <v>23000</v>
          </cell>
        </row>
        <row r="1532">
          <cell r="I1532" t="str">
            <v>유리SD955</v>
          </cell>
          <cell r="J1532">
            <v>20000</v>
          </cell>
        </row>
        <row r="1533">
          <cell r="I1533" t="str">
            <v>유리SD977</v>
          </cell>
          <cell r="J1533">
            <v>34000</v>
          </cell>
        </row>
        <row r="1534">
          <cell r="I1534" t="str">
            <v>유리SD927L</v>
          </cell>
          <cell r="J1534">
            <v>40000</v>
          </cell>
        </row>
        <row r="1535">
          <cell r="I1535" t="str">
            <v>유리SD927R</v>
          </cell>
          <cell r="J1535">
            <v>40000</v>
          </cell>
        </row>
        <row r="1536">
          <cell r="I1536" t="str">
            <v>유리SD990</v>
          </cell>
          <cell r="J1536">
            <v>42000</v>
          </cell>
        </row>
        <row r="1537">
          <cell r="I1537" t="str">
            <v>유리SD0300</v>
          </cell>
          <cell r="J1537">
            <v>15000</v>
          </cell>
        </row>
        <row r="1538">
          <cell r="I1538" t="str">
            <v>유리SD662</v>
          </cell>
          <cell r="J1538">
            <v>18000</v>
          </cell>
        </row>
        <row r="1539">
          <cell r="I1539" t="str">
            <v>유리IT0008</v>
          </cell>
          <cell r="J1539">
            <v>24000</v>
          </cell>
        </row>
        <row r="1540">
          <cell r="I1540" t="str">
            <v>유리IT0008L</v>
          </cell>
          <cell r="J1540">
            <v>24000</v>
          </cell>
        </row>
        <row r="1541">
          <cell r="I1541" t="str">
            <v>유리IT0008R</v>
          </cell>
          <cell r="J1541">
            <v>24000</v>
          </cell>
        </row>
        <row r="1542">
          <cell r="I1542" t="str">
            <v>유리IT0010</v>
          </cell>
          <cell r="J1542">
            <v>30000</v>
          </cell>
        </row>
        <row r="1543">
          <cell r="I1543" t="str">
            <v>유리IT0010L</v>
          </cell>
          <cell r="J1543">
            <v>30000</v>
          </cell>
        </row>
        <row r="1544">
          <cell r="I1544" t="str">
            <v>유리IT0010R</v>
          </cell>
          <cell r="J1544">
            <v>30000</v>
          </cell>
        </row>
        <row r="1545">
          <cell r="I1545" t="str">
            <v>유리IT0012</v>
          </cell>
          <cell r="J1545">
            <v>32000</v>
          </cell>
        </row>
        <row r="1546">
          <cell r="I1546" t="str">
            <v>유리IT0012L</v>
          </cell>
          <cell r="J1546">
            <v>32000</v>
          </cell>
        </row>
        <row r="1547">
          <cell r="I1547" t="str">
            <v>유리IT0012R</v>
          </cell>
          <cell r="J1547">
            <v>32000</v>
          </cell>
        </row>
        <row r="1548">
          <cell r="I1548" t="str">
            <v>유리IT0116</v>
          </cell>
          <cell r="J1548">
            <v>38000</v>
          </cell>
        </row>
        <row r="1549">
          <cell r="I1549" t="str">
            <v>유리IT0118</v>
          </cell>
          <cell r="J1549">
            <v>40000</v>
          </cell>
        </row>
        <row r="1550">
          <cell r="I1550" t="str">
            <v>유리IT5066</v>
          </cell>
          <cell r="J1550">
            <v>42000</v>
          </cell>
        </row>
        <row r="1551">
          <cell r="I1551" t="str">
            <v>유리IT5077</v>
          </cell>
          <cell r="J1551">
            <v>45000</v>
          </cell>
        </row>
        <row r="1552">
          <cell r="I1552" t="str">
            <v>유리IT912</v>
          </cell>
          <cell r="J1552">
            <v>27000</v>
          </cell>
        </row>
        <row r="1553">
          <cell r="I1553" t="str">
            <v>유리IT916</v>
          </cell>
          <cell r="J1553">
            <v>43000</v>
          </cell>
        </row>
        <row r="1554">
          <cell r="I1554" t="str">
            <v>유리IT966</v>
          </cell>
          <cell r="J1554">
            <v>28000</v>
          </cell>
        </row>
        <row r="1555">
          <cell r="I1555" t="str">
            <v>유리IT977</v>
          </cell>
          <cell r="J1555">
            <v>43000</v>
          </cell>
        </row>
        <row r="1556">
          <cell r="I1556" t="str">
            <v>유리IT926L</v>
          </cell>
          <cell r="J1556">
            <v>43000</v>
          </cell>
        </row>
        <row r="1557">
          <cell r="I1557" t="str">
            <v>유리IT926R</v>
          </cell>
          <cell r="J1557">
            <v>43000</v>
          </cell>
        </row>
        <row r="1558">
          <cell r="I1558" t="str">
            <v>유리IT927L</v>
          </cell>
          <cell r="J1558">
            <v>43000</v>
          </cell>
        </row>
        <row r="1559">
          <cell r="I1559" t="str">
            <v>유리IT927R</v>
          </cell>
          <cell r="J1559">
            <v>43000</v>
          </cell>
        </row>
        <row r="1560">
          <cell r="I1560" t="str">
            <v>유리IT912DL</v>
          </cell>
          <cell r="J1560">
            <v>38000</v>
          </cell>
        </row>
        <row r="1561">
          <cell r="I1561" t="str">
            <v>유리IT912DR</v>
          </cell>
          <cell r="J1561">
            <v>38000</v>
          </cell>
        </row>
        <row r="1562">
          <cell r="I1562" t="str">
            <v>유리IT918DL</v>
          </cell>
          <cell r="J1562">
            <v>43000</v>
          </cell>
        </row>
        <row r="1563">
          <cell r="I1563" t="str">
            <v>유리IT918DR</v>
          </cell>
          <cell r="J1563">
            <v>43000</v>
          </cell>
        </row>
        <row r="1564">
          <cell r="I1564" t="str">
            <v>유리IT912CL</v>
          </cell>
          <cell r="J1564">
            <v>38000</v>
          </cell>
        </row>
        <row r="1565">
          <cell r="I1565" t="str">
            <v>유리IT912CR</v>
          </cell>
          <cell r="J1565">
            <v>38000</v>
          </cell>
        </row>
        <row r="1566">
          <cell r="I1566" t="str">
            <v>유리IT918CL</v>
          </cell>
          <cell r="J1566">
            <v>43000</v>
          </cell>
        </row>
        <row r="1567">
          <cell r="I1567" t="str">
            <v>유리IT918CR</v>
          </cell>
          <cell r="J1567">
            <v>43000</v>
          </cell>
        </row>
        <row r="1568">
          <cell r="I1568" t="str">
            <v>유리IT2004</v>
          </cell>
          <cell r="J1568">
            <v>15000</v>
          </cell>
        </row>
        <row r="1569">
          <cell r="I1569" t="str">
            <v>유리IT2005</v>
          </cell>
          <cell r="J1569">
            <v>15000</v>
          </cell>
        </row>
        <row r="1570">
          <cell r="I1570" t="str">
            <v>유리IT2006</v>
          </cell>
          <cell r="J1570">
            <v>15000</v>
          </cell>
        </row>
        <row r="1571">
          <cell r="I1571" t="str">
            <v>유리IT2007</v>
          </cell>
          <cell r="J1571">
            <v>17000</v>
          </cell>
        </row>
        <row r="1572">
          <cell r="I1572" t="str">
            <v>유리IT2008</v>
          </cell>
          <cell r="J1572">
            <v>20000</v>
          </cell>
        </row>
        <row r="1573">
          <cell r="I1573" t="str">
            <v>유리IT2010</v>
          </cell>
          <cell r="J1573">
            <v>20000</v>
          </cell>
        </row>
        <row r="1574">
          <cell r="I1574" t="str">
            <v>유리IT2012</v>
          </cell>
          <cell r="J1574">
            <v>22000</v>
          </cell>
        </row>
        <row r="1575">
          <cell r="I1575" t="str">
            <v>유리IT2014</v>
          </cell>
          <cell r="J1575">
            <v>25000</v>
          </cell>
        </row>
        <row r="1576">
          <cell r="I1576" t="str">
            <v>유리IT2016</v>
          </cell>
          <cell r="J1576">
            <v>28000</v>
          </cell>
        </row>
        <row r="1577">
          <cell r="I1577" t="str">
            <v>유리IT2122</v>
          </cell>
          <cell r="J1577">
            <v>15000</v>
          </cell>
        </row>
        <row r="1578">
          <cell r="I1578" t="str">
            <v>유리IT2204</v>
          </cell>
          <cell r="J1578">
            <v>15000</v>
          </cell>
        </row>
        <row r="1579">
          <cell r="I1579" t="str">
            <v>유리IT2205</v>
          </cell>
          <cell r="J1579">
            <v>15000</v>
          </cell>
        </row>
        <row r="1580">
          <cell r="I1580" t="str">
            <v>유리IT2206</v>
          </cell>
          <cell r="J1580">
            <v>18000</v>
          </cell>
        </row>
        <row r="1581">
          <cell r="I1581" t="str">
            <v>유리IT2207</v>
          </cell>
          <cell r="J1581">
            <v>20000</v>
          </cell>
        </row>
        <row r="1582">
          <cell r="I1582" t="str">
            <v>유리IT2208</v>
          </cell>
          <cell r="J1582">
            <v>22000</v>
          </cell>
        </row>
        <row r="1583">
          <cell r="I1583" t="str">
            <v>유리IT2210</v>
          </cell>
          <cell r="J1583">
            <v>22000</v>
          </cell>
        </row>
        <row r="1584">
          <cell r="I1584" t="str">
            <v>유리IT2212</v>
          </cell>
          <cell r="J1584">
            <v>25000</v>
          </cell>
        </row>
        <row r="1585">
          <cell r="I1585" t="str">
            <v>유리PL0904</v>
          </cell>
          <cell r="J1585">
            <v>18000</v>
          </cell>
        </row>
        <row r="1586">
          <cell r="I1586" t="str">
            <v>유리PL0908</v>
          </cell>
          <cell r="J1586">
            <v>28000</v>
          </cell>
        </row>
        <row r="1587">
          <cell r="I1587" t="str">
            <v>유리PL0912</v>
          </cell>
          <cell r="J1587">
            <v>30000</v>
          </cell>
        </row>
        <row r="1588">
          <cell r="I1588" t="str">
            <v>유리PL0914</v>
          </cell>
          <cell r="J1588">
            <v>34000</v>
          </cell>
        </row>
        <row r="1589">
          <cell r="I1589" t="str">
            <v>유리CR2008</v>
          </cell>
          <cell r="J1589">
            <v>28000</v>
          </cell>
        </row>
        <row r="1590">
          <cell r="I1590" t="str">
            <v>유리CR2590</v>
          </cell>
          <cell r="J1590">
            <v>28000</v>
          </cell>
        </row>
        <row r="1591">
          <cell r="I1591" t="str">
            <v>유리CR2016</v>
          </cell>
          <cell r="J1591">
            <v>42000</v>
          </cell>
        </row>
        <row r="1592">
          <cell r="I1592" t="str">
            <v>유리CC1083</v>
          </cell>
          <cell r="J1592">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sheetData sheetId="315"/>
      <sheetData sheetId="316"/>
      <sheetData sheetId="317" refreshError="1"/>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refreshError="1"/>
      <sheetData sheetId="473" refreshError="1"/>
      <sheetData sheetId="474" refreshError="1"/>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refreshError="1"/>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sheetData sheetId="584"/>
      <sheetData sheetId="585"/>
      <sheetData sheetId="586"/>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efreshError="1"/>
      <sheetData sheetId="629" refreshError="1"/>
      <sheetData sheetId="630" refreshError="1"/>
      <sheetData sheetId="631" refreshError="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sheetData sheetId="663"/>
      <sheetData sheetId="664"/>
      <sheetData sheetId="665"/>
      <sheetData sheetId="666"/>
      <sheetData sheetId="667"/>
      <sheetData sheetId="668"/>
      <sheetData sheetId="669"/>
      <sheetData sheetId="670"/>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L"/>
      <sheetName val="NEWDRAW"/>
      <sheetName val="총공사집계"/>
      <sheetName val="원가계산"/>
      <sheetName val="내역서"/>
      <sheetName val="대가집계(1)"/>
      <sheetName val="대가집계"/>
      <sheetName val="일위대가(1)"/>
      <sheetName val="일위대가"/>
      <sheetName val="집계(1)"/>
      <sheetName val="단가산출(1)"/>
      <sheetName val="단가산출"/>
      <sheetName val="중기"/>
      <sheetName val="노임"/>
      <sheetName val="물가"/>
      <sheetName val="단가"/>
      <sheetName val="대가표"/>
      <sheetName val="대가"/>
      <sheetName val="사토정산현황"/>
      <sheetName val="목차"/>
      <sheetName val="간지"/>
      <sheetName val="위치도"/>
      <sheetName val="사유서"/>
      <sheetName val="단가대비표(미첨부)"/>
      <sheetName val="토적표(길명리)"/>
      <sheetName val="사토(토사)"/>
      <sheetName val="사토(리핑)"/>
      <sheetName val="사토(발파)"/>
      <sheetName val="사토(발파) (2)"/>
      <sheetName val="노무비"/>
      <sheetName val="중기비"/>
      <sheetName val="운반거리표"/>
      <sheetName val="자금총괄"/>
      <sheetName val="현장별청구"/>
      <sheetName val="자금집행집계표"/>
      <sheetName val="Sheet1"/>
      <sheetName val="자재비"/>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총괄표"/>
      <sheetName val="현장별집행"/>
      <sheetName val="10월식대(직영)"/>
      <sheetName val="9월철근공"/>
      <sheetName val="10월철근공 "/>
      <sheetName val="9월목공 "/>
      <sheetName val="10월목공 "/>
      <sheetName val="1"/>
      <sheetName val="Sheet3"/>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연결임시"/>
      <sheetName val="내역서(총)"/>
      <sheetName val="공통가설"/>
      <sheetName val="부대대비"/>
      <sheetName val="냉연집계"/>
      <sheetName val="BOQ건축"/>
      <sheetName val="beam"/>
      <sheetName val="BOQ"/>
      <sheetName val="Project Brief"/>
      <sheetName val="1-1"/>
      <sheetName val="수량산출서"/>
      <sheetName val="교각1"/>
      <sheetName val="APT내역"/>
      <sheetName val="CONCRETE"/>
      <sheetName val="일위대가목차"/>
      <sheetName val="wall"/>
      <sheetName val="내역"/>
      <sheetName val="2011년"/>
      <sheetName val="2.대외공문"/>
      <sheetName val="예산M12A"/>
      <sheetName val="코드표"/>
      <sheetName val="감가상각"/>
      <sheetName val="2000년1차"/>
      <sheetName val="98지급계획"/>
      <sheetName val="CI_GL Mapping"/>
      <sheetName val="3본사"/>
      <sheetName val="CODE"/>
      <sheetName val="소업1교"/>
      <sheetName val="금액집계"/>
      <sheetName val="노원열병합  건축공사기성내역서"/>
      <sheetName val="점수계산1-2"/>
      <sheetName val="6호기"/>
      <sheetName val="소비자가"/>
      <sheetName val="사토(발파)_(2)"/>
      <sheetName val="10월철근공_"/>
      <sheetName val="9월목공_"/>
      <sheetName val="10월목공_"/>
      <sheetName val="공사별_사정분석표-ㅌ"/>
      <sheetName val="Y-WORK"/>
      <sheetName val="WORKSHOP"/>
      <sheetName val="운영 비용(Infra)-원가"/>
      <sheetName val="토공"/>
      <sheetName val="001"/>
      <sheetName val="전기"/>
      <sheetName val="EACT10"/>
      <sheetName val="입찰안"/>
      <sheetName val="단가조사서"/>
      <sheetName val="평형공사비"/>
      <sheetName val="기계내역"/>
      <sheetName val="대비"/>
      <sheetName val="가도공"/>
      <sheetName val="9-1차이내역"/>
      <sheetName val="영업.일"/>
      <sheetName val="매부산출"/>
      <sheetName val="현관"/>
      <sheetName val="부하계산서"/>
      <sheetName val="지급자재"/>
      <sheetName val="2000.05"/>
      <sheetName val="COPING"/>
      <sheetName val="Total"/>
      <sheetName val="협조전"/>
      <sheetName val="차수"/>
      <sheetName val="동해title"/>
      <sheetName val="차액보증"/>
      <sheetName val="예산M2"/>
      <sheetName val="예산변경사항"/>
      <sheetName val="충주"/>
      <sheetName val="기성내역서표지"/>
      <sheetName val="실행철강하도"/>
      <sheetName val="분양금할인"/>
      <sheetName val="제출내역 (2)"/>
      <sheetName val="토공계산서(부체도로)"/>
      <sheetName val="1.설계조건"/>
      <sheetName val="공사비예산서(토목분)"/>
      <sheetName val="영업.일1"/>
      <sheetName val="hvac(제어동)"/>
      <sheetName val="coll#"/>
      <sheetName val="재집"/>
      <sheetName val="직재"/>
      <sheetName val="CC Down load 0716"/>
      <sheetName val="Sheet2"/>
      <sheetName val="경상비내역"/>
      <sheetName val="전기일위대가"/>
      <sheetName val="개요"/>
      <sheetName val="노임단가"/>
      <sheetName val="I一般比"/>
      <sheetName val="일반관리비"/>
      <sheetName val="총요약서"/>
      <sheetName val="설계조건"/>
      <sheetName val="저"/>
      <sheetName val="A-8 PD(도로중앙)"/>
      <sheetName val="B"/>
      <sheetName val="type-F"/>
      <sheetName val="송라터널총괄"/>
      <sheetName val="설직재-1"/>
      <sheetName val="정부노임단가"/>
      <sheetName val="1월"/>
      <sheetName val="2_대외공문"/>
      <sheetName val="Project_Brief"/>
      <sheetName val="CI_GL_Mapping"/>
      <sheetName val="노원열병합__건축공사기성내역서"/>
      <sheetName val="운영_비용(Infra)-원가"/>
      <sheetName val="문서처리전"/>
      <sheetName val="단가표"/>
      <sheetName val="경산"/>
      <sheetName val="안정계산"/>
      <sheetName val="단면검토"/>
      <sheetName val="COVER"/>
      <sheetName val="Macro1 (2)"/>
      <sheetName val="인건비"/>
      <sheetName val="정공공사"/>
      <sheetName val="공종별 집계"/>
      <sheetName val="기성내역"/>
      <sheetName val="최초침전지집계표"/>
      <sheetName val="건축원가계산서"/>
      <sheetName val="일위대가표"/>
      <sheetName val="AP1"/>
      <sheetName val="터파기및재료"/>
      <sheetName val="반포2차"/>
      <sheetName val="중간부"/>
      <sheetName val="#REF"/>
      <sheetName val="음료실행"/>
      <sheetName val="유통망계획"/>
      <sheetName val="도로"/>
      <sheetName val="단"/>
      <sheetName val="수목표준대가"/>
      <sheetName val="PAINT (2)"/>
      <sheetName val="물량표"/>
      <sheetName val="FOB발"/>
      <sheetName val="보통예금"/>
      <sheetName val="plan&amp;section of foundation"/>
      <sheetName val="design criteria"/>
      <sheetName val="A-4"/>
      <sheetName val="JUCK"/>
      <sheetName val="견적서"/>
      <sheetName val="원가"/>
      <sheetName val="건축내역"/>
      <sheetName val="EJ"/>
      <sheetName val="지장물총괄표"/>
      <sheetName val="실행대비"/>
      <sheetName val="경상직원"/>
      <sheetName val="154TW"/>
      <sheetName val="SILICATE"/>
      <sheetName val="WORK"/>
      <sheetName val="말뚝지지력산정"/>
      <sheetName val="ABUT수량-A1"/>
      <sheetName val="현장식당(1)"/>
      <sheetName val="cp-e1"/>
      <sheetName val="Calcs"/>
      <sheetName val="Sheet5"/>
      <sheetName val="용소리교"/>
      <sheetName val="Variable"/>
      <sheetName val="N賃率-職"/>
      <sheetName val="SG"/>
      <sheetName val="경비_원본"/>
      <sheetName val="상가지급현황"/>
      <sheetName val="학교기부"/>
      <sheetName val="Area"/>
      <sheetName val="인원계획-미화"/>
      <sheetName val="설 계"/>
      <sheetName val="대공종"/>
      <sheetName val="Assumptions"/>
      <sheetName val="APOD"/>
      <sheetName val="960318-1"/>
      <sheetName val="계수시트"/>
      <sheetName val="시설물일위"/>
      <sheetName val="ORDER매입"/>
      <sheetName val="FORM-0"/>
      <sheetName val="부대시설"/>
      <sheetName val="일위대가(계측기설치)"/>
      <sheetName val="DATE"/>
      <sheetName val="공종별현황"/>
      <sheetName val="SUMMARY(S)"/>
      <sheetName val="손익분석"/>
      <sheetName val="표지"/>
      <sheetName val="982월원안"/>
      <sheetName val="설명"/>
      <sheetName val="3.현장배치"/>
      <sheetName val="3련 BOX"/>
      <sheetName val="현장배치"/>
      <sheetName val="변수"/>
      <sheetName val="직노"/>
      <sheetName val="견적"/>
      <sheetName val="주요량(96)"/>
      <sheetName val="FAB별"/>
      <sheetName val="수량산출서 (2)"/>
      <sheetName val="FB25JN"/>
      <sheetName val="TC표지"/>
      <sheetName val="도급"/>
      <sheetName val="기초수량집"/>
      <sheetName val="01"/>
      <sheetName val="파일의이용"/>
      <sheetName val="산출내역서집계표"/>
      <sheetName val="본장"/>
      <sheetName val="BID"/>
      <sheetName val="I.설계조건"/>
      <sheetName val="JUCKEYK"/>
      <sheetName val="기초자료"/>
      <sheetName val="일위대가표 (2)"/>
      <sheetName val="Budget 2004(DW)"/>
      <sheetName val="교통대책내역"/>
      <sheetName val="재무가정"/>
      <sheetName val="Summary"/>
      <sheetName val="토지조서"/>
      <sheetName val="건축내역서"/>
      <sheetName val="분전반"/>
      <sheetName val="지수"/>
      <sheetName val="데이타"/>
      <sheetName val="식재인부"/>
      <sheetName val="PROJECT BRIEF(EX.NEW)"/>
      <sheetName val="토공(우물통,기타) "/>
      <sheetName val="자판실행"/>
      <sheetName val="깨기"/>
      <sheetName val="매매"/>
      <sheetName val="1.설계기준"/>
      <sheetName val="시설총괄"/>
      <sheetName val="S&amp;R"/>
      <sheetName val="원가조정"/>
      <sheetName val="Intro2"/>
      <sheetName val="Id"/>
      <sheetName val="분양가"/>
      <sheetName val="골조시행"/>
      <sheetName val="부대공Ⅱ"/>
      <sheetName val="사토(발파)_(2)1"/>
      <sheetName val="10월철근공_1"/>
      <sheetName val="9월목공_1"/>
      <sheetName val="10월목공_1"/>
      <sheetName val="공사별_사정분석표-ㅌ1"/>
      <sheetName val="영업_일"/>
      <sheetName val="2000_05"/>
      <sheetName val="제출내역_(2)"/>
      <sheetName val="1_설계조건"/>
      <sheetName val="영업_일1"/>
      <sheetName val="CC_Down_load_0716"/>
      <sheetName val="TYPE-A"/>
      <sheetName val="일위"/>
      <sheetName val="APT"/>
      <sheetName val="공틀공사"/>
      <sheetName val="PLarp"/>
      <sheetName val="전체"/>
      <sheetName val="6PILE  (돌출)"/>
      <sheetName val="년도별실"/>
      <sheetName val="운항율"/>
      <sheetName val="2004년전체승무원"/>
      <sheetName val="편성안2"/>
      <sheetName val="1월 예산"/>
      <sheetName val="0006_FLT_IR_NAME"/>
      <sheetName val="연간점유"/>
      <sheetName val="B767"/>
      <sheetName val="확인서"/>
      <sheetName val="DATA98"/>
      <sheetName val="blocktime"/>
      <sheetName val="B737"/>
      <sheetName val="data"/>
      <sheetName val="Assumption"/>
      <sheetName val="New_Table"/>
      <sheetName val="임원기본"/>
      <sheetName val="B747"/>
      <sheetName val="Calendar"/>
      <sheetName val="Bang can doi so phat sinh"/>
      <sheetName val="1_當期시산표"/>
      <sheetName val="가시설단위수량"/>
      <sheetName val="2_대외공문1"/>
      <sheetName val="Project_Brief1"/>
      <sheetName val="CI_GL_Mapping1"/>
      <sheetName val="노원열병합__건축공사기성내역서1"/>
      <sheetName val="운영_비용(Infra)-원가1"/>
      <sheetName val="A-8_PD(도로중앙)"/>
      <sheetName val="Macro1_(2)"/>
      <sheetName val="공종별_집계"/>
      <sheetName val="PAINT_(2)"/>
      <sheetName val="plan&amp;section_of_foundation"/>
      <sheetName val="design_criteria"/>
      <sheetName val="설_계"/>
      <sheetName val="3_현장배치"/>
      <sheetName val="3련_BOX"/>
      <sheetName val="수량산출서_(2)"/>
      <sheetName val="I_설계조건"/>
      <sheetName val="집계표"/>
      <sheetName val="전체현황"/>
      <sheetName val="적용환율"/>
      <sheetName val="인건-측정"/>
      <sheetName val="MOTOR"/>
      <sheetName val="ITEM"/>
      <sheetName val="ATS단가"/>
      <sheetName val="04심사3"/>
      <sheetName val="설계내역(2001)"/>
      <sheetName val="1단계"/>
      <sheetName val="예가표"/>
      <sheetName val="장비"/>
      <sheetName val="노무"/>
      <sheetName val="자재"/>
      <sheetName val="산근1"/>
      <sheetName val="AS포장복구 "/>
      <sheetName val="UR2-Calculation"/>
      <sheetName val="ERM-골조"/>
      <sheetName val="사급자재"/>
      <sheetName val="설계서"/>
      <sheetName val="설계내역서"/>
      <sheetName val="현장관리비"/>
      <sheetName val="10월"/>
      <sheetName val="기초코드"/>
      <sheetName val="간선굵기"/>
      <sheetName val="별제권_정리담보권"/>
      <sheetName val="분석항목"/>
      <sheetName val="N+P"/>
      <sheetName val="2-2.매출분석"/>
      <sheetName val="토지등소유자 주소록"/>
      <sheetName val="갑지(추정)"/>
      <sheetName val="Tables"/>
      <sheetName val="설변물량"/>
      <sheetName val="공사현황"/>
      <sheetName val="매출"/>
      <sheetName val="Replacement"/>
      <sheetName val="Rent Roll"/>
      <sheetName val="Collateral"/>
      <sheetName val="적용단가"/>
      <sheetName val="공사개요(입력)"/>
      <sheetName val="기성관리"/>
      <sheetName val="본사공가현황"/>
      <sheetName val="남평내역"/>
      <sheetName val="조명시설"/>
      <sheetName val="내역서01"/>
      <sheetName val="Sheet6"/>
      <sheetName val="가로등기초"/>
      <sheetName val="정문앞"/>
      <sheetName val="유림골조"/>
      <sheetName val="O-단가조사서"/>
      <sheetName val="안산기계장치"/>
      <sheetName val="comparables"/>
      <sheetName val="Deduction"/>
      <sheetName val="other"/>
      <sheetName val="conclusion"/>
      <sheetName val="결정단가"/>
      <sheetName val="교각계산"/>
      <sheetName val="disposition"/>
      <sheetName val="매립"/>
      <sheetName val="4.안전점검 조치 사진대지"/>
      <sheetName val="9확정실적"/>
      <sheetName val="수량산출"/>
      <sheetName val="주요업무LIST"/>
      <sheetName val="선적일정"/>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refreshError="1"/>
      <sheetData sheetId="424" refreshError="1"/>
      <sheetData sheetId="425" refreshError="1"/>
      <sheetData sheetId="42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stomer Databas"/>
      <sheetName val="NAME"/>
      <sheetName val="cover"/>
      <sheetName val="실행갑지"/>
      <sheetName val="BOQ 실행10.9"/>
      <sheetName val="Sheet1"/>
      <sheetName val="대비"/>
      <sheetName val="금액집계"/>
      <sheetName val="전기일위대가"/>
      <sheetName val="설계내역서"/>
      <sheetName val="입찰안"/>
      <sheetName val="소비자가"/>
      <sheetName val="TEL"/>
      <sheetName val="기계경비(시간당)"/>
      <sheetName val="램머"/>
      <sheetName val="6호기"/>
      <sheetName val="갑지"/>
      <sheetName val="1차 내역서"/>
      <sheetName val="골조시행"/>
      <sheetName val="1ST"/>
      <sheetName val="일위대가"/>
      <sheetName val="EACT10"/>
      <sheetName val="개요"/>
      <sheetName val="일위대가목차"/>
      <sheetName val="내역서(총)"/>
      <sheetName val="BID"/>
      <sheetName val="Sheet2 (2)"/>
      <sheetName val="산출금액내역"/>
      <sheetName val="청천내"/>
      <sheetName val="DESIGN CRITERIA"/>
      <sheetName val="기본일위"/>
      <sheetName val="실행(표지,갑,을)"/>
      <sheetName val="기계내역"/>
      <sheetName val="데이타"/>
      <sheetName val="부대대비"/>
      <sheetName val="냉연집계"/>
      <sheetName val="공통비(전체)"/>
      <sheetName val="내역_FILE"/>
      <sheetName val="asd"/>
      <sheetName val="중갑지"/>
      <sheetName val="수량산출"/>
      <sheetName val="총투입계"/>
      <sheetName val="계정"/>
      <sheetName val="내역서"/>
      <sheetName val="CUSTOMER"/>
      <sheetName val="백암비스타내역"/>
      <sheetName val="공통가설"/>
      <sheetName val="1-1"/>
      <sheetName val="직재"/>
      <sheetName val="#REF"/>
      <sheetName val="일위대가(4층원격)"/>
      <sheetName val="N賃率-職"/>
      <sheetName val="일위대가목록"/>
      <sheetName val="아파트"/>
      <sheetName val="노임단가"/>
      <sheetName val="예가표"/>
      <sheetName val="견적서세부내용"/>
      <sheetName val="견적내용입력"/>
      <sheetName val="코스모공장 (어음)"/>
      <sheetName val="Customer_Databas"/>
      <sheetName val="BOQ_실행10_9"/>
      <sheetName val="1차_내역서"/>
      <sheetName val="Sheet2_(2)"/>
      <sheetName val="DESIGN_CRITERIA"/>
      <sheetName val="FANDBS"/>
      <sheetName val="GRDATA"/>
      <sheetName val="SHAFTDBSE"/>
      <sheetName val="신고서.전"/>
      <sheetName val="공사내역"/>
      <sheetName val="일용직내역"/>
      <sheetName val="재집"/>
      <sheetName val="건축원가계산서"/>
      <sheetName val="0226"/>
      <sheetName val="Customer_Databas1"/>
      <sheetName val="BOQ_실행10_91"/>
      <sheetName val="1차_내역서1"/>
      <sheetName val="Sheet2_(2)1"/>
      <sheetName val="DESIGN_CRITERIA1"/>
      <sheetName val="코스모공장_(어음)"/>
      <sheetName val="신고서_전"/>
      <sheetName val="경산"/>
      <sheetName val="건축(충일분)"/>
      <sheetName val="작성"/>
      <sheetName val="저"/>
      <sheetName val="직노"/>
      <sheetName val="예산M12A"/>
      <sheetName val="기초자료입력"/>
      <sheetName val="Tender Summary"/>
      <sheetName val="hvac(제어동)"/>
      <sheetName val="준공정산"/>
      <sheetName val="평가데이터"/>
      <sheetName val="터파기및재료"/>
      <sheetName val="EKOG10건축"/>
      <sheetName val="범례표"/>
      <sheetName val="원가"/>
      <sheetName val="3월팀계 "/>
      <sheetName val="UR2-Calculation"/>
      <sheetName val="공사원가계산서"/>
      <sheetName val="도급예산내역서총괄표"/>
      <sheetName val="지급어음(일별)"/>
      <sheetName val="노원열병합  건축공사기성내역서"/>
      <sheetName val="Baby일위대가"/>
      <sheetName val="갑지(추정)"/>
      <sheetName val="DATE"/>
      <sheetName val="INPUT"/>
      <sheetName val="납부서"/>
      <sheetName val="VENDOR LIST"/>
      <sheetName val="실행(ALT1)"/>
      <sheetName val="주소"/>
      <sheetName val="견적서"/>
      <sheetName val="협조전"/>
      <sheetName val="BUS제원1"/>
      <sheetName val="Build Up"/>
      <sheetName val="database"/>
      <sheetName val="Sheet5"/>
      <sheetName val="소운반"/>
      <sheetName val="단"/>
      <sheetName val="주요항목별"/>
      <sheetName val="변동인원"/>
      <sheetName val="차액보증"/>
      <sheetName val="인원계획-미화"/>
      <sheetName val="Cash Flows"/>
      <sheetName val="Area"/>
      <sheetName val="BDGTCE"/>
      <sheetName val="Building Input"/>
      <sheetName val="총괄내역서"/>
      <sheetName val="단가산출1"/>
      <sheetName val="단가산출2"/>
      <sheetName val="I一般比"/>
      <sheetName val="Ⅴ-2.공종별내역"/>
      <sheetName val="인건비"/>
      <sheetName val="1.설계조건"/>
      <sheetName val="내부부하"/>
      <sheetName val="물가시세"/>
      <sheetName val="밸브설치"/>
      <sheetName val="경비_원본"/>
      <sheetName val="CON'C"/>
      <sheetName val="실행"/>
      <sheetName val="G004601"/>
      <sheetName val="구조물공"/>
      <sheetName val="부대공"/>
      <sheetName val="배수공"/>
      <sheetName val="토공"/>
      <sheetName val="포장공"/>
      <sheetName val="예산M5A"/>
      <sheetName val="약품공급2"/>
      <sheetName val="을"/>
      <sheetName val="내역"/>
      <sheetName val="200"/>
      <sheetName val="식재인부"/>
      <sheetName val="물량표"/>
      <sheetName val="적용률"/>
      <sheetName val="Sheet2"/>
      <sheetName val="code"/>
      <sheetName val="dtxl"/>
      <sheetName val="단가"/>
      <sheetName val="자판실행"/>
      <sheetName val="F4-F7"/>
      <sheetName val="CASHFLOW"/>
      <sheetName val="Collateral"/>
      <sheetName val="cover "/>
      <sheetName val="제출"/>
      <sheetName val="제출 (2)"/>
      <sheetName val="compare"/>
      <sheetName val="XXXXXX"/>
      <sheetName val="공사일보"/>
      <sheetName val="교통대책내역"/>
      <sheetName val="지질조사"/>
      <sheetName val="#3_일위대가목록"/>
      <sheetName val="101동"/>
      <sheetName val="조명율표"/>
      <sheetName val="중기"/>
      <sheetName val="단가일람"/>
      <sheetName val="조경일람"/>
      <sheetName val="4.전기"/>
      <sheetName val="품셈TABLE"/>
      <sheetName val="바닥판"/>
      <sheetName val="입력DATA"/>
      <sheetName val="내역서(전기)"/>
      <sheetName val="간접1"/>
      <sheetName val="장비내역"/>
      <sheetName val="잡철물"/>
      <sheetName val="입력"/>
      <sheetName val="cover_"/>
      <sheetName val="제출_(2)"/>
      <sheetName val="4_전기"/>
      <sheetName val="2000년1차"/>
      <sheetName val="DB"/>
      <sheetName val="일위대가표"/>
      <sheetName val="환산"/>
      <sheetName val="내역서1"/>
      <sheetName val="기본사항"/>
      <sheetName val="인부신상자료"/>
      <sheetName val="토목주소"/>
      <sheetName val="cover_1"/>
      <sheetName val="제출_(2)1"/>
      <sheetName val="4_전기1"/>
      <sheetName val="8-1"/>
      <sheetName val="내역전기"/>
      <sheetName val="제품목록"/>
      <sheetName val="실행(1)"/>
      <sheetName val="98지급계획"/>
      <sheetName val="전사계"/>
      <sheetName val="공사착공계"/>
      <sheetName val="DI1"/>
      <sheetName val="원가계산"/>
      <sheetName val="진주방향"/>
      <sheetName val="일 위 목 록 표"/>
      <sheetName val="자료"/>
      <sheetName val="시운전연료"/>
      <sheetName val="산출내역서"/>
      <sheetName val="2000전체분"/>
      <sheetName val="99년하반기"/>
      <sheetName val="유림총괄"/>
      <sheetName val="단가비교"/>
      <sheetName val="전기혼잡제경비(45)"/>
      <sheetName val="종배수관면벽구"/>
      <sheetName val="입찰보고"/>
      <sheetName val="조명일위"/>
      <sheetName val="Total"/>
      <sheetName val="건축내역"/>
      <sheetName val="공기압축기실"/>
      <sheetName val="차수"/>
      <sheetName val="공사개요"/>
      <sheetName val="집계표"/>
      <sheetName val="간접비계산"/>
      <sheetName val="자재단가비교표"/>
      <sheetName val="잡비"/>
      <sheetName val="실행내역"/>
      <sheetName val="간접"/>
      <sheetName val="목록"/>
      <sheetName val="총괄표"/>
      <sheetName val="선급비용"/>
      <sheetName val="Macro(MCC)"/>
      <sheetName val="정보"/>
      <sheetName val="#2_일위대가목록"/>
      <sheetName val="기존단가 (2)"/>
      <sheetName val="일반부표"/>
      <sheetName val="현우실적"/>
      <sheetName val="산출내역서집계표"/>
      <sheetName val="97년 추정"/>
      <sheetName val="BSD (2)"/>
      <sheetName val="추가예산"/>
      <sheetName val="조직"/>
      <sheetName val="BOJUNGGM"/>
      <sheetName val="경비"/>
      <sheetName val=" 냉각수펌프"/>
      <sheetName val="구의33고"/>
      <sheetName val="sheets"/>
      <sheetName val="BOQ-1"/>
      <sheetName val="BANG TONG HOP (2)"/>
      <sheetName val="분석"/>
      <sheetName val="단중표"/>
      <sheetName val="MATRLDATA"/>
      <sheetName val="단가표"/>
      <sheetName val="견적을지"/>
      <sheetName val="EJ"/>
      <sheetName val="전기공사"/>
      <sheetName val="ACCESS FLOOR"/>
      <sheetName val="4 LINE"/>
      <sheetName val="7 th"/>
      <sheetName val="건설"/>
      <sheetName val="GRDBS"/>
      <sheetName val="확산동"/>
      <sheetName val="Y-WORK"/>
      <sheetName val="노무비"/>
      <sheetName val="상반기손익차2총괄"/>
      <sheetName val="CAPVC"/>
      <sheetName val="약품설비"/>
      <sheetName val="서울대규장각(가시설흙막이)"/>
      <sheetName val="danga"/>
      <sheetName val="ilch"/>
      <sheetName val="DATA"/>
      <sheetName val="금액"/>
      <sheetName val="환경기계공정표 (3)"/>
      <sheetName val="Apt내역"/>
      <sheetName val="미장"/>
      <sheetName val="철골"/>
      <sheetName val="Customer_Databas2"/>
      <sheetName val="BOQ_실행10_92"/>
      <sheetName val="1차_내역서2"/>
      <sheetName val="Sheet2_(2)2"/>
      <sheetName val="DESIGN_CRITERIA2"/>
      <sheetName val="코스모공장_(어음)1"/>
      <sheetName val="신고서_전1"/>
      <sheetName val="노원열병합__건축공사기성내역서"/>
      <sheetName val="3월팀계_"/>
      <sheetName val="VENDOR_LIST"/>
      <sheetName val="Tender_Summary"/>
      <sheetName val="Build_Up"/>
      <sheetName val="Cash_Flows"/>
      <sheetName val="Building_Input"/>
      <sheetName val="Ⅴ-2_공종별내역"/>
      <sheetName val="1_설계조건"/>
      <sheetName val="cover_2"/>
      <sheetName val="제출_(2)2"/>
      <sheetName val="4_전기2"/>
      <sheetName val="일_위_목_록_표"/>
      <sheetName val="기존단가_(2)"/>
      <sheetName val="97년_추정"/>
      <sheetName val="BSD_(2)"/>
      <sheetName val="식재"/>
      <sheetName val="시설물"/>
      <sheetName val="식재출력용"/>
      <sheetName val="유지관리"/>
      <sheetName val="BOQ건축"/>
      <sheetName val="현장경상비"/>
      <sheetName val="관접합및부설"/>
      <sheetName val="물량산출"/>
      <sheetName val="수량산출서"/>
      <sheetName val="기초단가"/>
      <sheetName val="FAB별"/>
      <sheetName val="FACTOR"/>
      <sheetName val="sun"/>
      <sheetName val="FRP배관단가(만수)"/>
      <sheetName val="만수배관단가"/>
      <sheetName val="공종구간"/>
      <sheetName val="Macro(전기)"/>
      <sheetName val="현장관리비"/>
      <sheetName val="말뚝지지력산정"/>
      <sheetName val="음료실행"/>
      <sheetName val="견적"/>
      <sheetName val="견적내역"/>
      <sheetName val="2공구산출내역"/>
      <sheetName val="설변물량"/>
      <sheetName val="요율"/>
      <sheetName val="ASEM내역"/>
      <sheetName val="Sheet4"/>
      <sheetName val="전사집계"/>
      <sheetName val="기타투자자산LS1."/>
      <sheetName val="고정자산원본"/>
      <sheetName val="도급실행(본관-주차장)"/>
      <sheetName val="옹벽"/>
      <sheetName val="현장"/>
      <sheetName val="폐수토목내역서"/>
      <sheetName val="실행철강하도"/>
      <sheetName val="NEWDRAW"/>
      <sheetName val="ITEM"/>
      <sheetName val="Customer_Databas4"/>
      <sheetName val="BOQ_실행10_94"/>
      <sheetName val="1차_내역서4"/>
      <sheetName val="Sheet2_(2)4"/>
      <sheetName val="DESIGN_CRITERIA4"/>
      <sheetName val="코스모공장_(어음)3"/>
      <sheetName val="신고서_전3"/>
      <sheetName val="Tender_Summary2"/>
      <sheetName val="3월팀계_2"/>
      <sheetName val="노원열병합__건축공사기성내역서2"/>
      <sheetName val="VENDOR_LIST2"/>
      <sheetName val="Build_Up2"/>
      <sheetName val="Cash_Flows2"/>
      <sheetName val="Building_Input2"/>
      <sheetName val="Ⅴ-2_공종별내역2"/>
      <sheetName val="1_설계조건2"/>
      <sheetName val="cover_4"/>
      <sheetName val="제출_(2)4"/>
      <sheetName val="4_전기4"/>
      <sheetName val="일_위_목_록_표2"/>
      <sheetName val="기존단가_(2)2"/>
      <sheetName val="97년_추정2"/>
      <sheetName val="BSD_(2)2"/>
      <sheetName val="_냉각수펌프1"/>
      <sheetName val="ACCESS_FLOOR1"/>
      <sheetName val="4_LINE1"/>
      <sheetName val="7_th1"/>
      <sheetName val="BANG_TONG_HOP_(2)1"/>
      <sheetName val="환경기계공정표_(3)1"/>
      <sheetName val="Customer_Databas3"/>
      <sheetName val="BOQ_실행10_93"/>
      <sheetName val="1차_내역서3"/>
      <sheetName val="Sheet2_(2)3"/>
      <sheetName val="DESIGN_CRITERIA3"/>
      <sheetName val="코스모공장_(어음)2"/>
      <sheetName val="신고서_전2"/>
      <sheetName val="Tender_Summary1"/>
      <sheetName val="3월팀계_1"/>
      <sheetName val="노원열병합__건축공사기성내역서1"/>
      <sheetName val="VENDOR_LIST1"/>
      <sheetName val="Build_Up1"/>
      <sheetName val="Cash_Flows1"/>
      <sheetName val="Building_Input1"/>
      <sheetName val="Ⅴ-2_공종별내역1"/>
      <sheetName val="1_설계조건1"/>
      <sheetName val="cover_3"/>
      <sheetName val="제출_(2)3"/>
      <sheetName val="4_전기3"/>
      <sheetName val="일_위_목_록_표1"/>
      <sheetName val="기존단가_(2)1"/>
      <sheetName val="97년_추정1"/>
      <sheetName val="BSD_(2)1"/>
      <sheetName val="_냉각수펌프"/>
      <sheetName val="ACCESS_FLOOR"/>
      <sheetName val="4_LINE"/>
      <sheetName val="7_th"/>
      <sheetName val="BANG_TONG_HOP_(2)"/>
      <sheetName val="환경기계공정표_(3)"/>
      <sheetName val="내역(입찰)"/>
      <sheetName val="내역_FIɌ_x0000_"/>
      <sheetName val="일산실행내역"/>
      <sheetName val="TYPE-A"/>
      <sheetName val="ELECTRIC"/>
      <sheetName val="3.공통공사대비"/>
      <sheetName val="CAP"/>
      <sheetName val="dV&amp;Cl"/>
      <sheetName val="변수"/>
      <sheetName val="F-T Voltage"/>
      <sheetName val="전압하강"/>
      <sheetName val="R"/>
      <sheetName val="S631_HEI"/>
      <sheetName val="guard(mac)"/>
      <sheetName val="부속동"/>
      <sheetName val="재료집계"/>
      <sheetName val="구분자"/>
      <sheetName val="자재"/>
      <sheetName val="이니스프리 마트_입찰견적서_풀기획디자인_서동현 수정_13"/>
      <sheetName val="Customer_Databas5"/>
      <sheetName val="BOQ_실행10_95"/>
      <sheetName val="1차_내역서5"/>
      <sheetName val="Sheet2_(2)5"/>
      <sheetName val="DESIGN_CRITERIA5"/>
      <sheetName val="1_설계조건3"/>
      <sheetName val="코스모공장_(어음)4"/>
      <sheetName val="신고서_전4"/>
      <sheetName val="3월팀계_3"/>
      <sheetName val="노원열병합__건축공사기성내역서3"/>
      <sheetName val="VENDOR_LIST3"/>
      <sheetName val="Tender_Summary3"/>
      <sheetName val="Build_Up3"/>
      <sheetName val="Cash_Flows3"/>
      <sheetName val="Building_Input3"/>
      <sheetName val="Ⅴ-2_공종별내역3"/>
      <sheetName val="cover_5"/>
      <sheetName val="제출_(2)5"/>
      <sheetName val="4_전기5"/>
      <sheetName val="일_위_목_록_표3"/>
      <sheetName val="기존단가_(2)3"/>
      <sheetName val="97년_추정3"/>
      <sheetName val="BSD_(2)3"/>
      <sheetName val="_냉각수펌프2"/>
      <sheetName val="ACCESS_FLOOR2"/>
      <sheetName val="4_LINE2"/>
      <sheetName val="7_th2"/>
      <sheetName val="BANG_TONG_HOP_(2)2"/>
      <sheetName val="환경기계공정표_(3)2"/>
      <sheetName val="기타투자자산LS1_"/>
      <sheetName val="차도조도계산"/>
      <sheetName val="노임이"/>
      <sheetName val="01"/>
      <sheetName val="금융비용"/>
      <sheetName val="날개벽수량표"/>
      <sheetName val="예산총괄"/>
      <sheetName val="LD"/>
      <sheetName val="13LPMCC"/>
      <sheetName val="SG"/>
      <sheetName val="완성차 미수금"/>
      <sheetName val="Office only Letup"/>
      <sheetName val="Sheet3 (2)"/>
      <sheetName val="S&amp;R"/>
      <sheetName val="Sheet16"/>
      <sheetName val="청주-교대(A1)"/>
      <sheetName val="1련박스"/>
      <sheetName val="설비"/>
      <sheetName val="프랜트면허"/>
      <sheetName val="적용환율"/>
      <sheetName val="전기"/>
      <sheetName val="21301동"/>
      <sheetName val="재료"/>
      <sheetName val="방배동내역(리라)"/>
      <sheetName val="현장경비"/>
      <sheetName val="건축공사집계표"/>
      <sheetName val="조경"/>
      <sheetName val="경비2내역"/>
      <sheetName val="ET2TOT"/>
      <sheetName val="FC-01"/>
      <sheetName val="FC-06"/>
      <sheetName val="CONCRETE"/>
      <sheetName val="정부노임단가"/>
      <sheetName val="시화점실행"/>
      <sheetName val="ITB COST"/>
      <sheetName val="FRP내역서"/>
      <sheetName val="설계조건"/>
      <sheetName val="kimre scrubber"/>
      <sheetName val="물량산출근거"/>
      <sheetName val="LINELEV4"/>
      <sheetName val="MEMORY"/>
      <sheetName val="2-3.V.D일위"/>
      <sheetName val="네고율"/>
      <sheetName val="YM-IL1"/>
      <sheetName val="도장면"/>
      <sheetName val="계수시트"/>
      <sheetName val="20관리비율"/>
      <sheetName val="산업"/>
      <sheetName val="CTEMCOST"/>
      <sheetName val="Main"/>
      <sheetName val="WORK"/>
      <sheetName val="견적대비표"/>
      <sheetName val="코드"/>
      <sheetName val="연돌일위집계"/>
      <sheetName val="cable-data"/>
      <sheetName val="1.우편집중내역서"/>
      <sheetName val="예총"/>
      <sheetName val="단면가정"/>
      <sheetName val="COA-17"/>
      <sheetName val="C-18"/>
      <sheetName val="준공내역"/>
      <sheetName val=" HIT-&gt;HMC 견적(3900)"/>
      <sheetName val="공문"/>
      <sheetName val="2002년"/>
      <sheetName val="CDTK"/>
      <sheetName val="CDPS"/>
      <sheetName val="controll"/>
      <sheetName val="원가계산서"/>
      <sheetName val="분석표_아파트동"/>
      <sheetName val="분석표_부속동"/>
      <sheetName val="자금운용계획표"/>
      <sheetName val="부서코드표"/>
      <sheetName val="집계"/>
      <sheetName val="소방"/>
      <sheetName val="세부내역"/>
      <sheetName val="표지"/>
      <sheetName val="AR1.01"/>
      <sheetName val="PS3-01(3-1)"/>
      <sheetName val="."/>
      <sheetName val="선급금신청서"/>
      <sheetName val="노임"/>
      <sheetName val="건축"/>
      <sheetName val="제품원재"/>
      <sheetName val="3련 BOX"/>
      <sheetName val="단가조사-2"/>
      <sheetName val="단가대비표"/>
      <sheetName val="공비대비"/>
      <sheetName val="_1"/>
      <sheetName val="_"/>
      <sheetName val="조명시설"/>
      <sheetName val="본장"/>
      <sheetName val="RD제품개발투자비(매가)"/>
      <sheetName val="광혁기성"/>
      <sheetName val="제이스_일위대가표"/>
      <sheetName val="전체"/>
      <sheetName val="3월연장근무"/>
      <sheetName val="wall"/>
      <sheetName val=" 견적서"/>
      <sheetName val="공사내역_08월"/>
      <sheetName val="APT"/>
      <sheetName val=" HIT-&gt;HMC 견적(39砐7ﾈ"/>
      <sheetName val=" HIT-&gt;HMC 견적(39ﾈȜ萹"/>
      <sheetName val=" HIT-&gt;HMC 견적(39ﾈʅ萹"/>
      <sheetName val=" HIT-&gt;HMC 견적(39_x0000__x0000__x0005_"/>
      <sheetName val="Tables"/>
      <sheetName val="crews"/>
      <sheetName val="Macro Codes"/>
      <sheetName val="토목"/>
      <sheetName val="시설총괄"/>
      <sheetName val=" HIT-&gt;HMC 견적(39׃⼫_x0000_"/>
      <sheetName val=" HIT-&gt;HMC 견적(39_x0010__x0000_쯐"/>
      <sheetName val="유기공정"/>
      <sheetName val="연결임시"/>
      <sheetName val=" HIT-&gt;HMC 견적(39_x0000__x0000_ᡐ"/>
      <sheetName val=" HIT-&gt;HMC 견적(39_x0000__x0000_剨"/>
      <sheetName val=" HIT-&gt;HMC 견적(39泠⿡_x0000_"/>
      <sheetName val=" HIT-&gt;HMC 견적(39㦨$⅐"/>
      <sheetName val=" HIT-&gt;HMC 견적(39ꝸま_x0000_"/>
      <sheetName val=" HIT-&gt;HMC 견적(39쿸ぬ_x0000_"/>
      <sheetName val=" HIT-&gt;HMC 견적(39ᒰɳ꣔"/>
      <sheetName val=" HIT-&gt;HMC 견적(39乍ã"/>
      <sheetName val="대전월평내역"/>
      <sheetName val="기별수량산출서"/>
      <sheetName val=" HIT-&gt;HMC 견적(39篰4ﾈ"/>
      <sheetName val=" HIT-&gt;HMC 견적(39㛬țᓠ"/>
      <sheetName val=" HIT-&gt;HMC 견적(39㛬ț㜠"/>
      <sheetName val=" HIT-&gt;HMC 견적(39㛬Y괨"/>
      <sheetName val=" HIT-&gt;HMC 견적(39結.ﾈ"/>
      <sheetName val="2.대외공문"/>
      <sheetName val="P-산#1-1(WOWA1)"/>
      <sheetName val="개산공사비"/>
      <sheetName val="설계명세서"/>
      <sheetName val="일위대가표 (2)"/>
      <sheetName val="Sheet3_(2)"/>
      <sheetName val="Office_only_Letup"/>
      <sheetName val="Annex C - 1 - Cash"/>
      <sheetName val=" HIT-&gt;HMC_x0000__x0000_Ԁ_x0000_뀀䴅扶_x0002__x0000_"/>
      <sheetName val=" HIT-&gt;HMC_x0000__x0000_Ԁ_x0000_婙_x0002__x0000_"/>
      <sheetName val=" HIT-&gt;HMC_x0000__x0000_Ԁ_x0000_ꀀ㡠扸_x0002__x0000_"/>
      <sheetName val=" HIT-&gt;HMC_x0000__x0000_Ԁ_x0000_　躌婡_x0002__x0000_"/>
      <sheetName val=" HIT-&gt;HMC_x0000__x0000_Ԁ_x0000_ꀀ섮婡_x0002__x0000_"/>
      <sheetName val="6월실적"/>
      <sheetName val="산출근거"/>
      <sheetName val="첨부파일"/>
      <sheetName val="G.R300경비"/>
      <sheetName val="설계산출기초"/>
      <sheetName val="을부담운반비"/>
      <sheetName val="설계산출표지"/>
      <sheetName val="운반비산출"/>
      <sheetName val="구천"/>
      <sheetName val="건축집계표"/>
      <sheetName val="소일위대가코드표"/>
      <sheetName val="00내역서"/>
      <sheetName val="내역_FIɌ_x005f_x0000_"/>
      <sheetName val="FD"/>
      <sheetName val="현장관리비데이타"/>
      <sheetName val="기본 상수"/>
      <sheetName val="완성차_미수금"/>
      <sheetName val=" HIT-&gt;HMC 견적(39þର"/>
      <sheetName val="9GNG운반"/>
      <sheetName val="단가(1)"/>
      <sheetName val="연령현황"/>
      <sheetName val="감가상각"/>
      <sheetName val="재무가정"/>
      <sheetName val="CostData"/>
      <sheetName val="IncomeData"/>
      <sheetName val="PropertyData"/>
      <sheetName val="공_x0000_"/>
      <sheetName val=" HIT-&gt;HMC 견적(39"/>
      <sheetName val=" HIT-&gt;HMC 견적(39_x0010_"/>
      <sheetName val="11"/>
      <sheetName val="하조서"/>
      <sheetName val=" HIT-&gt;HMC"/>
      <sheetName val="direct"/>
      <sheetName val="wage"/>
      <sheetName val="03전반노무비"/>
      <sheetName val="내역_FIɌ?"/>
      <sheetName val="유림골조"/>
      <sheetName val="비교1"/>
      <sheetName val="건축내역서"/>
      <sheetName val="FC-101"/>
      <sheetName val="첨"/>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sheetData sheetId="546"/>
      <sheetData sheetId="547"/>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예산서"/>
      <sheetName val="NAV000"/>
      <sheetName val="실행"/>
      <sheetName val="예산"/>
      <sheetName val="집계"/>
      <sheetName val="45,46"/>
      <sheetName val="제출견적(을)"/>
      <sheetName val="내역"/>
      <sheetName val="BSD (2)"/>
      <sheetName val="수입"/>
      <sheetName val="b_gunmul"/>
      <sheetName val="b_balju (2)"/>
      <sheetName val="소비자가"/>
      <sheetName val="차액보증"/>
      <sheetName val="데이타"/>
      <sheetName val="DATA"/>
      <sheetName val="금액집계"/>
      <sheetName val="Customer Databas"/>
      <sheetName val="갑지"/>
      <sheetName val="을"/>
      <sheetName val="기계내역"/>
      <sheetName val="내역서"/>
      <sheetName val="배관증축"/>
      <sheetName val="공사개요"/>
      <sheetName val="TEL"/>
      <sheetName val="보일러"/>
      <sheetName val="#REF"/>
      <sheetName val="원가"/>
      <sheetName val="노원열병합  건축공사기성내역서"/>
      <sheetName val="갑지(추정)"/>
      <sheetName val="BSD_(2)"/>
      <sheetName val="b_balju_(2)"/>
      <sheetName val="Customer_Databas"/>
      <sheetName val="설계명세서"/>
      <sheetName val="견적서"/>
      <sheetName val="관람석제출"/>
      <sheetName val="ilch"/>
      <sheetName val="설계내역서"/>
      <sheetName val="3BL공동구 수량"/>
      <sheetName val="Sheet1"/>
      <sheetName val="ITEM"/>
      <sheetName val="협조전"/>
      <sheetName val="주식"/>
      <sheetName val="삼성전기"/>
      <sheetName val="Sheet1 (2)"/>
      <sheetName val="1차 내역서"/>
      <sheetName val="경산"/>
      <sheetName val="1단계"/>
      <sheetName val="Sheet1(X)"/>
      <sheetName val="PROJECT BRIEF"/>
      <sheetName val="약품공급2"/>
      <sheetName val="물량표"/>
      <sheetName val="dg"/>
      <sheetName val=" 견적서"/>
      <sheetName val="날개벽(좌,우=45도,75도)"/>
      <sheetName val="금액"/>
      <sheetName val="design criteria"/>
      <sheetName val="plan&amp;section of foundation"/>
      <sheetName val="수량산출서"/>
      <sheetName val="Sheet17"/>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갑지 (3)"/>
      <sheetName val="내역"/>
      <sheetName val="을"/>
      <sheetName val="화재 탐지 설비"/>
      <sheetName val="연수동"/>
      <sheetName val="터널조도"/>
      <sheetName val="KT수도권 고객1센타 "/>
      <sheetName val="copy"/>
      <sheetName val="DATE"/>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불.요약"/>
      <sheetName val="보유.연령"/>
      <sheetName val="열령別"/>
      <sheetName val="잔여지"/>
      <sheetName val="99지급.요약"/>
      <sheetName val="98지급계획"/>
      <sheetName val="총괄표"/>
      <sheetName val="지사별 현황"/>
      <sheetName val="주택용지내역"/>
      <sheetName val="사업개발용지내역"/>
      <sheetName val="잔여지내역"/>
      <sheetName val="TYPE-B 평균H"/>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전기공사원가"/>
      <sheetName val="공사비총괄표"/>
      <sheetName val="공사비집계표"/>
      <sheetName val="인입선로공사"/>
      <sheetName val="수배전반 설비공사"/>
      <sheetName val="케이블 포설공사"/>
      <sheetName val="전선로 설치공사"/>
      <sheetName val="전등 및 전열설비"/>
      <sheetName val="접지 및 피뢰설비"/>
      <sheetName val="방송 설비"/>
      <sheetName val="PAGING 설비"/>
      <sheetName val="전화 설비"/>
      <sheetName val="TV 설비"/>
      <sheetName val="시계설비"/>
      <sheetName val="화재 탐지 설비"/>
      <sheetName val="옥외설비공사"/>
      <sheetName val="일위대가"/>
      <sheetName val="자재"/>
      <sheetName val="견적"/>
      <sheetName val="산출근거 "/>
      <sheetName val="노무비"/>
      <sheetName val="표지"/>
      <sheetName val="예비품 "/>
      <sheetName val="특수공구"/>
      <sheetName val="갑지"/>
      <sheetName val="내역"/>
      <sheetName val="전도금정산서(27)"/>
      <sheetName val="BCK3672"/>
      <sheetName val="수배전반_설비공사"/>
      <sheetName val="케이블_포설공사"/>
      <sheetName val="전선로_설치공사"/>
      <sheetName val="전등_및_전열설비"/>
      <sheetName val="접지_및_피뢰설비"/>
      <sheetName val="방송_설비"/>
      <sheetName val="PAGING_설비"/>
      <sheetName val="전화_설비"/>
      <sheetName val="TV_설비"/>
      <sheetName val="화재_탐지_설비"/>
      <sheetName val="산출근거_"/>
      <sheetName val="예비품_"/>
      <sheetName val="Piping Design Data"/>
      <sheetName val="asd"/>
      <sheetName val="상세공정율표"/>
      <sheetName val="shcwae01"/>
      <sheetName val="Customer Databas"/>
      <sheetName val="수량산출"/>
      <sheetName val="PART_DISCOUNT"/>
      <sheetName val="평형공사비"/>
      <sheetName val="POOM_MOTO"/>
      <sheetName val="POOM_MOTO2"/>
      <sheetName val="Total"/>
      <sheetName val="터널조도"/>
      <sheetName val="Sheet1"/>
      <sheetName val="MOTOR"/>
      <sheetName val="우수"/>
      <sheetName val="98지급계획"/>
      <sheetName val="단"/>
      <sheetName val="실행"/>
      <sheetName val="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예산서"/>
      <sheetName val="NAV000"/>
      <sheetName val="실행"/>
      <sheetName val="예산"/>
      <sheetName val="집계"/>
      <sheetName val="전도금정산서(27)"/>
      <sheetName val="내역"/>
      <sheetName val="화재 탐지 설비"/>
      <sheetName val="5.전사투자계획종함안"/>
      <sheetName val="표지"/>
      <sheetName val="OD5000"/>
      <sheetName val="약품공급2"/>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대외공문"/>
      <sheetName val="hori. vessel(E-895)"/>
      <sheetName val="부재력정리"/>
      <sheetName val="시산표"/>
    </sheetNames>
    <sheetDataSet>
      <sheetData sheetId="0"/>
      <sheetData sheetId="1" refreshError="1"/>
      <sheetData sheetId="2" refreshError="1"/>
      <sheetData sheetId="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약품공급2"/>
      <sheetName val="견"/>
      <sheetName val="DATA"/>
      <sheetName val="Totowa commitment"/>
      <sheetName val="화재 탐지 설비"/>
      <sheetName val="예정(3)"/>
      <sheetName val="J直材4"/>
      <sheetName val="3.하중산정4.지지력"/>
      <sheetName val="일위대가"/>
      <sheetName val="공사원가계산서"/>
      <sheetName val="P-산#1-1(WOWA1)"/>
      <sheetName val="예산서"/>
      <sheetName val="원가계산서"/>
      <sheetName val="내역"/>
      <sheetName val="갑지(추정)"/>
      <sheetName val="평형공사비"/>
      <sheetName val="7.경제성결과"/>
      <sheetName val="집수정(600-700)"/>
      <sheetName val="2.대외공문"/>
      <sheetName val="DNT OSBL"/>
      <sheetName val="표지"/>
      <sheetName val="POOM_MOTO"/>
      <sheetName val="POOM_MOTO2"/>
      <sheetName val="GODO"/>
      <sheetName val="Macro1"/>
      <sheetName val="1.동력공사"/>
      <sheetName val="DATE"/>
      <sheetName val="기기리스트"/>
      <sheetName val="일위"/>
      <sheetName val="Requirement(Work Crew)"/>
      <sheetName val="Sheet1"/>
      <sheetName val="인부신상자료"/>
      <sheetName val="내역1"/>
      <sheetName val="EQT-ESTN"/>
      <sheetName val="Totowa_commitment"/>
      <sheetName val="화재_탐지_설비"/>
      <sheetName val="3_하중산정4_지지력"/>
      <sheetName val="건축집계"/>
      <sheetName val="계수시트"/>
      <sheetName val="단가산출"/>
      <sheetName val="bm(CIcable)"/>
      <sheetName val="일위(PN)"/>
      <sheetName val="CTEMCOST"/>
      <sheetName val="종배수관"/>
      <sheetName val="9GNG운반"/>
      <sheetName val="물량산출"/>
      <sheetName val="지수"/>
      <sheetName val="1공구 건정토건 토공"/>
      <sheetName val="2000년1차"/>
      <sheetName val="2000전체분"/>
      <sheetName val="내역서"/>
      <sheetName val="01"/>
      <sheetName val="원가계산"/>
      <sheetName val="단위세대물량"/>
      <sheetName val="48일위(기존)"/>
      <sheetName val="S0"/>
      <sheetName val="실행철강하도"/>
      <sheetName val="1을"/>
      <sheetName val="주경기-오배수"/>
      <sheetName val="매입세"/>
      <sheetName val="원형1호맨홀토공수량"/>
      <sheetName val="갑지"/>
      <sheetName val="자재단가"/>
      <sheetName val="CAT_5"/>
      <sheetName val="일위대가목차"/>
      <sheetName val="날개벽"/>
      <sheetName val="총괄"/>
      <sheetName val="현장관리비 산출내역"/>
      <sheetName val="공사개요"/>
      <sheetName val="PROJECT BRIEF"/>
      <sheetName val="DATA(VTL)"/>
      <sheetName val="교각계산"/>
      <sheetName val="G.R300경비"/>
      <sheetName val="내역서1"/>
      <sheetName val="GI-LIST"/>
      <sheetName val="한일양산"/>
      <sheetName val="입고장부 (4)"/>
      <sheetName val="구조물철거타공정이월"/>
      <sheetName val="일위대가 "/>
      <sheetName val="노임"/>
      <sheetName val="1호토공"/>
      <sheetName val="C3"/>
      <sheetName val="연부97-1"/>
      <sheetName val="보할공정"/>
      <sheetName val="woo(mac)"/>
      <sheetName val="터파기및재료"/>
      <sheetName val="가도공"/>
      <sheetName val="노임조서"/>
      <sheetName val="N賃率-職"/>
      <sheetName val="UNIT"/>
      <sheetName val="제출내역 (2)"/>
      <sheetName val="상-교대(A1-A2)"/>
      <sheetName val="퍼스트"/>
      <sheetName val="자재"/>
      <sheetName val="토공연장"/>
      <sheetName val="5.정산서"/>
      <sheetName val="토공총괄표"/>
      <sheetName val="#REF"/>
      <sheetName val="단면가정"/>
      <sheetName val="인원"/>
      <sheetName val="표층포설및다짐"/>
      <sheetName val="인부노임"/>
      <sheetName val="지장물C"/>
      <sheetName val="말뚝지지력산정"/>
      <sheetName val="(A)내역서"/>
      <sheetName val="배수공1"/>
      <sheetName val="지하"/>
      <sheetName val="건축내역서"/>
      <sheetName val="집계표"/>
      <sheetName val="설비내역서"/>
      <sheetName val="전기내역서"/>
      <sheetName val="급여"/>
      <sheetName val="밸브설치"/>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수량집계(본역사)"/>
      <sheetName val="수량집계(임시역사)"/>
      <sheetName val="수량산출(TV)"/>
      <sheetName val="DATA-UPS"/>
      <sheetName val="일위단가"/>
      <sheetName val="사통"/>
      <sheetName val="22수량"/>
      <sheetName val="맨홀수량산출"/>
      <sheetName val="상 부"/>
      <sheetName val="관급자재"/>
      <sheetName val="NOMUBI"/>
      <sheetName val="sw1"/>
      <sheetName val="일위집계(기존)"/>
      <sheetName val="노임단가"/>
      <sheetName val="MACRO(MCC)"/>
      <sheetName val="입출재고현황 (2)"/>
      <sheetName val="일위대가표"/>
      <sheetName val="Start"/>
      <sheetName val="중기일위대가"/>
      <sheetName val="심사공종"/>
      <sheetName val="정부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ST1"/>
      <sheetName val="01"/>
      <sheetName val="소비자가"/>
      <sheetName val="#REF"/>
      <sheetName val="2000년1차"/>
      <sheetName val="2000전체분"/>
      <sheetName val="총누계"/>
      <sheetName val="전기혼잡제경비(45)"/>
      <sheetName val="경비"/>
      <sheetName val="D16"/>
      <sheetName val="D25"/>
      <sheetName val="D22"/>
      <sheetName val="원가계산"/>
      <sheetName val="내역서"/>
      <sheetName val="노임이"/>
      <sheetName val="잡비"/>
      <sheetName val="P.M 별"/>
      <sheetName val="(갑지)"/>
      <sheetName val="Sheet5"/>
      <sheetName val="교통대책내역"/>
      <sheetName val="일위_파일"/>
      <sheetName val="Total"/>
      <sheetName val="견적율"/>
      <sheetName val="총괄표"/>
      <sheetName val="수량산출"/>
      <sheetName val="INPUT"/>
      <sheetName val="Sheet4"/>
      <sheetName val="3BL공동구 수량"/>
      <sheetName val="Sheet1"/>
      <sheetName val="약품공급2"/>
      <sheetName val="1.동력공사"/>
      <sheetName val="항목(1)"/>
      <sheetName val="BOOK4"/>
      <sheetName val="갑지"/>
      <sheetName val="6호기"/>
      <sheetName val="약품설비"/>
      <sheetName val="일반부표"/>
      <sheetName val="노임단가"/>
      <sheetName val="시설일위"/>
      <sheetName val="식재수량표"/>
      <sheetName val="식재일위"/>
      <sheetName val="유림골조"/>
      <sheetName val="1ST"/>
      <sheetName val="P_M_별"/>
      <sheetName val="금액내역서"/>
      <sheetName val="시멘트"/>
      <sheetName val="인제내역"/>
      <sheetName val="소일위대가코드표"/>
      <sheetName val="수목데이타_"/>
      <sheetName val="수목표준대가"/>
      <sheetName val="통장출금액"/>
      <sheetName val="대비표(토공1안)"/>
      <sheetName val="b_balju_(2)"/>
      <sheetName val="b_balju"/>
      <sheetName val="포장공사"/>
      <sheetName val="손익분석"/>
      <sheetName val="대비내역"/>
      <sheetName val="현황CODE"/>
      <sheetName val="NEWDRAW"/>
      <sheetName val="b_gunmul"/>
      <sheetName val="BID"/>
      <sheetName val="손익현황"/>
      <sheetName val="여흥"/>
      <sheetName val="중갑지"/>
      <sheetName val="3BL공동구_수량"/>
      <sheetName val="1_동력공사"/>
      <sheetName val="일반관리비"/>
      <sheetName val="조명율표"/>
      <sheetName val="DATA"/>
      <sheetName val="차도조도계산"/>
      <sheetName val="도급"/>
      <sheetName val="공구원가계산"/>
      <sheetName val="asd"/>
      <sheetName val="FURNITURE-01"/>
      <sheetName val="갑지1"/>
      <sheetName val="설계내역서"/>
      <sheetName val="N賃率-職"/>
      <sheetName val="I一般比"/>
      <sheetName val="공문"/>
      <sheetName val="업무일지 및 금액정산"/>
      <sheetName val="투자정리"/>
      <sheetName val="작성불가-지결베이스"/>
      <sheetName val="호환성 보고서"/>
      <sheetName val="부대공Ⅱ"/>
      <sheetName val="P_M_별1"/>
      <sheetName val="3BL공동구_수량1"/>
      <sheetName val="1_동력공사1"/>
      <sheetName val="CC16-내역서"/>
      <sheetName val="데이타"/>
      <sheetName val="실행간접비용"/>
      <sheetName val="실행철강하도"/>
      <sheetName val="광혁기성"/>
      <sheetName val="DATE"/>
      <sheetName val="토적계산"/>
      <sheetName val="sh1"/>
      <sheetName val="슬래브(유곡)"/>
      <sheetName val="PIPE"/>
      <sheetName val="FLANGE"/>
      <sheetName val="VALVE"/>
      <sheetName val="예가표"/>
      <sheetName val="S0"/>
      <sheetName val="에너지동"/>
      <sheetName val="와동25-3(변경)"/>
      <sheetName val="X17-TOTAL"/>
      <sheetName val="주관사업"/>
      <sheetName val="현장"/>
      <sheetName val="전기"/>
      <sheetName val="손익차9월2"/>
      <sheetName val="간접비"/>
      <sheetName val="간접1"/>
      <sheetName val="카렌스센터계량기설치공사"/>
      <sheetName val="사급자재"/>
      <sheetName val="Front"/>
      <sheetName val="wall"/>
      <sheetName val="Customer Databas"/>
      <sheetName val="전력"/>
      <sheetName val="AS복구"/>
      <sheetName val="중기터파기"/>
      <sheetName val="변수값"/>
      <sheetName val="중기상차"/>
      <sheetName val="재료집계"/>
      <sheetName val="부안일위"/>
      <sheetName val="직재"/>
      <sheetName val="재집"/>
      <sheetName val="일위"/>
      <sheetName val="TOT"/>
      <sheetName val="HP1AMLIST"/>
      <sheetName val="노임"/>
      <sheetName val="일위(PN)"/>
      <sheetName val="AHU집계"/>
      <sheetName val="공조기휀"/>
      <sheetName val="공조기"/>
      <sheetName val="산출내역서집계표"/>
      <sheetName val="신청서"/>
      <sheetName val="영업.일1"/>
      <sheetName val="Summary"/>
      <sheetName val="중기일위대가"/>
      <sheetName val="갑지(추정)"/>
      <sheetName val="견"/>
      <sheetName val="표지 (2)"/>
      <sheetName val="EQT-ESTN"/>
      <sheetName val="내역"/>
      <sheetName val="전계가"/>
      <sheetName val="설계명세서"/>
      <sheetName val="공내역"/>
      <sheetName val="TEST1.XLS"/>
      <sheetName val="화재 탐지 설비"/>
      <sheetName val="집계"/>
      <sheetName val="일위대가표"/>
      <sheetName val="청천내"/>
      <sheetName val="copy"/>
      <sheetName val="서식"/>
      <sheetName val="AILC004"/>
      <sheetName val="Summary Sheets"/>
      <sheetName val="COST"/>
      <sheetName val="지수"/>
      <sheetName val="2.대외공문"/>
      <sheetName val="단가표"/>
      <sheetName val="공사개요"/>
      <sheetName val="직노"/>
      <sheetName val="GAEYO"/>
      <sheetName val="입찰안"/>
      <sheetName val="부속동"/>
      <sheetName val="EACT10"/>
      <sheetName val="기계내역"/>
      <sheetName val="시화점실행"/>
      <sheetName val="b_balju (2)"/>
      <sheetName val="간선계산"/>
      <sheetName val="포장복구집계"/>
      <sheetName val="공사수행방안"/>
      <sheetName val="교각1"/>
      <sheetName val="수주실적0709"/>
      <sheetName val="ETC"/>
      <sheetName val="점수계산1-2"/>
      <sheetName val="수로교총재료집계"/>
      <sheetName val="남양시작동자105노65기1.3화1.2"/>
      <sheetName val="2F 회의실견적(5_14 일대)"/>
      <sheetName val="전선"/>
      <sheetName val="XXXXXX"/>
      <sheetName val="VXXXXX"/>
      <sheetName val="2월1주차"/>
      <sheetName val="공통가설"/>
      <sheetName val="조건표"/>
      <sheetName val="업무절차서"/>
      <sheetName val="근로자명부"/>
      <sheetName val="증빙SCAN"/>
      <sheetName val="근로계약서"/>
      <sheetName val="실행예산서"/>
      <sheetName val="작업지시서"/>
      <sheetName val="MEMBER"/>
      <sheetName val="일위대가"/>
      <sheetName val="단면 (2)"/>
      <sheetName val="을지"/>
      <sheetName val="공통부대비"/>
      <sheetName val="LEGEND"/>
      <sheetName val="연수동"/>
      <sheetName val="ilch"/>
      <sheetName val="차액보증"/>
      <sheetName val="DONGIA"/>
      <sheetName val="CHITIET"/>
      <sheetName val="BSD (2)"/>
      <sheetName val="예산서"/>
      <sheetName val="말뚝물량"/>
      <sheetName val="_x000d__x000a__x000d__x000a__x0000__x0003_"/>
      <sheetName val="조직"/>
      <sheetName val="개요"/>
      <sheetName val="내역1"/>
      <sheetName val="ITEM"/>
      <sheetName val="JUCK"/>
      <sheetName val="quotation"/>
      <sheetName val="9-1차이내역"/>
      <sheetName val="Customer_Databas"/>
      <sheetName val="Summary_Sheets"/>
      <sheetName val="남양시작동자105노65기1_3화1_2"/>
      <sheetName val="2F_회의실견적(5_14_일대)"/>
      <sheetName val="단면_(2)"/>
      <sheetName val="BSD_(2)"/>
      <sheetName val="_x000a__x000a_"/>
      <sheetName val="수입"/>
      <sheetName val="_x000a__x000a__x000a__x000a__x0000__x0003_"/>
      <sheetName val="열린교실"/>
      <sheetName val="FB25JN"/>
      <sheetName val="선급비용"/>
      <sheetName val="노무비"/>
      <sheetName val="표지"/>
      <sheetName val="실행내역서"/>
      <sheetName val="TABLE"/>
      <sheetName val="정부노임단가"/>
      <sheetName val="Customer_Databas1"/>
      <sheetName val="b_balju_(2)1"/>
      <sheetName val="Summary_Sheets1"/>
      <sheetName val="남양시작동자105노65기1_3화1_21"/>
      <sheetName val="2F_회의실견적(5_14_일대)1"/>
      <sheetName val="단면_(2)1"/>
      <sheetName val="BSD_(2)1"/>
      <sheetName val="판관"/>
      <sheetName val="B767"/>
      <sheetName val="guard(mac)"/>
      <sheetName val="일위대가목차"/>
      <sheetName val="기계경비(시간당)"/>
      <sheetName val="램머"/>
      <sheetName val="단가 및 재료비"/>
      <sheetName val="Sheet6"/>
      <sheetName val="SULKEA"/>
      <sheetName val="잔수량(작성)"/>
      <sheetName val="교각계산"/>
      <sheetName val="산정기준"/>
      <sheetName val="매입세"/>
      <sheetName val="전차선로 물량표"/>
      <sheetName val="구의동공내역서"/>
      <sheetName val="일반전기"/>
      <sheetName val="총투입계"/>
      <sheetName val="주요항목별"/>
      <sheetName val="단가"/>
      <sheetName val="진주방향"/>
      <sheetName val="인사자료총집계"/>
      <sheetName val="sort"/>
      <sheetName val="EKOG10건축"/>
      <sheetName val="DESIGN"/>
      <sheetName val="Macro1"/>
      <sheetName val="품셈TABLE"/>
      <sheetName val="품셈표"/>
      <sheetName val="1.설계조건"/>
      <sheetName val="자재단가비교표"/>
      <sheetName val="일위대가목록"/>
      <sheetName val="단가대비표"/>
      <sheetName val="매출"/>
      <sheetName val="2. Summary-cash"/>
      <sheetName val="2.주요계수총괄"/>
      <sheetName val="2.Summary-cash"/>
      <sheetName val="INMD1198"/>
      <sheetName val="賃料等一覧"/>
      <sheetName val="Initial Input Variable"/>
      <sheetName val="법면"/>
      <sheetName val="부대공"/>
      <sheetName val="구조물공"/>
      <sheetName val="포장공"/>
      <sheetName val="토공"/>
      <sheetName val="배수공1"/>
      <sheetName val="전압강하계산"/>
      <sheetName val="blocktime"/>
      <sheetName val="참조자료"/>
      <sheetName val="외주업체발주서(태라)"/>
      <sheetName val="대비표(현설)"/>
      <sheetName val="견적서"/>
      <sheetName val="암거공"/>
      <sheetName val="토목주소"/>
      <sheetName val="프랜트면허"/>
      <sheetName val="음료실행"/>
      <sheetName val="Sheet3"/>
      <sheetName val="Sheet2"/>
      <sheetName val="20관리비율"/>
      <sheetName val="예정(3)"/>
      <sheetName val="월별수입"/>
      <sheetName val="기초견적가"/>
      <sheetName val="준검 내역서"/>
      <sheetName val="マスタ"/>
      <sheetName val="점별(추정)"/>
      <sheetName val="재무가정"/>
      <sheetName val="2공구산출내역"/>
      <sheetName val="인원계획-미화"/>
      <sheetName val="APT"/>
      <sheetName val="실행"/>
      <sheetName val="SAKUB"/>
      <sheetName val="을"/>
      <sheetName val="총괄"/>
      <sheetName val="식재인부"/>
      <sheetName val="P_M_별2"/>
      <sheetName val="1_동력공사2"/>
      <sheetName val="3BL공동구_수량2"/>
      <sheetName val="업무일지_및_금액정산"/>
      <sheetName val="호환성_보고서"/>
      <sheetName val="Customer_Databas2"/>
      <sheetName val="영업_일1"/>
      <sheetName val="표지_(2)"/>
      <sheetName val="TEST1_XLS"/>
      <sheetName val="화재_탐지_설비"/>
      <sheetName val="Summary_Sheets2"/>
      <sheetName val="2_대외공문"/>
      <sheetName val="b_balju_(2)2"/>
      <sheetName val="남양시작동자105노65기1_3화1_22"/>
      <sheetName val="2F_회의실견적(5_14_일대)2"/>
      <sheetName val="단면_(2)2"/>
      <sheetName val="BSD_(2)2"/>
      <sheetName val="_x000a__x000a__x000a__x000a_"/>
      <sheetName val="단가_및_재료비"/>
      <sheetName val="전차선로_물량표"/>
      <sheetName val="1_설계조건"/>
      <sheetName val="2__Summary-cash"/>
      <sheetName val="2_주요계수총괄"/>
      <sheetName val="2_Summary-cash"/>
      <sheetName val="Initial_Input_Variable"/>
      <sheetName val="준검_내역서"/>
      <sheetName val="CTEMCOST"/>
      <sheetName val="빙장비사양"/>
      <sheetName val="장비사양"/>
      <sheetName val="관람석제출"/>
      <sheetName val="마산월령동골조물량변경"/>
      <sheetName val="부대내역"/>
      <sheetName val="예산명세서"/>
      <sheetName val="자료입력"/>
      <sheetName val="국내조달(통합-1)"/>
      <sheetName val="Assumptions"/>
      <sheetName val="산출기초"/>
      <sheetName val="연돌일위집계"/>
      <sheetName val="_x000d__x000a__x000d__x000a_"/>
      <sheetName val="기기리스트"/>
      <sheetName val="단"/>
      <sheetName val="날개벽"/>
      <sheetName val="중기손료"/>
      <sheetName val="품"/>
      <sheetName val="일위대가(가설)"/>
      <sheetName val="적용률"/>
      <sheetName val="설비원가"/>
      <sheetName val="수목데이타 "/>
      <sheetName val="총괄집계표"/>
      <sheetName val="9GNG운반"/>
      <sheetName val="날개벽(좌,우=60도-4개)"/>
      <sheetName val="단위가격"/>
      <sheetName val="BJ_SP3.1"/>
      <sheetName val="B부대공"/>
      <sheetName val="부재예실"/>
      <sheetName val="간접비계산"/>
      <sheetName val="예방접종계획"/>
      <sheetName val="버스운행안내"/>
      <sheetName val="근태계획서"/>
      <sheetName val="CAT_5"/>
      <sheetName val="건축집계"/>
      <sheetName val="간접경상비"/>
      <sheetName val="1안"/>
      <sheetName val="98지급계획"/>
      <sheetName val="_x000d___x000d__"/>
      <sheetName val="__"/>
      <sheetName val="____"/>
      <sheetName val="    "/>
      <sheetName val="  "/>
      <sheetName val="archi(본사)"/>
      <sheetName val="PROJECT BRIEF"/>
      <sheetName val="연결임시"/>
      <sheetName val="공사비산출내역"/>
      <sheetName val="결재판(삭제하지말아주세요)"/>
      <sheetName val="O＆P"/>
      <sheetName val="세부내역"/>
      <sheetName val="결재란"/>
      <sheetName val="단목"/>
      <sheetName val="토목수량"/>
      <sheetName val="발주품의"/>
      <sheetName val="대비표(정산)"/>
      <sheetName val="우드플로링 바닥 마감 자재 내역"/>
      <sheetName val="추가납품"/>
      <sheetName val="대비표(최종)"/>
      <sheetName val="홍인내화-2 갑지"/>
      <sheetName val="홍인내화-2 을지"/>
      <sheetName val="Sheet7"/>
      <sheetName val="물량산출 및 첨부도면"/>
      <sheetName val="말고개터널조명전압강하"/>
      <sheetName val="정공공사"/>
      <sheetName val="G.R300경비"/>
      <sheetName val="시추주상도"/>
      <sheetName val="총물량"/>
      <sheetName val="수주추정"/>
      <sheetName val="전기내역1"/>
      <sheetName val="코드"/>
      <sheetName val="J直材4"/>
      <sheetName val="본사인상전"/>
      <sheetName val="집수정(600-700)"/>
      <sheetName val="_x000a___x000a__"/>
      <sheetName val="내역서을지"/>
      <sheetName val="전선관"/>
      <sheetName val="cal"/>
      <sheetName val="입고장부 (4)"/>
      <sheetName val="매립"/>
      <sheetName val="문학간접"/>
      <sheetName val="인부신상자료"/>
      <sheetName val="ELECTRIC"/>
      <sheetName val="설계예산2"/>
      <sheetName val="P_M_별3"/>
      <sheetName val="3BL공동구_수량3"/>
      <sheetName val="1_동력공사3"/>
      <sheetName val="업무일지_및_금액정산1"/>
      <sheetName val="호환성_보고서1"/>
      <sheetName val="Customer_Databas3"/>
      <sheetName val="영업_일11"/>
      <sheetName val="표지_(2)1"/>
      <sheetName val="TEST1_XLS1"/>
      <sheetName val="Summary_Sheets3"/>
      <sheetName val="2_대외공문1"/>
      <sheetName val="b_balju_(2)3"/>
      <sheetName val="남양시작동자105노65기1_3화1_23"/>
      <sheetName val="2F_회의실견적(5_14_일대)3"/>
      <sheetName val="단면_(2)3"/>
      <sheetName val="BSD_(2)3"/>
      <sheetName val="단가_및_재료비1"/>
      <sheetName val="전차선로_물량표1"/>
      <sheetName val="1_설계조건1"/>
      <sheetName val="2__Summary-cash1"/>
      <sheetName val="2_주요계수총괄1"/>
      <sheetName val="2_Summary-cash1"/>
      <sheetName val="Initial_Input_Variable1"/>
      <sheetName val="준검_내역서1"/>
      <sheetName val="화재_탐지_설비1"/>
      <sheetName val="수목데이타_1"/>
      <sheetName val="BJ_SP3_1"/>
      <sheetName val="____1"/>
      <sheetName val="__1"/>
      <sheetName val="PROJECT_BRIEF"/>
      <sheetName val="우드플로링_바닥_마감_자재_내역"/>
      <sheetName val="홍인내화-2_갑지"/>
      <sheetName val="홍인내화-2_을지"/>
      <sheetName val="물량산출_및_첨부도면"/>
      <sheetName val="G_R300경비"/>
      <sheetName val="0420"/>
      <sheetName val="0420 사진리포트"/>
      <sheetName val="0419"/>
      <sheetName val="0419 사진리포트"/>
      <sheetName val="0418"/>
      <sheetName val="0418 사진리포트"/>
      <sheetName val="전도금정산일계표"/>
      <sheetName val="0.갑지"/>
      <sheetName val="8.현장관리비"/>
      <sheetName val="7.안전관리비"/>
      <sheetName val="공사원가계산서"/>
      <sheetName val="재료비내역서"/>
      <sheetName val="작업"/>
      <sheetName val="단위수량"/>
      <sheetName val="_x000d_ _x000d_ _x0000__x0003_"/>
      <sheetName val="    _x0000__x0003_"/>
      <sheetName val="_x000d_ _x000d_ "/>
      <sheetName val="1층"/>
      <sheetName val="Centrally Managed"/>
      <sheetName val="집계표"/>
      <sheetName val="70%"/>
      <sheetName val="산출내역(K2)"/>
      <sheetName val="지급자재"/>
      <sheetName val="제출내역 (2)"/>
      <sheetName val="6공구(당초)"/>
      <sheetName val="배수공"/>
      <sheetName val="투찰"/>
      <sheetName val="수량집계"/>
      <sheetName val="공사비집계"/>
      <sheetName val="전체제잡비"/>
      <sheetName val="단가비교표"/>
      <sheetName val="106C0300"/>
      <sheetName val="_x000a_ _x000a_ _x0000__x0003_"/>
      <sheetName val="_x000a_ _x000a_ "/>
      <sheetName val=" _ _"/>
      <sheetName val="가도공"/>
      <sheetName val="참고"/>
      <sheetName val="물가시세"/>
      <sheetName val="A공구"/>
      <sheetName val="UPDATA"/>
      <sheetName val="실행(ALT1)"/>
      <sheetName val="동일대내"/>
      <sheetName val="기성2"/>
      <sheetName val="한일양산"/>
      <sheetName val="금융"/>
      <sheetName val="외주"/>
      <sheetName val="P-산#1-1(WOWA1)"/>
      <sheetName val=""/>
      <sheetName val="SG"/>
      <sheetName val="한강운반비"/>
      <sheetName val="토목"/>
      <sheetName val="admin"/>
      <sheetName val="원본(01~02)"/>
      <sheetName val="DANGA"/>
      <sheetName val="토사(PE)"/>
      <sheetName val=" _x000a_ _x000a__x0000__x0003_"/>
      <sheetName val=" _x000a_ _x000a_"/>
      <sheetName val="합천내역"/>
      <sheetName val="PAINT"/>
      <sheetName val="8."/>
      <sheetName val="10."/>
      <sheetName val="5."/>
      <sheetName val="11"/>
      <sheetName val="12."/>
      <sheetName val="14."/>
      <sheetName val="9."/>
      <sheetName val="13"/>
      <sheetName val="7."/>
      <sheetName val="의왕실행"/>
      <sheetName val="Mc"/>
      <sheetName val="_x005f_x000d__x005f_x000a__x005f_x000d__x005f_x000a__x0"/>
      <sheetName val="_x005f_x000a__x005f_x000a_"/>
      <sheetName val="_x005f_x000a__x005f_x000a__x005f_x000a__x005f_x000a__x0"/>
      <sheetName val="_x005f_x000a__x005f_x000a__x005f_x000a__x005f_x000a_"/>
      <sheetName val="_x005f_x000d___x005f_x000d___x005f_x0000__x005f_x0003_"/>
      <sheetName val="_____x005f_x0000__x005f_x0003_"/>
      <sheetName val="_x005f_x000d___x005f_x000d__"/>
      <sheetName val="_x005f_x005f_x005f_x000d__x005f_x005f_x005f_x000a__x005"/>
      <sheetName val="_x005f_x005f_x005f_x000a__x005f_x005f_x005f_x000a_"/>
      <sheetName val="_x005f_x005f_x005f_x000a__x005f_x005f_x005f_x000a__x005"/>
      <sheetName val="내역서2안"/>
      <sheetName val="B2BERP"/>
      <sheetName val=" 견적서"/>
      <sheetName val="계화배수(3대)"/>
      <sheetName val="21301동"/>
      <sheetName val="IMPEADENCE MAP 취수장"/>
      <sheetName val="견적을지"/>
      <sheetName val="AV시스템"/>
      <sheetName val="현장지지물물량"/>
      <sheetName val="Y-WORK"/>
      <sheetName val="FOB발"/>
      <sheetName val="잡철물"/>
      <sheetName val="CONCRETE"/>
      <sheetName val="4 LINE"/>
      <sheetName val="7 th"/>
      <sheetName val="견적대비표"/>
      <sheetName val="EJ"/>
      <sheetName val="BASE"/>
      <sheetName val="원본"/>
      <sheetName val="CATV"/>
      <sheetName val="기존단가 (2)"/>
      <sheetName val="_x000a__x000a__x000a__x000a__x0"/>
      <sheetName val="_x005f_x000d__x005f_x000a__x005"/>
      <sheetName val="_x005f_x000a__x005f_x000a__x005"/>
      <sheetName val="_x000a___x000a___x0"/>
      <sheetName val="_____x0"/>
      <sheetName val="97년추정손익계산서"/>
      <sheetName val="Cash Flow"/>
      <sheetName val="Source"/>
      <sheetName val="BDGTCE"/>
      <sheetName val="Cover sheet"/>
      <sheetName val="System furniture"/>
      <sheetName val="Cabinet&amp;CPU Holder"/>
      <sheetName val="Chair"/>
      <sheetName val="Steelcase Fur"/>
      <sheetName val="Steelcase Chair"/>
      <sheetName val="Stelecase Fur - Cabinet"/>
      <sheetName val="_견적서"/>
      <sheetName val="토적계산서"/>
      <sheetName val="입력"/>
      <sheetName val="자판실행"/>
      <sheetName val="Cover(IF)"/>
      <sheetName val="Prelim"/>
      <sheetName val="Arch"/>
      <sheetName val="Mechanical"/>
      <sheetName val="Electrical"/>
      <sheetName val="견적 조건"/>
      <sheetName val="실행갑지"/>
      <sheetName val="실행을지"/>
      <sheetName val="현설일정표"/>
      <sheetName val="형틀공사"/>
      <sheetName val="BOM"/>
      <sheetName val="현설내역서"/>
      <sheetName val="_x000d__x000a__x000d__x000a__x0"/>
      <sheetName val="_x000d___x000d___x0000__x0003_"/>
      <sheetName val="_____x0000__x0003_"/>
      <sheetName val="    _x0"/>
      <sheetName val="_x000d__x000a__x005"/>
      <sheetName val="_x000a__x000a__x005"/>
      <sheetName val=" _ __x0"/>
      <sheetName val="전체"/>
      <sheetName val="소방"/>
      <sheetName val="기본사항"/>
      <sheetName val="을-ATYPE"/>
      <sheetName val="Breakdown"/>
      <sheetName val="금액집계"/>
      <sheetName val="1공구(을)"/>
      <sheetName val="UnitRate"/>
      <sheetName val="전도금정산서(27)"/>
      <sheetName val="유동표"/>
      <sheetName val="별표총괄"/>
      <sheetName val="1,2공구원가계산서"/>
      <sheetName val="1공구산출내역서"/>
      <sheetName val="_x005f_x005f_x005f_x000d__x005f_x005f_x005f_x000a__x0乍ã"/>
      <sheetName val="날개벽수량표"/>
      <sheetName val="공사진행"/>
      <sheetName val="HVAC"/>
      <sheetName val="DATA(VTL)"/>
      <sheetName val="DATASPEC(VT1)"/>
      <sheetName val="Factor"/>
      <sheetName val="_x005f_x005f_x005f_x000d__x005f_x005f_x005f_x000a__x0篰4"/>
      <sheetName val="기초1"/>
      <sheetName val="빌딩 안내"/>
      <sheetName val="일위대가표 (2)"/>
      <sheetName val="_x005f_x005f_x005f_x000d__x005f_x005f_x005f_x000a__x0㛬Y"/>
      <sheetName val="\\이미지\C\MSOFFICE\EXCEL\EXAMPLES"/>
      <sheetName val="  _x005"/>
      <sheetName val="_x005f_x000d__x005f_x000a__x0乍ã"/>
      <sheetName val="_x005f_x000d__x005f_x000a__x0篰4"/>
      <sheetName val="_x005f_x005f_x005f_x000d__x005f_x005f_x005f_x000a__x0_x0000__x0000_"/>
      <sheetName val="건축내역서"/>
      <sheetName val="설비내역서"/>
      <sheetName val="전기내역서"/>
      <sheetName val="제출내역서"/>
      <sheetName val="내역서(실행)"/>
      <sheetName val="내역서 (원본)"/>
      <sheetName val="내역서(실행)3"/>
      <sheetName val="건축내역"/>
      <sheetName val="토공집계표"/>
      <sheetName val="_x005f_x000d__x005f_x000a__x0㛬Y"/>
      <sheetName val="_x000d__x000a__x0乍ã"/>
      <sheetName val="_x000d__x000a__x0篰4"/>
      <sheetName val="_x005f_x000d__x005f_x000a__x0"/>
      <sheetName val="4층내역"/>
      <sheetName val="JUCKEYK"/>
      <sheetName val="Sheet498"/>
      <sheetName val="_x000d__x000a__x0㛬Y"/>
      <sheetName val="  _x0乍ã"/>
      <sheetName val="  _x0篰4"/>
      <sheetName val="_x000d__x000a__x0"/>
      <sheetName val="강당집계표-하임"/>
      <sheetName val="_x000d__x000a__x000d__x000a_?_x0003_"/>
      <sheetName val="_x000a__x000a__x000a__x000a_?_x0003_"/>
      <sheetName val="Fail"/>
      <sheetName val="______C_MSOFFICE_EXCEL_EXAMPL_2"/>
      <sheetName val="_x000d_ _x000d_ ?_x0003_"/>
      <sheetName val="    ?_x0003_"/>
      <sheetName val="_x000a_ _x000a_ ?_x0003_"/>
      <sheetName val=" _x000a_ _x000a_?_x0003_"/>
      <sheetName val="_x000d___x000d__?_x0003_"/>
      <sheetName val="____?_x0003_"/>
      <sheetName val="마감재수량(전체)"/>
      <sheetName val="LVT 단가비교"/>
      <sheetName val="자재"/>
      <sheetName val="Macro(차단기)"/>
      <sheetName val="단중표"/>
      <sheetName val="설계"/>
      <sheetName val="신표지1"/>
      <sheetName val="C3"/>
      <sheetName val="터파기및재료"/>
      <sheetName val="의정부문예회관변경내역"/>
      <sheetName val="설명"/>
      <sheetName val="탑(을지)"/>
      <sheetName val="______C_MSOFFICE_EXCEL_EXAMPL_3"/>
      <sheetName val="자원"/>
      <sheetName val="수량산출서"/>
      <sheetName val="_x005f_x005f_x005f_x000d__x005f_x005f_x005f_x000a__x0þ"/>
      <sheetName val="실행(표지,갑,을)"/>
      <sheetName val="대비"/>
      <sheetName val="1.R18 BF"/>
      <sheetName val="A"/>
      <sheetName val="G"/>
      <sheetName val="F-B"/>
      <sheetName val="H-J"/>
      <sheetName val="6.External works-R18"/>
      <sheetName val="기안"/>
      <sheetName val="ctTBA"/>
      <sheetName val="개산공사비"/>
      <sheetName val="______C_MSOFFICE_EXCEL_EXAMPL_4"/>
      <sheetName val="nhap"/>
      <sheetName val="______C_MSOFFICE_EXCEL_EXAMPL_5"/>
      <sheetName val="P_M_별4"/>
      <sheetName val="3BL공동구_수량4"/>
      <sheetName val="1_동력공사4"/>
      <sheetName val="업무일지_및_금액정산2"/>
      <sheetName val="호환성_보고서2"/>
      <sheetName val="Customer_Databas4"/>
      <sheetName val="표지_(2)2"/>
      <sheetName val="영업_일12"/>
      <sheetName val="TEST1_XLS2"/>
      <sheetName val="Summary_Sheets4"/>
      <sheetName val="화재_탐지_설비2"/>
      <sheetName val="2_대외공문2"/>
      <sheetName val="b_balju_(2)4"/>
      <sheetName val="남양시작동자105노65기1_3화1_24"/>
      <sheetName val="2F_회의실견적(5_14_일대)4"/>
      <sheetName val="단면_(2)4"/>
      <sheetName val="BSD_(2)4"/>
      <sheetName val="단가_및_재료비2"/>
      <sheetName val="전차선로_물량표2"/>
      <sheetName val="1_설계조건2"/>
      <sheetName val="2__Summary-cash2"/>
      <sheetName val="2_주요계수총괄2"/>
      <sheetName val="2_Summary-cash2"/>
      <sheetName val="Initial_Input_Variable2"/>
      <sheetName val="준검_내역서2"/>
      <sheetName val="수목데이타_2"/>
      <sheetName val="BJ_SP3_11"/>
      <sheetName val="____2"/>
      <sheetName val="__2"/>
      <sheetName val="PROJECT_BRIEF1"/>
      <sheetName val="우드플로링_바닥_마감_자재_내역1"/>
      <sheetName val="홍인내화-2_갑지1"/>
      <sheetName val="홍인내화-2_을지1"/>
      <sheetName val="물량산출_및_첨부도면1"/>
      <sheetName val="G_R300경비1"/>
      <sheetName val="0420_사진리포트"/>
      <sheetName val="0419_사진리포트"/>
      <sheetName val="0418_사진리포트"/>
      <sheetName val="0_갑지"/>
      <sheetName val="8_현장관리비"/>
      <sheetName val="7_안전관리비"/>
      <sheetName val="Centrally_Managed"/>
      <sheetName val="입고장부_(4)"/>
      <sheetName val="_x000a___x000a__1"/>
      <sheetName val="____3"/>
      <sheetName val="제출내역_(2)"/>
      <sheetName val="__x000a___x000a_"/>
      <sheetName val="8_"/>
      <sheetName val="10_"/>
      <sheetName val="5_"/>
      <sheetName val="12_"/>
      <sheetName val="14_"/>
      <sheetName val="9_"/>
      <sheetName val="7_"/>
      <sheetName val="_견적서1"/>
      <sheetName val="IMPEADENCE_MAP_취수장"/>
      <sheetName val="4_LINE"/>
      <sheetName val="7_th"/>
      <sheetName val="기존단가_(2)"/>
      <sheetName val="Cash_Flow"/>
      <sheetName val="Cover_sheet"/>
      <sheetName val="System_furniture"/>
      <sheetName val="Cabinet&amp;CPU_Holder"/>
      <sheetName val="Steelcase_Fur"/>
      <sheetName val="Steelcase_Chair"/>
      <sheetName val="Stelecase_Fur_-_Cabinet"/>
      <sheetName val="견적_조건"/>
      <sheetName val="_x000a__x000a__x0"/>
      <sheetName val="_____x01"/>
      <sheetName val="_x000a__x005"/>
      <sheetName val="_____x02"/>
      <sheetName val="빌딩_안내"/>
      <sheetName val="일위대가표_(2)"/>
      <sheetName val="___x005"/>
      <sheetName val="내역서_(원본)"/>
      <sheetName val="_x000a__x0乍ã"/>
      <sheetName val="_x000a__x0篰4"/>
      <sheetName val="_x000a__x0㛬Y"/>
      <sheetName val="___x0乍ã"/>
      <sheetName val="___x0篰4"/>
      <sheetName val="_x000a__x0"/>
      <sheetName val="_x000a__x000a_?"/>
      <sheetName val="_x000a__x000a__x000a__x000a_?"/>
      <sheetName val="_x000a___x000a__?1"/>
      <sheetName val="____?1"/>
      <sheetName val="_x000a___x000a__?"/>
      <sheetName val="__x000a___x000a_?"/>
      <sheetName val="____?"/>
      <sheetName val="LVT_단가비교"/>
      <sheetName val="982월원안"/>
      <sheetName val="암거단위"/>
      <sheetName val="횡 연장"/>
      <sheetName val="1차증가원가계산"/>
      <sheetName val="노임(1차)"/>
      <sheetName val="현장별손익"/>
      <sheetName val="수금계획"/>
      <sheetName val="지급계획"/>
      <sheetName val="영동(D)"/>
      <sheetName val="기성신청"/>
      <sheetName val="_x005f_x000d__x005f_x000a__x005f_x000d__x005f_x000a_"/>
      <sheetName val="_x005f_x000a___x005f_x000a__"/>
      <sheetName val="_x005f_x000d_ _x005f_x000d_ _x005f_x0000__x005f_x0003_"/>
      <sheetName val="    _x005f_x0000__x005f_x0003_"/>
      <sheetName val="_x005f_x000d_ _x005f_x000d_ "/>
      <sheetName val="_x005f_x000a_ _x005f_x000a_ _x005f_x0000__x005f_x0003_"/>
      <sheetName val="_x005f_x000a_ _x005f_x000a_ "/>
      <sheetName val=" _x005f_x000a_ _x005f_x000a__x005f_x0000___x0000__x0000__x0005__x0000_䋰鄪"/>
      <sheetName val=" _x005f_x000a_ _x005f_x000a__x005f_x0000__"/>
    </sheetNames>
    <definedNames>
      <definedName name="StartSeller"/>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refreshError="1"/>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sheetData sheetId="612"/>
      <sheetData sheetId="613"/>
      <sheetData sheetId="614" refreshError="1"/>
      <sheetData sheetId="615"/>
      <sheetData sheetId="616" refreshError="1"/>
      <sheetData sheetId="617"/>
      <sheetData sheetId="618"/>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refreshError="1"/>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비용량 (1)"/>
      <sheetName val="장비용량(2)"/>
      <sheetName val="장비용량(3)"/>
      <sheetName val="장비용량 (4)"/>
      <sheetName val="장비용량 (5)"/>
      <sheetName val="장비용량 (6)"/>
      <sheetName val="장비사양"/>
      <sheetName val="차례"/>
      <sheetName val="표지"/>
      <sheetName val="목차"/>
      <sheetName val="설계사양"/>
      <sheetName val="서울,경기"/>
      <sheetName val="대구"/>
      <sheetName val="빙장비사양"/>
      <sheetName val="흡장비사양"/>
      <sheetName val="빙운전방식"/>
      <sheetName val="빙운전비"/>
      <sheetName val="흡운전방식"/>
      <sheetName val="흡운전비"/>
      <sheetName val="단순비교"/>
      <sheetName val="고정투자대조표"/>
      <sheetName val="지원내용"/>
      <sheetName val="database"/>
      <sheetName val="갑"/>
      <sheetName val="가격(장비)"/>
      <sheetName val="가격(축열조)"/>
      <sheetName val="가격(제어)"/>
      <sheetName val="노무(장비)"/>
      <sheetName val="견적(AFT갑지)"/>
      <sheetName val="내역서(AFT)"/>
      <sheetName val="원가+내역서"/>
      <sheetName val="멀티듀티원가 (2)"/>
      <sheetName val="전기집진기원가1"/>
      <sheetName val="전기집진기원가2"/>
      <sheetName val="C.E.R"/>
      <sheetName val="노무(배관)"/>
      <sheetName val="노무(제어)"/>
      <sheetName val="배관수량"/>
      <sheetName val="제어수량"/>
      <sheetName val="가격(배관)"/>
      <sheetName val="갑2"/>
      <sheetName val="내역서"/>
      <sheetName val="설계조건"/>
      <sheetName val="열관류율"/>
      <sheetName val="First"/>
      <sheetName val="부하계산서"/>
      <sheetName val="Front"/>
      <sheetName val="wall"/>
      <sheetName val="히팅펌프"/>
      <sheetName val="에어콘선정"/>
      <sheetName val="팬"/>
      <sheetName val="form"/>
      <sheetName val="ZONE"/>
      <sheetName val="DATA"/>
      <sheetName val="총부하"/>
      <sheetName val="F.C.U ZONE집계"/>
      <sheetName val="냉온수기"/>
      <sheetName val="PAC 집계"/>
      <sheetName val="보일러&amp;응축수탱크"/>
      <sheetName val="폐열회수기"/>
      <sheetName val="급탕탱크"/>
      <sheetName val="저수조"/>
      <sheetName val="펌프"/>
      <sheetName val="FAN"/>
      <sheetName val="스프링클러(아파트)"/>
      <sheetName val="스프링클러마찰손실(아파트)"/>
      <sheetName val="옥내소화전(아파트)"/>
      <sheetName val="옥내소화전마찰손실(아파트)"/>
      <sheetName val="ZONE대화"/>
      <sheetName val="출력대화"/>
      <sheetName val="기초자료"/>
      <sheetName val="설계개요"/>
      <sheetName val="ZONE모듈"/>
      <sheetName val="Module4"/>
      <sheetName val="장비선정"/>
      <sheetName val="장비선정 (PAC)"/>
      <sheetName val="팬선정"/>
      <sheetName val="팬대화"/>
      <sheetName val="팬모듈"/>
      <sheetName val="공조기"/>
      <sheetName val="부하집계"/>
      <sheetName val="부하계산"/>
      <sheetName val="열관류대화"/>
      <sheetName val="관류_MACRO_1"/>
      <sheetName val="장비대화"/>
      <sheetName val="장비모듈"/>
      <sheetName val="Module1"/>
      <sheetName val="Module2"/>
      <sheetName val="Module3"/>
      <sheetName val="공조기대화(1)"/>
      <sheetName val="공조기대화(2)"/>
      <sheetName val="공조기대화(3)"/>
      <sheetName val="공조기모듈"/>
      <sheetName val="Dialog1"/>
      <sheetName val="Dialog2"/>
      <sheetName val="Dialog3"/>
      <sheetName val="Dialog4"/>
      <sheetName val="덕트"/>
      <sheetName val="송풍기"/>
      <sheetName val="덕트규격"/>
      <sheetName val="환기량"/>
      <sheetName val="TITLE"/>
      <sheetName val="급수입상"/>
      <sheetName val="급수횡주"/>
      <sheetName val="기계실배기팬"/>
      <sheetName val="옥외급수간선"/>
      <sheetName val="급수가압펌프"/>
      <sheetName val="급수감압밸브(미완성)"/>
      <sheetName val="옥내세대_감압변"/>
      <sheetName val="배수입상"/>
      <sheetName val="배수횡주"/>
      <sheetName val="소화배관"/>
      <sheetName val="소화양정"/>
      <sheetName val="1m당손실"/>
      <sheetName val="감압양정"/>
      <sheetName val="자동제어"/>
      <sheetName val="급수용 케미컬피더"/>
      <sheetName val="배기팬"/>
      <sheetName val="덕트크기"/>
      <sheetName val="참조영역"/>
      <sheetName val="(복지관)관류율"/>
      <sheetName val="면적계산"/>
      <sheetName val="난방부하계산서"/>
      <sheetName val="부하집계표"/>
      <sheetName val="난방관경"/>
      <sheetName val="보일러선정"/>
      <sheetName val="주민복지관상가위생 (2)"/>
      <sheetName val="3.위생부하 및 관경 (3)"/>
      <sheetName val="주민복지관(환기)"/>
      <sheetName val="상가위생"/>
      <sheetName val="공동구 규격"/>
      <sheetName val="공동구관로"/>
      <sheetName val="펌프실가대규격(미완성)"/>
      <sheetName val="배관두께"/>
      <sheetName val="목차 "/>
      <sheetName val="온수보일러"/>
      <sheetName val="온수순환펌프"/>
      <sheetName val="급수펌프"/>
      <sheetName val="급탕탱크 "/>
      <sheetName val="급탕순환펌프"/>
      <sheetName val="급탕재순환펌프"/>
      <sheetName val="배수펌프1"/>
      <sheetName val="환기설비"/>
      <sheetName val="환기장비선정"/>
      <sheetName val="조건표"/>
      <sheetName val="보일러"/>
      <sheetName val="보일러보급수펌프"/>
      <sheetName val="펌프(급탕)"/>
      <sheetName val="환기(최종)"/>
      <sheetName val="풍량"/>
      <sheetName val="계산서"/>
      <sheetName val="수목표준대가"/>
      <sheetName val="난방설비"/>
      <sheetName val="PUMP"/>
      <sheetName val="개요및설계기준"/>
      <sheetName val="열원설비"/>
      <sheetName val="우수및배수"/>
      <sheetName val="위생설비"/>
      <sheetName val="환기"/>
      <sheetName val="주차장"/>
      <sheetName val="팽창탱크"/>
      <sheetName val="참고자료(AD)"/>
      <sheetName val="1.설계조건"/>
      <sheetName val="2.부하집계"/>
      <sheetName val="3.열원설비"/>
      <sheetName val="4.위생"/>
      <sheetName val="5.펌프선정"/>
      <sheetName val="6.환기"/>
      <sheetName val="7.AHU"/>
      <sheetName val="8.항온항습기"/>
      <sheetName val="건축개요"/>
      <sheetName val="AHU집계"/>
      <sheetName val="AHU-1"/>
      <sheetName val="AHU-2"/>
      <sheetName val="냉온수유니트"/>
      <sheetName val="냉각탑"/>
      <sheetName val="냉온수펌프"/>
      <sheetName val="냉각수펌프"/>
      <sheetName val="경유탱크"/>
      <sheetName val="PAC선정"/>
      <sheetName val="PAC-1"/>
      <sheetName val="PAC정압계산"/>
      <sheetName val="FCU선정"/>
      <sheetName val="고가수조"/>
      <sheetName val="FAN정압계산-1"/>
      <sheetName val="AHU-3"/>
      <sheetName val="ATU-1"/>
      <sheetName val="HVU계산"/>
      <sheetName val="HVU-1"/>
      <sheetName val="개요"/>
      <sheetName val="조건"/>
      <sheetName val="실별부하집계"/>
      <sheetName val="방열기"/>
      <sheetName val="시스템에어컨"/>
      <sheetName val="HWG"/>
      <sheetName val="급탕"/>
      <sheetName val="전열교환기"/>
      <sheetName val="부하계산서(1층)"/>
      <sheetName val="부하계산서(2층)"/>
      <sheetName val="laroux"/>
      <sheetName val="계산표지"/>
      <sheetName val="기준자료"/>
      <sheetName val="TR"/>
      <sheetName val="GEN"/>
      <sheetName val="SS수배전"/>
      <sheetName val="단위세대"/>
      <sheetName val="동공용"/>
      <sheetName val="부대복리"/>
      <sheetName val="비상.동력"/>
      <sheetName val="상가"/>
      <sheetName val="세로내간선"/>
      <sheetName val="세로외간선"/>
      <sheetName val="비상일반"/>
      <sheetName val="세동별비상"/>
      <sheetName val="LX"/>
      <sheetName val="전력사다리"/>
      <sheetName val="전화사다리"/>
      <sheetName val="Tel"/>
      <sheetName val="PA"/>
      <sheetName val="Sheet15"/>
      <sheetName val="Sheet16"/>
      <sheetName val="케이블적용자료"/>
      <sheetName val="장비"/>
      <sheetName val="휀코일사양"/>
      <sheetName val="공조기용휀"/>
      <sheetName val="실별 부하"/>
      <sheetName val="1설계"/>
      <sheetName val="2장비"/>
      <sheetName val="공조용펌프"/>
      <sheetName val="급수 유량"/>
      <sheetName val="배수설비"/>
      <sheetName val="금호"/>
      <sheetName val="데이타"/>
      <sheetName val="표지 (2)"/>
      <sheetName val="표지 (3)"/>
      <sheetName val="표지 (4)"/>
      <sheetName val="급탕부하"/>
      <sheetName val="1.급수설비"/>
      <sheetName val="4)급수펌프"/>
      <sheetName val="Sheet1"/>
      <sheetName val="3.배수펌프"/>
      <sheetName val="2.환기설비"/>
      <sheetName val="3).정압계산"/>
      <sheetName val="3)장비선정"/>
      <sheetName val="Sheet3"/>
      <sheetName val="Sheet4"/>
      <sheetName val="Sheet4 (2)"/>
      <sheetName val="냉온수기용"/>
      <sheetName val="수형군"/>
      <sheetName val="1변압기용량"/>
      <sheetName val="2부하집계"/>
      <sheetName val="2부하LIST"/>
      <sheetName val="4MCC용량"/>
      <sheetName val="5직류전원"/>
      <sheetName val="6콘덴서용량"/>
      <sheetName val="7간선케이블"/>
      <sheetName val="7분기케이블"/>
      <sheetName val="8조도계산서"/>
      <sheetName val="PRINTER"/>
      <sheetName val="4차단기선정"/>
      <sheetName val="9정보통신"/>
      <sheetName val="L-LIST"/>
      <sheetName val="CableSchedule"/>
      <sheetName val="CABLE개요"/>
      <sheetName val="9정보통신 (2)"/>
      <sheetName val="sdata"/>
      <sheetName val="Cable Size(설명)"/>
      <sheetName val="콘덴서"/>
      <sheetName val="DATA1"/>
      <sheetName val="CABdata"/>
      <sheetName val="Imp-Data"/>
      <sheetName val="COPING"/>
      <sheetName val="붙임#3-1"/>
      <sheetName val="부하계산서(59A)"/>
      <sheetName val="펌프배점"/>
      <sheetName val="급배기팬"/>
      <sheetName val="환기량-1(지하2)"/>
      <sheetName val=" 송풍기-1(지하2)"/>
      <sheetName val="환기량-1 (지하1)"/>
      <sheetName val=" 송풍기-1 (지하1)"/>
      <sheetName val="가중평균"/>
      <sheetName val="주7)"/>
      <sheetName val="배수펌프"/>
      <sheetName val="주차장환기-1"/>
      <sheetName val="주차장환기-2"/>
      <sheetName val="송풍기-1 "/>
      <sheetName val="송풍기-2"/>
      <sheetName val="전기붙임#8 "/>
      <sheetName val="고효율 전동기 적용여부"/>
      <sheetName val="PAC"/>
      <sheetName val="열교환기"/>
      <sheetName val="가열코일"/>
      <sheetName val="응축수탱크"/>
      <sheetName val="펌프류"/>
      <sheetName val="팬류"/>
      <sheetName val="아파트_저수조"/>
      <sheetName val="일반_저수조"/>
      <sheetName val="순간온수기"/>
      <sheetName val="주방 개별보일러"/>
      <sheetName val="냉난방부하집계"/>
      <sheetName val="시스템에어콘선정"/>
      <sheetName val="가스탱크"/>
      <sheetName val="VXXXXX"/>
      <sheetName val="오.배수탱크"/>
      <sheetName val="저수조 (2)"/>
      <sheetName val="펌프 (2)"/>
      <sheetName val="송풍기 (2)"/>
      <sheetName val="Sheet5"/>
      <sheetName val="입찰안"/>
      <sheetName val="SIL98"/>
      <sheetName val="변압기용량"/>
      <sheetName val="전압조건"/>
      <sheetName val="전압강하계산서"/>
      <sheetName val="부하조건"/>
      <sheetName val="부하계산서(전등,전열)"/>
      <sheetName val="부하계산서(동력)"/>
      <sheetName val="조도계산서"/>
      <sheetName val="발전기부하"/>
      <sheetName val="발전기"/>
      <sheetName val="VXXXXXX"/>
      <sheetName val="설계조건1"/>
      <sheetName val="설계조건2"/>
      <sheetName val="부하계산(1)"/>
      <sheetName val="부하계산(2)"/>
      <sheetName val="부하계산(3)"/>
      <sheetName val="부하계산(4)"/>
      <sheetName val="급수설비 (2)"/>
      <sheetName val="급수기구"/>
      <sheetName val="급탕설비 (2)"/>
      <sheetName val="보일러 (2)"/>
      <sheetName val="배기휀-1"/>
      <sheetName val="지하주차장"/>
      <sheetName val="AHU"/>
      <sheetName val="가스냉온풍기"/>
      <sheetName val="온풍기"/>
      <sheetName val="전기온풍기+방열기"/>
      <sheetName val="4.환기설비"/>
      <sheetName val="2).정압계산"/>
      <sheetName val="4)주차장환기"/>
      <sheetName val="제1장 환기설비"/>
      <sheetName val="1.풍량선정"/>
      <sheetName val="2.휀선정"/>
      <sheetName val="제2장 위생설비"/>
      <sheetName val="1-1 급수량 선정"/>
      <sheetName val="1-2 급수펌프 용량 선정"/>
      <sheetName val="2.PUMP"/>
      <sheetName val="단지개요"/>
      <sheetName val="건설규모"/>
      <sheetName val="열량집계"/>
      <sheetName val="열량집계(3-가)-2"/>
      <sheetName val="연결열부하"/>
      <sheetName val="연결열부하(3-나)-2"/>
      <sheetName val="기계실장비"/>
      <sheetName val="기계실장비(3-다)-2"/>
      <sheetName val="설계기준 (4)"/>
      <sheetName val="난열교환기(5-가)"/>
      <sheetName val="급열교환기(5-나)"/>
      <sheetName val="케미컬피더(6-가)"/>
      <sheetName val="케미컬피더(급수)"/>
      <sheetName val="탈기장치(6-나)"/>
      <sheetName val="신축접수(7)"/>
      <sheetName val="1차압자동(8-가-1)"/>
      <sheetName val="온도조절V(8-다)"/>
      <sheetName val="1중온수(9-가)"/>
      <sheetName val="난방 2차측(9-나)"/>
      <sheetName val="급탕환탕관경(9-다)"/>
      <sheetName val="급탕보급(9-라)"/>
      <sheetName val="급수배관경(9-마)"/>
      <sheetName val="소화배관(9-바)"/>
      <sheetName val="형별발주관경(9-사)"/>
      <sheetName val="펌프선정(10-가)"/>
      <sheetName val="난방펌프(10-나)"/>
      <sheetName val="급탕펌프(10-다)"/>
      <sheetName val="급수펌프(10-라)"/>
      <sheetName val="급수감압밸브(3-가-5)"/>
      <sheetName val="구간별저항검토(급수1F기준)"/>
      <sheetName val="잔류압력검토(급수공동구구간)"/>
      <sheetName val="잔류압력검토(급수PITF기준)"/>
      <sheetName val="잔류압력검토(급수1F기준)"/>
      <sheetName val="배기팬(11)"/>
      <sheetName val="덕트 및 배기그릴선정"/>
      <sheetName val="자동제어관제점(12)"/>
      <sheetName val="지하주차장 가대규격(13)"/>
      <sheetName val="펌프,기계실가대규격"/>
      <sheetName val="공동구규격"/>
      <sheetName val="붙임-난방관수기계"/>
      <sheetName val="붙임-난방관수량"/>
      <sheetName val="붙임-난방양정1"/>
      <sheetName val="붙임-난방양정2"/>
      <sheetName val="붙임-난방양정(저층)3"/>
      <sheetName val="붙임-난방양정(고층)3"/>
      <sheetName val="붙임-급탕양정"/>
      <sheetName val="붙임-옥내급탕양정"/>
      <sheetName val="유량DATA(참고)"/>
      <sheetName val="배관별두께"/>
      <sheetName val="세대별부하계산표"/>
      <sheetName val="단위세대부하계산"/>
      <sheetName val="1설계조건2설계기준"/>
      <sheetName val="3.난방부하집계,4.연결열부하부하"/>
      <sheetName val="5장비선정"/>
      <sheetName val="2)온수순환펌프"/>
      <sheetName val="6.1차압자동"/>
      <sheetName val="1차측 PDCV"/>
      <sheetName val="2차차압밸브"/>
      <sheetName val="온도조절V"/>
      <sheetName val="2차측 PDCV"/>
      <sheetName val="7.팽창기체분리기"/>
      <sheetName val="101,104,106,107동(저),경로당난방용"/>
      <sheetName val="101,104,106,107동(중)난방용"/>
      <sheetName val="101,104,106,107동(고)난방용"/>
      <sheetName val="102,103,105,108,동(저),보육시설난방용"/>
      <sheetName val="102,103,105,108,동(중)난방용"/>
      <sheetName val="102,103,105,108,동(고)난방용"/>
      <sheetName val="장비표기법"/>
      <sheetName val="3.급탕부하집계"/>
      <sheetName val="2.급탕설비"/>
      <sheetName val="3)급탕순환펌프"/>
      <sheetName val="지하주차장 환기량"/>
      <sheetName val="Ⅳ.가스설비"/>
      <sheetName val="동시사용율표"/>
      <sheetName val="공식"/>
      <sheetName val="관경표"/>
      <sheetName val="2.급수펌프"/>
      <sheetName val="3.급탕부하 "/>
      <sheetName val="4.배수펌프"/>
      <sheetName val="장비선정(급기) "/>
      <sheetName val="장비선정(배기)"/>
      <sheetName val="A zone"/>
      <sheetName val="B zone"/>
      <sheetName val="5.가스"/>
      <sheetName val="동별유량 "/>
      <sheetName val="6.부하계산"/>
      <sheetName val="변경내역"/>
      <sheetName val="설계서(본관)"/>
      <sheetName val="변압기(동력)"/>
      <sheetName val="발전기(갑지)"/>
      <sheetName val="발전기(을지)"/>
      <sheetName val="세대부하"/>
      <sheetName val="동력(기계실)"/>
      <sheetName val="전압강하(주간선)"/>
      <sheetName val="설비개요"/>
      <sheetName val="냉동기"/>
      <sheetName val="냉각탑1"/>
      <sheetName val="냉수펌프"/>
      <sheetName val="FCU선정 (2)"/>
      <sheetName val="보일러(증기)"/>
      <sheetName val="온수펌프"/>
      <sheetName val="급,배기팬"/>
      <sheetName val="유량"/>
      <sheetName val="일반실"/>
      <sheetName val="화장실"/>
      <sheetName val="급수사용량"/>
      <sheetName val="첨부파일"/>
      <sheetName val="지열"/>
      <sheetName val="OHU"/>
      <sheetName val="상업시설 냉방용"/>
      <sheetName val="영화관 냉, 난방용"/>
      <sheetName val="빙축열 냉방용"/>
      <sheetName val="난방data"/>
      <sheetName val="위생data"/>
      <sheetName val="4.2.열관류율"/>
      <sheetName val="4.3비난방온도"/>
      <sheetName val="4-4.평형별 면적계산"/>
      <sheetName val="4.6방열기"/>
      <sheetName val="base"/>
      <sheetName val="부표총괄"/>
      <sheetName val="설계명세서"/>
      <sheetName val="흡장비炬┪"/>
      <sheetName val="원가계산서(남측)"/>
      <sheetName val="하조서"/>
      <sheetName val="표 지"/>
      <sheetName val="일반부하"/>
      <sheetName val="동력,MCC"/>
      <sheetName val="간 선"/>
      <sheetName val="변압기"/>
      <sheetName val="발전기(갑)"/>
      <sheetName val="발전기(을)"/>
      <sheetName val="조 도"/>
      <sheetName val="전화회선"/>
      <sheetName val="방송 AMP"/>
      <sheetName val="TV전계강도"/>
      <sheetName val="Macro(차단기)"/>
      <sheetName val="Macro(전선)"/>
      <sheetName val="Macro(전동기)"/>
      <sheetName val="laroux1"/>
      <sheetName val="일위대가"/>
      <sheetName val="#REF"/>
      <sheetName val="식재인부"/>
      <sheetName val="판매시설"/>
      <sheetName val="조건입력"/>
      <sheetName val="조건입력(2)"/>
      <sheetName val="가-1지역(집계)"/>
      <sheetName val="가-2"/>
      <sheetName val="나-1,2"/>
      <sheetName val="영외숙소"/>
      <sheetName val="A-시설"/>
      <sheetName val="B-시설"/>
      <sheetName val="병영생활관"/>
      <sheetName val="복지시설"/>
      <sheetName val="D-시설"/>
      <sheetName val="000000"/>
      <sheetName val="XXXXXX"/>
      <sheetName val="Recovered_Sheet1"/>
      <sheetName val="시방서표지"/>
      <sheetName val="전체표지 "/>
      <sheetName val="1.건축개요"/>
      <sheetName val="2.설계조건-1"/>
      <sheetName val="설계조건-2"/>
      <sheetName val="3.부하집계 "/>
      <sheetName val="관류보일러"/>
      <sheetName val="난방열교환기(스팀)"/>
      <sheetName val="4.위생설비"/>
      <sheetName val="펌프류 "/>
      <sheetName val="5.1환기설비"/>
      <sheetName val="휀류"/>
      <sheetName val="6.가스설비"/>
      <sheetName val="관경선정_2"/>
      <sheetName val="관경선정_3"/>
      <sheetName val="주차장환기"/>
      <sheetName val="7.관경선정_1"/>
      <sheetName val="시방서"/>
      <sheetName val="FU"/>
      <sheetName val="DATA_K"/>
      <sheetName val="빙설"/>
      <sheetName val="사양"/>
      <sheetName val="e_0512"/>
      <sheetName val="Sizing"/>
      <sheetName val="냉난방(실별부하)"/>
      <sheetName val="난방(실별부하)"/>
      <sheetName val="냉온수기집계 및 선정"/>
      <sheetName val="보일러집계 및 선정"/>
      <sheetName val="냉난방용펌프선정"/>
      <sheetName val="급수설비"/>
      <sheetName val="급수펌프선정"/>
      <sheetName val="급탕설비"/>
      <sheetName val="배수펌프선정(집수정,우수)"/>
      <sheetName val="인원계획-미화"/>
      <sheetName val="추진계획서"/>
      <sheetName val="견적대비(기계배관공사)"/>
      <sheetName val="INPUT"/>
      <sheetName val="내역"/>
      <sheetName val="4.시스템냉난방용량"/>
      <sheetName val="7.경제성결과"/>
      <sheetName val="프랜트면허"/>
      <sheetName val="포장복구집계"/>
      <sheetName val="납부서"/>
      <sheetName val="관음목장(제출용)자105인97.5"/>
      <sheetName val="대비"/>
      <sheetName val="토목주소"/>
      <sheetName val="수목데이타 "/>
      <sheetName val="98지급계획"/>
      <sheetName val="품셈TABLE"/>
      <sheetName val="ABUT수량-A1"/>
      <sheetName val="실행철강하도"/>
      <sheetName val="단가조사"/>
      <sheetName val="일위대가표"/>
      <sheetName val="패널"/>
      <sheetName val="밸브설치"/>
      <sheetName val="빙100장비사양"/>
      <sheetName val="예산명세서"/>
      <sheetName val="자료입력"/>
      <sheetName val="소방"/>
      <sheetName val="첨부1-1"/>
      <sheetName val="DROP"/>
      <sheetName val="LN-M"/>
      <sheetName val="LN-2"/>
      <sheetName val="LN-2A"/>
      <sheetName val="LN-K"/>
      <sheetName val="MCP-F"/>
      <sheetName val="MCCDATA"/>
      <sheetName val="CURRENT"/>
      <sheetName val="수량산출"/>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sheetData sheetId="414"/>
      <sheetData sheetId="415"/>
      <sheetData sheetId="416"/>
      <sheetData sheetId="417"/>
      <sheetData sheetId="418"/>
      <sheetData sheetId="419"/>
      <sheetData sheetId="420"/>
      <sheetData sheetId="421"/>
      <sheetData sheetId="422" refreshError="1"/>
      <sheetData sheetId="423"/>
      <sheetData sheetId="424"/>
      <sheetData sheetId="425" refreshError="1"/>
      <sheetData sheetId="426" refreshError="1"/>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sheetData sheetId="565"/>
      <sheetData sheetId="566" refreshError="1"/>
      <sheetData sheetId="567"/>
      <sheetData sheetId="568"/>
      <sheetData sheetId="569"/>
      <sheetData sheetId="570" refreshError="1"/>
      <sheetData sheetId="57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소비자가"/>
      <sheetName val="공사개요"/>
      <sheetName val="데이타"/>
      <sheetName val="식재인부"/>
      <sheetName val="6호기"/>
      <sheetName val="Customer Databas"/>
      <sheetName val="1차 내역서"/>
      <sheetName val="Sheet1"/>
      <sheetName val="공사비산출내역"/>
      <sheetName val="단가"/>
      <sheetName val="4 노임단가"/>
      <sheetName val="노무비"/>
      <sheetName val="M-EQPT-Z"/>
      <sheetName val="실행,원가 최종예상"/>
      <sheetName val="골조시행"/>
      <sheetName val="내역표지"/>
      <sheetName val="다원(ZENECA)"/>
      <sheetName val="내역서 제출"/>
      <sheetName val="설계명세서"/>
      <sheetName val="노임단가"/>
      <sheetName val="수목단가"/>
      <sheetName val="시설수량표"/>
      <sheetName val="식재수량표"/>
      <sheetName val="자재단가"/>
      <sheetName val="납부서"/>
      <sheetName val="수량산출"/>
      <sheetName val="정공공사"/>
      <sheetName val="인제내역"/>
      <sheetName val="건축내역서"/>
      <sheetName val="설비내역서"/>
      <sheetName val="전기내역서"/>
      <sheetName val="집계표"/>
      <sheetName val="설명서 "/>
      <sheetName val="토목"/>
      <sheetName val="Sheet5"/>
      <sheetName val="내역서"/>
      <sheetName val="입찰안"/>
      <sheetName val="내역"/>
      <sheetName val="#REF"/>
      <sheetName val="실행(ALT1)"/>
      <sheetName val="내역서2안"/>
      <sheetName val="연습"/>
      <sheetName val="Customer_Databas"/>
      <sheetName val="1차_내역서"/>
      <sheetName val="4_노임단가"/>
      <sheetName val="실행,원가_최종예상"/>
      <sheetName val="내역서_제출"/>
      <sheetName val="설명서_"/>
      <sheetName val="사장실도배발주서"/>
      <sheetName val="WC96709"/>
      <sheetName val="문학간접"/>
      <sheetName val="간접"/>
      <sheetName val="SG"/>
      <sheetName val="DATA1"/>
      <sheetName val="개산공사비"/>
      <sheetName val="순공사비"/>
      <sheetName val="갑지"/>
      <sheetName val="Customer_Databas1"/>
      <sheetName val="1차_내역서1"/>
      <sheetName val="4_노임단가1"/>
      <sheetName val="실행,원가_최종예상1"/>
      <sheetName val="내역서_제출1"/>
      <sheetName val="설명서_1"/>
      <sheetName val="환경기계공정표 (3)"/>
      <sheetName val="결재갑지"/>
      <sheetName val="철거산출근거"/>
      <sheetName val="인건비"/>
      <sheetName val="판관"/>
      <sheetName val="중기"/>
      <sheetName val="건축명"/>
      <sheetName val="기계명"/>
      <sheetName val="전기명"/>
      <sheetName val="토목명"/>
      <sheetName val="빙장비사양"/>
      <sheetName val="장비사양"/>
      <sheetName val="견적을(1안)"/>
      <sheetName val="2.대외공문"/>
      <sheetName val="일위목록"/>
      <sheetName val="조명율표"/>
      <sheetName val="DATA"/>
      <sheetName val="차도조도계산"/>
      <sheetName val="기결의"/>
      <sheetName val="물량표"/>
      <sheetName val="99노임기준"/>
      <sheetName val="단가대비표"/>
      <sheetName val="일위대가"/>
      <sheetName val="경비"/>
      <sheetName val="토목공사일반"/>
      <sheetName val="101동"/>
      <sheetName val="말뚝지지력산정"/>
      <sheetName val="현장"/>
      <sheetName val="을지"/>
      <sheetName val="건축내역"/>
      <sheetName val="원가계산서"/>
      <sheetName val="01"/>
      <sheetName val="약품공급2"/>
      <sheetName val="전도금정산서(27)"/>
      <sheetName val="전기"/>
      <sheetName val="노임이"/>
      <sheetName val="원가계산"/>
      <sheetName val="기본단가표"/>
      <sheetName val="노임"/>
      <sheetName val="주공 갑지"/>
      <sheetName val="인테리어내역"/>
      <sheetName val="수량산출(음암)"/>
      <sheetName val="단가표"/>
      <sheetName val="Total"/>
      <sheetName val="건축"/>
      <sheetName val="대비표(토공1안)"/>
      <sheetName val="도급자재"/>
      <sheetName val="2-1. 경관조명 내역총괄표"/>
      <sheetName val="내역서1999.8최종"/>
      <sheetName val="금호내역서"/>
      <sheetName val="참조"/>
      <sheetName val="케이블류 OLD"/>
      <sheetName val="설계기준"/>
      <sheetName val="내역1"/>
      <sheetName val="총원가계산서(요율)"/>
      <sheetName val="내역을"/>
      <sheetName val="경산"/>
      <sheetName val="가스(내역)"/>
      <sheetName val="갑지(추정)"/>
      <sheetName val="경비2내역"/>
      <sheetName val="빗물받이(910-510-410)"/>
      <sheetName val="집수정(600-700)"/>
      <sheetName val="토목공사"/>
      <sheetName val="총물량"/>
      <sheetName val="1월"/>
      <sheetName val="설계"/>
      <sheetName val="분석표_아파트동"/>
      <sheetName val="분석표_부속동"/>
      <sheetName val="일위대가목록"/>
      <sheetName val="일반부표"/>
      <sheetName val="정보"/>
      <sheetName val="공사비"/>
      <sheetName val="코드"/>
      <sheetName val="직노"/>
      <sheetName val="입력1"/>
      <sheetName val="맨홀수량산출"/>
      <sheetName val="을-ATYPE"/>
      <sheetName val="I一般比"/>
      <sheetName val="분전함신설"/>
      <sheetName val="접지1종"/>
      <sheetName val="인사자료총집계"/>
      <sheetName val="집계"/>
      <sheetName val="기본사항"/>
      <sheetName val="금액내역서"/>
      <sheetName val="1ST"/>
      <sheetName val="도급실행(본관-주차장)"/>
      <sheetName val="마산월령동골조물량변경"/>
      <sheetName val="기본일위"/>
      <sheetName val="노무산출서"/>
      <sheetName val="총괄갑 "/>
      <sheetName val="샤워실위생"/>
      <sheetName val="Sheet1 (2)"/>
      <sheetName val="Sheet4"/>
      <sheetName val="교통대책내역"/>
      <sheetName val="노무비단가"/>
      <sheetName val="견적내역"/>
      <sheetName val="N賃率-職"/>
      <sheetName val="국내조달(통합-1)"/>
      <sheetName val="형틀공사"/>
      <sheetName val="환산"/>
      <sheetName val="일위대가 "/>
      <sheetName val="노임단가 (2)"/>
      <sheetName val="부재리스트"/>
      <sheetName val="총괄갑_"/>
      <sheetName val="Sheet1_(2)"/>
      <sheetName val="단가 및 재료비"/>
      <sheetName val="상반기손익차2총괄"/>
      <sheetName val="기초자료입력"/>
      <sheetName val="하수급견적대비"/>
      <sheetName val="호표"/>
      <sheetName val="수입"/>
      <sheetName val="자재 DB LIST"/>
      <sheetName val="공통가설"/>
      <sheetName val="새공통"/>
      <sheetName val="회사정보"/>
      <sheetName val="."/>
      <sheetName val="Y-WORK"/>
      <sheetName val="공통비(전체)"/>
      <sheetName val="0000"/>
      <sheetName val="업체명"/>
      <sheetName val="관리"/>
      <sheetName val="J直材4"/>
      <sheetName val="공사내역"/>
      <sheetName val="일용직내역"/>
      <sheetName val="본공사"/>
      <sheetName val="tggwan(mac)"/>
      <sheetName val="가격조사서"/>
      <sheetName val="손익현황"/>
      <sheetName val="현황CODE"/>
      <sheetName val="분석"/>
      <sheetName val="EKOG10건축"/>
      <sheetName val="일위대가목차"/>
      <sheetName val="조경"/>
      <sheetName val="FB25JN"/>
      <sheetName val="hvac(제어동)"/>
      <sheetName val="전기일위대가"/>
      <sheetName val="현장지지물물량"/>
      <sheetName val="표지"/>
      <sheetName val="실행"/>
      <sheetName val="을"/>
      <sheetName val="대비내역"/>
      <sheetName val="BOQ건축"/>
      <sheetName val="1-1"/>
      <sheetName val="COPING"/>
      <sheetName val="Material U.P"/>
      <sheetName val="미장"/>
      <sheetName val="철골"/>
      <sheetName val="danga"/>
      <sheetName val="ilch"/>
      <sheetName val="부속동"/>
      <sheetName val="GAEYO"/>
      <sheetName val="Material_U_P"/>
      <sheetName val="INPUT"/>
      <sheetName val="본선 토공 분배표"/>
      <sheetName val="정부노임단가"/>
      <sheetName val="Material_U_P1"/>
      <sheetName val="copy"/>
      <sheetName val="서식"/>
      <sheetName val="주경기-오배수"/>
      <sheetName val="본선_토공_분배표"/>
      <sheetName val="물량표S"/>
      <sheetName val="물량표(신)"/>
      <sheetName val="DI1"/>
      <sheetName val="미드수량"/>
      <sheetName val="건축집계"/>
      <sheetName val=" 냉각수펌프"/>
      <sheetName val="T1"/>
      <sheetName val="wall"/>
      <sheetName val="CAPVC"/>
      <sheetName val="내역서 "/>
      <sheetName val="h-013211-2"/>
      <sheetName val="카렌스센터계량기설치공사"/>
      <sheetName val="평형공사비"/>
      <sheetName val="48평형"/>
      <sheetName val="62평형"/>
      <sheetName val="plan&amp;section of foundation"/>
      <sheetName val="design criteria"/>
      <sheetName val="조명시설"/>
      <sheetName val="백암비스타내역"/>
      <sheetName val="FD"/>
      <sheetName val="기둥(원형)"/>
      <sheetName val="견적"/>
      <sheetName val="자료"/>
      <sheetName val="적용률"/>
      <sheetName val="AP1"/>
      <sheetName val="수량산출서"/>
      <sheetName val="금액집계"/>
      <sheetName val="Customer_Databas2"/>
      <sheetName val="1차_내역서2"/>
      <sheetName val="4_노임단가2"/>
      <sheetName val="실행,원가_최종예상2"/>
      <sheetName val="내역서_제출2"/>
      <sheetName val="설명서_2"/>
      <sheetName val="환경기계공정표_(3)"/>
      <sheetName val="2_대외공문"/>
      <sheetName val="주공_갑지"/>
      <sheetName val="2-1__경관조명_내역총괄표"/>
      <sheetName val="내역서1999_8최종"/>
      <sheetName val="케이블류_OLD"/>
      <sheetName val="총괄갑_1"/>
      <sheetName val="Sheet1_(2)1"/>
      <sheetName val="일위대가_"/>
      <sheetName val="노임단가_(2)"/>
      <sheetName val="단가_및_재료비"/>
      <sheetName val="자재_DB_LIST"/>
      <sheetName val="_"/>
      <sheetName val="Material_U_P2"/>
      <sheetName val="본선_토공_분배표1"/>
      <sheetName val="_냉각수펌프"/>
      <sheetName val="내역서_"/>
      <sheetName val="plan&amp;section_of_foundation"/>
      <sheetName val="design_criteria"/>
      <sheetName val="연결임시"/>
      <sheetName val="가격비"/>
      <sheetName val="설계내역서"/>
      <sheetName val="약품설비"/>
      <sheetName val="기기리스트"/>
      <sheetName val="단중표"/>
      <sheetName val="실행철강하도"/>
      <sheetName val="Customer_Databas3"/>
      <sheetName val="1차_내역서3"/>
      <sheetName val="4_노임단가3"/>
      <sheetName val="실행,원가_최종예상3"/>
      <sheetName val="내역서_제출3"/>
      <sheetName val="설명서_3"/>
      <sheetName val="2_대외공문1"/>
      <sheetName val="환경기계공정표_(3)1"/>
      <sheetName val="2-1__경관조명_내역총괄표1"/>
      <sheetName val="내역서1999_8최종1"/>
      <sheetName val="주공_갑지1"/>
      <sheetName val="케이블류_OLD1"/>
      <sheetName val="상계견적"/>
      <sheetName val="H-PILE수량집계"/>
      <sheetName val="경비내역(을)-1"/>
      <sheetName val="공사원가계산서"/>
      <sheetName val="갑지1"/>
      <sheetName val="연부97-1"/>
      <sheetName val="산출근거"/>
      <sheetName val="가시설수량"/>
      <sheetName val="단위수량"/>
      <sheetName val="목차"/>
      <sheetName val="건축공사"/>
      <sheetName val="2.Summary-cash"/>
      <sheetName val="95WBS"/>
      <sheetName val="CASHFLOW"/>
      <sheetName val="견적990322"/>
      <sheetName val="건축내역서 (2)"/>
      <sheetName val="Inve. &amp; Income Assum."/>
      <sheetName val="Annex C - 1 - Cash"/>
      <sheetName val="Assumptions"/>
      <sheetName val="Macro Codes"/>
      <sheetName val="지급자재"/>
      <sheetName val="화재 탐지 설비"/>
      <sheetName val="단"/>
      <sheetName val="FRP내역서"/>
      <sheetName val="MATRLDATA"/>
      <sheetName val="공종단가"/>
      <sheetName val="냉천부속동"/>
      <sheetName val="4 LINE"/>
      <sheetName val="7 th"/>
      <sheetName val="월별손익"/>
      <sheetName val="FANDBS"/>
      <sheetName val="GRDATA"/>
      <sheetName val="SHAFTDBSE"/>
      <sheetName val="EJ"/>
      <sheetName val="2002상반기노임기준"/>
      <sheetName val="960318-1"/>
      <sheetName val="T13(P68~72,78)"/>
      <sheetName val="제경비율"/>
      <sheetName val="현장관리비"/>
      <sheetName val="테이블"/>
      <sheetName val="토적계산서"/>
      <sheetName val="할증 "/>
      <sheetName val="경동~상록"/>
      <sheetName val="우주~로베로"/>
      <sheetName val="직공비"/>
      <sheetName val="예총"/>
      <sheetName val="가시설단위수량"/>
      <sheetName val="SORCE1"/>
      <sheetName val="일위대가표"/>
      <sheetName val="직접비"/>
      <sheetName val="직재"/>
      <sheetName val="재집"/>
      <sheetName val="SAM"/>
      <sheetName val="EQT-ESTN"/>
      <sheetName val="수지표"/>
      <sheetName val="셀명"/>
      <sheetName val="식재"/>
      <sheetName val="시설물"/>
      <sheetName val="식재출력용"/>
      <sheetName val="유지관리"/>
      <sheetName val="D"/>
      <sheetName val="PL단가산정"/>
      <sheetName val="그림"/>
      <sheetName val="그림2"/>
      <sheetName val="지질조사"/>
      <sheetName val="Front"/>
      <sheetName val="AS포장복구 "/>
      <sheetName val="2공구산출내역"/>
      <sheetName val="산출내역서집계표"/>
      <sheetName val="DB"/>
      <sheetName val="Customer_Databas4"/>
      <sheetName val="1차_내역서4"/>
      <sheetName val="4_노임단가4"/>
      <sheetName val="실행,원가_최종예상4"/>
      <sheetName val="내역서_제출4"/>
      <sheetName val="설명서_4"/>
      <sheetName val="환경기계공정표_(3)2"/>
      <sheetName val="2_대외공문2"/>
      <sheetName val="주공_갑지2"/>
      <sheetName val="2-1__경관조명_내역총괄표2"/>
      <sheetName val="내역서1999_8최종2"/>
      <sheetName val="케이블류_OLD2"/>
      <sheetName val="총괄갑_2"/>
      <sheetName val="Sheet1_(2)2"/>
      <sheetName val="일위대가_1"/>
      <sheetName val="노임단가_(2)1"/>
      <sheetName val="단가_및_재료비1"/>
      <sheetName val="자재_DB_LIST1"/>
      <sheetName val="_1"/>
      <sheetName val="Material_U_P3"/>
      <sheetName val="본선_토공_분배표2"/>
      <sheetName val="_냉각수펌프1"/>
      <sheetName val="내역서_1"/>
      <sheetName val="plan&amp;section_of_foundation1"/>
      <sheetName val="design_criteria1"/>
      <sheetName val="2_Summary-cash"/>
      <sheetName val="건축내역서_(2)"/>
      <sheetName val="Inve__&amp;_Income_Assum_"/>
      <sheetName val="Annex_C_-_1_-_Cash"/>
      <sheetName val="Macro_Codes"/>
      <sheetName val="화재_탐지_설비"/>
      <sheetName val="4_LINE"/>
      <sheetName val="7_th"/>
      <sheetName val="할증_"/>
      <sheetName val="AS포장복구_"/>
      <sheetName val="Customer_Databas5"/>
      <sheetName val="1차_내역서5"/>
      <sheetName val="4_노임단가5"/>
      <sheetName val="실행,원가_최종예상5"/>
      <sheetName val="내역서_제출5"/>
      <sheetName val="설명서_5"/>
      <sheetName val="환경기계공정표_(3)3"/>
      <sheetName val="2_대외공문3"/>
      <sheetName val="주공_갑지3"/>
      <sheetName val="2-1__경관조명_내역총괄표3"/>
      <sheetName val="내역서1999_8최종3"/>
      <sheetName val="케이블류_OLD3"/>
      <sheetName val="총괄갑_3"/>
      <sheetName val="Sheet1_(2)3"/>
      <sheetName val="일위대가_2"/>
      <sheetName val="노임단가_(2)2"/>
      <sheetName val="단가_및_재료비2"/>
      <sheetName val="자재_DB_LIST2"/>
      <sheetName val="_2"/>
      <sheetName val="Material_U_P4"/>
      <sheetName val="본선_토공_분배표3"/>
      <sheetName val="_냉각수펌프2"/>
      <sheetName val="내역서_2"/>
      <sheetName val="plan&amp;section_of_foundation2"/>
      <sheetName val="design_criteria2"/>
      <sheetName val="2_Summary-cash1"/>
      <sheetName val="건축내역서_(2)1"/>
      <sheetName val="Inve__&amp;_Income_Assum_1"/>
      <sheetName val="Annex_C_-_1_-_Cash1"/>
      <sheetName val="Macro_Codes1"/>
      <sheetName val="화재_탐지_설비1"/>
      <sheetName val="4_LINE1"/>
      <sheetName val="7_th1"/>
      <sheetName val="할증_1"/>
      <sheetName val="AS포장복구_1"/>
      <sheetName val="설계가"/>
      <sheetName val="ITEM"/>
      <sheetName val="수목데이타"/>
      <sheetName val="시설물일위"/>
      <sheetName val="가설공사"/>
      <sheetName val="단가결정"/>
      <sheetName val="내역아"/>
      <sheetName val="울타리"/>
      <sheetName val="본사인상전"/>
      <sheetName val="가격표"/>
      <sheetName val="간접1"/>
      <sheetName val="Customer_Databas6"/>
      <sheetName val="1차_내역서6"/>
      <sheetName val="4_노임단가6"/>
      <sheetName val="실행,원가_최종예상6"/>
      <sheetName val="내역서_제출6"/>
      <sheetName val="설명서_6"/>
      <sheetName val="2_대외공문4"/>
      <sheetName val="환경기계공정표_(3)4"/>
      <sheetName val="주공_갑지4"/>
      <sheetName val="2-1__경관조명_내역총괄표4"/>
      <sheetName val="내역서1999_8최종4"/>
      <sheetName val="케이블류_OLD4"/>
      <sheetName val="총괄갑_4"/>
      <sheetName val="Sheet1_(2)4"/>
      <sheetName val="일위대가_3"/>
      <sheetName val="노임단가_(2)3"/>
      <sheetName val="단가_및_재료비3"/>
      <sheetName val="자재_DB_LIST3"/>
      <sheetName val="_3"/>
      <sheetName val="Material_U_P5"/>
      <sheetName val="본선_토공_분배표4"/>
      <sheetName val="_냉각수펌프3"/>
      <sheetName val="내역서_3"/>
      <sheetName val="plan&amp;section_of_foundation3"/>
      <sheetName val="design_criteria3"/>
      <sheetName val="2_Summary-cash2"/>
      <sheetName val="건축내역서_(2)2"/>
      <sheetName val="Inve__&amp;_Income_Assum_2"/>
      <sheetName val="Annex_C_-_1_-_Cash2"/>
      <sheetName val="Macro_Codes2"/>
      <sheetName val="화재_탐지_설비2"/>
      <sheetName val="4_LINE2"/>
      <sheetName val="7_th2"/>
      <sheetName val="할증_2"/>
      <sheetName val="AS포장복구_2"/>
      <sheetName val="CTEMCOST"/>
      <sheetName val="터널조도"/>
      <sheetName val="개요"/>
      <sheetName val="단가일람"/>
      <sheetName val="표지 (2)"/>
      <sheetName val="Customer_Databas7"/>
      <sheetName val="1차_내역서7"/>
      <sheetName val="4_노임단가7"/>
      <sheetName val="실행,원가_최종예상7"/>
      <sheetName val="내역서_제출7"/>
      <sheetName val="설명서_7"/>
      <sheetName val="환경기계공정표_(3)5"/>
      <sheetName val="2_대외공문5"/>
      <sheetName val="2-1__경관조명_내역총괄표5"/>
      <sheetName val="내역서1999_8최종5"/>
      <sheetName val="주공_갑지5"/>
      <sheetName val="케이블류_OLD5"/>
      <sheetName val="총괄갑_5"/>
      <sheetName val="Sheet1_(2)5"/>
      <sheetName val="일위대가_4"/>
      <sheetName val="노임단가_(2)4"/>
      <sheetName val="단가_및_재료비4"/>
      <sheetName val="자재_DB_LIST4"/>
      <sheetName val="_4"/>
      <sheetName val="Material_U_P6"/>
      <sheetName val="본선_토공_분배표5"/>
      <sheetName val="_냉각수펌프4"/>
      <sheetName val="내역서_4"/>
      <sheetName val="plan&amp;section_of_foundation4"/>
      <sheetName val="design_criteria4"/>
      <sheetName val="2_Summary-cash3"/>
      <sheetName val="건축내역서_(2)3"/>
      <sheetName val="Inve__&amp;_Income_Assum_3"/>
      <sheetName val="Annex_C_-_1_-_Cash3"/>
      <sheetName val="Macro_Codes3"/>
      <sheetName val="화재_탐지_설비3"/>
      <sheetName val="4_LINE3"/>
      <sheetName val="7_th3"/>
      <sheetName val="할증_3"/>
      <sheetName val="AS포장복구_3"/>
      <sheetName val="Customer_Databas8"/>
      <sheetName val="1차_내역서8"/>
      <sheetName val="4_노임단가8"/>
      <sheetName val="실행,원가_최종예상8"/>
      <sheetName val="내역서_제출8"/>
      <sheetName val="설명서_8"/>
      <sheetName val="환경기계공정표_(3)6"/>
      <sheetName val="2_대외공문6"/>
      <sheetName val="주공_갑지6"/>
      <sheetName val="2-1__경관조명_내역총괄표6"/>
      <sheetName val="내역서1999_8최종6"/>
      <sheetName val="케이블류_OLD6"/>
      <sheetName val="총괄갑_6"/>
      <sheetName val="Sheet1_(2)6"/>
      <sheetName val="일위대가_5"/>
      <sheetName val="노임단가_(2)5"/>
      <sheetName val="단가_및_재료비5"/>
      <sheetName val="자재_DB_LIST5"/>
      <sheetName val="_5"/>
      <sheetName val="Material_U_P7"/>
      <sheetName val="본선_토공_분배표6"/>
      <sheetName val="_냉각수펌프5"/>
      <sheetName val="내역서_5"/>
      <sheetName val="plan&amp;section_of_foundation5"/>
      <sheetName val="design_criteria5"/>
      <sheetName val="2_Summary-cash4"/>
      <sheetName val="건축내역서_(2)4"/>
      <sheetName val="Inve__&amp;_Income_Assum_4"/>
      <sheetName val="Annex_C_-_1_-_Cash4"/>
      <sheetName val="Macro_Codes4"/>
      <sheetName val="화재_탐지_설비4"/>
      <sheetName val="4_LINE4"/>
      <sheetName val="투찰"/>
      <sheetName val="기계시공"/>
      <sheetName val="수량산출서(철거)"/>
      <sheetName val="실행내역"/>
      <sheetName val="APT"/>
      <sheetName val="금융비용"/>
      <sheetName val="날개벽수량표"/>
      <sheetName val="o현장경비"/>
      <sheetName val="WORK"/>
      <sheetName val="page#1(총괄)"/>
      <sheetName val="Tables"/>
      <sheetName val="전체"/>
      <sheetName val="손익분석"/>
      <sheetName val="LD"/>
      <sheetName val="인원계획-미화"/>
      <sheetName val="Expense Schedule (4)"/>
      <sheetName val="Sheet16"/>
      <sheetName val="99판매상세"/>
      <sheetName val="7_th4"/>
      <sheetName val="할증_4"/>
      <sheetName val="AS포장복구_4"/>
      <sheetName val="Customer_Databas9"/>
      <sheetName val="1차_내역서9"/>
      <sheetName val="4_노임단가9"/>
      <sheetName val="실행,원가_최종예상9"/>
      <sheetName val="내역서_제출9"/>
      <sheetName val="설명서_9"/>
      <sheetName val="2_대외공문7"/>
      <sheetName val="환경기계공정표_(3)7"/>
      <sheetName val="주공_갑지7"/>
      <sheetName val="2-1__경관조명_내역총괄표7"/>
      <sheetName val="내역서1999_8최종7"/>
      <sheetName val="케이블류_OLD7"/>
      <sheetName val="총괄갑_7"/>
      <sheetName val="Sheet1_(2)7"/>
      <sheetName val="일위대가_6"/>
      <sheetName val="노임단가_(2)6"/>
      <sheetName val="단가_및_재료비6"/>
      <sheetName val="자재_DB_LIST6"/>
      <sheetName val="_6"/>
      <sheetName val="Material_U_P8"/>
      <sheetName val="본선_토공_분배표7"/>
      <sheetName val="_냉각수펌프6"/>
      <sheetName val="내역서_6"/>
      <sheetName val="plan&amp;section_of_foundation6"/>
      <sheetName val="design_criteria6"/>
      <sheetName val="2_Summary-cash5"/>
      <sheetName val="건축내역서_(2)5"/>
      <sheetName val="Inve__&amp;_Income_Assum_5"/>
      <sheetName val="Annex_C_-_1_-_Cash5"/>
      <sheetName val="Macro_Codes5"/>
      <sheetName val="화재_탐지_설비5"/>
      <sheetName val="4_LINE5"/>
      <sheetName val="7_th5"/>
      <sheetName val="할증_5"/>
      <sheetName val="AS포장복구_5"/>
      <sheetName val="2-1__경관조명_내역총괄표ꢠ"/>
      <sheetName val="2-1__경관조명_내역총괄표恴"/>
      <sheetName val="단가조사"/>
      <sheetName val="역T형교대(말뚝기초)"/>
      <sheetName val="2-1__경관조명_내역총괄표悯"/>
      <sheetName val="2-1__경관조명_내역총괄표큞"/>
      <sheetName val=" 견적서"/>
      <sheetName val="총 원가계산"/>
      <sheetName val="암센터"/>
      <sheetName val="2-1__경관조명_내역총괄표Ҡ"/>
      <sheetName val="tong du toan"/>
      <sheetName val="시화점실행"/>
      <sheetName val="98지급계획"/>
      <sheetName val="2-1__경관조명_내역총괄표쌀"/>
      <sheetName val="2-1__경관조명_내역총괄표က"/>
      <sheetName val="2-1__경관조명_내역총괄표䴀"/>
      <sheetName val="2-1__경관조명_내역총괄표"/>
      <sheetName val="2004,상노임"/>
      <sheetName val="프랜트면허"/>
      <sheetName val="예산결제란"/>
      <sheetName val="신청서"/>
      <sheetName val="중기사용료산출근거"/>
      <sheetName val="예산내역서(총괄)"/>
      <sheetName val="예산내역서"/>
      <sheetName val="공제대산출"/>
      <sheetName val="운반공사,공구손료"/>
      <sheetName val="기안"/>
      <sheetName val="2-1__경관조명_내역총괄표°"/>
      <sheetName val="총괄내역"/>
      <sheetName val="견적서"/>
      <sheetName val="친환경주택"/>
      <sheetName val="설변관련"/>
      <sheetName val="지수"/>
      <sheetName val="사회복지관"/>
      <sheetName val="인원배치기준표(변경안)"/>
      <sheetName val="1.개요입력"/>
      <sheetName val="연동내역"/>
      <sheetName val="인원배치기준표"/>
      <sheetName val="DATE"/>
      <sheetName val=""/>
      <sheetName val="예산명세서"/>
      <sheetName val="자료입력"/>
      <sheetName val="토목주소"/>
      <sheetName val="도시가스현황"/>
      <sheetName val="2-1__경관조명_내역총괄표椀"/>
      <sheetName val="해평견적"/>
      <sheetName val="유효성"/>
      <sheetName val="사업성분석"/>
      <sheetName val="4.건축집계"/>
      <sheetName val="설명서_0"/>
      <sheetName val="P-산#1-1(WOWA1)"/>
      <sheetName val="2-1__경관조명_내역총괄표´"/>
      <sheetName val="FAB별"/>
      <sheetName val="C1.공사개요"/>
      <sheetName val="A1.스케쥴"/>
      <sheetName val="5사남"/>
      <sheetName val="이채널"/>
      <sheetName val="Customer_Databas10"/>
      <sheetName val="1차_내역서10"/>
      <sheetName val="4_노임단가10"/>
      <sheetName val="실행,원가_최종예상10"/>
      <sheetName val="내역서_제출10"/>
      <sheetName val="설명서_10"/>
      <sheetName val="2_대외공문8"/>
      <sheetName val="환경기계공정표_(3)8"/>
      <sheetName val="주공_갑지8"/>
      <sheetName val="2-1__경관조명_내역총괄표8"/>
      <sheetName val="내역서1999_8최종8"/>
      <sheetName val="케이블류_OLD8"/>
      <sheetName val="총괄갑_8"/>
      <sheetName val="Sheet1_(2)8"/>
      <sheetName val="일위대가_7"/>
      <sheetName val="노임단가_(2)7"/>
      <sheetName val="단가_및_재료비7"/>
      <sheetName val="자재_DB_LIST7"/>
      <sheetName val="_7"/>
      <sheetName val="Material_U_P9"/>
      <sheetName val="본선_토공_분배표8"/>
      <sheetName val="_냉각수펌프7"/>
      <sheetName val="내역서_7"/>
      <sheetName val="plan&amp;section_of_foundation7"/>
      <sheetName val="design_criteria7"/>
      <sheetName val="2_Summary-cash6"/>
      <sheetName val="건축내역서_(2)6"/>
      <sheetName val="Inve__&amp;_Income_Assum_6"/>
      <sheetName val="Annex_C_-_1_-_Cash6"/>
      <sheetName val="Macro_Codes6"/>
      <sheetName val="화재_탐지_설비6"/>
      <sheetName val="4_LINE6"/>
      <sheetName val="7_th6"/>
      <sheetName val="할증_6"/>
      <sheetName val="AS포장복구_6"/>
      <sheetName val="표지_(2)"/>
      <sheetName val="_견적서"/>
      <sheetName val="총_원가계산"/>
      <sheetName val="tong_du_toan"/>
      <sheetName val="Expense_Schedule_(4)"/>
      <sheetName val="2-1__경관조명_내역총괄표È"/>
      <sheetName val="2-1__경관조명_내역총괄표ト"/>
      <sheetName val="______C_My_Documents_Data_Uni_2"/>
    </sheetNames>
    <sheetDataSet>
      <sheetData sheetId="0" refreshError="1"/>
      <sheetData sheetId="1" refreshError="1">
        <row r="46">
          <cell r="I46" t="str">
            <v>내용</v>
          </cell>
          <cell r="J46" t="str">
            <v>단가</v>
          </cell>
        </row>
        <row r="47">
          <cell r="I47" t="str">
            <v>ED008</v>
          </cell>
          <cell r="J47">
            <v>141800</v>
          </cell>
        </row>
        <row r="48">
          <cell r="I48" t="str">
            <v>ED012</v>
          </cell>
          <cell r="J48">
            <v>173300</v>
          </cell>
        </row>
        <row r="49">
          <cell r="I49" t="str">
            <v>ED014</v>
          </cell>
          <cell r="J49">
            <v>216300</v>
          </cell>
        </row>
        <row r="50">
          <cell r="I50" t="str">
            <v>ED016</v>
          </cell>
          <cell r="J50">
            <v>231000</v>
          </cell>
        </row>
        <row r="51">
          <cell r="I51" t="str">
            <v>ED018</v>
          </cell>
          <cell r="J51">
            <v>243600</v>
          </cell>
        </row>
        <row r="52">
          <cell r="I52" t="str">
            <v>ED018X</v>
          </cell>
          <cell r="J52">
            <v>268800</v>
          </cell>
        </row>
        <row r="53">
          <cell r="I53" t="str">
            <v>ED0108</v>
          </cell>
          <cell r="J53">
            <v>105000</v>
          </cell>
        </row>
        <row r="54">
          <cell r="I54" t="str">
            <v>ED0112</v>
          </cell>
          <cell r="J54">
            <v>132300</v>
          </cell>
        </row>
        <row r="55">
          <cell r="I55" t="str">
            <v>ED0114</v>
          </cell>
          <cell r="J55">
            <v>162800</v>
          </cell>
        </row>
        <row r="56">
          <cell r="I56" t="str">
            <v>ED0116</v>
          </cell>
          <cell r="J56">
            <v>177500</v>
          </cell>
        </row>
        <row r="57">
          <cell r="I57" t="str">
            <v>EP0202</v>
          </cell>
          <cell r="J57">
            <v>131300</v>
          </cell>
        </row>
        <row r="58">
          <cell r="I58" t="str">
            <v>EP0203</v>
          </cell>
          <cell r="J58">
            <v>131300</v>
          </cell>
        </row>
        <row r="59">
          <cell r="I59" t="str">
            <v>EP0302</v>
          </cell>
          <cell r="J59">
            <v>168000</v>
          </cell>
        </row>
        <row r="60">
          <cell r="I60" t="str">
            <v>EP0303</v>
          </cell>
          <cell r="J60">
            <v>168000</v>
          </cell>
        </row>
        <row r="61">
          <cell r="I61" t="str">
            <v>ED401</v>
          </cell>
          <cell r="J61">
            <v>128100</v>
          </cell>
        </row>
        <row r="62">
          <cell r="I62" t="str">
            <v>ED410R</v>
          </cell>
          <cell r="J62">
            <v>160700</v>
          </cell>
        </row>
        <row r="63">
          <cell r="I63" t="str">
            <v>ED410L</v>
          </cell>
          <cell r="J63">
            <v>160700</v>
          </cell>
        </row>
        <row r="64">
          <cell r="I64" t="str">
            <v>ED412</v>
          </cell>
          <cell r="J64">
            <v>160700</v>
          </cell>
        </row>
        <row r="65">
          <cell r="I65" t="str">
            <v>ED950</v>
          </cell>
          <cell r="J65">
            <v>264600</v>
          </cell>
        </row>
        <row r="66">
          <cell r="I66" t="str">
            <v>ED5086R</v>
          </cell>
          <cell r="J66">
            <v>105000</v>
          </cell>
        </row>
        <row r="67">
          <cell r="I67" t="str">
            <v>ED5086L</v>
          </cell>
          <cell r="J67">
            <v>105000</v>
          </cell>
        </row>
        <row r="68">
          <cell r="I68" t="str">
            <v>ED5466</v>
          </cell>
          <cell r="J68">
            <v>33600</v>
          </cell>
        </row>
        <row r="69">
          <cell r="I69" t="str">
            <v>ED5966</v>
          </cell>
          <cell r="J69">
            <v>56700</v>
          </cell>
        </row>
        <row r="70">
          <cell r="I70" t="str">
            <v>ED912</v>
          </cell>
          <cell r="J70">
            <v>203700</v>
          </cell>
        </row>
        <row r="71">
          <cell r="I71" t="str">
            <v>ED916</v>
          </cell>
          <cell r="J71">
            <v>249900</v>
          </cell>
        </row>
        <row r="72">
          <cell r="I72" t="str">
            <v>ED516</v>
          </cell>
          <cell r="J72">
            <v>63000</v>
          </cell>
        </row>
        <row r="73">
          <cell r="I73" t="str">
            <v>ED517R</v>
          </cell>
          <cell r="J73">
            <v>74600</v>
          </cell>
        </row>
        <row r="74">
          <cell r="I74" t="str">
            <v>ED517L</v>
          </cell>
          <cell r="J74">
            <v>74600</v>
          </cell>
        </row>
        <row r="75">
          <cell r="I75" t="str">
            <v>ED5488</v>
          </cell>
          <cell r="J75">
            <v>39900</v>
          </cell>
        </row>
        <row r="76">
          <cell r="I76" t="str">
            <v>ED5988</v>
          </cell>
          <cell r="J76">
            <v>65100</v>
          </cell>
        </row>
        <row r="77">
          <cell r="I77" t="str">
            <v>ED0608</v>
          </cell>
          <cell r="J77">
            <v>54600</v>
          </cell>
        </row>
        <row r="78">
          <cell r="I78" t="str">
            <v>ED0612</v>
          </cell>
          <cell r="J78">
            <v>65100</v>
          </cell>
        </row>
        <row r="81">
          <cell r="I81" t="str">
            <v>ED0616</v>
          </cell>
          <cell r="J81">
            <v>92400</v>
          </cell>
        </row>
        <row r="82">
          <cell r="I82" t="str">
            <v>ED0706</v>
          </cell>
          <cell r="J82">
            <v>105000</v>
          </cell>
        </row>
        <row r="83">
          <cell r="I83" t="str">
            <v>ED0708</v>
          </cell>
          <cell r="J83">
            <v>141800</v>
          </cell>
        </row>
        <row r="84">
          <cell r="I84" t="str">
            <v>ED0806</v>
          </cell>
          <cell r="J84">
            <v>122900</v>
          </cell>
        </row>
        <row r="85">
          <cell r="I85" t="str">
            <v>ED0808</v>
          </cell>
          <cell r="J85">
            <v>164900</v>
          </cell>
        </row>
        <row r="86">
          <cell r="I86" t="str">
            <v>EZ016</v>
          </cell>
          <cell r="J86">
            <v>371700</v>
          </cell>
        </row>
        <row r="87">
          <cell r="I87" t="str">
            <v>EZ018</v>
          </cell>
          <cell r="J87">
            <v>400100</v>
          </cell>
        </row>
        <row r="88">
          <cell r="I88" t="str">
            <v>TD008</v>
          </cell>
          <cell r="J88">
            <v>155400</v>
          </cell>
        </row>
        <row r="89">
          <cell r="I89" t="str">
            <v>TD010</v>
          </cell>
          <cell r="J89">
            <v>173300</v>
          </cell>
        </row>
        <row r="90">
          <cell r="I90" t="str">
            <v>TD012</v>
          </cell>
          <cell r="J90">
            <v>191100</v>
          </cell>
        </row>
        <row r="91">
          <cell r="I91" t="str">
            <v>TD014</v>
          </cell>
          <cell r="J91">
            <v>236300</v>
          </cell>
        </row>
        <row r="92">
          <cell r="I92" t="str">
            <v>TD016</v>
          </cell>
          <cell r="J92">
            <v>254100</v>
          </cell>
        </row>
        <row r="93">
          <cell r="I93" t="str">
            <v>TD018</v>
          </cell>
          <cell r="J93">
            <v>272000</v>
          </cell>
        </row>
        <row r="94">
          <cell r="I94" t="str">
            <v>TD108</v>
          </cell>
          <cell r="J94">
            <v>115500</v>
          </cell>
        </row>
        <row r="112">
          <cell r="I112" t="str">
            <v>TD110</v>
          </cell>
          <cell r="J112">
            <v>130200</v>
          </cell>
        </row>
        <row r="113">
          <cell r="I113" t="str">
            <v>TD112</v>
          </cell>
          <cell r="J113">
            <v>147000</v>
          </cell>
        </row>
        <row r="114">
          <cell r="I114" t="str">
            <v>TD114</v>
          </cell>
          <cell r="J114">
            <v>178500</v>
          </cell>
        </row>
        <row r="115">
          <cell r="I115" t="str">
            <v>TD116</v>
          </cell>
          <cell r="J115">
            <v>196400</v>
          </cell>
        </row>
        <row r="116">
          <cell r="I116" t="str">
            <v>TD118</v>
          </cell>
          <cell r="J116">
            <v>222600</v>
          </cell>
        </row>
        <row r="117">
          <cell r="I117" t="str">
            <v>TP0302</v>
          </cell>
          <cell r="J117">
            <v>198500</v>
          </cell>
        </row>
        <row r="118">
          <cell r="I118" t="str">
            <v>TP0303</v>
          </cell>
          <cell r="J118">
            <v>206900</v>
          </cell>
        </row>
        <row r="119">
          <cell r="I119" t="str">
            <v>TP0312</v>
          </cell>
          <cell r="J119">
            <v>156500</v>
          </cell>
        </row>
        <row r="120">
          <cell r="I120" t="str">
            <v>TP0313</v>
          </cell>
          <cell r="J120">
            <v>162800</v>
          </cell>
        </row>
        <row r="121">
          <cell r="I121" t="str">
            <v>TP0502</v>
          </cell>
          <cell r="J121">
            <v>149100</v>
          </cell>
        </row>
        <row r="122">
          <cell r="I122" t="str">
            <v>TP0503</v>
          </cell>
          <cell r="J122">
            <v>152300</v>
          </cell>
        </row>
        <row r="123">
          <cell r="I123" t="str">
            <v>TD410</v>
          </cell>
          <cell r="J123">
            <v>163800</v>
          </cell>
        </row>
        <row r="124">
          <cell r="I124" t="str">
            <v>TD412</v>
          </cell>
          <cell r="J124">
            <v>173300</v>
          </cell>
        </row>
        <row r="125">
          <cell r="I125" t="str">
            <v>TD546</v>
          </cell>
          <cell r="J125">
            <v>46200</v>
          </cell>
        </row>
        <row r="126">
          <cell r="I126" t="str">
            <v>TD596</v>
          </cell>
          <cell r="J126">
            <v>68300</v>
          </cell>
        </row>
        <row r="127">
          <cell r="I127" t="str">
            <v>TD516</v>
          </cell>
          <cell r="J127">
            <v>83000</v>
          </cell>
        </row>
        <row r="128">
          <cell r="I128" t="str">
            <v>TD517R</v>
          </cell>
          <cell r="J128">
            <v>97700</v>
          </cell>
        </row>
        <row r="129">
          <cell r="I129" t="str">
            <v>TD517L</v>
          </cell>
          <cell r="J129">
            <v>97700</v>
          </cell>
        </row>
        <row r="130">
          <cell r="I130" t="str">
            <v>TD518</v>
          </cell>
          <cell r="J130">
            <v>108200</v>
          </cell>
        </row>
        <row r="131">
          <cell r="I131" t="str">
            <v>TD546</v>
          </cell>
          <cell r="J131">
            <v>46200</v>
          </cell>
        </row>
        <row r="132">
          <cell r="I132" t="str">
            <v>TD548</v>
          </cell>
          <cell r="J132">
            <v>66200</v>
          </cell>
        </row>
        <row r="133">
          <cell r="I133" t="str">
            <v>TD506</v>
          </cell>
          <cell r="J133">
            <v>159600</v>
          </cell>
        </row>
        <row r="134">
          <cell r="I134" t="str">
            <v>TD507R</v>
          </cell>
          <cell r="J134">
            <v>171200</v>
          </cell>
        </row>
        <row r="135">
          <cell r="I135" t="str">
            <v>TD507L</v>
          </cell>
          <cell r="J135">
            <v>171200</v>
          </cell>
        </row>
        <row r="136">
          <cell r="I136" t="str">
            <v>TD508</v>
          </cell>
          <cell r="J136">
            <v>183800</v>
          </cell>
        </row>
        <row r="137">
          <cell r="I137" t="str">
            <v>TD598</v>
          </cell>
          <cell r="J137">
            <v>95600</v>
          </cell>
        </row>
        <row r="138">
          <cell r="I138" t="str">
            <v>TD597R</v>
          </cell>
          <cell r="J138">
            <v>86100</v>
          </cell>
        </row>
        <row r="139">
          <cell r="I139" t="str">
            <v>TD597L</v>
          </cell>
          <cell r="J139">
            <v>86100</v>
          </cell>
        </row>
        <row r="140">
          <cell r="I140" t="str">
            <v>TD0608</v>
          </cell>
          <cell r="J140">
            <v>56700</v>
          </cell>
        </row>
        <row r="141">
          <cell r="I141" t="str">
            <v>TD0612</v>
          </cell>
          <cell r="J141">
            <v>68300</v>
          </cell>
        </row>
        <row r="142">
          <cell r="I142" t="str">
            <v>TD0614</v>
          </cell>
          <cell r="J142">
            <v>86100</v>
          </cell>
        </row>
        <row r="143">
          <cell r="I143" t="str">
            <v>TD0616</v>
          </cell>
          <cell r="J143">
            <v>96600</v>
          </cell>
        </row>
        <row r="144">
          <cell r="I144" t="str">
            <v>TD712</v>
          </cell>
          <cell r="J144">
            <v>212100</v>
          </cell>
        </row>
        <row r="145">
          <cell r="I145" t="str">
            <v>TD808</v>
          </cell>
          <cell r="J145">
            <v>180600</v>
          </cell>
        </row>
        <row r="146">
          <cell r="I146" t="str">
            <v>TD990</v>
          </cell>
          <cell r="J146">
            <v>159600</v>
          </cell>
        </row>
        <row r="147">
          <cell r="I147" t="str">
            <v>TD912</v>
          </cell>
          <cell r="J147">
            <v>129200</v>
          </cell>
        </row>
        <row r="148">
          <cell r="I148" t="str">
            <v>TD916</v>
          </cell>
          <cell r="J148">
            <v>171200</v>
          </cell>
        </row>
        <row r="149">
          <cell r="I149" t="str">
            <v>TD966</v>
          </cell>
          <cell r="J149">
            <v>96600</v>
          </cell>
        </row>
        <row r="150">
          <cell r="I150" t="str">
            <v>TD988</v>
          </cell>
          <cell r="J150">
            <v>155400</v>
          </cell>
        </row>
        <row r="151">
          <cell r="I151" t="str">
            <v>TF008</v>
          </cell>
          <cell r="J151">
            <v>51500</v>
          </cell>
        </row>
        <row r="152">
          <cell r="I152" t="str">
            <v>TF010</v>
          </cell>
          <cell r="J152">
            <v>61700</v>
          </cell>
        </row>
        <row r="153">
          <cell r="I153" t="str">
            <v>TF012</v>
          </cell>
          <cell r="J153">
            <v>69300</v>
          </cell>
        </row>
        <row r="154">
          <cell r="I154" t="str">
            <v>TF014</v>
          </cell>
          <cell r="J154">
            <v>85100</v>
          </cell>
        </row>
        <row r="155">
          <cell r="I155" t="str">
            <v>TF016</v>
          </cell>
          <cell r="J155">
            <v>92400</v>
          </cell>
        </row>
        <row r="156">
          <cell r="I156" t="str">
            <v>TF018</v>
          </cell>
          <cell r="J156">
            <v>103800</v>
          </cell>
        </row>
        <row r="157">
          <cell r="I157" t="str">
            <v>YD018</v>
          </cell>
          <cell r="J157">
            <v>351800</v>
          </cell>
        </row>
        <row r="158">
          <cell r="I158" t="str">
            <v>YP0302</v>
          </cell>
          <cell r="J158">
            <v>233100</v>
          </cell>
        </row>
        <row r="159">
          <cell r="I159" t="str">
            <v>YP0303</v>
          </cell>
          <cell r="J159">
            <v>233100</v>
          </cell>
        </row>
        <row r="160">
          <cell r="I160" t="str">
            <v>YD412</v>
          </cell>
          <cell r="J160">
            <v>194300</v>
          </cell>
        </row>
        <row r="161">
          <cell r="I161" t="str">
            <v>YC055L</v>
          </cell>
          <cell r="J161">
            <v>290900</v>
          </cell>
        </row>
        <row r="162">
          <cell r="I162" t="str">
            <v>YC555R</v>
          </cell>
          <cell r="J162">
            <v>290900</v>
          </cell>
        </row>
        <row r="163">
          <cell r="I163" t="str">
            <v>YC085</v>
          </cell>
          <cell r="J163">
            <v>396900</v>
          </cell>
        </row>
        <row r="164">
          <cell r="I164" t="str">
            <v>YC2082</v>
          </cell>
          <cell r="J164">
            <v>411600</v>
          </cell>
        </row>
        <row r="165">
          <cell r="I165" t="str">
            <v>YC182</v>
          </cell>
          <cell r="J165">
            <v>226800</v>
          </cell>
        </row>
        <row r="166">
          <cell r="I166" t="str">
            <v>YD990</v>
          </cell>
          <cell r="J166">
            <v>202700</v>
          </cell>
        </row>
        <row r="167">
          <cell r="I167" t="str">
            <v>PD018</v>
          </cell>
          <cell r="J167">
            <v>584900</v>
          </cell>
        </row>
        <row r="168">
          <cell r="I168" t="str">
            <v>PD021</v>
          </cell>
          <cell r="J168">
            <v>621600</v>
          </cell>
        </row>
        <row r="169">
          <cell r="I169" t="str">
            <v>PP0202</v>
          </cell>
          <cell r="J169">
            <v>246800</v>
          </cell>
        </row>
        <row r="170">
          <cell r="I170" t="str">
            <v>PP0203</v>
          </cell>
          <cell r="J170">
            <v>246800</v>
          </cell>
        </row>
        <row r="171">
          <cell r="I171" t="str">
            <v>PP0302</v>
          </cell>
          <cell r="J171">
            <v>246800</v>
          </cell>
        </row>
        <row r="172">
          <cell r="I172" t="str">
            <v>PP0303</v>
          </cell>
          <cell r="J172">
            <v>246800</v>
          </cell>
        </row>
        <row r="173">
          <cell r="I173" t="str">
            <v>PD414</v>
          </cell>
          <cell r="J173">
            <v>484100</v>
          </cell>
        </row>
        <row r="174">
          <cell r="I174" t="str">
            <v>PZ021</v>
          </cell>
          <cell r="J174">
            <v>696200</v>
          </cell>
        </row>
        <row r="175">
          <cell r="I175" t="str">
            <v>PC055L</v>
          </cell>
          <cell r="J175">
            <v>347600</v>
          </cell>
        </row>
        <row r="176">
          <cell r="I176" t="str">
            <v>PC355L</v>
          </cell>
          <cell r="J176">
            <v>487200</v>
          </cell>
        </row>
        <row r="177">
          <cell r="I177" t="str">
            <v>PC5055R</v>
          </cell>
          <cell r="J177">
            <v>353900</v>
          </cell>
        </row>
        <row r="178">
          <cell r="I178" t="str">
            <v>PC085</v>
          </cell>
          <cell r="J178">
            <v>513500</v>
          </cell>
        </row>
        <row r="179">
          <cell r="I179" t="str">
            <v>LD021</v>
          </cell>
          <cell r="J179">
            <v>2876000</v>
          </cell>
        </row>
        <row r="180">
          <cell r="I180" t="str">
            <v>LD018</v>
          </cell>
          <cell r="J180">
            <v>2595600</v>
          </cell>
        </row>
        <row r="181">
          <cell r="I181" t="str">
            <v>LD712R</v>
          </cell>
          <cell r="J181">
            <v>781200</v>
          </cell>
        </row>
        <row r="182">
          <cell r="I182" t="str">
            <v>LD712L</v>
          </cell>
          <cell r="J182">
            <v>781200</v>
          </cell>
        </row>
        <row r="183">
          <cell r="I183" t="str">
            <v>LC01</v>
          </cell>
          <cell r="J183">
            <v>5120900</v>
          </cell>
        </row>
        <row r="184">
          <cell r="I184" t="str">
            <v>LC02</v>
          </cell>
          <cell r="J184">
            <v>4102400</v>
          </cell>
        </row>
        <row r="185">
          <cell r="I185" t="str">
            <v>LC03</v>
          </cell>
          <cell r="J185">
            <v>3716000</v>
          </cell>
        </row>
        <row r="186">
          <cell r="I186" t="str">
            <v>LC04</v>
          </cell>
          <cell r="J186">
            <v>5292000</v>
          </cell>
        </row>
        <row r="187">
          <cell r="I187" t="str">
            <v>LC05</v>
          </cell>
          <cell r="J187">
            <v>4273500</v>
          </cell>
        </row>
        <row r="188">
          <cell r="I188" t="str">
            <v>LC11</v>
          </cell>
          <cell r="J188">
            <v>4237800</v>
          </cell>
        </row>
        <row r="189">
          <cell r="I189" t="str">
            <v>LC12</v>
          </cell>
          <cell r="J189">
            <v>3182600</v>
          </cell>
        </row>
        <row r="190">
          <cell r="I190" t="str">
            <v>LC06</v>
          </cell>
          <cell r="J190">
            <v>3887100</v>
          </cell>
        </row>
        <row r="191">
          <cell r="I191" t="str">
            <v>LC21</v>
          </cell>
          <cell r="J191">
            <v>3257100</v>
          </cell>
        </row>
        <row r="192">
          <cell r="I192" t="str">
            <v>LC22</v>
          </cell>
          <cell r="J192">
            <v>2519000</v>
          </cell>
        </row>
        <row r="193">
          <cell r="I193" t="str">
            <v>LC23</v>
          </cell>
          <cell r="J193">
            <v>3782100</v>
          </cell>
        </row>
        <row r="194">
          <cell r="I194" t="str">
            <v>LC24</v>
          </cell>
          <cell r="J194">
            <v>3044000</v>
          </cell>
        </row>
        <row r="195">
          <cell r="I195" t="str">
            <v>LC565R</v>
          </cell>
          <cell r="J195">
            <v>750800</v>
          </cell>
        </row>
        <row r="196">
          <cell r="I196" t="str">
            <v>LC065L</v>
          </cell>
          <cell r="J196">
            <v>729800</v>
          </cell>
        </row>
        <row r="197">
          <cell r="I197" t="str">
            <v>LC162R</v>
          </cell>
          <cell r="J197">
            <v>343400</v>
          </cell>
        </row>
        <row r="198">
          <cell r="I198" t="str">
            <v>LC162L</v>
          </cell>
          <cell r="J198">
            <v>343400</v>
          </cell>
        </row>
        <row r="199">
          <cell r="I199" t="str">
            <v>LC6122</v>
          </cell>
          <cell r="J199">
            <v>515600</v>
          </cell>
        </row>
        <row r="200">
          <cell r="I200" t="str">
            <v>LC7064</v>
          </cell>
          <cell r="J200">
            <v>605900</v>
          </cell>
        </row>
        <row r="201">
          <cell r="I201" t="str">
            <v>LC1063S</v>
          </cell>
          <cell r="J201">
            <v>89300</v>
          </cell>
        </row>
        <row r="202">
          <cell r="I202" t="str">
            <v>LB1063G</v>
          </cell>
          <cell r="J202">
            <v>190100</v>
          </cell>
        </row>
        <row r="203">
          <cell r="I203" t="str">
            <v>LC9112</v>
          </cell>
          <cell r="J203">
            <v>179600</v>
          </cell>
        </row>
        <row r="204">
          <cell r="I204" t="str">
            <v>LC9118</v>
          </cell>
          <cell r="J204">
            <v>237300</v>
          </cell>
        </row>
        <row r="205">
          <cell r="I205" t="str">
            <v>LC9124</v>
          </cell>
          <cell r="J205">
            <v>336000</v>
          </cell>
        </row>
        <row r="206">
          <cell r="I206" t="str">
            <v>LC9106T</v>
          </cell>
          <cell r="J206">
            <v>86100</v>
          </cell>
        </row>
        <row r="207">
          <cell r="I207" t="str">
            <v>LC9112T</v>
          </cell>
          <cell r="J207">
            <v>179600</v>
          </cell>
        </row>
        <row r="208">
          <cell r="I208" t="str">
            <v>LC9118T</v>
          </cell>
          <cell r="J208">
            <v>217400</v>
          </cell>
        </row>
        <row r="209">
          <cell r="I209" t="str">
            <v>LC9124T</v>
          </cell>
          <cell r="J209">
            <v>287700</v>
          </cell>
        </row>
        <row r="210">
          <cell r="I210" t="str">
            <v>LC9124N</v>
          </cell>
          <cell r="J210">
            <v>336000</v>
          </cell>
        </row>
        <row r="211">
          <cell r="I211" t="str">
            <v>LZ01</v>
          </cell>
          <cell r="J211">
            <v>2063300</v>
          </cell>
        </row>
        <row r="212">
          <cell r="I212" t="str">
            <v>LZ02</v>
          </cell>
          <cell r="J212">
            <v>2234400</v>
          </cell>
        </row>
        <row r="213">
          <cell r="I213" t="str">
            <v>LZ11</v>
          </cell>
          <cell r="J213">
            <v>1529900</v>
          </cell>
        </row>
        <row r="214">
          <cell r="I214" t="str">
            <v>LR024</v>
          </cell>
          <cell r="J214">
            <v>1932000</v>
          </cell>
        </row>
        <row r="215">
          <cell r="I215" t="str">
            <v>LR012</v>
          </cell>
          <cell r="J215">
            <v>1430100</v>
          </cell>
        </row>
        <row r="216">
          <cell r="I216" t="str">
            <v>LS7001C</v>
          </cell>
          <cell r="J216">
            <v>1045800</v>
          </cell>
        </row>
        <row r="217">
          <cell r="I217" t="str">
            <v>LS7001W</v>
          </cell>
          <cell r="J217">
            <v>1045800</v>
          </cell>
        </row>
        <row r="218">
          <cell r="I218" t="str">
            <v>LS7003C</v>
          </cell>
          <cell r="J218">
            <v>1708400</v>
          </cell>
        </row>
        <row r="219">
          <cell r="I219" t="str">
            <v>LS7003W</v>
          </cell>
          <cell r="J219">
            <v>1708400</v>
          </cell>
        </row>
        <row r="220">
          <cell r="I220" t="str">
            <v>LL016</v>
          </cell>
          <cell r="J220">
            <v>1146600</v>
          </cell>
        </row>
        <row r="221">
          <cell r="I221" t="str">
            <v>LL008</v>
          </cell>
          <cell r="J221">
            <v>1019600</v>
          </cell>
        </row>
        <row r="222">
          <cell r="I222" t="str">
            <v>LL0007</v>
          </cell>
          <cell r="J222">
            <v>393800</v>
          </cell>
        </row>
        <row r="223">
          <cell r="I223" t="str">
            <v>CA0302</v>
          </cell>
          <cell r="J223">
            <v>60900</v>
          </cell>
        </row>
        <row r="224">
          <cell r="I224" t="str">
            <v>CA0301</v>
          </cell>
          <cell r="J224">
            <v>10500</v>
          </cell>
        </row>
        <row r="225">
          <cell r="I225" t="str">
            <v>CA1101</v>
          </cell>
          <cell r="J225">
            <v>10500</v>
          </cell>
        </row>
        <row r="226">
          <cell r="I226" t="str">
            <v>CC1082</v>
          </cell>
          <cell r="J226">
            <v>107100</v>
          </cell>
        </row>
        <row r="227">
          <cell r="I227" t="str">
            <v>CC1083</v>
          </cell>
          <cell r="J227">
            <v>147000</v>
          </cell>
        </row>
        <row r="228">
          <cell r="I228" t="str">
            <v>CC0054</v>
          </cell>
          <cell r="J228">
            <v>108200</v>
          </cell>
        </row>
        <row r="229">
          <cell r="I229" t="str">
            <v>CC0055</v>
          </cell>
          <cell r="J229">
            <v>129200</v>
          </cell>
        </row>
        <row r="230">
          <cell r="I230" t="str">
            <v>CC0084</v>
          </cell>
          <cell r="J230">
            <v>147000</v>
          </cell>
        </row>
        <row r="231">
          <cell r="I231" t="str">
            <v>CC0085</v>
          </cell>
          <cell r="J231">
            <v>164900</v>
          </cell>
        </row>
        <row r="232">
          <cell r="I232" t="str">
            <v>CC0084N</v>
          </cell>
          <cell r="J232">
            <v>113400</v>
          </cell>
        </row>
        <row r="233">
          <cell r="I233" t="str">
            <v>CC0085N</v>
          </cell>
          <cell r="J233">
            <v>129200</v>
          </cell>
        </row>
        <row r="234">
          <cell r="I234" t="str">
            <v>CC5054</v>
          </cell>
          <cell r="J234">
            <v>101900</v>
          </cell>
        </row>
        <row r="235">
          <cell r="I235" t="str">
            <v>CC5055</v>
          </cell>
          <cell r="J235">
            <v>117600</v>
          </cell>
        </row>
        <row r="236">
          <cell r="I236" t="str">
            <v>TB1082</v>
          </cell>
          <cell r="J236">
            <v>69300</v>
          </cell>
        </row>
        <row r="237">
          <cell r="I237" t="str">
            <v>TB1083</v>
          </cell>
          <cell r="J237">
            <v>90300</v>
          </cell>
        </row>
        <row r="238">
          <cell r="I238" t="str">
            <v>TB0082</v>
          </cell>
          <cell r="J238">
            <v>69300</v>
          </cell>
        </row>
        <row r="239">
          <cell r="I239" t="str">
            <v>TB084</v>
          </cell>
          <cell r="J239">
            <v>127100</v>
          </cell>
        </row>
        <row r="240">
          <cell r="I240" t="str">
            <v>TB085</v>
          </cell>
          <cell r="J240">
            <v>152300</v>
          </cell>
        </row>
        <row r="241">
          <cell r="I241" t="str">
            <v>TB0052R</v>
          </cell>
          <cell r="J241">
            <v>50400</v>
          </cell>
        </row>
        <row r="242">
          <cell r="I242" t="str">
            <v>TB0052L</v>
          </cell>
          <cell r="J242">
            <v>50400</v>
          </cell>
        </row>
        <row r="243">
          <cell r="I243" t="str">
            <v>TB0054R</v>
          </cell>
          <cell r="J243">
            <v>90300</v>
          </cell>
        </row>
        <row r="244">
          <cell r="I244" t="str">
            <v>TB0054L</v>
          </cell>
          <cell r="J244">
            <v>90300</v>
          </cell>
        </row>
        <row r="245">
          <cell r="I245" t="str">
            <v>TB0055R</v>
          </cell>
          <cell r="J245">
            <v>102900</v>
          </cell>
        </row>
        <row r="246">
          <cell r="I246" t="str">
            <v>TB0055L</v>
          </cell>
          <cell r="J246">
            <v>102900</v>
          </cell>
        </row>
        <row r="247">
          <cell r="I247" t="str">
            <v>TB0083G</v>
          </cell>
          <cell r="J247">
            <v>76700</v>
          </cell>
        </row>
        <row r="248">
          <cell r="I248" t="str">
            <v>EB1083G</v>
          </cell>
          <cell r="J248">
            <v>72500</v>
          </cell>
        </row>
        <row r="249">
          <cell r="I249" t="str">
            <v>EB1082</v>
          </cell>
          <cell r="J249">
            <v>54600</v>
          </cell>
        </row>
        <row r="250">
          <cell r="I250" t="str">
            <v>EB1083</v>
          </cell>
          <cell r="J250">
            <v>72500</v>
          </cell>
        </row>
        <row r="251">
          <cell r="I251" t="str">
            <v>EB0082</v>
          </cell>
          <cell r="J251">
            <v>54600</v>
          </cell>
        </row>
        <row r="252">
          <cell r="I252" t="str">
            <v>EB084</v>
          </cell>
          <cell r="J252">
            <v>101900</v>
          </cell>
        </row>
        <row r="253">
          <cell r="I253" t="str">
            <v>EB085</v>
          </cell>
          <cell r="J253">
            <v>120800</v>
          </cell>
        </row>
        <row r="254">
          <cell r="I254" t="str">
            <v>EB0052R</v>
          </cell>
          <cell r="J254">
            <v>42000</v>
          </cell>
        </row>
        <row r="255">
          <cell r="I255" t="str">
            <v>EB0052L</v>
          </cell>
          <cell r="J255">
            <v>42000</v>
          </cell>
        </row>
        <row r="256">
          <cell r="I256" t="str">
            <v>EB0054R</v>
          </cell>
          <cell r="J256">
            <v>74600</v>
          </cell>
        </row>
        <row r="257">
          <cell r="I257" t="str">
            <v>EB0054L</v>
          </cell>
          <cell r="J257">
            <v>74600</v>
          </cell>
        </row>
        <row r="258">
          <cell r="I258" t="str">
            <v>EB0055R</v>
          </cell>
          <cell r="J258">
            <v>86100</v>
          </cell>
        </row>
        <row r="259">
          <cell r="I259" t="str">
            <v>EB0055L</v>
          </cell>
          <cell r="J259">
            <v>86100</v>
          </cell>
        </row>
        <row r="260">
          <cell r="I260" t="str">
            <v>EC2052</v>
          </cell>
          <cell r="J260">
            <v>201600</v>
          </cell>
        </row>
        <row r="261">
          <cell r="I261" t="str">
            <v>EC2053</v>
          </cell>
          <cell r="J261">
            <v>269900</v>
          </cell>
        </row>
        <row r="262">
          <cell r="I262" t="str">
            <v>EC2050</v>
          </cell>
          <cell r="J262">
            <v>38900</v>
          </cell>
        </row>
        <row r="263">
          <cell r="I263" t="str">
            <v>TC2042</v>
          </cell>
          <cell r="J263">
            <v>242600</v>
          </cell>
        </row>
        <row r="264">
          <cell r="I264" t="str">
            <v>TC2043</v>
          </cell>
          <cell r="J264">
            <v>327600</v>
          </cell>
        </row>
        <row r="265">
          <cell r="I265" t="str">
            <v>TC2082</v>
          </cell>
          <cell r="J265">
            <v>371700</v>
          </cell>
        </row>
        <row r="266">
          <cell r="I266" t="str">
            <v>TC2083</v>
          </cell>
          <cell r="J266">
            <v>492500</v>
          </cell>
        </row>
        <row r="267">
          <cell r="I267" t="str">
            <v>TC242S</v>
          </cell>
          <cell r="J267">
            <v>253100</v>
          </cell>
        </row>
        <row r="268">
          <cell r="I268" t="str">
            <v>TC242N</v>
          </cell>
          <cell r="J268">
            <v>246800</v>
          </cell>
        </row>
        <row r="269">
          <cell r="I269" t="str">
            <v>CB9054</v>
          </cell>
          <cell r="J269">
            <v>27300</v>
          </cell>
        </row>
        <row r="270">
          <cell r="I270" t="str">
            <v>CB955</v>
          </cell>
          <cell r="J270">
            <v>35700</v>
          </cell>
        </row>
        <row r="271">
          <cell r="I271" t="str">
            <v>CB9084</v>
          </cell>
          <cell r="J271">
            <v>42000</v>
          </cell>
        </row>
        <row r="272">
          <cell r="I272" t="str">
            <v>CB985</v>
          </cell>
          <cell r="J272">
            <v>54600</v>
          </cell>
        </row>
        <row r="273">
          <cell r="I273" t="str">
            <v>XX100</v>
          </cell>
          <cell r="J273">
            <v>459900</v>
          </cell>
        </row>
        <row r="274">
          <cell r="I274" t="str">
            <v>XC100</v>
          </cell>
          <cell r="J274">
            <v>430500</v>
          </cell>
        </row>
        <row r="275">
          <cell r="I275" t="str">
            <v>XC150R</v>
          </cell>
          <cell r="J275">
            <v>279300</v>
          </cell>
        </row>
        <row r="276">
          <cell r="I276" t="str">
            <v>XC150L</v>
          </cell>
          <cell r="J276">
            <v>279300</v>
          </cell>
        </row>
        <row r="277">
          <cell r="I277" t="str">
            <v>CR1007</v>
          </cell>
          <cell r="J277">
            <v>132300</v>
          </cell>
        </row>
        <row r="278">
          <cell r="I278" t="str">
            <v>CR1015</v>
          </cell>
          <cell r="J278">
            <v>183800</v>
          </cell>
        </row>
        <row r="279">
          <cell r="I279" t="str">
            <v>CR1066</v>
          </cell>
          <cell r="J279">
            <v>201600</v>
          </cell>
        </row>
        <row r="280">
          <cell r="I280" t="str">
            <v>CR1107</v>
          </cell>
          <cell r="J280">
            <v>114500</v>
          </cell>
        </row>
        <row r="281">
          <cell r="I281" t="str">
            <v>CR1115</v>
          </cell>
          <cell r="J281">
            <v>150200</v>
          </cell>
        </row>
        <row r="282">
          <cell r="I282" t="str">
            <v>CR1166</v>
          </cell>
          <cell r="J282">
            <v>158600</v>
          </cell>
        </row>
        <row r="283">
          <cell r="I283" t="str">
            <v>CR1206</v>
          </cell>
          <cell r="J283">
            <v>30500</v>
          </cell>
        </row>
        <row r="284">
          <cell r="I284" t="str">
            <v>CR1207</v>
          </cell>
          <cell r="J284">
            <v>33600</v>
          </cell>
        </row>
        <row r="285">
          <cell r="I285" t="str">
            <v>CR1307</v>
          </cell>
          <cell r="J285">
            <v>17900</v>
          </cell>
        </row>
        <row r="286">
          <cell r="I286" t="str">
            <v>CR1315</v>
          </cell>
          <cell r="J286">
            <v>33600</v>
          </cell>
        </row>
        <row r="287">
          <cell r="I287" t="str">
            <v>CR1360</v>
          </cell>
          <cell r="J287">
            <v>17900</v>
          </cell>
        </row>
        <row r="288">
          <cell r="I288" t="str">
            <v>CR1361</v>
          </cell>
          <cell r="J288">
            <v>17900</v>
          </cell>
        </row>
        <row r="289">
          <cell r="I289" t="str">
            <v>CR2008N</v>
          </cell>
          <cell r="J289">
            <v>150200</v>
          </cell>
        </row>
        <row r="290">
          <cell r="I290" t="str">
            <v>CR2016N</v>
          </cell>
          <cell r="J290">
            <v>246800</v>
          </cell>
        </row>
        <row r="291">
          <cell r="I291" t="str">
            <v>CR2590N</v>
          </cell>
          <cell r="J291">
            <v>135500</v>
          </cell>
        </row>
        <row r="292">
          <cell r="I292" t="str">
            <v>CR2000</v>
          </cell>
          <cell r="J292">
            <v>48300</v>
          </cell>
        </row>
        <row r="293">
          <cell r="I293" t="str">
            <v>CR2000S</v>
          </cell>
          <cell r="J293">
            <v>26300</v>
          </cell>
        </row>
        <row r="294">
          <cell r="I294" t="str">
            <v>CR2000E</v>
          </cell>
          <cell r="J294">
            <v>48300</v>
          </cell>
        </row>
        <row r="295">
          <cell r="I295" t="str">
            <v>CR018</v>
          </cell>
          <cell r="J295">
            <v>278300</v>
          </cell>
        </row>
        <row r="296">
          <cell r="I296" t="str">
            <v>CR024</v>
          </cell>
          <cell r="J296">
            <v>354900</v>
          </cell>
        </row>
        <row r="297">
          <cell r="I297" t="str">
            <v>CR3118</v>
          </cell>
          <cell r="J297">
            <v>285600</v>
          </cell>
        </row>
        <row r="298">
          <cell r="I298" t="str">
            <v>CR3218</v>
          </cell>
          <cell r="J298">
            <v>249900</v>
          </cell>
        </row>
        <row r="299">
          <cell r="I299" t="str">
            <v>CR3114N</v>
          </cell>
          <cell r="J299">
            <v>225800</v>
          </cell>
        </row>
        <row r="300">
          <cell r="I300" t="str">
            <v>CR3214N</v>
          </cell>
          <cell r="J300">
            <v>206900</v>
          </cell>
        </row>
        <row r="301">
          <cell r="I301" t="str">
            <v>CR4110</v>
          </cell>
          <cell r="J301">
            <v>107100</v>
          </cell>
        </row>
        <row r="302">
          <cell r="I302" t="str">
            <v>SR009</v>
          </cell>
          <cell r="J302">
            <v>225800</v>
          </cell>
        </row>
        <row r="303">
          <cell r="I303" t="str">
            <v>SR012</v>
          </cell>
          <cell r="J303">
            <v>241500</v>
          </cell>
        </row>
        <row r="304">
          <cell r="I304" t="str">
            <v>SR018</v>
          </cell>
          <cell r="J304">
            <v>303500</v>
          </cell>
        </row>
        <row r="305">
          <cell r="I305" t="str">
            <v>SR024S</v>
          </cell>
          <cell r="J305">
            <v>375900</v>
          </cell>
        </row>
        <row r="306">
          <cell r="I306" t="str">
            <v>SR024</v>
          </cell>
          <cell r="J306">
            <v>375900</v>
          </cell>
        </row>
        <row r="307">
          <cell r="I307" t="str">
            <v>SR032</v>
          </cell>
          <cell r="J307">
            <v>483000</v>
          </cell>
        </row>
        <row r="308">
          <cell r="I308" t="str">
            <v>CR413</v>
          </cell>
          <cell r="J308">
            <v>129200</v>
          </cell>
        </row>
        <row r="309">
          <cell r="I309" t="str">
            <v>CA9900</v>
          </cell>
          <cell r="J309">
            <v>5300</v>
          </cell>
        </row>
        <row r="310">
          <cell r="I310" t="str">
            <v>CA9901</v>
          </cell>
          <cell r="J310">
            <v>4200</v>
          </cell>
        </row>
        <row r="311">
          <cell r="I311" t="str">
            <v>CA0100</v>
          </cell>
          <cell r="J311">
            <v>26300</v>
          </cell>
        </row>
        <row r="312">
          <cell r="I312" t="str">
            <v>CA0401</v>
          </cell>
          <cell r="J312">
            <v>175400</v>
          </cell>
        </row>
        <row r="313">
          <cell r="I313" t="str">
            <v>CA0402</v>
          </cell>
          <cell r="J313">
            <v>194300</v>
          </cell>
        </row>
        <row r="314">
          <cell r="I314" t="str">
            <v>CA0501</v>
          </cell>
          <cell r="J314">
            <v>161700</v>
          </cell>
        </row>
        <row r="315">
          <cell r="I315" t="str">
            <v>CA0601</v>
          </cell>
          <cell r="J315">
            <v>99800</v>
          </cell>
        </row>
        <row r="316">
          <cell r="I316" t="str">
            <v>CA0702</v>
          </cell>
          <cell r="J316">
            <v>24200</v>
          </cell>
        </row>
        <row r="317">
          <cell r="I317" t="str">
            <v>CA0703</v>
          </cell>
          <cell r="J317">
            <v>18900</v>
          </cell>
        </row>
        <row r="318">
          <cell r="I318" t="str">
            <v>CA0801</v>
          </cell>
          <cell r="J318">
            <v>15800</v>
          </cell>
        </row>
        <row r="319">
          <cell r="I319" t="str">
            <v>CA0802</v>
          </cell>
          <cell r="J319">
            <v>142800</v>
          </cell>
        </row>
        <row r="320">
          <cell r="I320" t="str">
            <v>CA0803</v>
          </cell>
          <cell r="J320">
            <v>66200</v>
          </cell>
        </row>
        <row r="321">
          <cell r="I321" t="str">
            <v>CA0901</v>
          </cell>
          <cell r="J321">
            <v>48300</v>
          </cell>
        </row>
        <row r="322">
          <cell r="I322" t="str">
            <v>CA0001</v>
          </cell>
          <cell r="J322">
            <v>62000</v>
          </cell>
        </row>
        <row r="323">
          <cell r="I323" t="str">
            <v>CA0002</v>
          </cell>
          <cell r="J323">
            <v>172200</v>
          </cell>
        </row>
        <row r="324">
          <cell r="I324" t="str">
            <v>CA0110</v>
          </cell>
          <cell r="J324">
            <v>105000</v>
          </cell>
        </row>
        <row r="325">
          <cell r="I325" t="str">
            <v>CA1003</v>
          </cell>
          <cell r="J325">
            <v>44100</v>
          </cell>
        </row>
        <row r="326">
          <cell r="I326" t="str">
            <v>CA1004</v>
          </cell>
          <cell r="J326">
            <v>44100</v>
          </cell>
        </row>
        <row r="327">
          <cell r="I327" t="str">
            <v>CA1005</v>
          </cell>
          <cell r="J327">
            <v>44000</v>
          </cell>
        </row>
        <row r="328">
          <cell r="I328" t="str">
            <v>CA120</v>
          </cell>
          <cell r="J328">
            <v>123900</v>
          </cell>
        </row>
        <row r="329">
          <cell r="I329" t="str">
            <v>CA0120</v>
          </cell>
          <cell r="J329">
            <v>62000</v>
          </cell>
        </row>
        <row r="330">
          <cell r="I330" t="str">
            <v>NF0060</v>
          </cell>
          <cell r="J330">
            <v>110300</v>
          </cell>
        </row>
        <row r="331">
          <cell r="I331" t="str">
            <v>NF0080</v>
          </cell>
          <cell r="J331">
            <v>122900</v>
          </cell>
        </row>
        <row r="332">
          <cell r="I332" t="str">
            <v>NF0100</v>
          </cell>
          <cell r="J332">
            <v>134400</v>
          </cell>
        </row>
        <row r="333">
          <cell r="I333" t="str">
            <v>NF0120</v>
          </cell>
          <cell r="J333">
            <v>144900</v>
          </cell>
        </row>
        <row r="334">
          <cell r="I334" t="str">
            <v>NF0062</v>
          </cell>
          <cell r="J334">
            <v>123900</v>
          </cell>
        </row>
        <row r="335">
          <cell r="I335" t="str">
            <v>NF0082</v>
          </cell>
          <cell r="J335">
            <v>135500</v>
          </cell>
        </row>
        <row r="336">
          <cell r="I336" t="str">
            <v>NF0102</v>
          </cell>
          <cell r="J336">
            <v>147000</v>
          </cell>
        </row>
        <row r="337">
          <cell r="I337" t="str">
            <v>NF0122</v>
          </cell>
          <cell r="J337">
            <v>159600</v>
          </cell>
        </row>
        <row r="338">
          <cell r="I338" t="str">
            <v>NF0065</v>
          </cell>
          <cell r="J338">
            <v>143900</v>
          </cell>
        </row>
        <row r="339">
          <cell r="I339" t="str">
            <v>NF0085</v>
          </cell>
          <cell r="J339">
            <v>161700</v>
          </cell>
        </row>
        <row r="340">
          <cell r="I340" t="str">
            <v>NF0105</v>
          </cell>
          <cell r="J340">
            <v>177500</v>
          </cell>
        </row>
        <row r="341">
          <cell r="I341" t="str">
            <v>NF0125</v>
          </cell>
          <cell r="J341">
            <v>195300</v>
          </cell>
        </row>
        <row r="342">
          <cell r="I342" t="str">
            <v>NF0068</v>
          </cell>
          <cell r="J342">
            <v>170100</v>
          </cell>
        </row>
        <row r="343">
          <cell r="I343" t="str">
            <v>NF0088</v>
          </cell>
          <cell r="J343">
            <v>195300</v>
          </cell>
        </row>
        <row r="344">
          <cell r="I344" t="str">
            <v>NF0108</v>
          </cell>
          <cell r="J344">
            <v>221600</v>
          </cell>
        </row>
        <row r="345">
          <cell r="I345" t="str">
            <v>NF0128</v>
          </cell>
          <cell r="J345">
            <v>245700</v>
          </cell>
        </row>
        <row r="346">
          <cell r="I346" t="str">
            <v>NF1082</v>
          </cell>
          <cell r="J346">
            <v>204800</v>
          </cell>
        </row>
        <row r="347">
          <cell r="I347" t="str">
            <v>NF1102</v>
          </cell>
          <cell r="J347">
            <v>231000</v>
          </cell>
        </row>
        <row r="348">
          <cell r="I348" t="str">
            <v>NF1085</v>
          </cell>
          <cell r="J348">
            <v>234200</v>
          </cell>
        </row>
        <row r="349">
          <cell r="I349" t="str">
            <v>NF1105</v>
          </cell>
          <cell r="J349">
            <v>273000</v>
          </cell>
        </row>
        <row r="350">
          <cell r="I350" t="str">
            <v>NF1088</v>
          </cell>
          <cell r="J350">
            <v>273000</v>
          </cell>
        </row>
        <row r="351">
          <cell r="I351" t="str">
            <v>NF1108</v>
          </cell>
          <cell r="J351">
            <v>321300</v>
          </cell>
        </row>
        <row r="352">
          <cell r="I352" t="str">
            <v>NF2085</v>
          </cell>
          <cell r="J352">
            <v>242600</v>
          </cell>
        </row>
        <row r="353">
          <cell r="I353" t="str">
            <v>NF2105</v>
          </cell>
          <cell r="J353">
            <v>281400</v>
          </cell>
        </row>
        <row r="354">
          <cell r="I354" t="str">
            <v>NF2088</v>
          </cell>
          <cell r="J354">
            <v>281400</v>
          </cell>
        </row>
        <row r="355">
          <cell r="I355" t="str">
            <v>NF2108</v>
          </cell>
          <cell r="J355">
            <v>329700</v>
          </cell>
        </row>
        <row r="356">
          <cell r="I356" t="str">
            <v>NF0060X</v>
          </cell>
          <cell r="J356">
            <v>114500</v>
          </cell>
        </row>
        <row r="357">
          <cell r="I357" t="str">
            <v>NF0080X</v>
          </cell>
          <cell r="J357">
            <v>128100</v>
          </cell>
        </row>
        <row r="358">
          <cell r="I358" t="str">
            <v>NF0100X</v>
          </cell>
          <cell r="J358">
            <v>138600</v>
          </cell>
        </row>
        <row r="359">
          <cell r="I359" t="str">
            <v>NF0120X</v>
          </cell>
          <cell r="J359">
            <v>150200</v>
          </cell>
        </row>
        <row r="360">
          <cell r="I360" t="str">
            <v>NA0001</v>
          </cell>
          <cell r="J360">
            <v>1600</v>
          </cell>
        </row>
        <row r="361">
          <cell r="I361" t="str">
            <v>NA0006</v>
          </cell>
          <cell r="J361">
            <v>11300</v>
          </cell>
        </row>
        <row r="362">
          <cell r="I362" t="str">
            <v>NA0008</v>
          </cell>
          <cell r="J362">
            <v>14500</v>
          </cell>
        </row>
        <row r="363">
          <cell r="I363" t="str">
            <v>NA0010</v>
          </cell>
          <cell r="J363">
            <v>17700</v>
          </cell>
        </row>
        <row r="364">
          <cell r="I364" t="str">
            <v>NA0012</v>
          </cell>
          <cell r="J364">
            <v>21000</v>
          </cell>
        </row>
        <row r="365">
          <cell r="I365" t="str">
            <v>NA0014</v>
          </cell>
          <cell r="J365">
            <v>24300</v>
          </cell>
        </row>
        <row r="366">
          <cell r="I366" t="str">
            <v>NA0016</v>
          </cell>
          <cell r="J366">
            <v>27500</v>
          </cell>
        </row>
        <row r="367">
          <cell r="I367" t="str">
            <v>NA0101</v>
          </cell>
          <cell r="J367">
            <v>14500</v>
          </cell>
        </row>
        <row r="368">
          <cell r="I368" t="str">
            <v>NA0102</v>
          </cell>
          <cell r="J368">
            <v>27500</v>
          </cell>
        </row>
        <row r="369">
          <cell r="I369" t="str">
            <v>NA0103</v>
          </cell>
          <cell r="J369">
            <v>16200</v>
          </cell>
        </row>
        <row r="370">
          <cell r="I370" t="str">
            <v>NA0104</v>
          </cell>
          <cell r="J370">
            <v>50100</v>
          </cell>
        </row>
        <row r="371">
          <cell r="I371" t="str">
            <v>NA0105</v>
          </cell>
          <cell r="J371">
            <v>14500</v>
          </cell>
        </row>
        <row r="372">
          <cell r="I372" t="str">
            <v>NA0106</v>
          </cell>
          <cell r="J372">
            <v>11300</v>
          </cell>
        </row>
        <row r="373">
          <cell r="I373" t="str">
            <v>NA0107</v>
          </cell>
          <cell r="J373">
            <v>11300</v>
          </cell>
        </row>
        <row r="374">
          <cell r="I374" t="str">
            <v>NF8001</v>
          </cell>
          <cell r="J374">
            <v>25700</v>
          </cell>
        </row>
        <row r="375">
          <cell r="I375" t="str">
            <v>NF8002</v>
          </cell>
          <cell r="J375">
            <v>3300</v>
          </cell>
        </row>
        <row r="376">
          <cell r="I376" t="str">
            <v>NF5109</v>
          </cell>
          <cell r="J376">
            <v>14700</v>
          </cell>
        </row>
        <row r="377">
          <cell r="I377" t="str">
            <v>NF5110</v>
          </cell>
          <cell r="J377">
            <v>16300</v>
          </cell>
        </row>
        <row r="378">
          <cell r="I378" t="str">
            <v>NF5112</v>
          </cell>
          <cell r="J378">
            <v>16300</v>
          </cell>
        </row>
        <row r="379">
          <cell r="I379" t="str">
            <v>NF5115</v>
          </cell>
          <cell r="J379">
            <v>21000</v>
          </cell>
        </row>
        <row r="380">
          <cell r="I380" t="str">
            <v>NF5118</v>
          </cell>
          <cell r="J380">
            <v>24200</v>
          </cell>
        </row>
        <row r="381">
          <cell r="I381" t="str">
            <v>NF5209</v>
          </cell>
          <cell r="J381">
            <v>17900</v>
          </cell>
        </row>
        <row r="382">
          <cell r="I382" t="str">
            <v>NF5210</v>
          </cell>
          <cell r="J382">
            <v>21000</v>
          </cell>
        </row>
        <row r="383">
          <cell r="I383" t="str">
            <v>NF5212</v>
          </cell>
          <cell r="J383">
            <v>21000</v>
          </cell>
        </row>
        <row r="384">
          <cell r="I384" t="str">
            <v>NF5215</v>
          </cell>
          <cell r="J384">
            <v>24200</v>
          </cell>
        </row>
        <row r="385">
          <cell r="I385" t="str">
            <v>NF5218</v>
          </cell>
          <cell r="J385">
            <v>27300</v>
          </cell>
        </row>
        <row r="386">
          <cell r="I386" t="str">
            <v>NF5309</v>
          </cell>
          <cell r="J386">
            <v>14700</v>
          </cell>
        </row>
        <row r="387">
          <cell r="I387" t="str">
            <v>NF5310</v>
          </cell>
          <cell r="J387">
            <v>16300</v>
          </cell>
        </row>
        <row r="388">
          <cell r="I388" t="str">
            <v>NF5312</v>
          </cell>
          <cell r="J388">
            <v>16300</v>
          </cell>
        </row>
        <row r="389">
          <cell r="I389" t="str">
            <v>NF5315</v>
          </cell>
          <cell r="J389">
            <v>21000</v>
          </cell>
        </row>
        <row r="390">
          <cell r="I390" t="str">
            <v>NF5318</v>
          </cell>
          <cell r="J390">
            <v>24200</v>
          </cell>
        </row>
        <row r="391">
          <cell r="I391" t="str">
            <v>NF5409</v>
          </cell>
          <cell r="J391">
            <v>14700</v>
          </cell>
        </row>
        <row r="392">
          <cell r="I392" t="str">
            <v>NF5410</v>
          </cell>
          <cell r="J392">
            <v>16300</v>
          </cell>
        </row>
        <row r="393">
          <cell r="I393" t="str">
            <v>NF5412</v>
          </cell>
          <cell r="J393">
            <v>16300</v>
          </cell>
        </row>
        <row r="394">
          <cell r="I394" t="str">
            <v>NF5415</v>
          </cell>
          <cell r="J394">
            <v>21000</v>
          </cell>
        </row>
        <row r="395">
          <cell r="I395" t="str">
            <v>NF5418</v>
          </cell>
          <cell r="J395">
            <v>24200</v>
          </cell>
        </row>
        <row r="396">
          <cell r="I396" t="str">
            <v>NF5500</v>
          </cell>
          <cell r="J396">
            <v>11600</v>
          </cell>
        </row>
        <row r="397">
          <cell r="I397" t="str">
            <v>NF5600</v>
          </cell>
          <cell r="J397">
            <v>11600</v>
          </cell>
        </row>
        <row r="398">
          <cell r="I398" t="str">
            <v>NF6009</v>
          </cell>
          <cell r="J398">
            <v>3200</v>
          </cell>
        </row>
        <row r="399">
          <cell r="I399" t="str">
            <v>NF6010</v>
          </cell>
          <cell r="J399">
            <v>3200</v>
          </cell>
        </row>
        <row r="400">
          <cell r="I400" t="str">
            <v>NF6012</v>
          </cell>
          <cell r="J400">
            <v>3200</v>
          </cell>
        </row>
        <row r="401">
          <cell r="I401" t="str">
            <v>NF6015</v>
          </cell>
          <cell r="J401">
            <v>4700</v>
          </cell>
        </row>
        <row r="402">
          <cell r="I402" t="str">
            <v>NF6018</v>
          </cell>
          <cell r="J402">
            <v>4700</v>
          </cell>
        </row>
        <row r="403">
          <cell r="I403" t="str">
            <v>NF6103</v>
          </cell>
          <cell r="J403">
            <v>1600</v>
          </cell>
        </row>
        <row r="404">
          <cell r="I404" t="str">
            <v>NF6106</v>
          </cell>
          <cell r="J404">
            <v>1600</v>
          </cell>
        </row>
        <row r="405">
          <cell r="I405" t="str">
            <v>NF6109</v>
          </cell>
          <cell r="J405">
            <v>3200</v>
          </cell>
        </row>
        <row r="406">
          <cell r="I406" t="str">
            <v>NF6303</v>
          </cell>
          <cell r="J406">
            <v>9500</v>
          </cell>
        </row>
        <row r="407">
          <cell r="I407" t="str">
            <v>NF6306</v>
          </cell>
          <cell r="J407">
            <v>11600</v>
          </cell>
        </row>
        <row r="408">
          <cell r="I408" t="str">
            <v>NF6309</v>
          </cell>
          <cell r="J408">
            <v>13100</v>
          </cell>
        </row>
        <row r="409">
          <cell r="I409" t="str">
            <v>NF6403</v>
          </cell>
          <cell r="J409">
            <v>9500</v>
          </cell>
        </row>
        <row r="410">
          <cell r="I410" t="str">
            <v>NF6406</v>
          </cell>
          <cell r="J410">
            <v>11600</v>
          </cell>
        </row>
        <row r="411">
          <cell r="I411" t="str">
            <v>NF6409</v>
          </cell>
          <cell r="J411">
            <v>12600</v>
          </cell>
        </row>
        <row r="412">
          <cell r="I412" t="str">
            <v>NT8001</v>
          </cell>
          <cell r="J412">
            <v>17900</v>
          </cell>
        </row>
        <row r="413">
          <cell r="I413" t="str">
            <v>NT0006</v>
          </cell>
          <cell r="J413">
            <v>66200</v>
          </cell>
        </row>
        <row r="414">
          <cell r="I414" t="str">
            <v>NT0008</v>
          </cell>
          <cell r="J414">
            <v>74600</v>
          </cell>
        </row>
        <row r="415">
          <cell r="I415" t="str">
            <v>NT0010</v>
          </cell>
          <cell r="J415">
            <v>87200</v>
          </cell>
        </row>
        <row r="416">
          <cell r="I416" t="str">
            <v>NT0012</v>
          </cell>
          <cell r="J416">
            <v>92400</v>
          </cell>
        </row>
        <row r="417">
          <cell r="I417" t="str">
            <v>NT0016</v>
          </cell>
          <cell r="J417">
            <v>123900</v>
          </cell>
        </row>
        <row r="418">
          <cell r="I418" t="str">
            <v>NT0018</v>
          </cell>
          <cell r="J418">
            <v>140700</v>
          </cell>
        </row>
        <row r="419">
          <cell r="I419" t="str">
            <v>NT0106</v>
          </cell>
          <cell r="J419">
            <v>54600</v>
          </cell>
        </row>
        <row r="420">
          <cell r="I420" t="str">
            <v>NT0108</v>
          </cell>
          <cell r="J420">
            <v>63000</v>
          </cell>
        </row>
        <row r="421">
          <cell r="I421" t="str">
            <v>NT0110</v>
          </cell>
          <cell r="J421">
            <v>72500</v>
          </cell>
        </row>
        <row r="422">
          <cell r="I422" t="str">
            <v>NT0112</v>
          </cell>
          <cell r="J422">
            <v>75600</v>
          </cell>
        </row>
        <row r="423">
          <cell r="I423" t="str">
            <v>NT0116</v>
          </cell>
          <cell r="J423">
            <v>102900</v>
          </cell>
        </row>
        <row r="424">
          <cell r="I424" t="str">
            <v>NT0118</v>
          </cell>
          <cell r="J424">
            <v>116600</v>
          </cell>
        </row>
        <row r="425">
          <cell r="I425" t="str">
            <v>NT0100</v>
          </cell>
          <cell r="J425">
            <v>63000</v>
          </cell>
        </row>
        <row r="426">
          <cell r="I426" t="str">
            <v>NT0000</v>
          </cell>
          <cell r="J426">
            <v>72500</v>
          </cell>
        </row>
        <row r="427">
          <cell r="I427" t="str">
            <v>NT2004</v>
          </cell>
          <cell r="J427">
            <v>39900</v>
          </cell>
        </row>
        <row r="428">
          <cell r="I428" t="str">
            <v>NT2006</v>
          </cell>
          <cell r="J428">
            <v>45200</v>
          </cell>
        </row>
        <row r="429">
          <cell r="I429" t="str">
            <v>NT2008</v>
          </cell>
          <cell r="J429">
            <v>53600</v>
          </cell>
        </row>
        <row r="430">
          <cell r="I430" t="str">
            <v>NT2010</v>
          </cell>
          <cell r="J430">
            <v>63000</v>
          </cell>
        </row>
        <row r="431">
          <cell r="I431" t="str">
            <v>NT2012</v>
          </cell>
          <cell r="J431">
            <v>66200</v>
          </cell>
        </row>
        <row r="432">
          <cell r="I432" t="str">
            <v>NT2014</v>
          </cell>
          <cell r="J432">
            <v>81900</v>
          </cell>
        </row>
        <row r="433">
          <cell r="I433" t="str">
            <v>NT2016</v>
          </cell>
          <cell r="J433">
            <v>92400</v>
          </cell>
        </row>
        <row r="434">
          <cell r="I434" t="str">
            <v>NT2018</v>
          </cell>
          <cell r="J434">
            <v>95600</v>
          </cell>
        </row>
        <row r="435">
          <cell r="I435" t="str">
            <v>NT2122</v>
          </cell>
          <cell r="J435">
            <v>26300</v>
          </cell>
        </row>
        <row r="436">
          <cell r="I436" t="str">
            <v>NT2206</v>
          </cell>
          <cell r="J436">
            <v>53600</v>
          </cell>
        </row>
        <row r="437">
          <cell r="I437" t="str">
            <v>NT2208</v>
          </cell>
          <cell r="J437">
            <v>59900</v>
          </cell>
        </row>
        <row r="438">
          <cell r="I438" t="str">
            <v>NT2210</v>
          </cell>
          <cell r="J438">
            <v>66200</v>
          </cell>
        </row>
        <row r="439">
          <cell r="I439" t="str">
            <v>NT2212</v>
          </cell>
          <cell r="J439">
            <v>75600</v>
          </cell>
        </row>
        <row r="440">
          <cell r="I440" t="str">
            <v>NT2308</v>
          </cell>
          <cell r="J440">
            <v>45200</v>
          </cell>
        </row>
        <row r="441">
          <cell r="I441" t="str">
            <v>NT912</v>
          </cell>
          <cell r="J441">
            <v>84000</v>
          </cell>
        </row>
        <row r="442">
          <cell r="I442" t="str">
            <v>NT916</v>
          </cell>
          <cell r="J442">
            <v>129200</v>
          </cell>
        </row>
        <row r="443">
          <cell r="I443" t="str">
            <v>NT918</v>
          </cell>
          <cell r="J443">
            <v>153300</v>
          </cell>
        </row>
        <row r="444">
          <cell r="I444" t="str">
            <v>NT966</v>
          </cell>
          <cell r="J444">
            <v>112400</v>
          </cell>
        </row>
        <row r="445">
          <cell r="I445" t="str">
            <v>NT988</v>
          </cell>
          <cell r="J445">
            <v>143900</v>
          </cell>
        </row>
        <row r="446">
          <cell r="I446" t="str">
            <v>NT5566</v>
          </cell>
          <cell r="J446">
            <v>119700</v>
          </cell>
        </row>
        <row r="447">
          <cell r="I447" t="str">
            <v>NT5586R</v>
          </cell>
          <cell r="J447">
            <v>137600</v>
          </cell>
        </row>
        <row r="448">
          <cell r="I448" t="str">
            <v>NT5586L</v>
          </cell>
          <cell r="J448">
            <v>137600</v>
          </cell>
        </row>
        <row r="449">
          <cell r="I449" t="str">
            <v>NT5588</v>
          </cell>
          <cell r="J449">
            <v>144900</v>
          </cell>
        </row>
        <row r="450">
          <cell r="I450" t="str">
            <v>NT5806R</v>
          </cell>
          <cell r="J450">
            <v>80900</v>
          </cell>
        </row>
        <row r="451">
          <cell r="I451" t="str">
            <v>NT5806L</v>
          </cell>
          <cell r="J451">
            <v>80900</v>
          </cell>
        </row>
        <row r="452">
          <cell r="I452" t="str">
            <v>NT5266</v>
          </cell>
          <cell r="J452">
            <v>150200</v>
          </cell>
        </row>
        <row r="453">
          <cell r="I453" t="str">
            <v>NT5288</v>
          </cell>
          <cell r="J453">
            <v>155400</v>
          </cell>
        </row>
        <row r="454">
          <cell r="I454" t="str">
            <v>NT3006</v>
          </cell>
          <cell r="J454">
            <v>30500</v>
          </cell>
        </row>
        <row r="455">
          <cell r="I455" t="str">
            <v>NT3008</v>
          </cell>
          <cell r="J455">
            <v>35700</v>
          </cell>
        </row>
        <row r="456">
          <cell r="I456" t="str">
            <v>NT3010</v>
          </cell>
          <cell r="J456">
            <v>39900</v>
          </cell>
        </row>
        <row r="457">
          <cell r="I457" t="str">
            <v>NT3012</v>
          </cell>
          <cell r="J457">
            <v>45200</v>
          </cell>
        </row>
        <row r="458">
          <cell r="I458" t="str">
            <v>NT3306</v>
          </cell>
          <cell r="J458">
            <v>90300</v>
          </cell>
        </row>
        <row r="459">
          <cell r="I459" t="str">
            <v>NT3308</v>
          </cell>
          <cell r="J459">
            <v>99800</v>
          </cell>
        </row>
        <row r="460">
          <cell r="I460" t="str">
            <v>NT3310</v>
          </cell>
          <cell r="J460">
            <v>119700</v>
          </cell>
        </row>
        <row r="461">
          <cell r="I461" t="str">
            <v>NT3312</v>
          </cell>
          <cell r="J461">
            <v>161700</v>
          </cell>
        </row>
        <row r="462">
          <cell r="I462" t="str">
            <v>NA0206</v>
          </cell>
          <cell r="J462">
            <v>6500</v>
          </cell>
        </row>
        <row r="463">
          <cell r="I463" t="str">
            <v>NA0208</v>
          </cell>
          <cell r="J463">
            <v>6500</v>
          </cell>
        </row>
        <row r="464">
          <cell r="I464" t="str">
            <v>NA0210</v>
          </cell>
          <cell r="J464">
            <v>8100</v>
          </cell>
        </row>
        <row r="465">
          <cell r="I465" t="str">
            <v>NA0212</v>
          </cell>
          <cell r="J465">
            <v>8100</v>
          </cell>
        </row>
        <row r="466">
          <cell r="I466" t="str">
            <v>NA0300</v>
          </cell>
          <cell r="J466">
            <v>4800</v>
          </cell>
        </row>
        <row r="467">
          <cell r="I467" t="str">
            <v>NA0400</v>
          </cell>
          <cell r="J467">
            <v>1300</v>
          </cell>
        </row>
        <row r="468">
          <cell r="I468" t="str">
            <v>CH0001</v>
          </cell>
          <cell r="J468">
            <v>39900</v>
          </cell>
        </row>
        <row r="469">
          <cell r="I469" t="str">
            <v>CH0002</v>
          </cell>
          <cell r="J469">
            <v>75600</v>
          </cell>
        </row>
        <row r="470">
          <cell r="I470" t="str">
            <v>CH0003</v>
          </cell>
          <cell r="J470">
            <v>65100</v>
          </cell>
        </row>
        <row r="471">
          <cell r="I471" t="str">
            <v>CH0004</v>
          </cell>
          <cell r="J471">
            <v>80900</v>
          </cell>
        </row>
        <row r="472">
          <cell r="I472" t="str">
            <v>CH0005</v>
          </cell>
          <cell r="J472">
            <v>158600</v>
          </cell>
        </row>
        <row r="473">
          <cell r="I473" t="str">
            <v>CH0005R</v>
          </cell>
          <cell r="J473">
            <v>13700</v>
          </cell>
        </row>
        <row r="474">
          <cell r="I474" t="str">
            <v>CH0005T</v>
          </cell>
          <cell r="J474">
            <v>34700</v>
          </cell>
        </row>
        <row r="475">
          <cell r="I475" t="str">
            <v>CH0007</v>
          </cell>
          <cell r="J475">
            <v>94500</v>
          </cell>
        </row>
        <row r="476">
          <cell r="I476" t="str">
            <v>CH0007천</v>
          </cell>
          <cell r="J476">
            <v>113400</v>
          </cell>
        </row>
        <row r="477">
          <cell r="I477" t="str">
            <v>CH0007B</v>
          </cell>
          <cell r="J477">
            <v>55700</v>
          </cell>
        </row>
        <row r="478">
          <cell r="I478" t="str">
            <v>CH0007B천</v>
          </cell>
          <cell r="J478">
            <v>75600</v>
          </cell>
        </row>
        <row r="479">
          <cell r="I479" t="str">
            <v>CH0007T</v>
          </cell>
          <cell r="J479">
            <v>27300</v>
          </cell>
        </row>
        <row r="480">
          <cell r="I480" t="str">
            <v>CH0007A</v>
          </cell>
          <cell r="J480">
            <v>10700</v>
          </cell>
        </row>
        <row r="481">
          <cell r="I481" t="str">
            <v>CH0007S</v>
          </cell>
          <cell r="J481">
            <v>27300</v>
          </cell>
        </row>
        <row r="482">
          <cell r="I482" t="str">
            <v>CH0007C</v>
          </cell>
          <cell r="J482">
            <v>26800</v>
          </cell>
        </row>
        <row r="483">
          <cell r="I483" t="str">
            <v>CH0007N</v>
          </cell>
          <cell r="J483">
            <v>500</v>
          </cell>
        </row>
        <row r="484">
          <cell r="I484" t="str">
            <v>CH0100</v>
          </cell>
          <cell r="J484">
            <v>602700</v>
          </cell>
        </row>
        <row r="485">
          <cell r="I485" t="str">
            <v>CH0101</v>
          </cell>
          <cell r="J485">
            <v>383300</v>
          </cell>
        </row>
        <row r="486">
          <cell r="I486" t="str">
            <v>CH0111</v>
          </cell>
          <cell r="J486">
            <v>254100</v>
          </cell>
        </row>
        <row r="487">
          <cell r="I487" t="str">
            <v>CH0200</v>
          </cell>
          <cell r="J487">
            <v>326600</v>
          </cell>
        </row>
        <row r="488">
          <cell r="I488" t="str">
            <v>CH0201</v>
          </cell>
          <cell r="J488">
            <v>302400</v>
          </cell>
        </row>
        <row r="489">
          <cell r="I489" t="str">
            <v>CH0211</v>
          </cell>
          <cell r="J489">
            <v>246800</v>
          </cell>
        </row>
        <row r="490">
          <cell r="I490" t="str">
            <v>CH0300</v>
          </cell>
          <cell r="J490">
            <v>153300</v>
          </cell>
        </row>
        <row r="491">
          <cell r="I491" t="str">
            <v>CH0303</v>
          </cell>
          <cell r="J491">
            <v>152300</v>
          </cell>
        </row>
        <row r="492">
          <cell r="I492" t="str">
            <v>CH0301</v>
          </cell>
          <cell r="J492">
            <v>135500</v>
          </cell>
        </row>
        <row r="493">
          <cell r="I493" t="str">
            <v>CH0302</v>
          </cell>
          <cell r="J493">
            <v>117600</v>
          </cell>
        </row>
        <row r="494">
          <cell r="I494" t="str">
            <v>CH0311</v>
          </cell>
          <cell r="J494">
            <v>98700</v>
          </cell>
        </row>
        <row r="495">
          <cell r="I495" t="str">
            <v>CH0300B</v>
          </cell>
          <cell r="J495">
            <v>170100</v>
          </cell>
        </row>
        <row r="496">
          <cell r="I496" t="str">
            <v>CH0301B</v>
          </cell>
          <cell r="J496">
            <v>143900</v>
          </cell>
        </row>
        <row r="497">
          <cell r="I497" t="str">
            <v>CH0311B</v>
          </cell>
          <cell r="J497">
            <v>119700</v>
          </cell>
        </row>
        <row r="498">
          <cell r="I498" t="str">
            <v>CH0332</v>
          </cell>
          <cell r="J498">
            <v>185900</v>
          </cell>
        </row>
        <row r="499">
          <cell r="I499" t="str">
            <v>CH0333</v>
          </cell>
          <cell r="J499">
            <v>257300</v>
          </cell>
        </row>
        <row r="500">
          <cell r="I500" t="str">
            <v>CH0332S</v>
          </cell>
          <cell r="J500">
            <v>210000</v>
          </cell>
        </row>
        <row r="501">
          <cell r="I501" t="str">
            <v>CH0032</v>
          </cell>
          <cell r="J501">
            <v>98100</v>
          </cell>
        </row>
        <row r="502">
          <cell r="I502" t="str">
            <v>CH0033</v>
          </cell>
          <cell r="J502">
            <v>126000</v>
          </cell>
        </row>
        <row r="503">
          <cell r="I503" t="str">
            <v>CH0032S</v>
          </cell>
          <cell r="J503">
            <v>120800</v>
          </cell>
        </row>
        <row r="504">
          <cell r="I504" t="str">
            <v>CH0342</v>
          </cell>
          <cell r="J504">
            <v>120800</v>
          </cell>
        </row>
        <row r="505">
          <cell r="I505" t="str">
            <v>CH0342S</v>
          </cell>
          <cell r="J505">
            <v>147000</v>
          </cell>
        </row>
        <row r="506">
          <cell r="I506" t="str">
            <v>CH0343</v>
          </cell>
          <cell r="J506">
            <v>159600</v>
          </cell>
        </row>
        <row r="507">
          <cell r="I507" t="str">
            <v>CH0401</v>
          </cell>
          <cell r="J507">
            <v>219500</v>
          </cell>
        </row>
        <row r="508">
          <cell r="I508" t="str">
            <v>CH0402</v>
          </cell>
          <cell r="J508">
            <v>189000</v>
          </cell>
        </row>
        <row r="509">
          <cell r="I509" t="str">
            <v>CH0411</v>
          </cell>
          <cell r="J509">
            <v>135500</v>
          </cell>
        </row>
        <row r="510">
          <cell r="I510" t="str">
            <v>CH0491</v>
          </cell>
          <cell r="J510">
            <v>23100</v>
          </cell>
        </row>
        <row r="511">
          <cell r="I511" t="str">
            <v>CH0500</v>
          </cell>
          <cell r="J511">
            <v>170100</v>
          </cell>
        </row>
        <row r="512">
          <cell r="I512" t="str">
            <v>CH0501</v>
          </cell>
          <cell r="J512">
            <v>159600</v>
          </cell>
        </row>
        <row r="513">
          <cell r="I513" t="str">
            <v>CH0502</v>
          </cell>
          <cell r="J513">
            <v>150200</v>
          </cell>
        </row>
        <row r="514">
          <cell r="I514" t="str">
            <v>CH0511</v>
          </cell>
          <cell r="J514">
            <v>107100</v>
          </cell>
        </row>
        <row r="515">
          <cell r="I515" t="str">
            <v>CH0600</v>
          </cell>
          <cell r="J515">
            <v>221600</v>
          </cell>
        </row>
        <row r="516">
          <cell r="I516" t="str">
            <v>CH0601</v>
          </cell>
          <cell r="J516">
            <v>201600</v>
          </cell>
        </row>
        <row r="517">
          <cell r="I517" t="str">
            <v>CH0602</v>
          </cell>
          <cell r="J517">
            <v>177500</v>
          </cell>
        </row>
        <row r="518">
          <cell r="I518" t="str">
            <v>CH0611</v>
          </cell>
          <cell r="J518">
            <v>159600</v>
          </cell>
        </row>
        <row r="519">
          <cell r="I519" t="str">
            <v>CH0701</v>
          </cell>
          <cell r="J519">
            <v>120800</v>
          </cell>
        </row>
        <row r="520">
          <cell r="I520" t="str">
            <v>CH0702</v>
          </cell>
          <cell r="J520">
            <v>102900</v>
          </cell>
        </row>
        <row r="521">
          <cell r="I521" t="str">
            <v>CH0712</v>
          </cell>
          <cell r="J521">
            <v>78800</v>
          </cell>
        </row>
        <row r="522">
          <cell r="I522" t="str">
            <v>CH0801</v>
          </cell>
          <cell r="J522">
            <v>108200</v>
          </cell>
        </row>
        <row r="523">
          <cell r="I523" t="str">
            <v>CH0802</v>
          </cell>
          <cell r="J523">
            <v>90300</v>
          </cell>
        </row>
        <row r="524">
          <cell r="I524" t="str">
            <v>CH0812</v>
          </cell>
          <cell r="J524">
            <v>66200</v>
          </cell>
        </row>
        <row r="525">
          <cell r="I525" t="str">
            <v>CH0900</v>
          </cell>
          <cell r="J525">
            <v>798000</v>
          </cell>
        </row>
        <row r="526">
          <cell r="I526" t="str">
            <v>CH0901</v>
          </cell>
          <cell r="J526">
            <v>707700</v>
          </cell>
        </row>
        <row r="527">
          <cell r="I527" t="str">
            <v>CH0911</v>
          </cell>
          <cell r="J527">
            <v>614300</v>
          </cell>
        </row>
        <row r="528">
          <cell r="I528" t="str">
            <v>CH1000</v>
          </cell>
          <cell r="J528">
            <v>882000</v>
          </cell>
        </row>
        <row r="529">
          <cell r="I529" t="str">
            <v>CH1001</v>
          </cell>
          <cell r="J529">
            <v>764400</v>
          </cell>
        </row>
        <row r="530">
          <cell r="I530" t="str">
            <v>CH9000</v>
          </cell>
          <cell r="J530">
            <v>3011400</v>
          </cell>
        </row>
        <row r="531">
          <cell r="I531" t="str">
            <v>CH9901</v>
          </cell>
          <cell r="J531">
            <v>45200</v>
          </cell>
        </row>
        <row r="532">
          <cell r="I532" t="str">
            <v>CH9903</v>
          </cell>
          <cell r="J532">
            <v>45200</v>
          </cell>
        </row>
        <row r="533">
          <cell r="I533" t="str">
            <v>CH9905</v>
          </cell>
          <cell r="J533">
            <v>66200</v>
          </cell>
        </row>
        <row r="534">
          <cell r="I534" t="str">
            <v>CH0907</v>
          </cell>
          <cell r="J534">
            <v>102900</v>
          </cell>
        </row>
        <row r="535">
          <cell r="I535" t="str">
            <v>CH9917</v>
          </cell>
          <cell r="J535">
            <v>210000</v>
          </cell>
        </row>
        <row r="536">
          <cell r="I536" t="str">
            <v>CS0101</v>
          </cell>
          <cell r="J536">
            <v>219500</v>
          </cell>
        </row>
        <row r="537">
          <cell r="I537" t="str">
            <v>CS0103</v>
          </cell>
          <cell r="J537">
            <v>392700</v>
          </cell>
        </row>
        <row r="538">
          <cell r="I538" t="str">
            <v>CS0301</v>
          </cell>
          <cell r="J538">
            <v>258300</v>
          </cell>
        </row>
        <row r="539">
          <cell r="I539" t="str">
            <v>CS0303</v>
          </cell>
          <cell r="J539">
            <v>449400</v>
          </cell>
        </row>
        <row r="540">
          <cell r="I540" t="str">
            <v>CS401천연</v>
          </cell>
          <cell r="J540">
            <v>407400</v>
          </cell>
        </row>
        <row r="541">
          <cell r="I541" t="str">
            <v>CS401인조</v>
          </cell>
          <cell r="J541">
            <v>300300</v>
          </cell>
        </row>
        <row r="542">
          <cell r="I542" t="str">
            <v>CS0501</v>
          </cell>
          <cell r="J542">
            <v>197400</v>
          </cell>
        </row>
        <row r="543">
          <cell r="I543" t="str">
            <v>CS0503</v>
          </cell>
          <cell r="J543">
            <v>329700</v>
          </cell>
        </row>
        <row r="544">
          <cell r="I544" t="str">
            <v>CS0601</v>
          </cell>
          <cell r="J544">
            <v>246800</v>
          </cell>
        </row>
        <row r="545">
          <cell r="I545" t="str">
            <v>CS0603</v>
          </cell>
          <cell r="J545">
            <v>411600</v>
          </cell>
        </row>
        <row r="546">
          <cell r="I546" t="str">
            <v>CS0701</v>
          </cell>
          <cell r="J546">
            <v>305600</v>
          </cell>
        </row>
        <row r="547">
          <cell r="I547" t="str">
            <v>CS0703</v>
          </cell>
          <cell r="J547">
            <v>483000</v>
          </cell>
        </row>
        <row r="548">
          <cell r="I548" t="str">
            <v>CS0801천연</v>
          </cell>
          <cell r="J548">
            <v>909300</v>
          </cell>
        </row>
        <row r="549">
          <cell r="I549" t="str">
            <v>CS0803천연</v>
          </cell>
          <cell r="J549">
            <v>357000</v>
          </cell>
        </row>
        <row r="550">
          <cell r="I550" t="str">
            <v>CS0801인조</v>
          </cell>
          <cell r="J550">
            <v>1494200</v>
          </cell>
        </row>
        <row r="551">
          <cell r="I551" t="str">
            <v>CS0803인조</v>
          </cell>
          <cell r="J551">
            <v>576500</v>
          </cell>
        </row>
        <row r="552">
          <cell r="I552" t="str">
            <v>CS0901</v>
          </cell>
          <cell r="J552">
            <v>906200</v>
          </cell>
        </row>
        <row r="553">
          <cell r="I553" t="str">
            <v>CS0902</v>
          </cell>
          <cell r="J553">
            <v>1107800</v>
          </cell>
        </row>
        <row r="554">
          <cell r="I554" t="str">
            <v>CS0903</v>
          </cell>
          <cell r="J554">
            <v>1434300</v>
          </cell>
        </row>
        <row r="555">
          <cell r="I555" t="str">
            <v>CS1001</v>
          </cell>
          <cell r="J555">
            <v>945000</v>
          </cell>
        </row>
        <row r="556">
          <cell r="I556" t="str">
            <v>CS1002</v>
          </cell>
          <cell r="J556">
            <v>1211700</v>
          </cell>
        </row>
        <row r="557">
          <cell r="I557" t="str">
            <v>CS1003</v>
          </cell>
          <cell r="J557">
            <v>1530900</v>
          </cell>
        </row>
        <row r="558">
          <cell r="I558" t="str">
            <v>EL0104</v>
          </cell>
          <cell r="J558">
            <v>68300</v>
          </cell>
        </row>
        <row r="559">
          <cell r="I559" t="str">
            <v>EL0112</v>
          </cell>
          <cell r="J559">
            <v>98700</v>
          </cell>
        </row>
        <row r="560">
          <cell r="I560" t="str">
            <v>CL0204</v>
          </cell>
          <cell r="J560">
            <v>90300</v>
          </cell>
        </row>
        <row r="561">
          <cell r="I561" t="str">
            <v>CL0207</v>
          </cell>
          <cell r="J561">
            <v>86100</v>
          </cell>
        </row>
        <row r="562">
          <cell r="I562" t="str">
            <v>CL0212</v>
          </cell>
          <cell r="J562">
            <v>107100</v>
          </cell>
        </row>
        <row r="563">
          <cell r="I563" t="str">
            <v>CL034</v>
          </cell>
          <cell r="J563">
            <v>153300</v>
          </cell>
        </row>
        <row r="564">
          <cell r="I564" t="str">
            <v>CL031</v>
          </cell>
          <cell r="J564">
            <v>183800</v>
          </cell>
        </row>
        <row r="565">
          <cell r="I565" t="str">
            <v>CL046</v>
          </cell>
          <cell r="J565">
            <v>174300</v>
          </cell>
        </row>
        <row r="566">
          <cell r="I566" t="str">
            <v>CL044</v>
          </cell>
          <cell r="J566">
            <v>185900</v>
          </cell>
        </row>
        <row r="567">
          <cell r="I567" t="str">
            <v>CL041</v>
          </cell>
          <cell r="J567">
            <v>243600</v>
          </cell>
        </row>
        <row r="568">
          <cell r="I568" t="str">
            <v>CL056</v>
          </cell>
          <cell r="J568">
            <v>117600</v>
          </cell>
        </row>
        <row r="569">
          <cell r="I569" t="str">
            <v>CL054</v>
          </cell>
          <cell r="J569">
            <v>129200</v>
          </cell>
        </row>
        <row r="570">
          <cell r="I570" t="str">
            <v>CL051</v>
          </cell>
          <cell r="J570">
            <v>185900</v>
          </cell>
        </row>
        <row r="571">
          <cell r="I571" t="str">
            <v>PL0904</v>
          </cell>
          <cell r="J571">
            <v>245700</v>
          </cell>
        </row>
        <row r="572">
          <cell r="I572" t="str">
            <v>PL0908</v>
          </cell>
          <cell r="J572">
            <v>227900</v>
          </cell>
        </row>
        <row r="573">
          <cell r="I573" t="str">
            <v>PL0912</v>
          </cell>
          <cell r="J573">
            <v>261500</v>
          </cell>
        </row>
        <row r="574">
          <cell r="I574" t="str">
            <v>PL0914</v>
          </cell>
          <cell r="J574">
            <v>297200</v>
          </cell>
        </row>
        <row r="575">
          <cell r="I575" t="str">
            <v>AT0106</v>
          </cell>
          <cell r="J575">
            <v>54600</v>
          </cell>
        </row>
        <row r="576">
          <cell r="I576" t="str">
            <v>AT0108</v>
          </cell>
          <cell r="J576">
            <v>63000</v>
          </cell>
        </row>
        <row r="577">
          <cell r="I577" t="str">
            <v>AT0110</v>
          </cell>
          <cell r="J577">
            <v>72500</v>
          </cell>
        </row>
        <row r="578">
          <cell r="I578" t="str">
            <v>AT0112</v>
          </cell>
          <cell r="J578">
            <v>75600</v>
          </cell>
        </row>
        <row r="579">
          <cell r="I579" t="str">
            <v>AT0114</v>
          </cell>
          <cell r="J579">
            <v>87200</v>
          </cell>
        </row>
        <row r="580">
          <cell r="I580" t="str">
            <v>AT0116</v>
          </cell>
          <cell r="J580">
            <v>102900</v>
          </cell>
        </row>
        <row r="581">
          <cell r="I581" t="str">
            <v>AT0118</v>
          </cell>
          <cell r="J581">
            <v>116600</v>
          </cell>
        </row>
        <row r="582">
          <cell r="I582" t="str">
            <v>AT0006</v>
          </cell>
          <cell r="J582">
            <v>66200</v>
          </cell>
        </row>
        <row r="583">
          <cell r="I583" t="str">
            <v>AT0008</v>
          </cell>
          <cell r="J583">
            <v>74600</v>
          </cell>
        </row>
        <row r="584">
          <cell r="I584" t="str">
            <v>AT0010</v>
          </cell>
          <cell r="J584">
            <v>87200</v>
          </cell>
        </row>
        <row r="585">
          <cell r="I585" t="str">
            <v>AT0012</v>
          </cell>
          <cell r="J585">
            <v>92400</v>
          </cell>
        </row>
        <row r="586">
          <cell r="I586" t="str">
            <v>AT0014</v>
          </cell>
          <cell r="J586">
            <v>110300</v>
          </cell>
        </row>
        <row r="587">
          <cell r="I587" t="str">
            <v>AT0016</v>
          </cell>
          <cell r="J587">
            <v>123900</v>
          </cell>
        </row>
        <row r="588">
          <cell r="I588" t="str">
            <v>AT0018</v>
          </cell>
          <cell r="J588">
            <v>140700</v>
          </cell>
        </row>
        <row r="589">
          <cell r="I589" t="str">
            <v>AT0000R</v>
          </cell>
          <cell r="J589">
            <v>56700</v>
          </cell>
        </row>
        <row r="590">
          <cell r="I590" t="str">
            <v>AT0000L</v>
          </cell>
          <cell r="J590">
            <v>56700</v>
          </cell>
        </row>
        <row r="591">
          <cell r="I591" t="str">
            <v>AT0100R</v>
          </cell>
          <cell r="J591">
            <v>45200</v>
          </cell>
        </row>
        <row r="592">
          <cell r="I592" t="str">
            <v>AT0100L</v>
          </cell>
          <cell r="J592">
            <v>45200</v>
          </cell>
        </row>
        <row r="593">
          <cell r="I593" t="str">
            <v>AT5066</v>
          </cell>
          <cell r="J593">
            <v>128100</v>
          </cell>
        </row>
        <row r="594">
          <cell r="I594" t="str">
            <v>AT5086R</v>
          </cell>
          <cell r="J594">
            <v>144900</v>
          </cell>
        </row>
        <row r="595">
          <cell r="I595" t="str">
            <v>AT5086L</v>
          </cell>
          <cell r="J595">
            <v>144900</v>
          </cell>
        </row>
        <row r="596">
          <cell r="I596" t="str">
            <v>AT5088</v>
          </cell>
          <cell r="J596">
            <v>155400</v>
          </cell>
        </row>
        <row r="597">
          <cell r="I597" t="str">
            <v>AT5806R</v>
          </cell>
          <cell r="J597">
            <v>90300</v>
          </cell>
        </row>
        <row r="598">
          <cell r="I598" t="str">
            <v>AT5806L</v>
          </cell>
          <cell r="J598">
            <v>90300</v>
          </cell>
        </row>
        <row r="599">
          <cell r="I599" t="str">
            <v>AT5166</v>
          </cell>
          <cell r="J599">
            <v>110300</v>
          </cell>
        </row>
        <row r="600">
          <cell r="I600" t="str">
            <v>AT5186R</v>
          </cell>
          <cell r="J600">
            <v>128100</v>
          </cell>
        </row>
        <row r="601">
          <cell r="I601" t="str">
            <v>AT5186L</v>
          </cell>
          <cell r="J601">
            <v>128100</v>
          </cell>
        </row>
        <row r="602">
          <cell r="I602" t="str">
            <v>AT5188</v>
          </cell>
          <cell r="J602">
            <v>137600</v>
          </cell>
        </row>
        <row r="603">
          <cell r="I603" t="str">
            <v>AT5266</v>
          </cell>
          <cell r="J603">
            <v>161700</v>
          </cell>
        </row>
        <row r="604">
          <cell r="I604" t="str">
            <v>AT5288</v>
          </cell>
          <cell r="J604">
            <v>164900</v>
          </cell>
        </row>
        <row r="605">
          <cell r="I605" t="str">
            <v>AT912</v>
          </cell>
          <cell r="J605">
            <v>122900</v>
          </cell>
        </row>
        <row r="606">
          <cell r="I606" t="str">
            <v>AT914</v>
          </cell>
          <cell r="J606">
            <v>156500</v>
          </cell>
        </row>
        <row r="607">
          <cell r="I607" t="str">
            <v>AT916</v>
          </cell>
          <cell r="J607">
            <v>162800</v>
          </cell>
        </row>
        <row r="608">
          <cell r="I608" t="str">
            <v>AT918</v>
          </cell>
          <cell r="J608">
            <v>185900</v>
          </cell>
        </row>
        <row r="609">
          <cell r="I609" t="str">
            <v>AT988A</v>
          </cell>
          <cell r="J609">
            <v>176400</v>
          </cell>
        </row>
        <row r="610">
          <cell r="I610" t="str">
            <v>AT966A</v>
          </cell>
          <cell r="J610">
            <v>144900</v>
          </cell>
        </row>
        <row r="611">
          <cell r="I611" t="str">
            <v>AT988B</v>
          </cell>
          <cell r="J611">
            <v>198500</v>
          </cell>
        </row>
        <row r="612">
          <cell r="I612" t="str">
            <v>AT966B</v>
          </cell>
          <cell r="J612">
            <v>186900</v>
          </cell>
        </row>
        <row r="613">
          <cell r="I613" t="str">
            <v>AT914CR</v>
          </cell>
          <cell r="J613">
            <v>183800</v>
          </cell>
        </row>
        <row r="614">
          <cell r="I614" t="str">
            <v>AT914CL</v>
          </cell>
          <cell r="J614">
            <v>183800</v>
          </cell>
        </row>
        <row r="615">
          <cell r="I615" t="str">
            <v>AT916CR</v>
          </cell>
          <cell r="J615">
            <v>195300</v>
          </cell>
        </row>
        <row r="616">
          <cell r="I616" t="str">
            <v>AT916CL</v>
          </cell>
          <cell r="J616">
            <v>195300</v>
          </cell>
        </row>
        <row r="617">
          <cell r="I617" t="str">
            <v>AT966D</v>
          </cell>
          <cell r="J617">
            <v>203700</v>
          </cell>
        </row>
        <row r="618">
          <cell r="I618" t="str">
            <v>AT2004</v>
          </cell>
          <cell r="J618">
            <v>39900</v>
          </cell>
        </row>
        <row r="619">
          <cell r="I619" t="str">
            <v>AT2006</v>
          </cell>
          <cell r="J619">
            <v>45200</v>
          </cell>
        </row>
        <row r="620">
          <cell r="I620" t="str">
            <v>AT2008</v>
          </cell>
          <cell r="J620">
            <v>53600</v>
          </cell>
        </row>
        <row r="621">
          <cell r="I621" t="str">
            <v>AT2010</v>
          </cell>
          <cell r="J621">
            <v>63000</v>
          </cell>
        </row>
        <row r="622">
          <cell r="I622" t="str">
            <v>AT2012</v>
          </cell>
          <cell r="J622">
            <v>66200</v>
          </cell>
        </row>
        <row r="623">
          <cell r="I623" t="str">
            <v>AT2014</v>
          </cell>
          <cell r="J623">
            <v>81900</v>
          </cell>
        </row>
        <row r="624">
          <cell r="I624" t="str">
            <v>AT2016</v>
          </cell>
          <cell r="J624">
            <v>92400</v>
          </cell>
        </row>
        <row r="625">
          <cell r="I625" t="str">
            <v>AT2018</v>
          </cell>
          <cell r="J625">
            <v>95600</v>
          </cell>
        </row>
        <row r="626">
          <cell r="I626" t="str">
            <v>AT2122</v>
          </cell>
          <cell r="J626">
            <v>26300</v>
          </cell>
        </row>
        <row r="627">
          <cell r="I627" t="str">
            <v>AT2206</v>
          </cell>
          <cell r="J627">
            <v>53600</v>
          </cell>
        </row>
        <row r="628">
          <cell r="I628" t="str">
            <v>AT2208</v>
          </cell>
          <cell r="J628">
            <v>59900</v>
          </cell>
        </row>
        <row r="629">
          <cell r="I629" t="str">
            <v>AT2210</v>
          </cell>
          <cell r="J629">
            <v>66200</v>
          </cell>
        </row>
        <row r="630">
          <cell r="I630" t="str">
            <v>AT2212</v>
          </cell>
          <cell r="J630">
            <v>75600</v>
          </cell>
        </row>
        <row r="631">
          <cell r="I631" t="str">
            <v>AT2308</v>
          </cell>
          <cell r="J631">
            <v>45200</v>
          </cell>
        </row>
        <row r="632">
          <cell r="I632" t="str">
            <v>AA0006</v>
          </cell>
          <cell r="J632">
            <v>12600</v>
          </cell>
        </row>
        <row r="633">
          <cell r="I633" t="str">
            <v>AA0007</v>
          </cell>
          <cell r="J633">
            <v>14700</v>
          </cell>
        </row>
        <row r="634">
          <cell r="I634" t="str">
            <v>AA0008</v>
          </cell>
          <cell r="J634">
            <v>16200</v>
          </cell>
        </row>
        <row r="635">
          <cell r="I635" t="str">
            <v>AA0010</v>
          </cell>
          <cell r="J635">
            <v>20000</v>
          </cell>
        </row>
        <row r="636">
          <cell r="I636" t="str">
            <v>AA0012</v>
          </cell>
          <cell r="J636">
            <v>23400</v>
          </cell>
        </row>
        <row r="637">
          <cell r="I637" t="str">
            <v>AA0101</v>
          </cell>
          <cell r="J637">
            <v>5400</v>
          </cell>
        </row>
        <row r="638">
          <cell r="I638" t="str">
            <v>AA0102</v>
          </cell>
          <cell r="J638">
            <v>7600</v>
          </cell>
        </row>
        <row r="639">
          <cell r="I639" t="str">
            <v>AA0103</v>
          </cell>
          <cell r="J639">
            <v>9500</v>
          </cell>
        </row>
        <row r="640">
          <cell r="I640" t="str">
            <v>AA0104</v>
          </cell>
          <cell r="J640">
            <v>4200</v>
          </cell>
        </row>
        <row r="641">
          <cell r="I641" t="str">
            <v>AA0105</v>
          </cell>
          <cell r="J641">
            <v>6600</v>
          </cell>
        </row>
        <row r="642">
          <cell r="I642" t="str">
            <v>AA0106</v>
          </cell>
          <cell r="J642">
            <v>3400</v>
          </cell>
        </row>
        <row r="643">
          <cell r="I643" t="str">
            <v>AA1006</v>
          </cell>
          <cell r="J643">
            <v>9700</v>
          </cell>
        </row>
        <row r="644">
          <cell r="I644" t="str">
            <v>AA1007</v>
          </cell>
          <cell r="J644">
            <v>10800</v>
          </cell>
        </row>
        <row r="645">
          <cell r="I645" t="str">
            <v>AA1008</v>
          </cell>
          <cell r="J645">
            <v>12000</v>
          </cell>
        </row>
        <row r="646">
          <cell r="I646" t="str">
            <v>AA1010</v>
          </cell>
          <cell r="J646">
            <v>14400</v>
          </cell>
        </row>
        <row r="647">
          <cell r="I647" t="str">
            <v>AA1012</v>
          </cell>
          <cell r="J647">
            <v>16800</v>
          </cell>
        </row>
        <row r="648">
          <cell r="I648" t="str">
            <v>AA0901B</v>
          </cell>
          <cell r="J648">
            <v>82200</v>
          </cell>
        </row>
        <row r="649">
          <cell r="I649" t="str">
            <v>AA9901</v>
          </cell>
          <cell r="J649">
            <v>6000</v>
          </cell>
        </row>
        <row r="650">
          <cell r="I650" t="str">
            <v>AA0200</v>
          </cell>
          <cell r="J650">
            <v>1300</v>
          </cell>
        </row>
        <row r="651">
          <cell r="I651" t="str">
            <v>AF060</v>
          </cell>
          <cell r="J651">
            <v>143900</v>
          </cell>
        </row>
        <row r="652">
          <cell r="I652" t="str">
            <v>AF070</v>
          </cell>
          <cell r="J652">
            <v>157500</v>
          </cell>
        </row>
        <row r="653">
          <cell r="I653" t="str">
            <v>AF080</v>
          </cell>
          <cell r="J653">
            <v>167000</v>
          </cell>
        </row>
        <row r="654">
          <cell r="I654" t="str">
            <v>AF100</v>
          </cell>
          <cell r="J654">
            <v>184800</v>
          </cell>
        </row>
        <row r="655">
          <cell r="I655" t="str">
            <v>AF120</v>
          </cell>
          <cell r="J655">
            <v>204800</v>
          </cell>
        </row>
        <row r="656">
          <cell r="I656" t="str">
            <v>AF062</v>
          </cell>
          <cell r="J656">
            <v>170100</v>
          </cell>
        </row>
        <row r="657">
          <cell r="I657" t="str">
            <v>AF072</v>
          </cell>
          <cell r="J657">
            <v>184800</v>
          </cell>
        </row>
        <row r="658">
          <cell r="I658" t="str">
            <v>AF082</v>
          </cell>
          <cell r="J658">
            <v>198500</v>
          </cell>
        </row>
        <row r="659">
          <cell r="I659" t="str">
            <v>AF102</v>
          </cell>
          <cell r="J659">
            <v>220500</v>
          </cell>
        </row>
        <row r="660">
          <cell r="I660" t="str">
            <v>AF122</v>
          </cell>
          <cell r="J660">
            <v>244700</v>
          </cell>
        </row>
        <row r="661">
          <cell r="I661" t="str">
            <v>AF064</v>
          </cell>
          <cell r="J661">
            <v>195300</v>
          </cell>
        </row>
        <row r="662">
          <cell r="I662" t="str">
            <v>AF074</v>
          </cell>
          <cell r="J662">
            <v>214200</v>
          </cell>
        </row>
        <row r="663">
          <cell r="I663" t="str">
            <v>AF084</v>
          </cell>
          <cell r="J663">
            <v>228900</v>
          </cell>
        </row>
        <row r="664">
          <cell r="I664" t="str">
            <v>AF104</v>
          </cell>
          <cell r="J664">
            <v>256200</v>
          </cell>
        </row>
        <row r="665">
          <cell r="I665" t="str">
            <v>AF124</v>
          </cell>
          <cell r="J665">
            <v>285600</v>
          </cell>
        </row>
        <row r="666">
          <cell r="I666" t="str">
            <v>AF066</v>
          </cell>
          <cell r="J666">
            <v>221600</v>
          </cell>
        </row>
        <row r="667">
          <cell r="I667" t="str">
            <v>AF076</v>
          </cell>
          <cell r="J667">
            <v>241500</v>
          </cell>
        </row>
        <row r="668">
          <cell r="I668" t="str">
            <v>AF086</v>
          </cell>
          <cell r="J668">
            <v>260400</v>
          </cell>
        </row>
        <row r="669">
          <cell r="I669" t="str">
            <v>AF106</v>
          </cell>
          <cell r="J669">
            <v>291900</v>
          </cell>
        </row>
        <row r="670">
          <cell r="I670" t="str">
            <v>AF126</v>
          </cell>
          <cell r="J670">
            <v>325500</v>
          </cell>
        </row>
        <row r="671">
          <cell r="I671" t="str">
            <v>AF068</v>
          </cell>
          <cell r="J671">
            <v>246800</v>
          </cell>
        </row>
        <row r="672">
          <cell r="I672" t="str">
            <v>AF078</v>
          </cell>
          <cell r="J672">
            <v>270900</v>
          </cell>
        </row>
        <row r="673">
          <cell r="I673" t="str">
            <v>AF088</v>
          </cell>
          <cell r="J673">
            <v>290900</v>
          </cell>
        </row>
        <row r="674">
          <cell r="I674" t="str">
            <v>AF108</v>
          </cell>
          <cell r="J674">
            <v>327600</v>
          </cell>
        </row>
        <row r="675">
          <cell r="I675" t="str">
            <v>AF128</v>
          </cell>
          <cell r="J675">
            <v>366500</v>
          </cell>
        </row>
        <row r="676">
          <cell r="I676" t="str">
            <v>AF062H</v>
          </cell>
          <cell r="J676">
            <v>179600</v>
          </cell>
        </row>
        <row r="677">
          <cell r="I677" t="str">
            <v>AF072H</v>
          </cell>
          <cell r="J677">
            <v>196400</v>
          </cell>
        </row>
        <row r="678">
          <cell r="I678" t="str">
            <v>AF082H</v>
          </cell>
          <cell r="J678">
            <v>211100</v>
          </cell>
        </row>
        <row r="679">
          <cell r="I679" t="str">
            <v>AF102H</v>
          </cell>
          <cell r="J679">
            <v>236300</v>
          </cell>
        </row>
        <row r="680">
          <cell r="I680" t="str">
            <v>AF122H</v>
          </cell>
          <cell r="J680">
            <v>263600</v>
          </cell>
        </row>
        <row r="681">
          <cell r="I681" t="str">
            <v>AF064H</v>
          </cell>
          <cell r="J681">
            <v>211100</v>
          </cell>
        </row>
        <row r="682">
          <cell r="I682" t="str">
            <v>AF074H</v>
          </cell>
          <cell r="J682">
            <v>232100</v>
          </cell>
        </row>
        <row r="683">
          <cell r="I683" t="str">
            <v>AF084H</v>
          </cell>
          <cell r="J683">
            <v>248900</v>
          </cell>
        </row>
        <row r="684">
          <cell r="I684" t="str">
            <v>AF104H</v>
          </cell>
          <cell r="J684">
            <v>279300</v>
          </cell>
        </row>
        <row r="685">
          <cell r="I685" t="str">
            <v>AF124H</v>
          </cell>
          <cell r="J685">
            <v>315000</v>
          </cell>
        </row>
        <row r="686">
          <cell r="I686" t="str">
            <v>AF066H</v>
          </cell>
          <cell r="J686">
            <v>237300</v>
          </cell>
        </row>
        <row r="687">
          <cell r="I687" t="str">
            <v>AF076H</v>
          </cell>
          <cell r="J687">
            <v>259400</v>
          </cell>
        </row>
        <row r="688">
          <cell r="I688" t="str">
            <v>AF086H</v>
          </cell>
          <cell r="J688">
            <v>280400</v>
          </cell>
        </row>
        <row r="689">
          <cell r="I689" t="str">
            <v>AF106H</v>
          </cell>
          <cell r="J689">
            <v>315000</v>
          </cell>
        </row>
        <row r="690">
          <cell r="I690" t="str">
            <v>AF126H</v>
          </cell>
          <cell r="J690">
            <v>354900</v>
          </cell>
        </row>
        <row r="691">
          <cell r="I691" t="str">
            <v>AF068H</v>
          </cell>
          <cell r="J691">
            <v>262500</v>
          </cell>
        </row>
        <row r="692">
          <cell r="I692" t="str">
            <v>AF078H</v>
          </cell>
          <cell r="J692">
            <v>288800</v>
          </cell>
        </row>
        <row r="693">
          <cell r="I693" t="str">
            <v>AF088H</v>
          </cell>
          <cell r="J693">
            <v>310800</v>
          </cell>
        </row>
        <row r="694">
          <cell r="I694" t="str">
            <v>AF108H</v>
          </cell>
          <cell r="J694">
            <v>350700</v>
          </cell>
        </row>
        <row r="695">
          <cell r="I695" t="str">
            <v>AF128H</v>
          </cell>
          <cell r="J695">
            <v>395900</v>
          </cell>
        </row>
        <row r="696">
          <cell r="I696" t="str">
            <v>AF060G</v>
          </cell>
          <cell r="J696">
            <v>170100</v>
          </cell>
        </row>
        <row r="697">
          <cell r="I697" t="str">
            <v>AF070G</v>
          </cell>
          <cell r="J697">
            <v>183800</v>
          </cell>
        </row>
        <row r="698">
          <cell r="I698" t="str">
            <v>AF080G</v>
          </cell>
          <cell r="J698">
            <v>193200</v>
          </cell>
        </row>
        <row r="699">
          <cell r="I699" t="str">
            <v>AF100G</v>
          </cell>
          <cell r="J699">
            <v>214200</v>
          </cell>
        </row>
        <row r="700">
          <cell r="I700" t="str">
            <v>AF120G</v>
          </cell>
          <cell r="J700">
            <v>237300</v>
          </cell>
        </row>
        <row r="701">
          <cell r="I701" t="str">
            <v>AF062G</v>
          </cell>
          <cell r="J701">
            <v>205800</v>
          </cell>
        </row>
        <row r="702">
          <cell r="I702" t="str">
            <v>AF072G</v>
          </cell>
          <cell r="J702">
            <v>222600</v>
          </cell>
        </row>
        <row r="703">
          <cell r="I703" t="str">
            <v>AF082G</v>
          </cell>
          <cell r="J703">
            <v>237300</v>
          </cell>
        </row>
        <row r="704">
          <cell r="I704" t="str">
            <v>AF102G</v>
          </cell>
          <cell r="J704">
            <v>265700</v>
          </cell>
        </row>
        <row r="705">
          <cell r="I705" t="str">
            <v>AF122G</v>
          </cell>
          <cell r="J705">
            <v>296100</v>
          </cell>
        </row>
        <row r="706">
          <cell r="I706" t="str">
            <v>AF064G</v>
          </cell>
          <cell r="J706">
            <v>237300</v>
          </cell>
        </row>
        <row r="707">
          <cell r="I707" t="str">
            <v>AF074G</v>
          </cell>
          <cell r="J707">
            <v>258300</v>
          </cell>
        </row>
        <row r="708">
          <cell r="I708" t="str">
            <v>AF084G</v>
          </cell>
          <cell r="J708">
            <v>275100</v>
          </cell>
        </row>
        <row r="709">
          <cell r="I709" t="str">
            <v>AF104G</v>
          </cell>
          <cell r="J709">
            <v>308700</v>
          </cell>
        </row>
        <row r="710">
          <cell r="I710" t="str">
            <v>AF124G</v>
          </cell>
          <cell r="J710">
            <v>347600</v>
          </cell>
        </row>
        <row r="711">
          <cell r="I711" t="str">
            <v>AF066G</v>
          </cell>
          <cell r="J711">
            <v>273000</v>
          </cell>
        </row>
        <row r="712">
          <cell r="I712" t="str">
            <v>AF076G</v>
          </cell>
          <cell r="J712">
            <v>297200</v>
          </cell>
        </row>
        <row r="713">
          <cell r="I713" t="str">
            <v>AF086G</v>
          </cell>
          <cell r="J713">
            <v>319200</v>
          </cell>
        </row>
        <row r="714">
          <cell r="I714" t="str">
            <v>AF106G</v>
          </cell>
          <cell r="J714">
            <v>360200</v>
          </cell>
        </row>
        <row r="715">
          <cell r="I715" t="str">
            <v>AF126G</v>
          </cell>
          <cell r="J715">
            <v>406400</v>
          </cell>
        </row>
        <row r="716">
          <cell r="I716" t="str">
            <v>AF068G</v>
          </cell>
          <cell r="J716">
            <v>304500</v>
          </cell>
        </row>
        <row r="717">
          <cell r="I717" t="str">
            <v>AF078G</v>
          </cell>
          <cell r="J717">
            <v>332900</v>
          </cell>
        </row>
        <row r="718">
          <cell r="I718" t="str">
            <v>AF088G</v>
          </cell>
          <cell r="J718">
            <v>357000</v>
          </cell>
        </row>
        <row r="719">
          <cell r="I719" t="str">
            <v>AF108G</v>
          </cell>
          <cell r="J719">
            <v>403200</v>
          </cell>
        </row>
        <row r="720">
          <cell r="I720" t="str">
            <v>AF128G</v>
          </cell>
          <cell r="J720">
            <v>457800</v>
          </cell>
        </row>
        <row r="721">
          <cell r="I721" t="str">
            <v>AF0060</v>
          </cell>
          <cell r="J721">
            <v>74600</v>
          </cell>
        </row>
        <row r="722">
          <cell r="I722" t="str">
            <v>AF0070</v>
          </cell>
          <cell r="J722">
            <v>77700</v>
          </cell>
        </row>
        <row r="723">
          <cell r="I723" t="str">
            <v>AF0080</v>
          </cell>
          <cell r="J723">
            <v>78800</v>
          </cell>
        </row>
        <row r="724">
          <cell r="I724" t="str">
            <v>AF0100</v>
          </cell>
          <cell r="J724">
            <v>84000</v>
          </cell>
        </row>
        <row r="725">
          <cell r="I725" t="str">
            <v>AF0120</v>
          </cell>
          <cell r="J725">
            <v>89300</v>
          </cell>
        </row>
        <row r="726">
          <cell r="I726" t="str">
            <v>AF0062</v>
          </cell>
          <cell r="J726">
            <v>77700</v>
          </cell>
        </row>
        <row r="727">
          <cell r="I727" t="str">
            <v>AF0072</v>
          </cell>
          <cell r="J727">
            <v>80900</v>
          </cell>
        </row>
        <row r="728">
          <cell r="I728" t="str">
            <v>AF0082</v>
          </cell>
          <cell r="J728">
            <v>84000</v>
          </cell>
        </row>
        <row r="729">
          <cell r="I729" t="str">
            <v>AF0102</v>
          </cell>
          <cell r="J729">
            <v>90300</v>
          </cell>
        </row>
        <row r="730">
          <cell r="I730" t="str">
            <v>AF0122</v>
          </cell>
          <cell r="J730">
            <v>96600</v>
          </cell>
        </row>
        <row r="731">
          <cell r="I731" t="str">
            <v>AF0064S</v>
          </cell>
          <cell r="J731">
            <v>18900</v>
          </cell>
        </row>
        <row r="732">
          <cell r="I732" t="str">
            <v>AF0074S</v>
          </cell>
          <cell r="J732">
            <v>21000</v>
          </cell>
        </row>
        <row r="733">
          <cell r="I733" t="str">
            <v>AF0084S</v>
          </cell>
          <cell r="J733">
            <v>23100</v>
          </cell>
        </row>
        <row r="734">
          <cell r="I734" t="str">
            <v>AF0104S</v>
          </cell>
          <cell r="J734">
            <v>26300</v>
          </cell>
        </row>
        <row r="735">
          <cell r="I735" t="str">
            <v>AF0124S</v>
          </cell>
          <cell r="J735">
            <v>29400</v>
          </cell>
        </row>
        <row r="736">
          <cell r="I736" t="str">
            <v>AF5110</v>
          </cell>
          <cell r="J736">
            <v>25800</v>
          </cell>
        </row>
        <row r="737">
          <cell r="I737" t="str">
            <v>AF5112</v>
          </cell>
          <cell r="J737">
            <v>29100</v>
          </cell>
        </row>
        <row r="738">
          <cell r="I738" t="str">
            <v>AF5114</v>
          </cell>
          <cell r="J738">
            <v>32300</v>
          </cell>
        </row>
        <row r="739">
          <cell r="I739" t="str">
            <v>AF5116</v>
          </cell>
          <cell r="J739">
            <v>35500</v>
          </cell>
        </row>
        <row r="740">
          <cell r="I740" t="str">
            <v>AF5118</v>
          </cell>
          <cell r="J740">
            <v>38700</v>
          </cell>
        </row>
        <row r="741">
          <cell r="I741" t="str">
            <v>AF5120</v>
          </cell>
          <cell r="J741">
            <v>42000</v>
          </cell>
        </row>
        <row r="742">
          <cell r="I742" t="str">
            <v>AF5210</v>
          </cell>
          <cell r="J742">
            <v>30700</v>
          </cell>
        </row>
        <row r="743">
          <cell r="I743" t="str">
            <v>AF5212</v>
          </cell>
          <cell r="J743">
            <v>35500</v>
          </cell>
        </row>
        <row r="744">
          <cell r="I744" t="str">
            <v>AF5214</v>
          </cell>
          <cell r="J744">
            <v>40400</v>
          </cell>
        </row>
        <row r="745">
          <cell r="I745" t="str">
            <v>AF5216</v>
          </cell>
          <cell r="J745">
            <v>45300</v>
          </cell>
        </row>
        <row r="746">
          <cell r="I746" t="str">
            <v>AF5218</v>
          </cell>
          <cell r="J746">
            <v>50100</v>
          </cell>
        </row>
        <row r="747">
          <cell r="I747" t="str">
            <v>AF5220</v>
          </cell>
          <cell r="J747">
            <v>54900</v>
          </cell>
        </row>
        <row r="748">
          <cell r="I748" t="str">
            <v>AF5510</v>
          </cell>
          <cell r="J748">
            <v>29100</v>
          </cell>
        </row>
        <row r="749">
          <cell r="I749" t="str">
            <v>AF5512</v>
          </cell>
          <cell r="J749">
            <v>33900</v>
          </cell>
        </row>
        <row r="750">
          <cell r="I750" t="str">
            <v>AF5514</v>
          </cell>
          <cell r="J750">
            <v>38700</v>
          </cell>
        </row>
        <row r="751">
          <cell r="I751" t="str">
            <v>AF5516</v>
          </cell>
          <cell r="J751">
            <v>43600</v>
          </cell>
        </row>
        <row r="752">
          <cell r="I752" t="str">
            <v>AF5518</v>
          </cell>
          <cell r="J752">
            <v>48500</v>
          </cell>
        </row>
        <row r="753">
          <cell r="I753" t="str">
            <v>AF5520</v>
          </cell>
          <cell r="J753">
            <v>53300</v>
          </cell>
        </row>
        <row r="754">
          <cell r="I754" t="str">
            <v>AF5310</v>
          </cell>
          <cell r="J754">
            <v>24300</v>
          </cell>
        </row>
        <row r="755">
          <cell r="I755" t="str">
            <v>AF5312</v>
          </cell>
          <cell r="J755">
            <v>27500</v>
          </cell>
        </row>
        <row r="756">
          <cell r="I756" t="str">
            <v>AF5314</v>
          </cell>
          <cell r="J756">
            <v>30700</v>
          </cell>
        </row>
        <row r="757">
          <cell r="I757" t="str">
            <v>AF5316</v>
          </cell>
          <cell r="J757">
            <v>33900</v>
          </cell>
        </row>
        <row r="758">
          <cell r="I758" t="str">
            <v>AF5318</v>
          </cell>
          <cell r="J758">
            <v>37200</v>
          </cell>
        </row>
        <row r="759">
          <cell r="I759" t="str">
            <v>AF5320</v>
          </cell>
          <cell r="J759">
            <v>40400</v>
          </cell>
        </row>
        <row r="760">
          <cell r="I760" t="str">
            <v>AF5610</v>
          </cell>
          <cell r="J760">
            <v>22600</v>
          </cell>
        </row>
        <row r="761">
          <cell r="I761" t="str">
            <v>AF5612</v>
          </cell>
          <cell r="J761">
            <v>25800</v>
          </cell>
        </row>
        <row r="762">
          <cell r="I762" t="str">
            <v>AF5614</v>
          </cell>
          <cell r="J762">
            <v>29100</v>
          </cell>
        </row>
        <row r="763">
          <cell r="I763" t="str">
            <v>AF5616</v>
          </cell>
          <cell r="J763">
            <v>32300</v>
          </cell>
        </row>
        <row r="764">
          <cell r="I764" t="str">
            <v>AF5618</v>
          </cell>
          <cell r="J764">
            <v>35500</v>
          </cell>
        </row>
        <row r="765">
          <cell r="I765" t="str">
            <v>AF5620</v>
          </cell>
          <cell r="J765">
            <v>38700</v>
          </cell>
        </row>
        <row r="766">
          <cell r="I766" t="str">
            <v>AF6010</v>
          </cell>
          <cell r="J766">
            <v>9700</v>
          </cell>
        </row>
        <row r="767">
          <cell r="I767" t="str">
            <v>AF6012</v>
          </cell>
          <cell r="J767">
            <v>11300</v>
          </cell>
        </row>
        <row r="768">
          <cell r="I768" t="str">
            <v>AF6014</v>
          </cell>
          <cell r="J768">
            <v>12900</v>
          </cell>
        </row>
        <row r="769">
          <cell r="I769" t="str">
            <v>AF6016</v>
          </cell>
          <cell r="J769">
            <v>14500</v>
          </cell>
        </row>
        <row r="770">
          <cell r="I770" t="str">
            <v>AF6018</v>
          </cell>
          <cell r="J770">
            <v>16200</v>
          </cell>
        </row>
        <row r="771">
          <cell r="I771" t="str">
            <v>AF6020</v>
          </cell>
          <cell r="J771">
            <v>17700</v>
          </cell>
        </row>
        <row r="772">
          <cell r="I772" t="str">
            <v>AF6102</v>
          </cell>
          <cell r="J772">
            <v>3300</v>
          </cell>
        </row>
        <row r="773">
          <cell r="I773" t="str">
            <v>AF6104</v>
          </cell>
          <cell r="J773">
            <v>4800</v>
          </cell>
        </row>
        <row r="774">
          <cell r="I774" t="str">
            <v>AF6106</v>
          </cell>
          <cell r="J774">
            <v>6500</v>
          </cell>
        </row>
        <row r="775">
          <cell r="I775" t="str">
            <v>AF6108</v>
          </cell>
          <cell r="J775">
            <v>8100</v>
          </cell>
        </row>
        <row r="776">
          <cell r="I776" t="str">
            <v>AF6102T</v>
          </cell>
          <cell r="J776">
            <v>3300</v>
          </cell>
        </row>
        <row r="777">
          <cell r="I777" t="str">
            <v>AF6104T</v>
          </cell>
          <cell r="J777">
            <v>4800</v>
          </cell>
        </row>
        <row r="778">
          <cell r="I778" t="str">
            <v>AF6106T</v>
          </cell>
          <cell r="J778">
            <v>6500</v>
          </cell>
        </row>
        <row r="779">
          <cell r="I779" t="str">
            <v>AF6108T</v>
          </cell>
          <cell r="J779">
            <v>8100</v>
          </cell>
        </row>
        <row r="780">
          <cell r="I780" t="str">
            <v>AF6202</v>
          </cell>
          <cell r="J780">
            <v>1600</v>
          </cell>
        </row>
        <row r="781">
          <cell r="I781" t="str">
            <v>AF6204</v>
          </cell>
          <cell r="J781">
            <v>3300</v>
          </cell>
        </row>
        <row r="782">
          <cell r="I782" t="str">
            <v>AF6206</v>
          </cell>
          <cell r="J782">
            <v>4800</v>
          </cell>
        </row>
        <row r="783">
          <cell r="I783" t="str">
            <v>AF6208</v>
          </cell>
          <cell r="J783">
            <v>6500</v>
          </cell>
        </row>
        <row r="784">
          <cell r="I784" t="str">
            <v>AF8001</v>
          </cell>
          <cell r="J784">
            <v>38900</v>
          </cell>
        </row>
        <row r="785">
          <cell r="I785" t="str">
            <v>AT8001</v>
          </cell>
          <cell r="J785">
            <v>6300</v>
          </cell>
        </row>
        <row r="786">
          <cell r="I786" t="str">
            <v>AT8002</v>
          </cell>
          <cell r="J786">
            <v>6300</v>
          </cell>
        </row>
        <row r="787">
          <cell r="I787" t="str">
            <v>AT8003</v>
          </cell>
          <cell r="J787">
            <v>3200</v>
          </cell>
        </row>
        <row r="788">
          <cell r="I788" t="str">
            <v>CX0011</v>
          </cell>
          <cell r="J788">
            <v>24200</v>
          </cell>
        </row>
        <row r="789">
          <cell r="I789" t="str">
            <v>CX0012</v>
          </cell>
          <cell r="J789">
            <v>24200</v>
          </cell>
        </row>
        <row r="790">
          <cell r="I790" t="str">
            <v>AT8006</v>
          </cell>
          <cell r="J790">
            <v>8400</v>
          </cell>
        </row>
        <row r="791">
          <cell r="I791" t="str">
            <v>AT8007</v>
          </cell>
          <cell r="J791">
            <v>8400</v>
          </cell>
        </row>
        <row r="792">
          <cell r="I792" t="str">
            <v>AT8008</v>
          </cell>
          <cell r="J792">
            <v>8400</v>
          </cell>
        </row>
        <row r="793">
          <cell r="I793" t="str">
            <v>AT8010</v>
          </cell>
          <cell r="J793">
            <v>10500</v>
          </cell>
        </row>
        <row r="794">
          <cell r="I794" t="str">
            <v>AT8012</v>
          </cell>
          <cell r="J794">
            <v>10500</v>
          </cell>
        </row>
        <row r="795">
          <cell r="I795" t="str">
            <v>AF1062</v>
          </cell>
          <cell r="J795">
            <v>11600</v>
          </cell>
        </row>
        <row r="796">
          <cell r="I796" t="str">
            <v>AF1064</v>
          </cell>
          <cell r="J796">
            <v>16300</v>
          </cell>
        </row>
        <row r="797">
          <cell r="I797" t="str">
            <v>AF1066</v>
          </cell>
          <cell r="J797">
            <v>19400</v>
          </cell>
        </row>
        <row r="798">
          <cell r="I798" t="str">
            <v>AF1072</v>
          </cell>
          <cell r="J798">
            <v>12100</v>
          </cell>
        </row>
        <row r="799">
          <cell r="I799" t="str">
            <v>AF1074</v>
          </cell>
          <cell r="J799">
            <v>17900</v>
          </cell>
        </row>
        <row r="800">
          <cell r="I800" t="str">
            <v>AF1076</v>
          </cell>
          <cell r="J800">
            <v>22600</v>
          </cell>
        </row>
        <row r="801">
          <cell r="I801" t="str">
            <v>AF1082</v>
          </cell>
          <cell r="J801">
            <v>13100</v>
          </cell>
        </row>
        <row r="802">
          <cell r="I802" t="str">
            <v>AF1084</v>
          </cell>
          <cell r="J802">
            <v>19400</v>
          </cell>
        </row>
        <row r="803">
          <cell r="I803" t="str">
            <v>AF1086</v>
          </cell>
          <cell r="J803">
            <v>25700</v>
          </cell>
        </row>
        <row r="804">
          <cell r="I804" t="str">
            <v>AF1102</v>
          </cell>
          <cell r="J804">
            <v>14700</v>
          </cell>
        </row>
        <row r="805">
          <cell r="I805" t="str">
            <v>AF1104</v>
          </cell>
          <cell r="J805">
            <v>22600</v>
          </cell>
        </row>
        <row r="806">
          <cell r="I806" t="str">
            <v>AF1106</v>
          </cell>
          <cell r="J806">
            <v>30500</v>
          </cell>
        </row>
        <row r="807">
          <cell r="I807" t="str">
            <v>AF1122</v>
          </cell>
          <cell r="J807">
            <v>16300</v>
          </cell>
        </row>
        <row r="808">
          <cell r="I808" t="str">
            <v>AF1124</v>
          </cell>
          <cell r="J808">
            <v>25700</v>
          </cell>
        </row>
        <row r="809">
          <cell r="I809" t="str">
            <v>AF1126</v>
          </cell>
          <cell r="J809">
            <v>35700</v>
          </cell>
        </row>
        <row r="810">
          <cell r="I810" t="str">
            <v>AF1062G</v>
          </cell>
          <cell r="J810">
            <v>16300</v>
          </cell>
        </row>
        <row r="811">
          <cell r="I811" t="str">
            <v>AF1064G</v>
          </cell>
          <cell r="J811">
            <v>24200</v>
          </cell>
        </row>
        <row r="812">
          <cell r="I812" t="str">
            <v>AF1066G</v>
          </cell>
          <cell r="J812">
            <v>32600</v>
          </cell>
        </row>
        <row r="813">
          <cell r="I813" t="str">
            <v>AF1072G</v>
          </cell>
          <cell r="J813">
            <v>17900</v>
          </cell>
        </row>
        <row r="814">
          <cell r="I814" t="str">
            <v>AF1074G</v>
          </cell>
          <cell r="J814">
            <v>26800</v>
          </cell>
        </row>
        <row r="815">
          <cell r="I815" t="str">
            <v>AF1076G</v>
          </cell>
          <cell r="J815">
            <v>35700</v>
          </cell>
        </row>
        <row r="816">
          <cell r="I816" t="str">
            <v>AF1082G</v>
          </cell>
          <cell r="J816">
            <v>19400</v>
          </cell>
        </row>
        <row r="817">
          <cell r="I817" t="str">
            <v>AF1084G</v>
          </cell>
          <cell r="J817">
            <v>29400</v>
          </cell>
        </row>
        <row r="818">
          <cell r="I818" t="str">
            <v>AF1086G</v>
          </cell>
          <cell r="J818">
            <v>38900</v>
          </cell>
        </row>
        <row r="819">
          <cell r="I819" t="str">
            <v>AF1102G</v>
          </cell>
          <cell r="J819">
            <v>22600</v>
          </cell>
        </row>
        <row r="820">
          <cell r="I820" t="str">
            <v>AF1104G</v>
          </cell>
          <cell r="J820">
            <v>34100</v>
          </cell>
        </row>
        <row r="821">
          <cell r="I821" t="str">
            <v>AF1106G</v>
          </cell>
          <cell r="J821">
            <v>45200</v>
          </cell>
        </row>
        <row r="822">
          <cell r="I822" t="str">
            <v>AF1122G</v>
          </cell>
          <cell r="J822">
            <v>25700</v>
          </cell>
        </row>
        <row r="823">
          <cell r="I823" t="str">
            <v>AF1124G</v>
          </cell>
          <cell r="J823">
            <v>40400</v>
          </cell>
        </row>
        <row r="824">
          <cell r="I824" t="str">
            <v>AF1126G</v>
          </cell>
          <cell r="J824">
            <v>52000</v>
          </cell>
        </row>
        <row r="825">
          <cell r="I825" t="str">
            <v>AF2062</v>
          </cell>
          <cell r="J825">
            <v>12100</v>
          </cell>
        </row>
        <row r="826">
          <cell r="I826" t="str">
            <v>AF2072</v>
          </cell>
          <cell r="J826">
            <v>13100</v>
          </cell>
        </row>
        <row r="827">
          <cell r="I827" t="str">
            <v>AF2082</v>
          </cell>
          <cell r="J827">
            <v>14200</v>
          </cell>
        </row>
        <row r="828">
          <cell r="I828" t="str">
            <v>AF2102</v>
          </cell>
          <cell r="J828">
            <v>15200</v>
          </cell>
        </row>
        <row r="829">
          <cell r="I829" t="str">
            <v>AF2122</v>
          </cell>
          <cell r="J829">
            <v>16300</v>
          </cell>
        </row>
        <row r="830">
          <cell r="I830" t="str">
            <v>AF3061</v>
          </cell>
          <cell r="J830">
            <v>3200</v>
          </cell>
        </row>
        <row r="831">
          <cell r="I831" t="str">
            <v>AF3071</v>
          </cell>
          <cell r="J831">
            <v>4200</v>
          </cell>
        </row>
        <row r="832">
          <cell r="I832" t="str">
            <v>AF3081</v>
          </cell>
          <cell r="J832">
            <v>4200</v>
          </cell>
        </row>
        <row r="833">
          <cell r="I833" t="str">
            <v>AF3101</v>
          </cell>
          <cell r="J833">
            <v>4700</v>
          </cell>
        </row>
        <row r="834">
          <cell r="I834" t="str">
            <v>AF3121</v>
          </cell>
          <cell r="J834">
            <v>5800</v>
          </cell>
        </row>
        <row r="835">
          <cell r="I835" t="str">
            <v>AF1062A</v>
          </cell>
          <cell r="J835">
            <v>17900</v>
          </cell>
        </row>
        <row r="836">
          <cell r="I836" t="str">
            <v>AF1064A</v>
          </cell>
          <cell r="J836">
            <v>32600</v>
          </cell>
        </row>
        <row r="837">
          <cell r="I837" t="str">
            <v>AF1072A</v>
          </cell>
          <cell r="J837">
            <v>19400</v>
          </cell>
        </row>
        <row r="838">
          <cell r="I838" t="str">
            <v>AF1074A</v>
          </cell>
          <cell r="J838">
            <v>35700</v>
          </cell>
        </row>
        <row r="839">
          <cell r="I839" t="str">
            <v>AF1082A</v>
          </cell>
          <cell r="J839">
            <v>21000</v>
          </cell>
        </row>
        <row r="840">
          <cell r="I840" t="str">
            <v>AF1084A</v>
          </cell>
          <cell r="J840">
            <v>38900</v>
          </cell>
        </row>
        <row r="841">
          <cell r="I841" t="str">
            <v>AF1102A</v>
          </cell>
          <cell r="J841">
            <v>24200</v>
          </cell>
        </row>
        <row r="842">
          <cell r="I842" t="str">
            <v>AF1104A</v>
          </cell>
          <cell r="J842">
            <v>45200</v>
          </cell>
        </row>
        <row r="843">
          <cell r="I843" t="str">
            <v>AF1122A</v>
          </cell>
          <cell r="J843">
            <v>27300</v>
          </cell>
        </row>
        <row r="844">
          <cell r="I844" t="str">
            <v>AF1124A</v>
          </cell>
          <cell r="J844">
            <v>51500</v>
          </cell>
        </row>
        <row r="845">
          <cell r="I845" t="str">
            <v>AF1064B</v>
          </cell>
          <cell r="J845">
            <v>30500</v>
          </cell>
        </row>
        <row r="846">
          <cell r="I846" t="str">
            <v>AF1074B</v>
          </cell>
          <cell r="J846">
            <v>34700</v>
          </cell>
        </row>
        <row r="847">
          <cell r="I847" t="str">
            <v>AF1084B</v>
          </cell>
          <cell r="J847">
            <v>38900</v>
          </cell>
        </row>
        <row r="848">
          <cell r="I848" t="str">
            <v>AF1104B</v>
          </cell>
          <cell r="J848">
            <v>54600</v>
          </cell>
        </row>
        <row r="849">
          <cell r="I849" t="str">
            <v>AF1124B</v>
          </cell>
          <cell r="J849">
            <v>59900</v>
          </cell>
        </row>
        <row r="850">
          <cell r="I850" t="str">
            <v>AT3006</v>
          </cell>
          <cell r="J850">
            <v>66200</v>
          </cell>
        </row>
        <row r="851">
          <cell r="I851" t="str">
            <v>AT3007</v>
          </cell>
          <cell r="J851">
            <v>69300</v>
          </cell>
        </row>
        <row r="852">
          <cell r="I852" t="str">
            <v>AT3008</v>
          </cell>
          <cell r="J852">
            <v>71400</v>
          </cell>
        </row>
        <row r="853">
          <cell r="I853" t="str">
            <v>AT3010</v>
          </cell>
          <cell r="J853">
            <v>77700</v>
          </cell>
        </row>
        <row r="854">
          <cell r="I854" t="str">
            <v>AT3012</v>
          </cell>
          <cell r="J854">
            <v>81900</v>
          </cell>
        </row>
        <row r="855">
          <cell r="I855" t="str">
            <v>AT3406</v>
          </cell>
          <cell r="J855">
            <v>78800</v>
          </cell>
        </row>
        <row r="856">
          <cell r="I856" t="str">
            <v>AT3407</v>
          </cell>
          <cell r="J856">
            <v>81900</v>
          </cell>
        </row>
        <row r="857">
          <cell r="I857" t="str">
            <v>AT3408</v>
          </cell>
          <cell r="J857">
            <v>84000</v>
          </cell>
        </row>
        <row r="858">
          <cell r="I858" t="str">
            <v>AT3410</v>
          </cell>
          <cell r="J858">
            <v>89300</v>
          </cell>
        </row>
        <row r="859">
          <cell r="I859" t="str">
            <v>AT3412</v>
          </cell>
          <cell r="J859">
            <v>93500</v>
          </cell>
        </row>
        <row r="860">
          <cell r="I860" t="str">
            <v>AT3306</v>
          </cell>
          <cell r="J860">
            <v>168000</v>
          </cell>
        </row>
        <row r="861">
          <cell r="I861" t="str">
            <v>AT3307</v>
          </cell>
          <cell r="J861">
            <v>173300</v>
          </cell>
        </row>
        <row r="862">
          <cell r="I862" t="str">
            <v>AT3308</v>
          </cell>
          <cell r="J862">
            <v>177500</v>
          </cell>
        </row>
        <row r="863">
          <cell r="I863" t="str">
            <v>AT3310</v>
          </cell>
          <cell r="J863">
            <v>189000</v>
          </cell>
        </row>
        <row r="864">
          <cell r="I864" t="str">
            <v>AT3312</v>
          </cell>
          <cell r="J864">
            <v>198500</v>
          </cell>
        </row>
        <row r="865">
          <cell r="I865" t="str">
            <v>AF066HB</v>
          </cell>
          <cell r="J865">
            <v>246800</v>
          </cell>
        </row>
        <row r="866">
          <cell r="I866" t="str">
            <v>AF076HB</v>
          </cell>
          <cell r="J866">
            <v>270900</v>
          </cell>
        </row>
        <row r="867">
          <cell r="I867" t="str">
            <v>AF086HB</v>
          </cell>
          <cell r="J867">
            <v>293000</v>
          </cell>
        </row>
        <row r="868">
          <cell r="I868" t="str">
            <v>AF106HB</v>
          </cell>
          <cell r="J868">
            <v>330800</v>
          </cell>
        </row>
        <row r="869">
          <cell r="I869" t="str">
            <v>AF126HB</v>
          </cell>
          <cell r="J869">
            <v>373800</v>
          </cell>
        </row>
        <row r="870">
          <cell r="I870" t="str">
            <v>AF068HB</v>
          </cell>
          <cell r="J870">
            <v>278300</v>
          </cell>
        </row>
        <row r="871">
          <cell r="I871" t="str">
            <v>AF078HB</v>
          </cell>
          <cell r="J871">
            <v>306600</v>
          </cell>
        </row>
        <row r="872">
          <cell r="I872" t="str">
            <v>AF088HB</v>
          </cell>
          <cell r="J872">
            <v>330800</v>
          </cell>
        </row>
        <row r="873">
          <cell r="I873" t="str">
            <v>AF108HB</v>
          </cell>
          <cell r="J873">
            <v>373800</v>
          </cell>
        </row>
        <row r="874">
          <cell r="I874" t="str">
            <v>AF128HB</v>
          </cell>
          <cell r="J874">
            <v>425300</v>
          </cell>
        </row>
        <row r="875">
          <cell r="I875" t="str">
            <v>AF062C</v>
          </cell>
          <cell r="J875">
            <v>176400</v>
          </cell>
        </row>
        <row r="876">
          <cell r="I876" t="str">
            <v>AF072C</v>
          </cell>
          <cell r="J876">
            <v>192200</v>
          </cell>
        </row>
        <row r="877">
          <cell r="I877" t="str">
            <v>AF082C</v>
          </cell>
          <cell r="J877">
            <v>206300</v>
          </cell>
        </row>
        <row r="878">
          <cell r="I878" t="str">
            <v>AF102C</v>
          </cell>
          <cell r="J878">
            <v>230000</v>
          </cell>
        </row>
        <row r="879">
          <cell r="I879" t="str">
            <v>AF122C</v>
          </cell>
          <cell r="J879">
            <v>255700</v>
          </cell>
        </row>
        <row r="880">
          <cell r="I880" t="str">
            <v>AF064S</v>
          </cell>
          <cell r="J880">
            <v>51500</v>
          </cell>
        </row>
        <row r="881">
          <cell r="I881" t="str">
            <v>AF074S</v>
          </cell>
          <cell r="J881">
            <v>56700</v>
          </cell>
        </row>
        <row r="882">
          <cell r="I882" t="str">
            <v>AF084S</v>
          </cell>
          <cell r="J882">
            <v>62000</v>
          </cell>
        </row>
        <row r="883">
          <cell r="I883" t="str">
            <v>AF104S</v>
          </cell>
          <cell r="J883">
            <v>71400</v>
          </cell>
        </row>
        <row r="884">
          <cell r="I884" t="str">
            <v>AF124S</v>
          </cell>
          <cell r="J884">
            <v>80900</v>
          </cell>
        </row>
        <row r="885">
          <cell r="I885" t="str">
            <v>AF064SG</v>
          </cell>
          <cell r="J885">
            <v>67200</v>
          </cell>
        </row>
        <row r="886">
          <cell r="I886" t="str">
            <v>AF074SG</v>
          </cell>
          <cell r="J886">
            <v>74600</v>
          </cell>
        </row>
        <row r="887">
          <cell r="I887" t="str">
            <v>AF084SG</v>
          </cell>
          <cell r="J887">
            <v>81900</v>
          </cell>
        </row>
        <row r="888">
          <cell r="I888" t="str">
            <v>AF104SG</v>
          </cell>
          <cell r="J888">
            <v>94500</v>
          </cell>
        </row>
        <row r="889">
          <cell r="I889" t="str">
            <v>AF124SG</v>
          </cell>
          <cell r="J889">
            <v>110300</v>
          </cell>
        </row>
        <row r="890">
          <cell r="I890" t="str">
            <v>AF064SB</v>
          </cell>
          <cell r="J890">
            <v>79800</v>
          </cell>
        </row>
        <row r="891">
          <cell r="I891" t="str">
            <v>AF074SB</v>
          </cell>
          <cell r="J891">
            <v>90300</v>
          </cell>
        </row>
        <row r="892">
          <cell r="I892" t="str">
            <v>AF084SB</v>
          </cell>
          <cell r="J892">
            <v>100800</v>
          </cell>
        </row>
        <row r="893">
          <cell r="I893" t="str">
            <v>AF104SB</v>
          </cell>
          <cell r="J893">
            <v>135500</v>
          </cell>
        </row>
        <row r="894">
          <cell r="I894" t="str">
            <v>AF124SB</v>
          </cell>
          <cell r="J894">
            <v>149100</v>
          </cell>
        </row>
        <row r="895">
          <cell r="I895" t="str">
            <v>AF064SA</v>
          </cell>
          <cell r="J895">
            <v>84000</v>
          </cell>
        </row>
        <row r="896">
          <cell r="I896" t="str">
            <v>AF074SA</v>
          </cell>
          <cell r="J896">
            <v>92400</v>
          </cell>
        </row>
        <row r="897">
          <cell r="I897" t="str">
            <v>AF084SA</v>
          </cell>
          <cell r="J897">
            <v>100800</v>
          </cell>
        </row>
        <row r="898">
          <cell r="I898" t="str">
            <v>AF104SA</v>
          </cell>
          <cell r="J898">
            <v>116600</v>
          </cell>
        </row>
        <row r="899">
          <cell r="I899" t="str">
            <v>AF124SA</v>
          </cell>
          <cell r="J899">
            <v>132300</v>
          </cell>
        </row>
        <row r="900">
          <cell r="I900" t="str">
            <v>AF064SD</v>
          </cell>
          <cell r="J900">
            <v>65600</v>
          </cell>
        </row>
        <row r="901">
          <cell r="I901" t="str">
            <v>AF074SD</v>
          </cell>
          <cell r="J901">
            <v>73500</v>
          </cell>
        </row>
        <row r="902">
          <cell r="I902" t="str">
            <v>AF084SD</v>
          </cell>
          <cell r="J902">
            <v>81400</v>
          </cell>
        </row>
        <row r="903">
          <cell r="I903" t="str">
            <v>AF104SD</v>
          </cell>
          <cell r="J903">
            <v>103400</v>
          </cell>
        </row>
        <row r="904">
          <cell r="I904" t="str">
            <v>AF124SD</v>
          </cell>
          <cell r="J904">
            <v>115000</v>
          </cell>
        </row>
        <row r="905">
          <cell r="I905" t="str">
            <v>AF064SC</v>
          </cell>
          <cell r="J905">
            <v>67700</v>
          </cell>
        </row>
        <row r="906">
          <cell r="I906" t="str">
            <v>AF074SC</v>
          </cell>
          <cell r="J906">
            <v>74600</v>
          </cell>
        </row>
        <row r="907">
          <cell r="I907" t="str">
            <v>AF084SC</v>
          </cell>
          <cell r="J907">
            <v>81400</v>
          </cell>
        </row>
        <row r="908">
          <cell r="I908" t="str">
            <v>AF104SC</v>
          </cell>
          <cell r="J908">
            <v>94000</v>
          </cell>
        </row>
        <row r="909">
          <cell r="I909" t="str">
            <v>AF124SC</v>
          </cell>
          <cell r="J909">
            <v>106600</v>
          </cell>
        </row>
        <row r="910">
          <cell r="I910" t="str">
            <v>AF064SM</v>
          </cell>
          <cell r="J910">
            <v>81900</v>
          </cell>
        </row>
        <row r="911">
          <cell r="I911" t="str">
            <v>AF074SM</v>
          </cell>
          <cell r="J911">
            <v>91400</v>
          </cell>
        </row>
        <row r="912">
          <cell r="I912" t="str">
            <v>AF084SM</v>
          </cell>
          <cell r="J912">
            <v>100800</v>
          </cell>
        </row>
        <row r="913">
          <cell r="I913" t="str">
            <v>AF104SM</v>
          </cell>
          <cell r="J913">
            <v>126000</v>
          </cell>
        </row>
        <row r="914">
          <cell r="I914" t="str">
            <v>AF124SM</v>
          </cell>
          <cell r="J914">
            <v>140700</v>
          </cell>
        </row>
        <row r="915">
          <cell r="I915" t="str">
            <v>AF062A</v>
          </cell>
          <cell r="J915">
            <v>182700</v>
          </cell>
        </row>
        <row r="916">
          <cell r="I916" t="str">
            <v>AF072A</v>
          </cell>
          <cell r="J916">
            <v>199500</v>
          </cell>
        </row>
        <row r="917">
          <cell r="I917" t="str">
            <v>AF082A</v>
          </cell>
          <cell r="J917">
            <v>214200</v>
          </cell>
        </row>
        <row r="918">
          <cell r="I918" t="str">
            <v>AF102A</v>
          </cell>
          <cell r="J918">
            <v>239400</v>
          </cell>
        </row>
        <row r="919">
          <cell r="I919" t="str">
            <v>AF122A</v>
          </cell>
          <cell r="J919">
            <v>266700</v>
          </cell>
        </row>
        <row r="920">
          <cell r="I920" t="str">
            <v>SD008L</v>
          </cell>
          <cell r="J920">
            <v>177500</v>
          </cell>
        </row>
        <row r="921">
          <cell r="I921" t="str">
            <v>SD008R</v>
          </cell>
          <cell r="J921">
            <v>177500</v>
          </cell>
        </row>
        <row r="922">
          <cell r="I922" t="str">
            <v>SD008</v>
          </cell>
          <cell r="J922">
            <v>177500</v>
          </cell>
        </row>
        <row r="923">
          <cell r="I923" t="str">
            <v>SD012L</v>
          </cell>
          <cell r="J923">
            <v>210000</v>
          </cell>
        </row>
        <row r="924">
          <cell r="I924" t="str">
            <v>SD012R</v>
          </cell>
          <cell r="J924">
            <v>210000</v>
          </cell>
        </row>
        <row r="925">
          <cell r="I925" t="str">
            <v>SD012</v>
          </cell>
          <cell r="J925">
            <v>210000</v>
          </cell>
        </row>
        <row r="926">
          <cell r="I926" t="str">
            <v>SD014L</v>
          </cell>
          <cell r="J926">
            <v>236300</v>
          </cell>
        </row>
        <row r="927">
          <cell r="I927" t="str">
            <v>SD014R</v>
          </cell>
          <cell r="J927">
            <v>236300</v>
          </cell>
        </row>
        <row r="928">
          <cell r="I928" t="str">
            <v>SD014</v>
          </cell>
          <cell r="J928">
            <v>236300</v>
          </cell>
        </row>
        <row r="929">
          <cell r="I929" t="str">
            <v>SD016L</v>
          </cell>
          <cell r="J929">
            <v>254100</v>
          </cell>
        </row>
        <row r="930">
          <cell r="I930" t="str">
            <v>SD016R</v>
          </cell>
          <cell r="J930">
            <v>254100</v>
          </cell>
        </row>
        <row r="931">
          <cell r="I931" t="str">
            <v>SD016</v>
          </cell>
          <cell r="J931">
            <v>254100</v>
          </cell>
        </row>
        <row r="932">
          <cell r="I932" t="str">
            <v>SD316L</v>
          </cell>
          <cell r="J932">
            <v>339200</v>
          </cell>
        </row>
        <row r="933">
          <cell r="I933" t="str">
            <v>SD316R</v>
          </cell>
          <cell r="J933">
            <v>339200</v>
          </cell>
        </row>
        <row r="934">
          <cell r="I934" t="str">
            <v>SD318R</v>
          </cell>
          <cell r="J934">
            <v>356000</v>
          </cell>
        </row>
        <row r="935">
          <cell r="I935" t="str">
            <v>SD318L</v>
          </cell>
          <cell r="J935">
            <v>356000</v>
          </cell>
        </row>
        <row r="936">
          <cell r="I936" t="str">
            <v>SP0202</v>
          </cell>
          <cell r="J936">
            <v>146000</v>
          </cell>
        </row>
        <row r="937">
          <cell r="I937" t="str">
            <v>SP0203</v>
          </cell>
          <cell r="J937">
            <v>161700</v>
          </cell>
        </row>
        <row r="938">
          <cell r="I938" t="str">
            <v>SP0302</v>
          </cell>
          <cell r="J938">
            <v>170100</v>
          </cell>
        </row>
        <row r="939">
          <cell r="I939" t="str">
            <v>SP0303</v>
          </cell>
          <cell r="J939">
            <v>185900</v>
          </cell>
        </row>
        <row r="940">
          <cell r="I940" t="str">
            <v>SP0300</v>
          </cell>
          <cell r="J940">
            <v>53600</v>
          </cell>
        </row>
        <row r="941">
          <cell r="I941" t="str">
            <v>SD507</v>
          </cell>
          <cell r="J941">
            <v>174300</v>
          </cell>
        </row>
        <row r="942">
          <cell r="I942" t="str">
            <v>SD507F</v>
          </cell>
          <cell r="J942">
            <v>298200</v>
          </cell>
        </row>
        <row r="943">
          <cell r="I943" t="str">
            <v>SD517</v>
          </cell>
          <cell r="J943">
            <v>92400</v>
          </cell>
        </row>
        <row r="944">
          <cell r="I944" t="str">
            <v>SD517F</v>
          </cell>
          <cell r="J944">
            <v>217400</v>
          </cell>
        </row>
        <row r="945">
          <cell r="I945" t="str">
            <v>SD547</v>
          </cell>
          <cell r="J945">
            <v>60900</v>
          </cell>
        </row>
        <row r="946">
          <cell r="I946" t="str">
            <v>SD597</v>
          </cell>
          <cell r="J946">
            <v>77700</v>
          </cell>
        </row>
        <row r="947">
          <cell r="I947" t="str">
            <v>SD406L</v>
          </cell>
          <cell r="J947">
            <v>84000</v>
          </cell>
        </row>
        <row r="948">
          <cell r="I948" t="str">
            <v>SD406R</v>
          </cell>
          <cell r="J948">
            <v>84000</v>
          </cell>
        </row>
        <row r="949">
          <cell r="I949" t="str">
            <v>SD912</v>
          </cell>
          <cell r="J949">
            <v>162800</v>
          </cell>
        </row>
        <row r="950">
          <cell r="I950" t="str">
            <v>SD912F</v>
          </cell>
          <cell r="J950">
            <v>199500</v>
          </cell>
        </row>
        <row r="951">
          <cell r="I951" t="str">
            <v>SD955</v>
          </cell>
          <cell r="J951">
            <v>99800</v>
          </cell>
        </row>
        <row r="952">
          <cell r="I952" t="str">
            <v>SD977</v>
          </cell>
          <cell r="J952">
            <v>189000</v>
          </cell>
        </row>
        <row r="953">
          <cell r="I953" t="str">
            <v>SD927L</v>
          </cell>
          <cell r="J953">
            <v>165900</v>
          </cell>
        </row>
        <row r="954">
          <cell r="I954" t="str">
            <v>SD927R</v>
          </cell>
          <cell r="J954">
            <v>165900</v>
          </cell>
        </row>
        <row r="955">
          <cell r="I955" t="str">
            <v>SD990</v>
          </cell>
          <cell r="J955">
            <v>153300</v>
          </cell>
        </row>
        <row r="956">
          <cell r="I956" t="str">
            <v>SF008</v>
          </cell>
          <cell r="J956">
            <v>75600</v>
          </cell>
        </row>
        <row r="957">
          <cell r="I957" t="str">
            <v>SF008BE</v>
          </cell>
          <cell r="J957">
            <v>67200</v>
          </cell>
        </row>
        <row r="958">
          <cell r="I958" t="str">
            <v>SF012</v>
          </cell>
          <cell r="J958">
            <v>94500</v>
          </cell>
        </row>
        <row r="959">
          <cell r="I959" t="str">
            <v>SF012BE</v>
          </cell>
          <cell r="J959">
            <v>84000</v>
          </cell>
        </row>
        <row r="960">
          <cell r="I960" t="str">
            <v>SF014</v>
          </cell>
          <cell r="J960">
            <v>105000</v>
          </cell>
        </row>
        <row r="961">
          <cell r="I961" t="str">
            <v>SF014BE</v>
          </cell>
          <cell r="J961">
            <v>93500</v>
          </cell>
        </row>
        <row r="962">
          <cell r="I962" t="str">
            <v>SF016</v>
          </cell>
          <cell r="J962">
            <v>114500</v>
          </cell>
        </row>
        <row r="963">
          <cell r="I963" t="str">
            <v>SF016BE</v>
          </cell>
          <cell r="J963">
            <v>101900</v>
          </cell>
        </row>
        <row r="964">
          <cell r="I964" t="str">
            <v>SF300</v>
          </cell>
          <cell r="J964">
            <v>34700</v>
          </cell>
        </row>
        <row r="965">
          <cell r="I965" t="str">
            <v>SF300BE</v>
          </cell>
          <cell r="J965">
            <v>29400</v>
          </cell>
        </row>
        <row r="966">
          <cell r="I966" t="str">
            <v>SF912</v>
          </cell>
          <cell r="J966">
            <v>49400</v>
          </cell>
        </row>
        <row r="967">
          <cell r="I967" t="str">
            <v>SF912BE</v>
          </cell>
          <cell r="J967">
            <v>42000</v>
          </cell>
        </row>
        <row r="968">
          <cell r="I968" t="str">
            <v>SF507</v>
          </cell>
          <cell r="J968">
            <v>173300</v>
          </cell>
        </row>
        <row r="969">
          <cell r="I969" t="str">
            <v>SF507BE</v>
          </cell>
          <cell r="J969">
            <v>152300</v>
          </cell>
        </row>
        <row r="970">
          <cell r="I970" t="str">
            <v>SF517</v>
          </cell>
          <cell r="J970">
            <v>135500</v>
          </cell>
        </row>
        <row r="971">
          <cell r="I971" t="str">
            <v>SF517BE</v>
          </cell>
          <cell r="J971">
            <v>118700</v>
          </cell>
        </row>
        <row r="972">
          <cell r="I972" t="str">
            <v>SF316</v>
          </cell>
          <cell r="J972">
            <v>193200</v>
          </cell>
        </row>
        <row r="973">
          <cell r="I973" t="str">
            <v>SF316BE</v>
          </cell>
          <cell r="J973">
            <v>170100</v>
          </cell>
        </row>
        <row r="974">
          <cell r="I974" t="str">
            <v>SF507T</v>
          </cell>
          <cell r="J974">
            <v>260400</v>
          </cell>
        </row>
        <row r="975">
          <cell r="I975" t="str">
            <v>SF507TBE</v>
          </cell>
          <cell r="J975">
            <v>228900</v>
          </cell>
        </row>
        <row r="976">
          <cell r="I976" t="str">
            <v>SC182</v>
          </cell>
          <cell r="J976">
            <v>116600</v>
          </cell>
        </row>
        <row r="977">
          <cell r="I977" t="str">
            <v>SC183</v>
          </cell>
          <cell r="J977">
            <v>149100</v>
          </cell>
        </row>
        <row r="978">
          <cell r="I978" t="str">
            <v>SC1082</v>
          </cell>
          <cell r="J978">
            <v>80900</v>
          </cell>
        </row>
        <row r="979">
          <cell r="I979" t="str">
            <v>SC1083</v>
          </cell>
          <cell r="J979">
            <v>113400</v>
          </cell>
        </row>
        <row r="980">
          <cell r="I980" t="str">
            <v>SC0084</v>
          </cell>
          <cell r="J980">
            <v>144900</v>
          </cell>
        </row>
        <row r="981">
          <cell r="I981" t="str">
            <v>SC0085S</v>
          </cell>
          <cell r="J981">
            <v>153300</v>
          </cell>
        </row>
        <row r="982">
          <cell r="I982" t="str">
            <v>SC0086</v>
          </cell>
          <cell r="J982">
            <v>202700</v>
          </cell>
        </row>
        <row r="983">
          <cell r="I983" t="str">
            <v>SC0054</v>
          </cell>
          <cell r="J983">
            <v>110300</v>
          </cell>
        </row>
        <row r="984">
          <cell r="I984" t="str">
            <v>SC0055S</v>
          </cell>
          <cell r="J984">
            <v>122900</v>
          </cell>
        </row>
        <row r="985">
          <cell r="I985" t="str">
            <v>SC0056</v>
          </cell>
          <cell r="J985">
            <v>170100</v>
          </cell>
        </row>
        <row r="986">
          <cell r="I986" t="str">
            <v>SC5054</v>
          </cell>
          <cell r="J986">
            <v>110300</v>
          </cell>
        </row>
        <row r="987">
          <cell r="I987" t="str">
            <v>SC5055S</v>
          </cell>
          <cell r="J987">
            <v>122900</v>
          </cell>
        </row>
        <row r="988">
          <cell r="I988" t="str">
            <v>SC9108</v>
          </cell>
          <cell r="J988">
            <v>35700</v>
          </cell>
        </row>
        <row r="989">
          <cell r="I989" t="str">
            <v>SC9105</v>
          </cell>
          <cell r="J989">
            <v>26300</v>
          </cell>
        </row>
        <row r="990">
          <cell r="I990" t="str">
            <v>SB1082</v>
          </cell>
          <cell r="J990">
            <v>65100</v>
          </cell>
        </row>
        <row r="991">
          <cell r="I991" t="str">
            <v>SB1083</v>
          </cell>
          <cell r="J991">
            <v>81900</v>
          </cell>
        </row>
        <row r="992">
          <cell r="I992" t="str">
            <v>SB0082</v>
          </cell>
          <cell r="J992">
            <v>65100</v>
          </cell>
        </row>
        <row r="993">
          <cell r="I993" t="str">
            <v>SB0084</v>
          </cell>
          <cell r="J993">
            <v>108200</v>
          </cell>
        </row>
        <row r="994">
          <cell r="I994" t="str">
            <v>SB0085S</v>
          </cell>
          <cell r="J994">
            <v>120800</v>
          </cell>
        </row>
        <row r="995">
          <cell r="I995" t="str">
            <v>SB0086</v>
          </cell>
          <cell r="J995">
            <v>143900</v>
          </cell>
        </row>
        <row r="996">
          <cell r="I996" t="str">
            <v>SB0083SG</v>
          </cell>
          <cell r="J996">
            <v>85100</v>
          </cell>
        </row>
        <row r="997">
          <cell r="I997" t="str">
            <v>SB052L</v>
          </cell>
          <cell r="J997">
            <v>45200</v>
          </cell>
        </row>
        <row r="998">
          <cell r="I998" t="str">
            <v>SB052R</v>
          </cell>
          <cell r="J998">
            <v>45200</v>
          </cell>
        </row>
        <row r="999">
          <cell r="I999" t="str">
            <v>SB054L</v>
          </cell>
          <cell r="J999">
            <v>74600</v>
          </cell>
        </row>
        <row r="1000">
          <cell r="I1000" t="str">
            <v>SB054R</v>
          </cell>
          <cell r="J1000">
            <v>74600</v>
          </cell>
        </row>
        <row r="1001">
          <cell r="I1001" t="str">
            <v>SB055SL</v>
          </cell>
          <cell r="J1001">
            <v>80900</v>
          </cell>
        </row>
        <row r="1002">
          <cell r="I1002" t="str">
            <v>SB055SR</v>
          </cell>
          <cell r="J1002">
            <v>80900</v>
          </cell>
        </row>
        <row r="1003">
          <cell r="I1003" t="str">
            <v>SB056L</v>
          </cell>
          <cell r="J1003">
            <v>107100</v>
          </cell>
        </row>
        <row r="1004">
          <cell r="I1004" t="str">
            <v>SB056R</v>
          </cell>
          <cell r="J1004">
            <v>107100</v>
          </cell>
        </row>
        <row r="1005">
          <cell r="I1005" t="str">
            <v>SB9082</v>
          </cell>
          <cell r="J1005">
            <v>39900</v>
          </cell>
        </row>
        <row r="1006">
          <cell r="I1006" t="str">
            <v>SB9082BE</v>
          </cell>
          <cell r="J1006">
            <v>25800</v>
          </cell>
        </row>
        <row r="1007">
          <cell r="I1007" t="str">
            <v>SB9083</v>
          </cell>
          <cell r="J1007">
            <v>59900</v>
          </cell>
        </row>
        <row r="1008">
          <cell r="I1008" t="str">
            <v>SB9083BE</v>
          </cell>
          <cell r="J1008">
            <v>38900</v>
          </cell>
        </row>
        <row r="1009">
          <cell r="I1009" t="str">
            <v>SB9084</v>
          </cell>
          <cell r="J1009">
            <v>80900</v>
          </cell>
        </row>
        <row r="1010">
          <cell r="I1010" t="str">
            <v>SB9084BE</v>
          </cell>
          <cell r="J1010">
            <v>53600</v>
          </cell>
        </row>
        <row r="1011">
          <cell r="I1011" t="str">
            <v>SB9085S</v>
          </cell>
          <cell r="J1011">
            <v>93500</v>
          </cell>
        </row>
        <row r="1012">
          <cell r="I1012" t="str">
            <v>SB9055SBE</v>
          </cell>
          <cell r="J1012">
            <v>63000</v>
          </cell>
        </row>
        <row r="1013">
          <cell r="I1013" t="str">
            <v>SB9054</v>
          </cell>
          <cell r="J1013">
            <v>45200</v>
          </cell>
        </row>
        <row r="1014">
          <cell r="I1014" t="str">
            <v>SB9054BE</v>
          </cell>
          <cell r="J1014">
            <v>32600</v>
          </cell>
        </row>
        <row r="1015">
          <cell r="I1015" t="str">
            <v>SB9055S</v>
          </cell>
          <cell r="J1015">
            <v>57800</v>
          </cell>
        </row>
        <row r="1016">
          <cell r="I1016" t="str">
            <v>SB9055SBE</v>
          </cell>
          <cell r="J1016">
            <v>38900</v>
          </cell>
        </row>
        <row r="1017">
          <cell r="I1017" t="str">
            <v>SC981F</v>
          </cell>
          <cell r="J1017">
            <v>93000</v>
          </cell>
        </row>
        <row r="1018">
          <cell r="I1018" t="str">
            <v>SC981C</v>
          </cell>
          <cell r="J1018">
            <v>73000</v>
          </cell>
        </row>
        <row r="1019">
          <cell r="I1019" t="str">
            <v>SC982F</v>
          </cell>
          <cell r="J1019">
            <v>137000</v>
          </cell>
        </row>
        <row r="1020">
          <cell r="I1020" t="str">
            <v>SC982C</v>
          </cell>
          <cell r="J1020">
            <v>108000</v>
          </cell>
        </row>
        <row r="1021">
          <cell r="I1021" t="str">
            <v>SC951F</v>
          </cell>
          <cell r="J1021">
            <v>77000</v>
          </cell>
        </row>
        <row r="1022">
          <cell r="I1022" t="str">
            <v>SC951C</v>
          </cell>
          <cell r="J1022">
            <v>57000</v>
          </cell>
        </row>
        <row r="1023">
          <cell r="I1023" t="str">
            <v>SC952F</v>
          </cell>
          <cell r="J1023">
            <v>113000</v>
          </cell>
        </row>
        <row r="1024">
          <cell r="I1024" t="str">
            <v>SC952C</v>
          </cell>
          <cell r="J1024">
            <v>84000</v>
          </cell>
        </row>
        <row r="1025">
          <cell r="I1025" t="str">
            <v>SC9350</v>
          </cell>
          <cell r="J1025">
            <v>18000</v>
          </cell>
        </row>
        <row r="1026">
          <cell r="I1026" t="str">
            <v>SC9380</v>
          </cell>
          <cell r="J1026">
            <v>26000</v>
          </cell>
        </row>
        <row r="1027">
          <cell r="I1027" t="str">
            <v>SF517T</v>
          </cell>
          <cell r="J1027">
            <v>203700</v>
          </cell>
        </row>
        <row r="1028">
          <cell r="I1028" t="str">
            <v>SF517TBE</v>
          </cell>
          <cell r="J1028">
            <v>178500</v>
          </cell>
        </row>
        <row r="1029">
          <cell r="I1029" t="str">
            <v>SF316TA</v>
          </cell>
          <cell r="J1029">
            <v>300300</v>
          </cell>
        </row>
        <row r="1030">
          <cell r="I1030" t="str">
            <v>SF316TABE</v>
          </cell>
          <cell r="J1030">
            <v>264600</v>
          </cell>
        </row>
        <row r="1031">
          <cell r="I1031" t="str">
            <v>SF316TB</v>
          </cell>
          <cell r="J1031">
            <v>280400</v>
          </cell>
        </row>
        <row r="1032">
          <cell r="I1032" t="str">
            <v>SF316TBBE</v>
          </cell>
          <cell r="J1032">
            <v>246800</v>
          </cell>
        </row>
        <row r="1033">
          <cell r="I1033" t="str">
            <v>SC282</v>
          </cell>
          <cell r="J1033">
            <v>362300</v>
          </cell>
        </row>
        <row r="1034">
          <cell r="I1034" t="str">
            <v>SC283</v>
          </cell>
          <cell r="J1034">
            <v>485100</v>
          </cell>
        </row>
        <row r="1035">
          <cell r="I1035" t="str">
            <v>SC2082</v>
          </cell>
          <cell r="J1035">
            <v>326600</v>
          </cell>
        </row>
        <row r="1036">
          <cell r="I1036" t="str">
            <v>SC2083</v>
          </cell>
          <cell r="J1036">
            <v>449400</v>
          </cell>
        </row>
        <row r="1037">
          <cell r="I1037" t="str">
            <v>SC162</v>
          </cell>
          <cell r="J1037">
            <v>114500</v>
          </cell>
        </row>
        <row r="1038">
          <cell r="I1038" t="str">
            <v>SC662L</v>
          </cell>
          <cell r="J1038">
            <v>236300</v>
          </cell>
        </row>
        <row r="1039">
          <cell r="I1039" t="str">
            <v>SC662R</v>
          </cell>
          <cell r="J1039">
            <v>236300</v>
          </cell>
        </row>
        <row r="1040">
          <cell r="I1040" t="str">
            <v>SC764</v>
          </cell>
          <cell r="J1040">
            <v>239400</v>
          </cell>
        </row>
        <row r="1041">
          <cell r="I1041" t="str">
            <v>SA0101</v>
          </cell>
          <cell r="J1041">
            <v>4800</v>
          </cell>
        </row>
        <row r="1042">
          <cell r="I1042" t="str">
            <v>SA0102</v>
          </cell>
          <cell r="J1042">
            <v>4800</v>
          </cell>
        </row>
        <row r="1043">
          <cell r="I1043" t="str">
            <v>SA0103</v>
          </cell>
          <cell r="J1043">
            <v>4800</v>
          </cell>
        </row>
        <row r="1044">
          <cell r="I1044" t="str">
            <v>SA0104</v>
          </cell>
          <cell r="J1044">
            <v>9700</v>
          </cell>
        </row>
        <row r="1045">
          <cell r="I1045" t="str">
            <v>SA1012</v>
          </cell>
          <cell r="J1045">
            <v>60900</v>
          </cell>
        </row>
        <row r="1046">
          <cell r="I1046" t="str">
            <v>SA1014</v>
          </cell>
          <cell r="J1046">
            <v>68300</v>
          </cell>
        </row>
        <row r="1047">
          <cell r="I1047" t="str">
            <v>SA0201</v>
          </cell>
          <cell r="J1047">
            <v>57800</v>
          </cell>
        </row>
        <row r="1048">
          <cell r="I1048" t="str">
            <v>SA0301</v>
          </cell>
          <cell r="J1048">
            <v>14700</v>
          </cell>
        </row>
        <row r="1049">
          <cell r="I1049" t="str">
            <v>SA0401</v>
          </cell>
          <cell r="J1049">
            <v>14700</v>
          </cell>
        </row>
        <row r="1050">
          <cell r="I1050" t="str">
            <v>SA9900</v>
          </cell>
          <cell r="J1050">
            <v>8900</v>
          </cell>
        </row>
        <row r="1051">
          <cell r="I1051" t="str">
            <v>IF0060</v>
          </cell>
          <cell r="J1051">
            <v>33600</v>
          </cell>
        </row>
        <row r="1052">
          <cell r="I1052" t="str">
            <v>IF0070</v>
          </cell>
          <cell r="J1052">
            <v>36800</v>
          </cell>
        </row>
        <row r="1053">
          <cell r="I1053" t="str">
            <v>IF0080</v>
          </cell>
          <cell r="J1053">
            <v>39900</v>
          </cell>
        </row>
        <row r="1054">
          <cell r="I1054" t="str">
            <v>IF0100</v>
          </cell>
          <cell r="J1054">
            <v>45200</v>
          </cell>
        </row>
        <row r="1055">
          <cell r="I1055" t="str">
            <v>IF0120</v>
          </cell>
          <cell r="J1055">
            <v>50400</v>
          </cell>
        </row>
        <row r="1056">
          <cell r="I1056" t="str">
            <v>IF0062</v>
          </cell>
          <cell r="J1056">
            <v>36800</v>
          </cell>
        </row>
        <row r="1057">
          <cell r="I1057" t="str">
            <v>IF0072</v>
          </cell>
          <cell r="J1057">
            <v>39900</v>
          </cell>
        </row>
        <row r="1058">
          <cell r="I1058" t="str">
            <v>IF0082</v>
          </cell>
          <cell r="J1058">
            <v>43100</v>
          </cell>
        </row>
        <row r="1059">
          <cell r="I1059" t="str">
            <v>IF0102</v>
          </cell>
          <cell r="J1059">
            <v>48300</v>
          </cell>
        </row>
        <row r="1060">
          <cell r="I1060" t="str">
            <v>IF0122</v>
          </cell>
          <cell r="J1060">
            <v>53600</v>
          </cell>
        </row>
        <row r="1061">
          <cell r="I1061" t="str">
            <v>IF0064</v>
          </cell>
          <cell r="J1061">
            <v>42000</v>
          </cell>
        </row>
        <row r="1062">
          <cell r="I1062" t="str">
            <v>IF0074</v>
          </cell>
          <cell r="J1062">
            <v>45200</v>
          </cell>
        </row>
        <row r="1063">
          <cell r="I1063" t="str">
            <v>IF0084</v>
          </cell>
          <cell r="J1063">
            <v>48300</v>
          </cell>
        </row>
        <row r="1064">
          <cell r="I1064" t="str">
            <v>IF0104</v>
          </cell>
          <cell r="J1064">
            <v>53600</v>
          </cell>
        </row>
        <row r="1065">
          <cell r="I1065" t="str">
            <v>IF0124</v>
          </cell>
          <cell r="J1065">
            <v>58800</v>
          </cell>
        </row>
        <row r="1066">
          <cell r="I1066" t="str">
            <v>IF0066</v>
          </cell>
          <cell r="J1066">
            <v>47300</v>
          </cell>
        </row>
        <row r="1067">
          <cell r="I1067" t="str">
            <v>IF0076</v>
          </cell>
          <cell r="J1067">
            <v>50400</v>
          </cell>
        </row>
        <row r="1068">
          <cell r="I1068" t="str">
            <v>IF0086</v>
          </cell>
          <cell r="J1068">
            <v>53600</v>
          </cell>
        </row>
        <row r="1069">
          <cell r="I1069" t="str">
            <v>IF0106</v>
          </cell>
          <cell r="J1069">
            <v>58800</v>
          </cell>
        </row>
        <row r="1070">
          <cell r="I1070" t="str">
            <v>IF0126</v>
          </cell>
          <cell r="J1070">
            <v>64100</v>
          </cell>
        </row>
        <row r="1071">
          <cell r="I1071" t="str">
            <v>IF0068</v>
          </cell>
          <cell r="J1071">
            <v>51500</v>
          </cell>
        </row>
        <row r="1072">
          <cell r="I1072" t="str">
            <v>IF0078</v>
          </cell>
          <cell r="J1072">
            <v>54600</v>
          </cell>
        </row>
        <row r="1073">
          <cell r="I1073" t="str">
            <v>IF0088</v>
          </cell>
          <cell r="J1073">
            <v>57800</v>
          </cell>
        </row>
        <row r="1074">
          <cell r="I1074" t="str">
            <v>IF0108</v>
          </cell>
          <cell r="J1074">
            <v>63000</v>
          </cell>
        </row>
        <row r="1075">
          <cell r="I1075" t="str">
            <v>IF0128</v>
          </cell>
          <cell r="J1075">
            <v>68300</v>
          </cell>
        </row>
        <row r="1076">
          <cell r="I1076" t="str">
            <v>IF3061</v>
          </cell>
          <cell r="J1076">
            <v>10000</v>
          </cell>
        </row>
        <row r="1077">
          <cell r="I1077" t="str">
            <v>IF3071</v>
          </cell>
          <cell r="J1077">
            <v>11000</v>
          </cell>
        </row>
        <row r="1078">
          <cell r="I1078" t="str">
            <v>IF3081</v>
          </cell>
          <cell r="J1078">
            <v>12600</v>
          </cell>
        </row>
        <row r="1079">
          <cell r="I1079" t="str">
            <v>IF3101</v>
          </cell>
          <cell r="J1079">
            <v>14700</v>
          </cell>
        </row>
        <row r="1080">
          <cell r="I1080" t="str">
            <v>IF3121</v>
          </cell>
          <cell r="J1080">
            <v>16800</v>
          </cell>
        </row>
        <row r="1081">
          <cell r="I1081" t="str">
            <v>IF1062</v>
          </cell>
          <cell r="J1081">
            <v>8400</v>
          </cell>
        </row>
        <row r="1082">
          <cell r="I1082" t="str">
            <v>IF1072</v>
          </cell>
          <cell r="J1082">
            <v>10000</v>
          </cell>
        </row>
        <row r="1083">
          <cell r="I1083" t="str">
            <v>IF1082</v>
          </cell>
          <cell r="J1083">
            <v>11600</v>
          </cell>
        </row>
        <row r="1084">
          <cell r="I1084" t="str">
            <v>IF1102</v>
          </cell>
          <cell r="J1084">
            <v>13100</v>
          </cell>
        </row>
        <row r="1085">
          <cell r="I1085" t="str">
            <v>IF1122</v>
          </cell>
          <cell r="J1085">
            <v>14700</v>
          </cell>
        </row>
        <row r="1086">
          <cell r="I1086" t="str">
            <v>IF1064</v>
          </cell>
          <cell r="J1086">
            <v>14700</v>
          </cell>
        </row>
        <row r="1087">
          <cell r="I1087" t="str">
            <v>IF1074</v>
          </cell>
          <cell r="J1087">
            <v>16300</v>
          </cell>
        </row>
        <row r="1088">
          <cell r="I1088" t="str">
            <v>IF1084</v>
          </cell>
          <cell r="J1088">
            <v>17900</v>
          </cell>
        </row>
        <row r="1089">
          <cell r="I1089" t="str">
            <v>IF1104</v>
          </cell>
          <cell r="J1089">
            <v>21000</v>
          </cell>
        </row>
        <row r="1090">
          <cell r="I1090" t="str">
            <v>IF1124</v>
          </cell>
          <cell r="J1090">
            <v>24200</v>
          </cell>
        </row>
        <row r="1091">
          <cell r="I1091" t="str">
            <v>IF1066</v>
          </cell>
          <cell r="J1091">
            <v>21000</v>
          </cell>
        </row>
        <row r="1092">
          <cell r="I1092" t="str">
            <v>IF1076</v>
          </cell>
          <cell r="J1092">
            <v>22600</v>
          </cell>
        </row>
        <row r="1093">
          <cell r="I1093" t="str">
            <v>IF1086</v>
          </cell>
          <cell r="J1093">
            <v>24200</v>
          </cell>
        </row>
        <row r="1094">
          <cell r="I1094" t="str">
            <v>IF1106</v>
          </cell>
          <cell r="J1094">
            <v>27300</v>
          </cell>
        </row>
        <row r="1095">
          <cell r="I1095" t="str">
            <v>IF1126</v>
          </cell>
          <cell r="J1095">
            <v>30500</v>
          </cell>
        </row>
        <row r="1096">
          <cell r="I1096" t="str">
            <v>IF1066MM</v>
          </cell>
          <cell r="J1096">
            <v>17900</v>
          </cell>
        </row>
        <row r="1097">
          <cell r="I1097" t="str">
            <v>IF1066BE</v>
          </cell>
          <cell r="J1097">
            <v>17900</v>
          </cell>
        </row>
        <row r="1098">
          <cell r="I1098" t="str">
            <v>IF1076MM</v>
          </cell>
          <cell r="J1098">
            <v>19400</v>
          </cell>
        </row>
        <row r="1099">
          <cell r="I1099" t="str">
            <v>IF1076BE</v>
          </cell>
          <cell r="J1099">
            <v>19400</v>
          </cell>
        </row>
        <row r="1100">
          <cell r="I1100" t="str">
            <v>IF1086MM</v>
          </cell>
          <cell r="J1100">
            <v>21000</v>
          </cell>
        </row>
        <row r="1101">
          <cell r="I1101" t="str">
            <v>IF1086BE</v>
          </cell>
          <cell r="J1101">
            <v>21000</v>
          </cell>
        </row>
        <row r="1102">
          <cell r="I1102" t="str">
            <v>IF1106MM</v>
          </cell>
          <cell r="J1102">
            <v>23100</v>
          </cell>
        </row>
        <row r="1103">
          <cell r="I1103" t="str">
            <v>IF1106BE</v>
          </cell>
          <cell r="J1103">
            <v>23100</v>
          </cell>
        </row>
        <row r="1104">
          <cell r="I1104" t="str">
            <v>IF1126MM</v>
          </cell>
          <cell r="J1104">
            <v>26300</v>
          </cell>
        </row>
        <row r="1105">
          <cell r="I1105" t="str">
            <v>IF1126BE</v>
          </cell>
          <cell r="J1105">
            <v>26300</v>
          </cell>
        </row>
        <row r="1106">
          <cell r="I1106" t="str">
            <v>IF1064G</v>
          </cell>
          <cell r="J1106">
            <v>13100</v>
          </cell>
        </row>
        <row r="1107">
          <cell r="I1107" t="str">
            <v>IF1074G</v>
          </cell>
          <cell r="J1107">
            <v>15800</v>
          </cell>
        </row>
        <row r="1108">
          <cell r="I1108" t="str">
            <v>IF1084G</v>
          </cell>
          <cell r="J1108">
            <v>18900</v>
          </cell>
        </row>
        <row r="1109">
          <cell r="I1109" t="str">
            <v>IF1104G</v>
          </cell>
          <cell r="J1109">
            <v>24200</v>
          </cell>
        </row>
        <row r="1110">
          <cell r="I1110" t="str">
            <v>IF1124G</v>
          </cell>
          <cell r="J1110">
            <v>29400</v>
          </cell>
        </row>
        <row r="1111">
          <cell r="I1111" t="str">
            <v>IF1066G</v>
          </cell>
          <cell r="J1111">
            <v>21500</v>
          </cell>
        </row>
        <row r="1112">
          <cell r="I1112" t="str">
            <v>IF1076G</v>
          </cell>
          <cell r="J1112">
            <v>24200</v>
          </cell>
        </row>
        <row r="1113">
          <cell r="I1113" t="str">
            <v>IF1086G</v>
          </cell>
          <cell r="J1113">
            <v>27300</v>
          </cell>
        </row>
        <row r="1114">
          <cell r="I1114" t="str">
            <v>IF1106G</v>
          </cell>
          <cell r="J1114">
            <v>32600</v>
          </cell>
        </row>
        <row r="1115">
          <cell r="I1115" t="str">
            <v>IF1126G</v>
          </cell>
          <cell r="J1115">
            <v>37800</v>
          </cell>
        </row>
        <row r="1116">
          <cell r="I1116" t="str">
            <v>IF1064K</v>
          </cell>
          <cell r="J1116">
            <v>15800</v>
          </cell>
        </row>
        <row r="1117">
          <cell r="I1117" t="str">
            <v>IF1074K</v>
          </cell>
          <cell r="J1117">
            <v>18900</v>
          </cell>
        </row>
        <row r="1118">
          <cell r="I1118" t="str">
            <v>IF1084K</v>
          </cell>
          <cell r="J1118">
            <v>23100</v>
          </cell>
        </row>
        <row r="1119">
          <cell r="I1119" t="str">
            <v>IF1104K</v>
          </cell>
          <cell r="J1119">
            <v>27300</v>
          </cell>
        </row>
        <row r="1120">
          <cell r="I1120" t="str">
            <v>IF1124K</v>
          </cell>
          <cell r="J1120">
            <v>32600</v>
          </cell>
        </row>
        <row r="1121">
          <cell r="I1121" t="str">
            <v>IF1066K</v>
          </cell>
          <cell r="J1121">
            <v>26300</v>
          </cell>
        </row>
        <row r="1122">
          <cell r="I1122" t="str">
            <v>IF1076K</v>
          </cell>
          <cell r="J1122">
            <v>29400</v>
          </cell>
        </row>
        <row r="1123">
          <cell r="I1123" t="str">
            <v>IF1086K</v>
          </cell>
          <cell r="J1123">
            <v>32600</v>
          </cell>
        </row>
        <row r="1124">
          <cell r="I1124" t="str">
            <v>IF1106K</v>
          </cell>
          <cell r="J1124">
            <v>36800</v>
          </cell>
        </row>
        <row r="1125">
          <cell r="I1125" t="str">
            <v>IF1126K</v>
          </cell>
          <cell r="J1125">
            <v>42000</v>
          </cell>
        </row>
        <row r="1126">
          <cell r="I1126" t="str">
            <v>IF1064B</v>
          </cell>
          <cell r="J1126">
            <v>20000</v>
          </cell>
        </row>
        <row r="1127">
          <cell r="I1127" t="str">
            <v>IF1074B</v>
          </cell>
          <cell r="J1127">
            <v>22100</v>
          </cell>
        </row>
        <row r="1128">
          <cell r="I1128" t="str">
            <v>IF1084B</v>
          </cell>
          <cell r="J1128">
            <v>24200</v>
          </cell>
        </row>
        <row r="1129">
          <cell r="I1129" t="str">
            <v>IF1104B</v>
          </cell>
          <cell r="J1129">
            <v>35700</v>
          </cell>
        </row>
        <row r="1130">
          <cell r="I1130" t="str">
            <v>IF1124B</v>
          </cell>
          <cell r="J1130">
            <v>38900</v>
          </cell>
        </row>
        <row r="1131">
          <cell r="I1131" t="str">
            <v>IF1066B</v>
          </cell>
          <cell r="J1131">
            <v>27300</v>
          </cell>
        </row>
        <row r="1132">
          <cell r="I1132" t="str">
            <v>IF1076B</v>
          </cell>
          <cell r="J1132">
            <v>30500</v>
          </cell>
        </row>
        <row r="1133">
          <cell r="I1133" t="str">
            <v>IF1086B</v>
          </cell>
          <cell r="J1133">
            <v>33600</v>
          </cell>
        </row>
        <row r="1134">
          <cell r="I1134" t="str">
            <v>IF1106B</v>
          </cell>
          <cell r="J1134">
            <v>42000</v>
          </cell>
        </row>
        <row r="1135">
          <cell r="I1135" t="str">
            <v>IF1126B</v>
          </cell>
          <cell r="J1135">
            <v>46200</v>
          </cell>
        </row>
        <row r="1136">
          <cell r="I1136" t="str">
            <v>IF5110</v>
          </cell>
          <cell r="J1136">
            <v>17900</v>
          </cell>
        </row>
        <row r="1137">
          <cell r="I1137" t="str">
            <v>IF5112</v>
          </cell>
          <cell r="J1137">
            <v>19400</v>
          </cell>
        </row>
        <row r="1138">
          <cell r="I1138" t="str">
            <v>IF5114</v>
          </cell>
          <cell r="J1138">
            <v>21000</v>
          </cell>
        </row>
        <row r="1139">
          <cell r="I1139" t="str">
            <v>IF5116</v>
          </cell>
          <cell r="J1139">
            <v>24200</v>
          </cell>
        </row>
        <row r="1140">
          <cell r="I1140" t="str">
            <v>IF5118</v>
          </cell>
          <cell r="J1140">
            <v>28400</v>
          </cell>
        </row>
        <row r="1141">
          <cell r="I1141" t="str">
            <v>IF5210</v>
          </cell>
          <cell r="J1141">
            <v>21000</v>
          </cell>
        </row>
        <row r="1142">
          <cell r="I1142" t="str">
            <v>IF5212</v>
          </cell>
          <cell r="J1142">
            <v>22600</v>
          </cell>
        </row>
        <row r="1143">
          <cell r="I1143" t="str">
            <v>IF5214</v>
          </cell>
          <cell r="J1143">
            <v>24200</v>
          </cell>
        </row>
        <row r="1144">
          <cell r="I1144" t="str">
            <v>IF5216</v>
          </cell>
          <cell r="J1144">
            <v>27300</v>
          </cell>
        </row>
        <row r="1145">
          <cell r="I1145" t="str">
            <v>IF5218</v>
          </cell>
          <cell r="J1145">
            <v>31500</v>
          </cell>
        </row>
        <row r="1146">
          <cell r="I1146" t="str">
            <v>IF5510</v>
          </cell>
          <cell r="J1146">
            <v>24200</v>
          </cell>
        </row>
        <row r="1147">
          <cell r="I1147" t="str">
            <v>IF5512</v>
          </cell>
          <cell r="J1147">
            <v>25700</v>
          </cell>
        </row>
        <row r="1148">
          <cell r="I1148" t="str">
            <v>IF5514</v>
          </cell>
          <cell r="J1148">
            <v>27300</v>
          </cell>
        </row>
        <row r="1149">
          <cell r="I1149" t="str">
            <v>IF5516</v>
          </cell>
          <cell r="J1149">
            <v>30500</v>
          </cell>
        </row>
        <row r="1150">
          <cell r="I1150" t="str">
            <v>IF5518</v>
          </cell>
          <cell r="J1150">
            <v>34700</v>
          </cell>
        </row>
        <row r="1151">
          <cell r="I1151" t="str">
            <v>IF6010</v>
          </cell>
          <cell r="J1151">
            <v>6300</v>
          </cell>
        </row>
        <row r="1152">
          <cell r="I1152" t="str">
            <v>IF6012</v>
          </cell>
          <cell r="J1152">
            <v>7900</v>
          </cell>
        </row>
        <row r="1153">
          <cell r="I1153" t="str">
            <v>IF6014</v>
          </cell>
          <cell r="J1153">
            <v>9500</v>
          </cell>
        </row>
        <row r="1154">
          <cell r="I1154" t="str">
            <v>IF6016</v>
          </cell>
          <cell r="J1154">
            <v>11600</v>
          </cell>
        </row>
        <row r="1155">
          <cell r="I1155" t="str">
            <v>IF6018</v>
          </cell>
          <cell r="J1155">
            <v>13700</v>
          </cell>
        </row>
        <row r="1156">
          <cell r="I1156" t="str">
            <v>IF6102</v>
          </cell>
          <cell r="J1156">
            <v>3200</v>
          </cell>
        </row>
        <row r="1157">
          <cell r="I1157" t="str">
            <v>IF6104</v>
          </cell>
          <cell r="J1157">
            <v>4200</v>
          </cell>
        </row>
        <row r="1158">
          <cell r="I1158" t="str">
            <v>IF6106</v>
          </cell>
          <cell r="J1158">
            <v>4700</v>
          </cell>
        </row>
        <row r="1159">
          <cell r="I1159" t="str">
            <v>IF6108</v>
          </cell>
          <cell r="J1159">
            <v>5800</v>
          </cell>
        </row>
        <row r="1160">
          <cell r="I1160" t="str">
            <v>IF6102T</v>
          </cell>
          <cell r="J1160">
            <v>3200</v>
          </cell>
        </row>
        <row r="1161">
          <cell r="I1161" t="str">
            <v>IF6104T</v>
          </cell>
          <cell r="J1161">
            <v>4200</v>
          </cell>
        </row>
        <row r="1162">
          <cell r="I1162" t="str">
            <v>IF6106T</v>
          </cell>
          <cell r="J1162">
            <v>4700</v>
          </cell>
        </row>
        <row r="1163">
          <cell r="I1163" t="str">
            <v>IF6108T</v>
          </cell>
          <cell r="J1163">
            <v>5800</v>
          </cell>
        </row>
        <row r="1164">
          <cell r="I1164" t="str">
            <v>IF8001</v>
          </cell>
          <cell r="J1164">
            <v>23100</v>
          </cell>
        </row>
        <row r="1165">
          <cell r="I1165" t="str">
            <v>IF8002</v>
          </cell>
          <cell r="J1165">
            <v>3200</v>
          </cell>
        </row>
        <row r="1166">
          <cell r="I1166" t="str">
            <v>IT8001</v>
          </cell>
          <cell r="J1166">
            <v>5300</v>
          </cell>
        </row>
        <row r="1167">
          <cell r="I1167" t="str">
            <v>IT8002</v>
          </cell>
          <cell r="J1167">
            <v>5300</v>
          </cell>
        </row>
        <row r="1168">
          <cell r="I1168" t="str">
            <v>IT8003</v>
          </cell>
          <cell r="J1168">
            <v>2600</v>
          </cell>
        </row>
        <row r="1169">
          <cell r="I1169" t="str">
            <v>IT0008L</v>
          </cell>
          <cell r="J1169">
            <v>57800</v>
          </cell>
        </row>
        <row r="1170">
          <cell r="I1170" t="str">
            <v>IT0008R</v>
          </cell>
          <cell r="J1170">
            <v>57800</v>
          </cell>
        </row>
        <row r="1171">
          <cell r="I1171" t="str">
            <v>IT0008</v>
          </cell>
          <cell r="J1171">
            <v>57800</v>
          </cell>
        </row>
        <row r="1172">
          <cell r="I1172" t="str">
            <v>IT0010L</v>
          </cell>
          <cell r="J1172">
            <v>71400</v>
          </cell>
        </row>
        <row r="1173">
          <cell r="I1173" t="str">
            <v>IT0010R</v>
          </cell>
          <cell r="J1173">
            <v>71400</v>
          </cell>
        </row>
        <row r="1174">
          <cell r="I1174" t="str">
            <v>IT0100</v>
          </cell>
          <cell r="J1174">
            <v>71400</v>
          </cell>
        </row>
        <row r="1175">
          <cell r="I1175" t="str">
            <v>IT0012L</v>
          </cell>
          <cell r="J1175">
            <v>80900</v>
          </cell>
        </row>
        <row r="1176">
          <cell r="I1176" t="str">
            <v>IT0012R</v>
          </cell>
          <cell r="J1176">
            <v>80900</v>
          </cell>
        </row>
        <row r="1177">
          <cell r="I1177" t="str">
            <v>IT0012</v>
          </cell>
          <cell r="J1177">
            <v>80900</v>
          </cell>
        </row>
        <row r="1178">
          <cell r="I1178" t="str">
            <v>IT0116</v>
          </cell>
          <cell r="J1178">
            <v>92400</v>
          </cell>
        </row>
        <row r="1179">
          <cell r="I1179" t="str">
            <v>IT0118</v>
          </cell>
          <cell r="J1179">
            <v>101900</v>
          </cell>
        </row>
        <row r="1180">
          <cell r="I1180" t="str">
            <v>IT0100L</v>
          </cell>
          <cell r="J1180">
            <v>36800</v>
          </cell>
        </row>
        <row r="1181">
          <cell r="I1181" t="str">
            <v>IT0100R</v>
          </cell>
          <cell r="J1181">
            <v>36800</v>
          </cell>
        </row>
        <row r="1182">
          <cell r="I1182" t="str">
            <v>IT5066</v>
          </cell>
          <cell r="J1182">
            <v>110300</v>
          </cell>
        </row>
        <row r="1183">
          <cell r="I1183" t="str">
            <v>IT5077</v>
          </cell>
          <cell r="J1183">
            <v>135500</v>
          </cell>
        </row>
        <row r="1184">
          <cell r="I1184" t="str">
            <v>IT912</v>
          </cell>
          <cell r="J1184">
            <v>108200</v>
          </cell>
        </row>
        <row r="1185">
          <cell r="I1185" t="str">
            <v>IT916</v>
          </cell>
          <cell r="J1185">
            <v>160700</v>
          </cell>
        </row>
        <row r="1186">
          <cell r="I1186" t="str">
            <v>IT966</v>
          </cell>
          <cell r="J1186">
            <v>161700</v>
          </cell>
        </row>
        <row r="1187">
          <cell r="I1187" t="str">
            <v>IT977</v>
          </cell>
          <cell r="J1187">
            <v>172200</v>
          </cell>
        </row>
        <row r="1188">
          <cell r="I1188" t="str">
            <v>IT926L</v>
          </cell>
          <cell r="J1188">
            <v>138600</v>
          </cell>
        </row>
        <row r="1189">
          <cell r="I1189" t="str">
            <v>IT926R</v>
          </cell>
          <cell r="J1189">
            <v>138600</v>
          </cell>
        </row>
        <row r="1190">
          <cell r="I1190" t="str">
            <v>IT927L</v>
          </cell>
          <cell r="J1190">
            <v>141800</v>
          </cell>
        </row>
        <row r="1191">
          <cell r="I1191" t="str">
            <v>IT927R</v>
          </cell>
          <cell r="J1191">
            <v>141800</v>
          </cell>
        </row>
        <row r="1192">
          <cell r="I1192" t="str">
            <v>IT912CL</v>
          </cell>
          <cell r="J1192">
            <v>126000</v>
          </cell>
        </row>
        <row r="1193">
          <cell r="I1193" t="str">
            <v>IT912CR</v>
          </cell>
          <cell r="J1193">
            <v>126000</v>
          </cell>
        </row>
        <row r="1194">
          <cell r="I1194" t="str">
            <v>IT918CL</v>
          </cell>
          <cell r="J1194">
            <v>176400</v>
          </cell>
        </row>
        <row r="1195">
          <cell r="I1195" t="str">
            <v>IT918CR</v>
          </cell>
          <cell r="J1195">
            <v>176400</v>
          </cell>
        </row>
        <row r="1196">
          <cell r="I1196" t="str">
            <v>IT912DL</v>
          </cell>
          <cell r="J1196">
            <v>126000</v>
          </cell>
        </row>
        <row r="1197">
          <cell r="I1197" t="str">
            <v>IT912DR</v>
          </cell>
          <cell r="J1197">
            <v>126000</v>
          </cell>
        </row>
        <row r="1198">
          <cell r="I1198" t="str">
            <v>IT918DR</v>
          </cell>
          <cell r="J1198">
            <v>176400</v>
          </cell>
        </row>
        <row r="1199">
          <cell r="I1199" t="str">
            <v>IT918DL</v>
          </cell>
          <cell r="J1199">
            <v>176400</v>
          </cell>
        </row>
        <row r="1200">
          <cell r="I1200" t="str">
            <v>IT2004</v>
          </cell>
          <cell r="J1200">
            <v>21000</v>
          </cell>
        </row>
        <row r="1201">
          <cell r="I1201" t="str">
            <v>IT2005</v>
          </cell>
          <cell r="J1201">
            <v>24200</v>
          </cell>
        </row>
        <row r="1202">
          <cell r="I1202" t="str">
            <v>IT2006</v>
          </cell>
          <cell r="J1202">
            <v>27300</v>
          </cell>
        </row>
        <row r="1203">
          <cell r="I1203" t="str">
            <v>IT2007</v>
          </cell>
          <cell r="J1203">
            <v>30500</v>
          </cell>
        </row>
        <row r="1204">
          <cell r="I1204" t="str">
            <v>IT2008</v>
          </cell>
          <cell r="J1204">
            <v>33600</v>
          </cell>
        </row>
        <row r="1205">
          <cell r="I1205" t="str">
            <v>IT2010</v>
          </cell>
          <cell r="J1205">
            <v>39900</v>
          </cell>
        </row>
        <row r="1206">
          <cell r="I1206" t="str">
            <v>IT2012</v>
          </cell>
          <cell r="J1206">
            <v>47300</v>
          </cell>
        </row>
        <row r="1207">
          <cell r="I1207" t="str">
            <v>IT2014</v>
          </cell>
          <cell r="J1207">
            <v>54600</v>
          </cell>
        </row>
        <row r="1208">
          <cell r="I1208" t="str">
            <v>IT2016</v>
          </cell>
          <cell r="J1208">
            <v>60900</v>
          </cell>
        </row>
        <row r="1209">
          <cell r="I1209" t="str">
            <v>IT2122</v>
          </cell>
          <cell r="J1209">
            <v>21000</v>
          </cell>
        </row>
        <row r="1210">
          <cell r="I1210" t="str">
            <v>IT2204</v>
          </cell>
          <cell r="J1210">
            <v>24200</v>
          </cell>
        </row>
        <row r="1211">
          <cell r="I1211" t="str">
            <v>IT2205</v>
          </cell>
          <cell r="J1211">
            <v>27300</v>
          </cell>
        </row>
        <row r="1212">
          <cell r="I1212" t="str">
            <v>IT2206</v>
          </cell>
          <cell r="J1212">
            <v>30500</v>
          </cell>
        </row>
        <row r="1213">
          <cell r="I1213" t="str">
            <v>IT2207</v>
          </cell>
          <cell r="J1213">
            <v>33600</v>
          </cell>
        </row>
        <row r="1214">
          <cell r="I1214" t="str">
            <v>IT2208</v>
          </cell>
          <cell r="J1214">
            <v>36800</v>
          </cell>
        </row>
        <row r="1215">
          <cell r="I1215" t="str">
            <v>IT2210</v>
          </cell>
          <cell r="J1215">
            <v>44100</v>
          </cell>
        </row>
        <row r="1216">
          <cell r="I1216" t="str">
            <v>IT2212</v>
          </cell>
          <cell r="J1216">
            <v>51500</v>
          </cell>
        </row>
        <row r="1217">
          <cell r="I1217" t="str">
            <v>IT3006</v>
          </cell>
          <cell r="J1217">
            <v>44100</v>
          </cell>
        </row>
        <row r="1218">
          <cell r="I1218" t="str">
            <v>IT3007</v>
          </cell>
          <cell r="J1218">
            <v>47300</v>
          </cell>
        </row>
        <row r="1219">
          <cell r="I1219" t="str">
            <v>IT3008</v>
          </cell>
          <cell r="J1219">
            <v>51500</v>
          </cell>
        </row>
        <row r="1220">
          <cell r="I1220" t="str">
            <v>IT3010</v>
          </cell>
          <cell r="J1220">
            <v>57800</v>
          </cell>
        </row>
        <row r="1221">
          <cell r="I1221" t="str">
            <v>IT3012</v>
          </cell>
          <cell r="J1221">
            <v>65100</v>
          </cell>
        </row>
        <row r="1222">
          <cell r="I1222" t="str">
            <v>IT3406</v>
          </cell>
          <cell r="J1222">
            <v>53600</v>
          </cell>
        </row>
        <row r="1223">
          <cell r="I1223" t="str">
            <v>IT3407</v>
          </cell>
          <cell r="J1223">
            <v>56700</v>
          </cell>
        </row>
        <row r="1224">
          <cell r="I1224" t="str">
            <v>IT3408</v>
          </cell>
          <cell r="J1224">
            <v>59900</v>
          </cell>
        </row>
        <row r="1225">
          <cell r="I1225" t="str">
            <v>IT3410</v>
          </cell>
          <cell r="J1225">
            <v>66200</v>
          </cell>
        </row>
        <row r="1226">
          <cell r="I1226" t="str">
            <v>IT3412</v>
          </cell>
          <cell r="J1226">
            <v>72500</v>
          </cell>
        </row>
        <row r="1227">
          <cell r="I1227" t="str">
            <v>IT3106</v>
          </cell>
          <cell r="J1227">
            <v>44100</v>
          </cell>
        </row>
        <row r="1228">
          <cell r="I1228" t="str">
            <v>IT3107</v>
          </cell>
          <cell r="J1228">
            <v>47300</v>
          </cell>
        </row>
        <row r="1229">
          <cell r="I1229" t="str">
            <v>IT3108</v>
          </cell>
          <cell r="J1229">
            <v>51500</v>
          </cell>
        </row>
        <row r="1230">
          <cell r="I1230" t="str">
            <v>IT3110</v>
          </cell>
          <cell r="J1230">
            <v>57800</v>
          </cell>
        </row>
        <row r="1231">
          <cell r="I1231" t="str">
            <v>IT3112</v>
          </cell>
          <cell r="J1231">
            <v>65100</v>
          </cell>
        </row>
        <row r="1232">
          <cell r="I1232" t="str">
            <v>IT3306</v>
          </cell>
          <cell r="J1232">
            <v>162800</v>
          </cell>
        </row>
        <row r="1233">
          <cell r="I1233" t="str">
            <v>IT3307</v>
          </cell>
          <cell r="J1233">
            <v>170100</v>
          </cell>
        </row>
        <row r="1234">
          <cell r="I1234" t="str">
            <v>IT3308</v>
          </cell>
          <cell r="J1234">
            <v>174300</v>
          </cell>
        </row>
        <row r="1235">
          <cell r="I1235" t="str">
            <v>IT3310</v>
          </cell>
          <cell r="J1235">
            <v>183800</v>
          </cell>
        </row>
        <row r="1236">
          <cell r="I1236" t="str">
            <v>IT3312</v>
          </cell>
          <cell r="J1236">
            <v>195300</v>
          </cell>
        </row>
        <row r="1237">
          <cell r="I1237" t="str">
            <v>IA0006</v>
          </cell>
          <cell r="J1237">
            <v>12600</v>
          </cell>
        </row>
        <row r="1238">
          <cell r="I1238" t="str">
            <v>IA0007</v>
          </cell>
          <cell r="J1238">
            <v>14200</v>
          </cell>
        </row>
        <row r="1239">
          <cell r="I1239" t="str">
            <v>IA0008</v>
          </cell>
          <cell r="J1239">
            <v>15800</v>
          </cell>
        </row>
        <row r="1240">
          <cell r="I1240" t="str">
            <v>IA0010</v>
          </cell>
          <cell r="J1240">
            <v>18900</v>
          </cell>
        </row>
        <row r="1241">
          <cell r="I1241" t="str">
            <v>IA0012</v>
          </cell>
          <cell r="J1241">
            <v>21000</v>
          </cell>
        </row>
        <row r="1242">
          <cell r="I1242" t="str">
            <v>IA9901</v>
          </cell>
          <cell r="J1242">
            <v>5800</v>
          </cell>
        </row>
        <row r="1243">
          <cell r="I1243" t="str">
            <v>IF060</v>
          </cell>
          <cell r="J1243">
            <v>102400</v>
          </cell>
        </row>
        <row r="1244">
          <cell r="I1244" t="str">
            <v>IF070</v>
          </cell>
          <cell r="J1244">
            <v>112900</v>
          </cell>
        </row>
        <row r="1245">
          <cell r="I1245" t="str">
            <v>IF080</v>
          </cell>
          <cell r="J1245">
            <v>123900</v>
          </cell>
        </row>
        <row r="1246">
          <cell r="I1246" t="str">
            <v>IF100</v>
          </cell>
          <cell r="J1246">
            <v>140700</v>
          </cell>
        </row>
        <row r="1247">
          <cell r="I1247" t="str">
            <v>IF120</v>
          </cell>
          <cell r="J1247">
            <v>157500</v>
          </cell>
        </row>
        <row r="1248">
          <cell r="I1248" t="str">
            <v>IF062</v>
          </cell>
          <cell r="J1248">
            <v>118100</v>
          </cell>
        </row>
        <row r="1249">
          <cell r="I1249" t="str">
            <v>IF072</v>
          </cell>
          <cell r="J1249">
            <v>128600</v>
          </cell>
        </row>
        <row r="1250">
          <cell r="I1250" t="str">
            <v>IF082</v>
          </cell>
          <cell r="J1250">
            <v>139700</v>
          </cell>
        </row>
        <row r="1251">
          <cell r="I1251" t="str">
            <v>IF102</v>
          </cell>
          <cell r="J1251">
            <v>159600</v>
          </cell>
        </row>
        <row r="1252">
          <cell r="I1252" t="str">
            <v>IF122</v>
          </cell>
          <cell r="J1252">
            <v>179600</v>
          </cell>
        </row>
        <row r="1253">
          <cell r="I1253" t="str">
            <v>IF064</v>
          </cell>
          <cell r="J1253">
            <v>136000</v>
          </cell>
        </row>
        <row r="1254">
          <cell r="I1254" t="str">
            <v>IF074</v>
          </cell>
          <cell r="J1254">
            <v>146500</v>
          </cell>
        </row>
        <row r="1255">
          <cell r="I1255" t="str">
            <v>IF084</v>
          </cell>
          <cell r="J1255">
            <v>157500</v>
          </cell>
        </row>
        <row r="1256">
          <cell r="I1256" t="str">
            <v>IF104</v>
          </cell>
          <cell r="J1256">
            <v>177500</v>
          </cell>
        </row>
        <row r="1257">
          <cell r="I1257" t="str">
            <v>IF124</v>
          </cell>
          <cell r="J1257">
            <v>197400</v>
          </cell>
        </row>
        <row r="1258">
          <cell r="I1258" t="str">
            <v>IF066</v>
          </cell>
          <cell r="J1258">
            <v>158000</v>
          </cell>
        </row>
        <row r="1259">
          <cell r="I1259" t="str">
            <v>IF076</v>
          </cell>
          <cell r="J1259">
            <v>171700</v>
          </cell>
        </row>
        <row r="1260">
          <cell r="I1260" t="str">
            <v>IF086</v>
          </cell>
          <cell r="J1260">
            <v>185900</v>
          </cell>
        </row>
        <row r="1261">
          <cell r="I1261" t="str">
            <v>IF106</v>
          </cell>
          <cell r="J1261">
            <v>212100</v>
          </cell>
        </row>
        <row r="1262">
          <cell r="I1262" t="str">
            <v>IF126</v>
          </cell>
          <cell r="J1262">
            <v>238400</v>
          </cell>
        </row>
        <row r="1263">
          <cell r="I1263" t="str">
            <v>IF068</v>
          </cell>
          <cell r="J1263">
            <v>174800</v>
          </cell>
        </row>
        <row r="1264">
          <cell r="I1264" t="str">
            <v>IF078</v>
          </cell>
          <cell r="J1264">
            <v>188500</v>
          </cell>
        </row>
        <row r="1265">
          <cell r="I1265" t="str">
            <v>IF088</v>
          </cell>
          <cell r="J1265">
            <v>202700</v>
          </cell>
        </row>
        <row r="1266">
          <cell r="I1266" t="str">
            <v>IF108</v>
          </cell>
          <cell r="J1266">
            <v>228900</v>
          </cell>
        </row>
        <row r="1267">
          <cell r="I1267" t="str">
            <v>IF128</v>
          </cell>
          <cell r="J1267">
            <v>255200</v>
          </cell>
        </row>
        <row r="1268">
          <cell r="I1268" t="str">
            <v>IF060T</v>
          </cell>
          <cell r="J1268">
            <v>96100</v>
          </cell>
        </row>
        <row r="1269">
          <cell r="I1269" t="str">
            <v>IF070T</v>
          </cell>
          <cell r="J1269">
            <v>106600</v>
          </cell>
        </row>
        <row r="1270">
          <cell r="I1270" t="str">
            <v>IF080T</v>
          </cell>
          <cell r="J1270">
            <v>117600</v>
          </cell>
        </row>
        <row r="1271">
          <cell r="I1271" t="str">
            <v>IF100T</v>
          </cell>
          <cell r="J1271">
            <v>132300</v>
          </cell>
        </row>
        <row r="1272">
          <cell r="I1272" t="str">
            <v>IF120T</v>
          </cell>
          <cell r="J1272">
            <v>149100</v>
          </cell>
        </row>
        <row r="1273">
          <cell r="I1273" t="str">
            <v>IF062T</v>
          </cell>
          <cell r="J1273">
            <v>111800</v>
          </cell>
        </row>
        <row r="1274">
          <cell r="I1274" t="str">
            <v>IF072T</v>
          </cell>
          <cell r="J1274">
            <v>122300</v>
          </cell>
        </row>
        <row r="1275">
          <cell r="I1275" t="str">
            <v>IF082T</v>
          </cell>
          <cell r="J1275">
            <v>133400</v>
          </cell>
        </row>
        <row r="1276">
          <cell r="I1276" t="str">
            <v>IF102T</v>
          </cell>
          <cell r="J1276">
            <v>151200</v>
          </cell>
        </row>
        <row r="1277">
          <cell r="I1277" t="str">
            <v>IF122T</v>
          </cell>
          <cell r="J1277">
            <v>171200</v>
          </cell>
        </row>
        <row r="1278">
          <cell r="I1278" t="str">
            <v>IF064T</v>
          </cell>
          <cell r="J1278">
            <v>129700</v>
          </cell>
        </row>
        <row r="1279">
          <cell r="I1279" t="str">
            <v>IF074T</v>
          </cell>
          <cell r="J1279">
            <v>140200</v>
          </cell>
        </row>
        <row r="1280">
          <cell r="I1280" t="str">
            <v>IF084T</v>
          </cell>
          <cell r="J1280">
            <v>151200</v>
          </cell>
        </row>
        <row r="1281">
          <cell r="I1281" t="str">
            <v>IF104T</v>
          </cell>
          <cell r="J1281">
            <v>169100</v>
          </cell>
        </row>
        <row r="1282">
          <cell r="I1282" t="str">
            <v>IF124T</v>
          </cell>
          <cell r="J1282">
            <v>189000</v>
          </cell>
        </row>
        <row r="1283">
          <cell r="I1283" t="str">
            <v>IF066T</v>
          </cell>
          <cell r="J1283">
            <v>151700</v>
          </cell>
        </row>
        <row r="1284">
          <cell r="I1284" t="str">
            <v>IF076T</v>
          </cell>
          <cell r="J1284">
            <v>165400</v>
          </cell>
        </row>
        <row r="1285">
          <cell r="I1285" t="str">
            <v>IF086T</v>
          </cell>
          <cell r="J1285">
            <v>179600</v>
          </cell>
        </row>
        <row r="1286">
          <cell r="I1286" t="str">
            <v>IF106T</v>
          </cell>
          <cell r="J1286">
            <v>302700</v>
          </cell>
        </row>
        <row r="1287">
          <cell r="I1287" t="str">
            <v>IF126T</v>
          </cell>
          <cell r="J1287">
            <v>230000</v>
          </cell>
        </row>
        <row r="1288">
          <cell r="I1288" t="str">
            <v>IF068T</v>
          </cell>
          <cell r="J1288">
            <v>168500</v>
          </cell>
        </row>
        <row r="1289">
          <cell r="I1289" t="str">
            <v>IF078T</v>
          </cell>
          <cell r="J1289">
            <v>182200</v>
          </cell>
        </row>
        <row r="1290">
          <cell r="I1290" t="str">
            <v>IF088T</v>
          </cell>
          <cell r="J1290">
            <v>196400</v>
          </cell>
        </row>
        <row r="1291">
          <cell r="I1291" t="str">
            <v>IF108T</v>
          </cell>
          <cell r="J1291">
            <v>220500</v>
          </cell>
        </row>
        <row r="1292">
          <cell r="I1292" t="str">
            <v>IF128T</v>
          </cell>
          <cell r="J1292">
            <v>246800</v>
          </cell>
        </row>
        <row r="1293">
          <cell r="I1293" t="str">
            <v>IF060W</v>
          </cell>
          <cell r="J1293">
            <v>99200</v>
          </cell>
        </row>
        <row r="1294">
          <cell r="I1294" t="str">
            <v>IF070W</v>
          </cell>
          <cell r="J1294">
            <v>109700</v>
          </cell>
        </row>
        <row r="1295">
          <cell r="I1295" t="str">
            <v>IF080W</v>
          </cell>
          <cell r="J1295">
            <v>120800</v>
          </cell>
        </row>
        <row r="1296">
          <cell r="I1296" t="str">
            <v>IF100W</v>
          </cell>
          <cell r="J1296">
            <v>136500</v>
          </cell>
        </row>
        <row r="1297">
          <cell r="I1297" t="str">
            <v>IF120W</v>
          </cell>
          <cell r="J1297">
            <v>153300</v>
          </cell>
        </row>
        <row r="1298">
          <cell r="I1298" t="str">
            <v>IF062W</v>
          </cell>
          <cell r="J1298">
            <v>115000</v>
          </cell>
        </row>
        <row r="1299">
          <cell r="I1299" t="str">
            <v>IF072W</v>
          </cell>
          <cell r="J1299">
            <v>125500</v>
          </cell>
        </row>
        <row r="1300">
          <cell r="I1300" t="str">
            <v>IF082W</v>
          </cell>
          <cell r="J1300">
            <v>136500</v>
          </cell>
        </row>
        <row r="1301">
          <cell r="I1301" t="str">
            <v>IF102W</v>
          </cell>
          <cell r="J1301">
            <v>155400</v>
          </cell>
        </row>
        <row r="1302">
          <cell r="I1302" t="str">
            <v>IF122W</v>
          </cell>
          <cell r="J1302">
            <v>175400</v>
          </cell>
        </row>
        <row r="1303">
          <cell r="I1303" t="str">
            <v>IF064W</v>
          </cell>
          <cell r="J1303">
            <v>132800</v>
          </cell>
        </row>
        <row r="1304">
          <cell r="I1304" t="str">
            <v>IF074W</v>
          </cell>
          <cell r="J1304">
            <v>143300</v>
          </cell>
        </row>
        <row r="1305">
          <cell r="I1305" t="str">
            <v>IF084W</v>
          </cell>
          <cell r="J1305">
            <v>154400</v>
          </cell>
        </row>
        <row r="1306">
          <cell r="I1306" t="str">
            <v>IF104W</v>
          </cell>
          <cell r="J1306">
            <v>173300</v>
          </cell>
        </row>
        <row r="1307">
          <cell r="I1307" t="str">
            <v>IF124W</v>
          </cell>
          <cell r="J1307">
            <v>193200</v>
          </cell>
        </row>
        <row r="1308">
          <cell r="I1308" t="str">
            <v>IF066W</v>
          </cell>
          <cell r="J1308">
            <v>154900</v>
          </cell>
        </row>
        <row r="1309">
          <cell r="I1309" t="str">
            <v>IF076W</v>
          </cell>
          <cell r="J1309">
            <v>168500</v>
          </cell>
        </row>
        <row r="1310">
          <cell r="I1310" t="str">
            <v>IF086W</v>
          </cell>
          <cell r="J1310">
            <v>182700</v>
          </cell>
        </row>
        <row r="1311">
          <cell r="I1311" t="str">
            <v>IF106W</v>
          </cell>
          <cell r="J1311">
            <v>207900</v>
          </cell>
        </row>
        <row r="1312">
          <cell r="I1312" t="str">
            <v>IF126W</v>
          </cell>
          <cell r="J1312">
            <v>234200</v>
          </cell>
        </row>
        <row r="1313">
          <cell r="I1313" t="str">
            <v>IF068W</v>
          </cell>
          <cell r="J1313">
            <v>171700</v>
          </cell>
        </row>
        <row r="1314">
          <cell r="I1314" t="str">
            <v>IF078W</v>
          </cell>
          <cell r="J1314">
            <v>185300</v>
          </cell>
        </row>
        <row r="1315">
          <cell r="I1315" t="str">
            <v>IF088W</v>
          </cell>
          <cell r="J1315">
            <v>199500</v>
          </cell>
        </row>
        <row r="1316">
          <cell r="I1316" t="str">
            <v>IF108W</v>
          </cell>
          <cell r="J1316">
            <v>224700</v>
          </cell>
        </row>
        <row r="1317">
          <cell r="I1317" t="str">
            <v>IF128W</v>
          </cell>
          <cell r="J1317">
            <v>251000</v>
          </cell>
        </row>
        <row r="1318">
          <cell r="I1318" t="str">
            <v>IF062G</v>
          </cell>
          <cell r="J1318">
            <v>116000</v>
          </cell>
        </row>
        <row r="1319">
          <cell r="I1319" t="str">
            <v>IF072G</v>
          </cell>
          <cell r="J1319">
            <v>130700</v>
          </cell>
        </row>
        <row r="1320">
          <cell r="I1320" t="str">
            <v>IF082G</v>
          </cell>
          <cell r="J1320">
            <v>148100</v>
          </cell>
        </row>
        <row r="1321">
          <cell r="I1321" t="str">
            <v>IF102G</v>
          </cell>
          <cell r="J1321">
            <v>176400</v>
          </cell>
        </row>
        <row r="1322">
          <cell r="I1322" t="str">
            <v>IF122G</v>
          </cell>
          <cell r="J1322">
            <v>204800</v>
          </cell>
        </row>
        <row r="1323">
          <cell r="I1323" t="str">
            <v>IF064G</v>
          </cell>
          <cell r="J1323">
            <v>138100</v>
          </cell>
        </row>
        <row r="1324">
          <cell r="I1324" t="str">
            <v>IF074G</v>
          </cell>
          <cell r="J1324">
            <v>152800</v>
          </cell>
        </row>
        <row r="1325">
          <cell r="I1325" t="str">
            <v>IF084G</v>
          </cell>
          <cell r="J1325">
            <v>170100</v>
          </cell>
        </row>
        <row r="1326">
          <cell r="I1326" t="str">
            <v>IF104G</v>
          </cell>
          <cell r="J1326">
            <v>198500</v>
          </cell>
        </row>
        <row r="1327">
          <cell r="I1327" t="str">
            <v>IF124G</v>
          </cell>
          <cell r="J1327">
            <v>226800</v>
          </cell>
        </row>
        <row r="1328">
          <cell r="I1328" t="str">
            <v>IF066G</v>
          </cell>
          <cell r="J1328">
            <v>152800</v>
          </cell>
        </row>
        <row r="1329">
          <cell r="I1329" t="str">
            <v>IF076G</v>
          </cell>
          <cell r="J1329">
            <v>172700</v>
          </cell>
        </row>
        <row r="1330">
          <cell r="I1330" t="str">
            <v>IF086G</v>
          </cell>
          <cell r="J1330">
            <v>196400</v>
          </cell>
        </row>
        <row r="1331">
          <cell r="I1331" t="str">
            <v>IF106G</v>
          </cell>
          <cell r="J1331">
            <v>235200</v>
          </cell>
        </row>
        <row r="1332">
          <cell r="I1332" t="str">
            <v>IF126G</v>
          </cell>
          <cell r="J1332">
            <v>274100</v>
          </cell>
        </row>
        <row r="1333">
          <cell r="I1333" t="str">
            <v>IF068G</v>
          </cell>
          <cell r="J1333">
            <v>173800</v>
          </cell>
        </row>
        <row r="1334">
          <cell r="I1334" t="str">
            <v>IF078G</v>
          </cell>
          <cell r="J1334">
            <v>193700</v>
          </cell>
        </row>
        <row r="1335">
          <cell r="I1335" t="str">
            <v>IF088G</v>
          </cell>
          <cell r="J1335">
            <v>217400</v>
          </cell>
        </row>
        <row r="1336">
          <cell r="I1336" t="str">
            <v>IF108G</v>
          </cell>
          <cell r="J1336">
            <v>256200</v>
          </cell>
        </row>
        <row r="1337">
          <cell r="I1337" t="str">
            <v>IF128G</v>
          </cell>
          <cell r="J1337">
            <v>295100</v>
          </cell>
        </row>
        <row r="1338">
          <cell r="I1338" t="str">
            <v>IF062H</v>
          </cell>
          <cell r="J1338">
            <v>115000</v>
          </cell>
        </row>
        <row r="1339">
          <cell r="I1339" t="str">
            <v>IF072H</v>
          </cell>
          <cell r="J1339">
            <v>127600</v>
          </cell>
        </row>
        <row r="1340">
          <cell r="I1340" t="str">
            <v>IF082H</v>
          </cell>
          <cell r="J1340">
            <v>141800</v>
          </cell>
        </row>
        <row r="1341">
          <cell r="I1341" t="str">
            <v>IF102H</v>
          </cell>
          <cell r="J1341">
            <v>165900</v>
          </cell>
        </row>
        <row r="1342">
          <cell r="I1342" t="str">
            <v>IF122H</v>
          </cell>
          <cell r="J1342">
            <v>190100</v>
          </cell>
        </row>
        <row r="1343">
          <cell r="I1343" t="str">
            <v>IF064H</v>
          </cell>
          <cell r="J1343">
            <v>137000</v>
          </cell>
        </row>
        <row r="1344">
          <cell r="I1344" t="str">
            <v>IF074H</v>
          </cell>
          <cell r="J1344">
            <v>149600</v>
          </cell>
        </row>
        <row r="1345">
          <cell r="I1345" t="str">
            <v>IF084H</v>
          </cell>
          <cell r="J1345">
            <v>163800</v>
          </cell>
        </row>
        <row r="1346">
          <cell r="I1346" t="str">
            <v>IF104H</v>
          </cell>
          <cell r="J1346">
            <v>188000</v>
          </cell>
        </row>
        <row r="1347">
          <cell r="I1347" t="str">
            <v>IF124H</v>
          </cell>
          <cell r="J1347">
            <v>212100</v>
          </cell>
        </row>
        <row r="1348">
          <cell r="I1348" t="str">
            <v>IF066H</v>
          </cell>
          <cell r="J1348">
            <v>154900</v>
          </cell>
        </row>
        <row r="1349">
          <cell r="I1349" t="str">
            <v>IF076H</v>
          </cell>
          <cell r="J1349">
            <v>170600</v>
          </cell>
        </row>
        <row r="1350">
          <cell r="I1350" t="str">
            <v>IF086H</v>
          </cell>
          <cell r="J1350">
            <v>188000</v>
          </cell>
        </row>
        <row r="1351">
          <cell r="I1351" t="str">
            <v>IF106H</v>
          </cell>
          <cell r="J1351">
            <v>218400</v>
          </cell>
        </row>
        <row r="1352">
          <cell r="I1352" t="str">
            <v>IF126H</v>
          </cell>
          <cell r="J1352">
            <v>248900</v>
          </cell>
        </row>
        <row r="1353">
          <cell r="I1353" t="str">
            <v>IF068H</v>
          </cell>
          <cell r="J1353">
            <v>175900</v>
          </cell>
        </row>
        <row r="1354">
          <cell r="I1354" t="str">
            <v>IF078H</v>
          </cell>
          <cell r="J1354">
            <v>191600</v>
          </cell>
        </row>
        <row r="1355">
          <cell r="I1355" t="str">
            <v>IF088H</v>
          </cell>
          <cell r="J1355">
            <v>209000</v>
          </cell>
        </row>
        <row r="1356">
          <cell r="I1356" t="str">
            <v>IF108H</v>
          </cell>
          <cell r="J1356">
            <v>239400</v>
          </cell>
        </row>
        <row r="1357">
          <cell r="I1357" t="str">
            <v>IF128H</v>
          </cell>
          <cell r="J1357">
            <v>269900</v>
          </cell>
        </row>
        <row r="1358">
          <cell r="I1358" t="str">
            <v>IF062B</v>
          </cell>
          <cell r="J1358">
            <v>128600</v>
          </cell>
        </row>
        <row r="1359">
          <cell r="I1359" t="str">
            <v>IF072B</v>
          </cell>
          <cell r="J1359">
            <v>140200</v>
          </cell>
        </row>
        <row r="1360">
          <cell r="I1360" t="str">
            <v>IF082B</v>
          </cell>
          <cell r="J1360">
            <v>152300</v>
          </cell>
        </row>
        <row r="1361">
          <cell r="I1361" t="str">
            <v>IF102B</v>
          </cell>
          <cell r="J1361">
            <v>176400</v>
          </cell>
        </row>
        <row r="1362">
          <cell r="I1362" t="str">
            <v>IF122B</v>
          </cell>
          <cell r="J1362">
            <v>200600</v>
          </cell>
        </row>
        <row r="1363">
          <cell r="I1363" t="str">
            <v>IF064B</v>
          </cell>
          <cell r="J1363">
            <v>148600</v>
          </cell>
        </row>
        <row r="1364">
          <cell r="I1364" t="str">
            <v>IF074B</v>
          </cell>
          <cell r="J1364">
            <v>162200</v>
          </cell>
        </row>
        <row r="1365">
          <cell r="I1365" t="str">
            <v>IF084B</v>
          </cell>
          <cell r="J1365">
            <v>176400</v>
          </cell>
        </row>
        <row r="1366">
          <cell r="I1366" t="str">
            <v>IF104B</v>
          </cell>
          <cell r="J1366">
            <v>202700</v>
          </cell>
        </row>
        <row r="1367">
          <cell r="I1367" t="str">
            <v>IF124B</v>
          </cell>
          <cell r="J1367">
            <v>228900</v>
          </cell>
        </row>
        <row r="1368">
          <cell r="I1368" t="str">
            <v>IF066B</v>
          </cell>
          <cell r="J1368">
            <v>168500</v>
          </cell>
        </row>
        <row r="1369">
          <cell r="I1369" t="str">
            <v>IF076B</v>
          </cell>
          <cell r="J1369">
            <v>183200</v>
          </cell>
        </row>
        <row r="1370">
          <cell r="I1370" t="str">
            <v>IF086B</v>
          </cell>
          <cell r="J1370">
            <v>198500</v>
          </cell>
        </row>
        <row r="1371">
          <cell r="I1371" t="str">
            <v>IF106B</v>
          </cell>
          <cell r="J1371">
            <v>228900</v>
          </cell>
        </row>
        <row r="1372">
          <cell r="I1372" t="str">
            <v>IF126B</v>
          </cell>
          <cell r="J1372">
            <v>259400</v>
          </cell>
        </row>
        <row r="1373">
          <cell r="I1373" t="str">
            <v>IF068B</v>
          </cell>
          <cell r="J1373">
            <v>187400</v>
          </cell>
        </row>
        <row r="1374">
          <cell r="I1374" t="str">
            <v>IF078B</v>
          </cell>
          <cell r="J1374">
            <v>204200</v>
          </cell>
        </row>
        <row r="1375">
          <cell r="I1375" t="str">
            <v>IF088B</v>
          </cell>
          <cell r="J1375">
            <v>221600</v>
          </cell>
        </row>
        <row r="1376">
          <cell r="I1376" t="str">
            <v>IF108B</v>
          </cell>
          <cell r="J1376">
            <v>254100</v>
          </cell>
        </row>
        <row r="1377">
          <cell r="I1377" t="str">
            <v>IF128B</v>
          </cell>
          <cell r="J1377">
            <v>286700</v>
          </cell>
        </row>
        <row r="1378">
          <cell r="I1378" t="str">
            <v>IF066HB</v>
          </cell>
          <cell r="J1378">
            <v>151700</v>
          </cell>
        </row>
        <row r="1379">
          <cell r="I1379" t="str">
            <v>IF076HB</v>
          </cell>
          <cell r="J1379">
            <v>169600</v>
          </cell>
        </row>
        <row r="1380">
          <cell r="I1380" t="str">
            <v>IF086HB</v>
          </cell>
          <cell r="J1380">
            <v>190100</v>
          </cell>
        </row>
        <row r="1381">
          <cell r="I1381" t="str">
            <v>IF106HB</v>
          </cell>
          <cell r="J1381">
            <v>224700</v>
          </cell>
        </row>
        <row r="1382">
          <cell r="I1382" t="str">
            <v>IF126HB</v>
          </cell>
          <cell r="J1382">
            <v>259400</v>
          </cell>
        </row>
        <row r="1383">
          <cell r="I1383" t="str">
            <v>IF068HB</v>
          </cell>
          <cell r="J1383">
            <v>172700</v>
          </cell>
        </row>
        <row r="1384">
          <cell r="I1384" t="str">
            <v>IF078HB</v>
          </cell>
          <cell r="J1384">
            <v>190600</v>
          </cell>
        </row>
        <row r="1385">
          <cell r="I1385" t="str">
            <v>IF088HB</v>
          </cell>
          <cell r="J1385">
            <v>211100</v>
          </cell>
        </row>
        <row r="1386">
          <cell r="I1386" t="str">
            <v>IF108HB</v>
          </cell>
          <cell r="J1386">
            <v>245700</v>
          </cell>
        </row>
        <row r="1387">
          <cell r="I1387" t="str">
            <v>IF128HB</v>
          </cell>
          <cell r="J1387">
            <v>280400</v>
          </cell>
        </row>
        <row r="1388">
          <cell r="I1388" t="str">
            <v>IF062D</v>
          </cell>
          <cell r="J1388">
            <v>123400</v>
          </cell>
        </row>
        <row r="1389">
          <cell r="I1389" t="str">
            <v>IF072D</v>
          </cell>
          <cell r="J1389">
            <v>134400</v>
          </cell>
        </row>
        <row r="1390">
          <cell r="I1390" t="str">
            <v>IF082D</v>
          </cell>
          <cell r="J1390">
            <v>146000</v>
          </cell>
        </row>
        <row r="1391">
          <cell r="I1391" t="str">
            <v>IF102D</v>
          </cell>
          <cell r="J1391">
            <v>168000</v>
          </cell>
        </row>
        <row r="1392">
          <cell r="I1392" t="str">
            <v>IF122D</v>
          </cell>
          <cell r="J1392">
            <v>190100</v>
          </cell>
        </row>
        <row r="1393">
          <cell r="I1393" t="str">
            <v>IF064D</v>
          </cell>
          <cell r="J1393">
            <v>142300</v>
          </cell>
        </row>
        <row r="1394">
          <cell r="I1394" t="str">
            <v>IF074D</v>
          </cell>
          <cell r="J1394">
            <v>154400</v>
          </cell>
        </row>
        <row r="1395">
          <cell r="I1395" t="str">
            <v>IF084D</v>
          </cell>
          <cell r="J1395">
            <v>167000</v>
          </cell>
        </row>
        <row r="1396">
          <cell r="I1396" t="str">
            <v>IF104D</v>
          </cell>
          <cell r="J1396">
            <v>190100</v>
          </cell>
        </row>
        <row r="1397">
          <cell r="I1397" t="str">
            <v>IF124D</v>
          </cell>
          <cell r="J1397">
            <v>213200</v>
          </cell>
        </row>
        <row r="1398">
          <cell r="I1398" t="str">
            <v>IF066D</v>
          </cell>
          <cell r="J1398">
            <v>163300</v>
          </cell>
        </row>
        <row r="1399">
          <cell r="I1399" t="str">
            <v>IF076D</v>
          </cell>
          <cell r="J1399">
            <v>177500</v>
          </cell>
        </row>
        <row r="1400">
          <cell r="I1400" t="str">
            <v>IF086D</v>
          </cell>
          <cell r="J1400">
            <v>192200</v>
          </cell>
        </row>
        <row r="1401">
          <cell r="I1401" t="str">
            <v>IF106D</v>
          </cell>
          <cell r="J1401">
            <v>220500</v>
          </cell>
        </row>
        <row r="1402">
          <cell r="I1402" t="str">
            <v>IF126D</v>
          </cell>
          <cell r="J1402">
            <v>248900</v>
          </cell>
        </row>
        <row r="1403">
          <cell r="I1403" t="str">
            <v>IF068D</v>
          </cell>
          <cell r="J1403">
            <v>181100</v>
          </cell>
        </row>
        <row r="1404">
          <cell r="I1404" t="str">
            <v>IF078D</v>
          </cell>
          <cell r="J1404">
            <v>196400</v>
          </cell>
        </row>
        <row r="1405">
          <cell r="I1405" t="str">
            <v>IF088D</v>
          </cell>
          <cell r="J1405">
            <v>212100</v>
          </cell>
        </row>
        <row r="1406">
          <cell r="I1406" t="str">
            <v>IF108D</v>
          </cell>
          <cell r="J1406">
            <v>241500</v>
          </cell>
        </row>
        <row r="1407">
          <cell r="I1407" t="str">
            <v>IF128D</v>
          </cell>
          <cell r="J1407">
            <v>270900</v>
          </cell>
        </row>
        <row r="1408">
          <cell r="I1408" t="str">
            <v>유리ED008</v>
          </cell>
          <cell r="J1408">
            <v>28000</v>
          </cell>
        </row>
        <row r="1409">
          <cell r="I1409" t="str">
            <v>유리ED012</v>
          </cell>
          <cell r="J1409">
            <v>32000</v>
          </cell>
        </row>
        <row r="1410">
          <cell r="I1410" t="str">
            <v>유리ED014</v>
          </cell>
          <cell r="J1410">
            <v>37000</v>
          </cell>
        </row>
        <row r="1411">
          <cell r="I1411" t="str">
            <v>유리ED016</v>
          </cell>
          <cell r="J1411">
            <v>43000</v>
          </cell>
        </row>
        <row r="1412">
          <cell r="I1412" t="str">
            <v>유리ED018</v>
          </cell>
          <cell r="J1412">
            <v>48000</v>
          </cell>
        </row>
        <row r="1413">
          <cell r="I1413" t="str">
            <v>유리ED018X</v>
          </cell>
          <cell r="J1413">
            <v>50000</v>
          </cell>
        </row>
        <row r="1414">
          <cell r="I1414" t="str">
            <v>유리ED0108</v>
          </cell>
          <cell r="J1414">
            <v>22000</v>
          </cell>
        </row>
        <row r="1415">
          <cell r="I1415" t="str">
            <v>유리ED0112</v>
          </cell>
          <cell r="J1415">
            <v>26000</v>
          </cell>
        </row>
        <row r="1416">
          <cell r="I1416" t="str">
            <v>유리ED0114</v>
          </cell>
          <cell r="J1416">
            <v>28000</v>
          </cell>
        </row>
        <row r="1417">
          <cell r="I1417" t="str">
            <v>유리ED0116</v>
          </cell>
          <cell r="J1417">
            <v>32000</v>
          </cell>
        </row>
        <row r="1418">
          <cell r="I1418" t="str">
            <v>유리ED401</v>
          </cell>
          <cell r="J1418">
            <v>20000</v>
          </cell>
        </row>
        <row r="1419">
          <cell r="I1419" t="str">
            <v>유리ED410</v>
          </cell>
          <cell r="J1419">
            <v>20000</v>
          </cell>
        </row>
        <row r="1420">
          <cell r="I1420" t="str">
            <v>유리ED412</v>
          </cell>
          <cell r="J1420">
            <v>22000</v>
          </cell>
        </row>
        <row r="1421">
          <cell r="I1421" t="str">
            <v>유리ED0706</v>
          </cell>
          <cell r="J1421">
            <v>22000</v>
          </cell>
        </row>
        <row r="1422">
          <cell r="I1422" t="str">
            <v>유리ED0708</v>
          </cell>
          <cell r="J1422">
            <v>27000</v>
          </cell>
        </row>
        <row r="1423">
          <cell r="I1423" t="str">
            <v>유리ED0806</v>
          </cell>
          <cell r="J1423">
            <v>15000</v>
          </cell>
        </row>
        <row r="1424">
          <cell r="I1424" t="str">
            <v>유리ED0808</v>
          </cell>
          <cell r="J1424">
            <v>18000</v>
          </cell>
        </row>
        <row r="1425">
          <cell r="I1425" t="str">
            <v>유리ED5466</v>
          </cell>
          <cell r="J1425">
            <v>22000</v>
          </cell>
        </row>
        <row r="1426">
          <cell r="I1426" t="str">
            <v>유리ED5488</v>
          </cell>
          <cell r="J1426">
            <v>25000</v>
          </cell>
        </row>
        <row r="1427">
          <cell r="I1427" t="str">
            <v>유리ED5966</v>
          </cell>
          <cell r="J1427">
            <v>22000</v>
          </cell>
        </row>
        <row r="1428">
          <cell r="I1428" t="str">
            <v>유리ED5988</v>
          </cell>
          <cell r="J1428">
            <v>25000</v>
          </cell>
        </row>
        <row r="1429">
          <cell r="I1429" t="str">
            <v>유리ED950</v>
          </cell>
          <cell r="J1429">
            <v>40000</v>
          </cell>
        </row>
        <row r="1430">
          <cell r="I1430" t="str">
            <v>유리ED912</v>
          </cell>
          <cell r="J1430">
            <v>28000</v>
          </cell>
        </row>
        <row r="1431">
          <cell r="I1431" t="str">
            <v>유리ED916</v>
          </cell>
          <cell r="J1431">
            <v>43000</v>
          </cell>
        </row>
        <row r="1432">
          <cell r="I1432" t="str">
            <v>유리EZ016</v>
          </cell>
          <cell r="J1432">
            <v>30000</v>
          </cell>
        </row>
        <row r="1433">
          <cell r="I1433" t="str">
            <v>유리TD008</v>
          </cell>
          <cell r="J1433">
            <v>30000</v>
          </cell>
        </row>
        <row r="1434">
          <cell r="I1434" t="str">
            <v>유리TD010</v>
          </cell>
          <cell r="J1434">
            <v>35000</v>
          </cell>
        </row>
        <row r="1435">
          <cell r="I1435" t="str">
            <v>유리TD012</v>
          </cell>
          <cell r="J1435">
            <v>37000</v>
          </cell>
        </row>
        <row r="1436">
          <cell r="I1436" t="str">
            <v>유리TD014</v>
          </cell>
          <cell r="J1436">
            <v>42000</v>
          </cell>
        </row>
        <row r="1437">
          <cell r="I1437" t="str">
            <v>유리TD016</v>
          </cell>
          <cell r="J1437">
            <v>47000</v>
          </cell>
        </row>
        <row r="1438">
          <cell r="I1438" t="str">
            <v>유리TD018</v>
          </cell>
          <cell r="J1438">
            <v>52000</v>
          </cell>
        </row>
        <row r="1439">
          <cell r="I1439" t="str">
            <v>유리TD108</v>
          </cell>
          <cell r="J1439">
            <v>23000</v>
          </cell>
        </row>
        <row r="1440">
          <cell r="I1440" t="str">
            <v>유리TD110</v>
          </cell>
          <cell r="J1440">
            <v>28000</v>
          </cell>
        </row>
        <row r="1441">
          <cell r="I1441" t="str">
            <v>유리TD112</v>
          </cell>
          <cell r="J1441">
            <v>30000</v>
          </cell>
        </row>
        <row r="1442">
          <cell r="I1442" t="str">
            <v>유리TD114</v>
          </cell>
          <cell r="J1442">
            <v>35000</v>
          </cell>
        </row>
        <row r="1443">
          <cell r="I1443" t="str">
            <v>유리TD116</v>
          </cell>
          <cell r="J1443">
            <v>40000</v>
          </cell>
        </row>
        <row r="1444">
          <cell r="I1444" t="str">
            <v>유리TD118</v>
          </cell>
          <cell r="J1444">
            <v>43000</v>
          </cell>
        </row>
        <row r="1445">
          <cell r="I1445" t="str">
            <v>유리TD912</v>
          </cell>
          <cell r="J1445">
            <v>27000</v>
          </cell>
        </row>
        <row r="1446">
          <cell r="I1446" t="str">
            <v>유리TD916</v>
          </cell>
          <cell r="J1446">
            <v>40000</v>
          </cell>
        </row>
        <row r="1447">
          <cell r="I1447" t="str">
            <v>유리TD990</v>
          </cell>
          <cell r="J1447">
            <v>42000</v>
          </cell>
        </row>
        <row r="1448">
          <cell r="I1448" t="str">
            <v>유리TD966</v>
          </cell>
          <cell r="J1448">
            <v>32000</v>
          </cell>
        </row>
        <row r="1449">
          <cell r="I1449" t="str">
            <v>유리TD988</v>
          </cell>
          <cell r="J1449">
            <v>43000</v>
          </cell>
        </row>
        <row r="1450">
          <cell r="I1450" t="str">
            <v>유리TD412</v>
          </cell>
          <cell r="J1450">
            <v>20000</v>
          </cell>
        </row>
        <row r="1451">
          <cell r="I1451" t="str">
            <v>유리TD508</v>
          </cell>
          <cell r="J1451">
            <v>46000</v>
          </cell>
        </row>
        <row r="1452">
          <cell r="I1452" t="str">
            <v>유리TD507</v>
          </cell>
          <cell r="J1452">
            <v>46000</v>
          </cell>
        </row>
        <row r="1453">
          <cell r="I1453" t="str">
            <v>유리TD518</v>
          </cell>
          <cell r="J1453">
            <v>35000</v>
          </cell>
        </row>
        <row r="1454">
          <cell r="I1454" t="str">
            <v>유리TD516</v>
          </cell>
          <cell r="J1454">
            <v>30000</v>
          </cell>
        </row>
        <row r="1455">
          <cell r="I1455" t="str">
            <v>유리NT0006</v>
          </cell>
          <cell r="J1455">
            <v>18000</v>
          </cell>
        </row>
        <row r="1456">
          <cell r="I1456" t="str">
            <v>유리NT0008</v>
          </cell>
          <cell r="J1456">
            <v>23000</v>
          </cell>
        </row>
        <row r="1457">
          <cell r="I1457" t="str">
            <v>유리NT0010</v>
          </cell>
          <cell r="J1457">
            <v>28000</v>
          </cell>
        </row>
        <row r="1458">
          <cell r="I1458" t="str">
            <v>유리NT0012</v>
          </cell>
          <cell r="J1458">
            <v>32000</v>
          </cell>
        </row>
        <row r="1459">
          <cell r="I1459" t="str">
            <v>유리NT0016</v>
          </cell>
          <cell r="J1459">
            <v>43000</v>
          </cell>
        </row>
        <row r="1460">
          <cell r="I1460" t="str">
            <v>유리NT0018</v>
          </cell>
          <cell r="J1460">
            <v>45000</v>
          </cell>
        </row>
        <row r="1461">
          <cell r="I1461" t="str">
            <v>유리NT0106</v>
          </cell>
          <cell r="J1461">
            <v>18000</v>
          </cell>
        </row>
        <row r="1462">
          <cell r="I1462" t="str">
            <v>유리NT0108</v>
          </cell>
          <cell r="J1462">
            <v>22000</v>
          </cell>
        </row>
        <row r="1463">
          <cell r="I1463" t="str">
            <v>유리NT0110</v>
          </cell>
          <cell r="J1463">
            <v>23000</v>
          </cell>
        </row>
        <row r="1464">
          <cell r="I1464" t="str">
            <v>유리NT0112</v>
          </cell>
          <cell r="J1464">
            <v>25000</v>
          </cell>
        </row>
        <row r="1465">
          <cell r="I1465" t="str">
            <v>유리NT0114</v>
          </cell>
          <cell r="J1465">
            <v>30000</v>
          </cell>
        </row>
        <row r="1466">
          <cell r="I1466" t="str">
            <v>유리NT0116</v>
          </cell>
          <cell r="J1466">
            <v>34000</v>
          </cell>
        </row>
        <row r="1467">
          <cell r="I1467" t="str">
            <v>유리NT0118</v>
          </cell>
          <cell r="J1467">
            <v>38000</v>
          </cell>
        </row>
        <row r="1468">
          <cell r="I1468" t="str">
            <v>유리NT966</v>
          </cell>
          <cell r="J1468">
            <v>40000</v>
          </cell>
        </row>
        <row r="1469">
          <cell r="I1469" t="str">
            <v>유리NT5566</v>
          </cell>
          <cell r="J1469">
            <v>47000</v>
          </cell>
        </row>
        <row r="1470">
          <cell r="I1470" t="str">
            <v>유리NT988</v>
          </cell>
          <cell r="J1470">
            <v>45000</v>
          </cell>
        </row>
        <row r="1471">
          <cell r="I1471" t="str">
            <v>유리NT912</v>
          </cell>
          <cell r="J1471">
            <v>28000</v>
          </cell>
        </row>
        <row r="1472">
          <cell r="I1472" t="str">
            <v>유리NT916</v>
          </cell>
          <cell r="J1472">
            <v>38000</v>
          </cell>
        </row>
        <row r="1473">
          <cell r="I1473" t="str">
            <v>유리NT918</v>
          </cell>
          <cell r="J1473">
            <v>45000</v>
          </cell>
        </row>
        <row r="1474">
          <cell r="I1474" t="str">
            <v>유리NT5586</v>
          </cell>
          <cell r="J1474">
            <v>50000</v>
          </cell>
        </row>
        <row r="1475">
          <cell r="I1475" t="str">
            <v>유리NT5588</v>
          </cell>
          <cell r="J1475">
            <v>52000</v>
          </cell>
        </row>
        <row r="1476">
          <cell r="I1476" t="str">
            <v>유리YD018</v>
          </cell>
          <cell r="J1476">
            <v>60000</v>
          </cell>
        </row>
        <row r="1477">
          <cell r="I1477" t="str">
            <v>유리YD412</v>
          </cell>
          <cell r="J1477">
            <v>25000</v>
          </cell>
        </row>
        <row r="1478">
          <cell r="I1478" t="str">
            <v>유리YD990</v>
          </cell>
          <cell r="J1478">
            <v>40000</v>
          </cell>
        </row>
        <row r="1479">
          <cell r="I1479" t="str">
            <v>유리CR009</v>
          </cell>
          <cell r="J1479">
            <v>27000</v>
          </cell>
        </row>
        <row r="1480">
          <cell r="I1480" t="str">
            <v>유리CR012</v>
          </cell>
          <cell r="J1480">
            <v>40000</v>
          </cell>
        </row>
        <row r="1481">
          <cell r="I1481" t="str">
            <v>유리CR018</v>
          </cell>
          <cell r="J1481">
            <v>48000</v>
          </cell>
        </row>
        <row r="1482">
          <cell r="I1482" t="str">
            <v>유리CR024</v>
          </cell>
          <cell r="J1482">
            <v>75000</v>
          </cell>
        </row>
        <row r="1483">
          <cell r="I1483" t="str">
            <v>유리SR009</v>
          </cell>
          <cell r="J1483">
            <v>25000</v>
          </cell>
        </row>
        <row r="1484">
          <cell r="I1484" t="str">
            <v>유리SR012</v>
          </cell>
          <cell r="J1484">
            <v>40000</v>
          </cell>
        </row>
        <row r="1485">
          <cell r="I1485" t="str">
            <v>유리SR018</v>
          </cell>
          <cell r="J1485">
            <v>46000</v>
          </cell>
        </row>
        <row r="1486">
          <cell r="I1486" t="str">
            <v>유리SR024S</v>
          </cell>
          <cell r="J1486">
            <v>62000</v>
          </cell>
        </row>
        <row r="1487">
          <cell r="I1487" t="str">
            <v>유리SR024</v>
          </cell>
          <cell r="J1487">
            <v>70000</v>
          </cell>
        </row>
        <row r="1488">
          <cell r="I1488" t="str">
            <v>유리SR032</v>
          </cell>
          <cell r="J1488">
            <v>85000</v>
          </cell>
        </row>
        <row r="1489">
          <cell r="I1489" t="str">
            <v>유리PD018</v>
          </cell>
          <cell r="J1489">
            <v>56000</v>
          </cell>
        </row>
        <row r="1490">
          <cell r="I1490" t="str">
            <v>유리PD021</v>
          </cell>
          <cell r="J1490">
            <v>72000</v>
          </cell>
        </row>
        <row r="1491">
          <cell r="I1491" t="str">
            <v>유리PD414</v>
          </cell>
          <cell r="J1491">
            <v>28000</v>
          </cell>
        </row>
        <row r="1492">
          <cell r="I1492" t="str">
            <v>유리EL0112</v>
          </cell>
          <cell r="J1492">
            <v>25000</v>
          </cell>
        </row>
        <row r="1493">
          <cell r="I1493" t="str">
            <v>유리EL0104</v>
          </cell>
          <cell r="J1493">
            <v>15000</v>
          </cell>
        </row>
        <row r="1494">
          <cell r="I1494" t="str">
            <v>유리CL0207</v>
          </cell>
          <cell r="J1494">
            <v>26000</v>
          </cell>
        </row>
        <row r="1495">
          <cell r="I1495" t="str">
            <v>유리CL0212</v>
          </cell>
          <cell r="J1495">
            <v>25000</v>
          </cell>
        </row>
        <row r="1496">
          <cell r="I1496" t="str">
            <v>유리CL0204</v>
          </cell>
          <cell r="J1496">
            <v>18000</v>
          </cell>
        </row>
        <row r="1497">
          <cell r="I1497" t="str">
            <v>유리LD021</v>
          </cell>
          <cell r="J1497">
            <v>70000</v>
          </cell>
        </row>
        <row r="1498">
          <cell r="I1498" t="str">
            <v>유리LD018</v>
          </cell>
          <cell r="J1498">
            <v>45000</v>
          </cell>
        </row>
        <row r="1499">
          <cell r="I1499" t="str">
            <v>유리LZ01</v>
          </cell>
          <cell r="J1499">
            <v>40000</v>
          </cell>
        </row>
        <row r="1500">
          <cell r="I1500" t="str">
            <v>유리LZ11</v>
          </cell>
          <cell r="J1500">
            <v>30000</v>
          </cell>
        </row>
        <row r="1501">
          <cell r="I1501" t="str">
            <v>유리LL016</v>
          </cell>
          <cell r="J1501">
            <v>45000</v>
          </cell>
        </row>
        <row r="1502">
          <cell r="I1502" t="str">
            <v>유리LL008</v>
          </cell>
          <cell r="J1502">
            <v>25000</v>
          </cell>
        </row>
        <row r="1503">
          <cell r="I1503" t="str">
            <v>유리LL0007</v>
          </cell>
          <cell r="J1503">
            <v>18000</v>
          </cell>
        </row>
        <row r="1504">
          <cell r="I1504" t="str">
            <v>유리CR1107</v>
          </cell>
          <cell r="J1504">
            <v>18000</v>
          </cell>
        </row>
        <row r="1505">
          <cell r="I1505" t="str">
            <v>유리CR1115</v>
          </cell>
          <cell r="J1505">
            <v>25000</v>
          </cell>
        </row>
        <row r="1506">
          <cell r="I1506" t="str">
            <v>유리CR1166</v>
          </cell>
          <cell r="J1506">
            <v>25000</v>
          </cell>
        </row>
        <row r="1507">
          <cell r="I1507" t="str">
            <v>유리CR1007</v>
          </cell>
          <cell r="J1507">
            <v>20000</v>
          </cell>
        </row>
        <row r="1508">
          <cell r="I1508" t="str">
            <v>유리CR1015</v>
          </cell>
          <cell r="J1508">
            <v>40000</v>
          </cell>
        </row>
        <row r="1509">
          <cell r="I1509" t="str">
            <v>유리CR1066</v>
          </cell>
          <cell r="J1509">
            <v>45000</v>
          </cell>
        </row>
        <row r="1510">
          <cell r="I1510" t="str">
            <v>유리CR3118</v>
          </cell>
          <cell r="J1510">
            <v>30000</v>
          </cell>
        </row>
        <row r="1511">
          <cell r="I1511" t="str">
            <v>유리SD008</v>
          </cell>
          <cell r="J1511">
            <v>23000</v>
          </cell>
        </row>
        <row r="1512">
          <cell r="I1512" t="str">
            <v>유리SD008L</v>
          </cell>
          <cell r="J1512">
            <v>23000</v>
          </cell>
        </row>
        <row r="1513">
          <cell r="I1513" t="str">
            <v>유리SD008R</v>
          </cell>
          <cell r="J1513">
            <v>23000</v>
          </cell>
        </row>
        <row r="1514">
          <cell r="I1514" t="str">
            <v>유리SD012</v>
          </cell>
          <cell r="J1514">
            <v>30000</v>
          </cell>
        </row>
        <row r="1515">
          <cell r="I1515" t="str">
            <v>유리SD012L</v>
          </cell>
          <cell r="J1515">
            <v>30000</v>
          </cell>
        </row>
        <row r="1516">
          <cell r="I1516" t="str">
            <v>유리SD012R</v>
          </cell>
          <cell r="J1516">
            <v>30000</v>
          </cell>
        </row>
        <row r="1517">
          <cell r="I1517" t="str">
            <v>유리SD014</v>
          </cell>
          <cell r="J1517">
            <v>40000</v>
          </cell>
        </row>
        <row r="1518">
          <cell r="I1518" t="str">
            <v>유리SD014L</v>
          </cell>
          <cell r="J1518">
            <v>40000</v>
          </cell>
        </row>
        <row r="1519">
          <cell r="I1519" t="str">
            <v>유리SD014R</v>
          </cell>
          <cell r="J1519">
            <v>40000</v>
          </cell>
        </row>
        <row r="1520">
          <cell r="I1520" t="str">
            <v>유리SD016</v>
          </cell>
          <cell r="J1520">
            <v>50000</v>
          </cell>
        </row>
        <row r="1521">
          <cell r="I1521" t="str">
            <v>유리SD016R</v>
          </cell>
          <cell r="J1521">
            <v>50000</v>
          </cell>
        </row>
        <row r="1522">
          <cell r="I1522" t="str">
            <v>유리SD016L</v>
          </cell>
          <cell r="J1522">
            <v>50000</v>
          </cell>
        </row>
        <row r="1523">
          <cell r="I1523" t="str">
            <v>유리SD316R</v>
          </cell>
          <cell r="J1523">
            <v>60000</v>
          </cell>
        </row>
        <row r="1524">
          <cell r="I1524" t="str">
            <v>유리SD316L</v>
          </cell>
          <cell r="J1524">
            <v>60000</v>
          </cell>
        </row>
        <row r="1525">
          <cell r="I1525" t="str">
            <v>유리SD507</v>
          </cell>
          <cell r="J1525">
            <v>40000</v>
          </cell>
        </row>
        <row r="1526">
          <cell r="I1526" t="str">
            <v>유리SD517</v>
          </cell>
          <cell r="J1526">
            <v>30000</v>
          </cell>
        </row>
        <row r="1527">
          <cell r="I1527" t="str">
            <v>유리SD547</v>
          </cell>
          <cell r="J1527">
            <v>18000</v>
          </cell>
        </row>
        <row r="1528">
          <cell r="I1528" t="str">
            <v>유리SD597</v>
          </cell>
          <cell r="J1528">
            <v>23000</v>
          </cell>
        </row>
        <row r="1529">
          <cell r="I1529" t="str">
            <v>유리SD406L</v>
          </cell>
          <cell r="J1529">
            <v>15000</v>
          </cell>
        </row>
        <row r="1530">
          <cell r="I1530" t="str">
            <v>유리SD406R</v>
          </cell>
          <cell r="J1530">
            <v>15000</v>
          </cell>
        </row>
        <row r="1531">
          <cell r="I1531" t="str">
            <v>유리SD912</v>
          </cell>
          <cell r="J1531">
            <v>23000</v>
          </cell>
        </row>
        <row r="1532">
          <cell r="I1532" t="str">
            <v>유리SD955</v>
          </cell>
          <cell r="J1532">
            <v>20000</v>
          </cell>
        </row>
        <row r="1533">
          <cell r="I1533" t="str">
            <v>유리SD977</v>
          </cell>
          <cell r="J1533">
            <v>34000</v>
          </cell>
        </row>
        <row r="1534">
          <cell r="I1534" t="str">
            <v>유리SD927L</v>
          </cell>
          <cell r="J1534">
            <v>40000</v>
          </cell>
        </row>
        <row r="1535">
          <cell r="I1535" t="str">
            <v>유리SD927R</v>
          </cell>
          <cell r="J1535">
            <v>40000</v>
          </cell>
        </row>
        <row r="1536">
          <cell r="I1536" t="str">
            <v>유리SD990</v>
          </cell>
          <cell r="J1536">
            <v>42000</v>
          </cell>
        </row>
        <row r="1537">
          <cell r="I1537" t="str">
            <v>유리SD0300</v>
          </cell>
          <cell r="J1537">
            <v>15000</v>
          </cell>
        </row>
        <row r="1538">
          <cell r="I1538" t="str">
            <v>유리SD662</v>
          </cell>
          <cell r="J1538">
            <v>18000</v>
          </cell>
        </row>
        <row r="1539">
          <cell r="I1539" t="str">
            <v>유리IT0008</v>
          </cell>
          <cell r="J1539">
            <v>24000</v>
          </cell>
        </row>
        <row r="1540">
          <cell r="I1540" t="str">
            <v>유리IT0008L</v>
          </cell>
          <cell r="J1540">
            <v>24000</v>
          </cell>
        </row>
        <row r="1541">
          <cell r="I1541" t="str">
            <v>유리IT0008R</v>
          </cell>
          <cell r="J1541">
            <v>24000</v>
          </cell>
        </row>
        <row r="1542">
          <cell r="I1542" t="str">
            <v>유리IT0010</v>
          </cell>
          <cell r="J1542">
            <v>30000</v>
          </cell>
        </row>
        <row r="1543">
          <cell r="I1543" t="str">
            <v>유리IT0010L</v>
          </cell>
          <cell r="J1543">
            <v>30000</v>
          </cell>
        </row>
        <row r="1544">
          <cell r="I1544" t="str">
            <v>유리IT0010R</v>
          </cell>
          <cell r="J1544">
            <v>30000</v>
          </cell>
        </row>
        <row r="1545">
          <cell r="I1545" t="str">
            <v>유리IT0012</v>
          </cell>
          <cell r="J1545">
            <v>32000</v>
          </cell>
        </row>
        <row r="1546">
          <cell r="I1546" t="str">
            <v>유리IT0012L</v>
          </cell>
          <cell r="J1546">
            <v>32000</v>
          </cell>
        </row>
        <row r="1547">
          <cell r="I1547" t="str">
            <v>유리IT0012R</v>
          </cell>
          <cell r="J1547">
            <v>32000</v>
          </cell>
        </row>
        <row r="1548">
          <cell r="I1548" t="str">
            <v>유리IT0116</v>
          </cell>
          <cell r="J1548">
            <v>38000</v>
          </cell>
        </row>
        <row r="1549">
          <cell r="I1549" t="str">
            <v>유리IT0118</v>
          </cell>
          <cell r="J1549">
            <v>40000</v>
          </cell>
        </row>
        <row r="1550">
          <cell r="I1550" t="str">
            <v>유리IT5066</v>
          </cell>
          <cell r="J1550">
            <v>42000</v>
          </cell>
        </row>
        <row r="1551">
          <cell r="I1551" t="str">
            <v>유리IT5077</v>
          </cell>
          <cell r="J1551">
            <v>45000</v>
          </cell>
        </row>
        <row r="1552">
          <cell r="I1552" t="str">
            <v>유리IT912</v>
          </cell>
          <cell r="J1552">
            <v>27000</v>
          </cell>
        </row>
        <row r="1553">
          <cell r="I1553" t="str">
            <v>유리IT916</v>
          </cell>
          <cell r="J1553">
            <v>43000</v>
          </cell>
        </row>
        <row r="1554">
          <cell r="I1554" t="str">
            <v>유리IT966</v>
          </cell>
          <cell r="J1554">
            <v>28000</v>
          </cell>
        </row>
        <row r="1555">
          <cell r="I1555" t="str">
            <v>유리IT977</v>
          </cell>
          <cell r="J1555">
            <v>43000</v>
          </cell>
        </row>
        <row r="1556">
          <cell r="I1556" t="str">
            <v>유리IT926L</v>
          </cell>
          <cell r="J1556">
            <v>43000</v>
          </cell>
        </row>
        <row r="1557">
          <cell r="I1557" t="str">
            <v>유리IT926R</v>
          </cell>
          <cell r="J1557">
            <v>43000</v>
          </cell>
        </row>
        <row r="1558">
          <cell r="I1558" t="str">
            <v>유리IT927L</v>
          </cell>
          <cell r="J1558">
            <v>43000</v>
          </cell>
        </row>
        <row r="1559">
          <cell r="I1559" t="str">
            <v>유리IT927R</v>
          </cell>
          <cell r="J1559">
            <v>43000</v>
          </cell>
        </row>
        <row r="1560">
          <cell r="I1560" t="str">
            <v>유리IT912DL</v>
          </cell>
          <cell r="J1560">
            <v>38000</v>
          </cell>
        </row>
        <row r="1561">
          <cell r="I1561" t="str">
            <v>유리IT912DR</v>
          </cell>
          <cell r="J1561">
            <v>38000</v>
          </cell>
        </row>
        <row r="1562">
          <cell r="I1562" t="str">
            <v>유리IT918DL</v>
          </cell>
          <cell r="J1562">
            <v>43000</v>
          </cell>
        </row>
        <row r="1563">
          <cell r="I1563" t="str">
            <v>유리IT918DR</v>
          </cell>
          <cell r="J1563">
            <v>43000</v>
          </cell>
        </row>
        <row r="1564">
          <cell r="I1564" t="str">
            <v>유리IT912CL</v>
          </cell>
          <cell r="J1564">
            <v>38000</v>
          </cell>
        </row>
        <row r="1565">
          <cell r="I1565" t="str">
            <v>유리IT912CR</v>
          </cell>
          <cell r="J1565">
            <v>38000</v>
          </cell>
        </row>
        <row r="1566">
          <cell r="I1566" t="str">
            <v>유리IT918CL</v>
          </cell>
          <cell r="J1566">
            <v>43000</v>
          </cell>
        </row>
        <row r="1567">
          <cell r="I1567" t="str">
            <v>유리IT918CR</v>
          </cell>
          <cell r="J1567">
            <v>43000</v>
          </cell>
        </row>
        <row r="1568">
          <cell r="I1568" t="str">
            <v>유리IT2004</v>
          </cell>
          <cell r="J1568">
            <v>15000</v>
          </cell>
        </row>
        <row r="1569">
          <cell r="I1569" t="str">
            <v>유리IT2005</v>
          </cell>
          <cell r="J1569">
            <v>15000</v>
          </cell>
        </row>
        <row r="1570">
          <cell r="I1570" t="str">
            <v>유리IT2006</v>
          </cell>
          <cell r="J1570">
            <v>15000</v>
          </cell>
        </row>
        <row r="1571">
          <cell r="I1571" t="str">
            <v>유리IT2007</v>
          </cell>
          <cell r="J1571">
            <v>17000</v>
          </cell>
        </row>
        <row r="1572">
          <cell r="I1572" t="str">
            <v>유리IT2008</v>
          </cell>
          <cell r="J1572">
            <v>20000</v>
          </cell>
        </row>
        <row r="1573">
          <cell r="I1573" t="str">
            <v>유리IT2010</v>
          </cell>
          <cell r="J1573">
            <v>20000</v>
          </cell>
        </row>
        <row r="1574">
          <cell r="I1574" t="str">
            <v>유리IT2012</v>
          </cell>
          <cell r="J1574">
            <v>22000</v>
          </cell>
        </row>
        <row r="1575">
          <cell r="I1575" t="str">
            <v>유리IT2014</v>
          </cell>
          <cell r="J1575">
            <v>25000</v>
          </cell>
        </row>
        <row r="1576">
          <cell r="I1576" t="str">
            <v>유리IT2016</v>
          </cell>
          <cell r="J1576">
            <v>28000</v>
          </cell>
        </row>
        <row r="1577">
          <cell r="I1577" t="str">
            <v>유리IT2122</v>
          </cell>
          <cell r="J1577">
            <v>15000</v>
          </cell>
        </row>
        <row r="1578">
          <cell r="I1578" t="str">
            <v>유리IT2204</v>
          </cell>
          <cell r="J1578">
            <v>15000</v>
          </cell>
        </row>
        <row r="1579">
          <cell r="I1579" t="str">
            <v>유리IT2205</v>
          </cell>
          <cell r="J1579">
            <v>15000</v>
          </cell>
        </row>
        <row r="1580">
          <cell r="I1580" t="str">
            <v>유리IT2206</v>
          </cell>
          <cell r="J1580">
            <v>18000</v>
          </cell>
        </row>
        <row r="1581">
          <cell r="I1581" t="str">
            <v>유리IT2207</v>
          </cell>
          <cell r="J1581">
            <v>20000</v>
          </cell>
        </row>
        <row r="1582">
          <cell r="I1582" t="str">
            <v>유리IT2208</v>
          </cell>
          <cell r="J1582">
            <v>22000</v>
          </cell>
        </row>
        <row r="1583">
          <cell r="I1583" t="str">
            <v>유리IT2210</v>
          </cell>
          <cell r="J1583">
            <v>22000</v>
          </cell>
        </row>
        <row r="1584">
          <cell r="I1584" t="str">
            <v>유리IT2212</v>
          </cell>
          <cell r="J1584">
            <v>25000</v>
          </cell>
        </row>
        <row r="1585">
          <cell r="I1585" t="str">
            <v>유리PL0904</v>
          </cell>
          <cell r="J1585">
            <v>18000</v>
          </cell>
        </row>
        <row r="1586">
          <cell r="I1586" t="str">
            <v>유리PL0908</v>
          </cell>
          <cell r="J1586">
            <v>28000</v>
          </cell>
        </row>
        <row r="1587">
          <cell r="I1587" t="str">
            <v>유리PL0912</v>
          </cell>
          <cell r="J1587">
            <v>30000</v>
          </cell>
        </row>
        <row r="1588">
          <cell r="I1588" t="str">
            <v>유리PL0914</v>
          </cell>
          <cell r="J1588">
            <v>34000</v>
          </cell>
        </row>
        <row r="1589">
          <cell r="I1589" t="str">
            <v>유리CR2008</v>
          </cell>
          <cell r="J1589">
            <v>28000</v>
          </cell>
        </row>
        <row r="1590">
          <cell r="I1590" t="str">
            <v>유리CR2590</v>
          </cell>
          <cell r="J1590">
            <v>28000</v>
          </cell>
        </row>
        <row r="1591">
          <cell r="I1591" t="str">
            <v>유리CR2016</v>
          </cell>
          <cell r="J1591">
            <v>42000</v>
          </cell>
        </row>
        <row r="1592">
          <cell r="I1592" t="str">
            <v>유리CC1083</v>
          </cell>
          <cell r="J1592">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refreshError="1"/>
      <sheetData sheetId="445" refreshError="1"/>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refreshError="1"/>
      <sheetData sheetId="608"/>
      <sheetData sheetId="609" refreshError="1"/>
      <sheetData sheetId="610" refreshError="1"/>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refreshError="1"/>
      <sheetData sheetId="707" refreshError="1"/>
      <sheetData sheetId="708"/>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
      <sheetName val="갑지"/>
      <sheetName val="을"/>
      <sheetName val="별첨"/>
      <sheetName val="est"/>
      <sheetName val="예산서ALT-1"/>
      <sheetName val="cover-1"/>
      <sheetName val="보고서"/>
      <sheetName val="한글갑지"/>
      <sheetName val="설계내역서"/>
      <sheetName val="FURNITURE-01"/>
      <sheetName val="소비자가"/>
      <sheetName val="내역"/>
    </sheetNames>
    <sheetDataSet>
      <sheetData sheetId="0"/>
      <sheetData sheetId="1" refreshError="1">
        <row r="2">
          <cell r="I2">
            <v>0.8</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안내"/>
      <sheetName val="기본절차"/>
      <sheetName val="기본사항"/>
      <sheetName val="급여대장"/>
      <sheetName val="과거대장"/>
      <sheetName val="일용노무비대장"/>
      <sheetName val="양식"/>
      <sheetName val="납부서"/>
      <sheetName val="환산"/>
      <sheetName val="코드"/>
      <sheetName val="주민세"/>
      <sheetName val="갑근세"/>
      <sheetName val="간이세액표"/>
      <sheetName val="노임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주차(현행)"/>
      <sheetName val="경비(현행)"/>
      <sheetName val="안내도우미(현행)"/>
      <sheetName val="시설(현행)"/>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Sheet1"/>
      <sheetName val="Total"/>
      <sheetName val="일위(PN)"/>
      <sheetName val="남양구조시험동"/>
      <sheetName val="J直材4"/>
      <sheetName val="손익"/>
      <sheetName val="일위대가"/>
      <sheetName val="기숙사(파주)_프로에스콤"/>
      <sheetName val="거제도"/>
      <sheetName val="운동장 (2)"/>
      <sheetName val="장비당단가_(1)"/>
      <sheetName val="간_지1"/>
      <sheetName val="2_대외공문"/>
      <sheetName val="부진점(10.09)"/>
      <sheetName val="K(비품-사무용1)"/>
      <sheetName val="FC-101"/>
      <sheetName val="TABLE DB"/>
      <sheetName val="쌍용 data base"/>
      <sheetName val="간접"/>
      <sheetName val="분류"/>
      <sheetName val="노무비"/>
      <sheetName val="데이타"/>
      <sheetName val="Project Brief"/>
      <sheetName val="갑지"/>
      <sheetName val="을지"/>
      <sheetName val="통관비용"/>
      <sheetName val="spare"/>
      <sheetName val="투자비상환"/>
      <sheetName val="COVER"/>
      <sheetName val="검토기준"/>
      <sheetName val="산출근거_성능값"/>
      <sheetName val="계산근거"/>
      <sheetName val="요약"/>
      <sheetName val="분석_CASE1"/>
      <sheetName val="분석_CASE2"/>
      <sheetName val="분석_CASE3"/>
      <sheetName val="분석_CASE4"/>
      <sheetName val="13.Op. Activities"/>
      <sheetName val="식대견적"/>
      <sheetName val="外周区 "/>
      <sheetName val="2 카드채권(대출포함)"/>
      <sheetName val="소일위대가코드표"/>
      <sheetName val="BMC009"/>
      <sheetName val="1Month+Sheet2!"/>
      <sheetName val="Facility Information"/>
      <sheetName val="General"/>
      <sheetName val="Instructions"/>
      <sheetName val="People"/>
      <sheetName val="Quality"/>
      <sheetName val="Risk"/>
      <sheetName val="Training"/>
      <sheetName val="Prices"/>
      <sheetName val="Assumption"/>
      <sheetName val="의왕F사"/>
      <sheetName val="가공사"/>
      <sheetName val="의령"/>
      <sheetName val="대구"/>
      <sheetName val="안성"/>
      <sheetName val="재무가정"/>
      <sheetName val="118.세금과공과"/>
      <sheetName val="108.수선비"/>
      <sheetName val="'94자산"/>
      <sheetName val="근무변경검토"/>
      <sheetName val="Operational Activities"/>
      <sheetName val="17.채용자명단"/>
      <sheetName val="Project_Brief"/>
      <sheetName val="外周区_"/>
      <sheetName val="13_Op__Activities"/>
      <sheetName val="Facility_Information"/>
      <sheetName val="2_카드채권(대출포함)"/>
      <sheetName val="1ST"/>
      <sheetName val="표지"/>
      <sheetName val="CM 1"/>
      <sheetName val="입찰안"/>
      <sheetName val="일위대가(가설)"/>
      <sheetName val="CAL1"/>
      <sheetName val="단가비교"/>
      <sheetName val="입찰품의서"/>
      <sheetName val="체계"/>
      <sheetName val="하조서"/>
      <sheetName val="효율표"/>
      <sheetName val="공사설계서"/>
      <sheetName val="인근점포"/>
      <sheetName val="절감계산"/>
      <sheetName val="항목"/>
      <sheetName val="COA-17"/>
      <sheetName val="C-18"/>
      <sheetName val="할증 "/>
      <sheetName val="충주"/>
      <sheetName val="기본사항"/>
      <sheetName val="vlookup"/>
      <sheetName val="Scope Functional Categories"/>
      <sheetName val="GL Codes"/>
      <sheetName val="단가산출"/>
      <sheetName val="15.Op. Activities"/>
      <sheetName val="실행(1)"/>
      <sheetName val="CTEMCOST"/>
      <sheetName val="예산작성기준(전기)"/>
      <sheetName val="95삼성급(본사)"/>
      <sheetName val="#REF"/>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Utility Cost Trend"/>
      <sheetName val="납부서"/>
      <sheetName val="산출내역서집계표"/>
      <sheetName val="목록"/>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POOM_MOTO"/>
      <sheetName val="POOM_MOTO2"/>
      <sheetName val="목표세부명세"/>
      <sheetName val="Utility Usage엠닷컴 26"/>
      <sheetName val="직공비"/>
      <sheetName val="점수계산1-2"/>
      <sheetName val="신규투자종합"/>
      <sheetName val="직노"/>
      <sheetName val="dV&amp;Cl"/>
      <sheetName val="CAP"/>
      <sheetName val="변수"/>
      <sheetName val="전압하강"/>
      <sheetName val="F-T Voltage"/>
      <sheetName val="Var."/>
      <sheetName val="영업.일1"/>
      <sheetName val="18"/>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マスタ"/>
      <sheetName val="1월"/>
      <sheetName val="Drop-down"/>
      <sheetName val="2공구산출내역"/>
      <sheetName val="Template"/>
      <sheetName val="入力用(家賃)"/>
      <sheetName val="入力用(駐車)"/>
      <sheetName val="5.위험군현황,Watch등급(양식)"/>
      <sheetName val="6.FocusSupplie(양식)"/>
      <sheetName val="입력"/>
      <sheetName val="준검 내역서"/>
      <sheetName val="FAB별"/>
      <sheetName val="조명율표"/>
      <sheetName val="wall"/>
      <sheetName val="Front"/>
      <sheetName val="업무용유지비실적"/>
      <sheetName val="자재단가"/>
      <sheetName val="N賃率-職"/>
      <sheetName val="단양 00 아파트-세부내역"/>
      <sheetName val="중기조종사 단위단가"/>
      <sheetName val="노무비 근거"/>
      <sheetName val="DB"/>
      <sheetName val="OPREV(대한)"/>
      <sheetName val="식음료"/>
      <sheetName val="설계내역서"/>
      <sheetName val="증감내역서"/>
      <sheetName val="하수급견적대비"/>
      <sheetName val="을 2"/>
      <sheetName val="을 1"/>
      <sheetName val="s"/>
      <sheetName val="인건-측정"/>
      <sheetName val="주식"/>
      <sheetName val="고합"/>
      <sheetName val="조건"/>
      <sheetName val="입찰보고"/>
      <sheetName val="시중노임단가"/>
      <sheetName val="투찰(하수)"/>
      <sheetName val="배수통관(좌)"/>
      <sheetName val="중기사용료"/>
      <sheetName val="확약서"/>
      <sheetName val="익월작업계힉"/>
      <sheetName val="(Monthly)"/>
      <sheetName val="장비당단가_(1)1"/>
      <sheetName val="간_지11"/>
      <sheetName val="2_대외공문1"/>
      <sheetName val="운동장_(2)"/>
      <sheetName val="부진점(10_09)"/>
      <sheetName val="TABLE_DB"/>
      <sheetName val="쌍용_data_base"/>
      <sheetName val="Project_Brief2"/>
      <sheetName val="13_Op__Activities2"/>
      <sheetName val="外周区_2"/>
      <sheetName val="2_카드채권(대출포함)2"/>
      <sheetName val="Facility_Information2"/>
      <sheetName val="118_세금과공과1"/>
      <sheetName val="108_수선비1"/>
      <sheetName val="Operational_Activities1"/>
      <sheetName val="17_채용자명단1"/>
      <sheetName val="CM_1"/>
      <sheetName val="할증_"/>
      <sheetName val="Scope_Functional_Categories"/>
      <sheetName val="GL_Codes"/>
      <sheetName val="15_Op__Activities"/>
      <sheetName val="Utility_Cost_Trend"/>
      <sheetName val="B053_(990701)공정실적PP%계산1"/>
      <sheetName val="B053_(990701)공정능력PC%계산1"/>
      <sheetName val="CC_Down_load_07161"/>
      <sheetName val="二_POSITION_XLS"/>
      <sheetName val="진행_DATA_(2)1"/>
      <sheetName val="MP2006_data"/>
      <sheetName val="Utility_Usage엠닷컴_26"/>
      <sheetName val="F-T_Voltage"/>
      <sheetName val="Var_"/>
      <sheetName val="영업_일1"/>
      <sheetName val="재료비_산출표"/>
      <sheetName val="5_위험군현황,Watch등급(양식)"/>
      <sheetName val="6_FocusSupplie(양식)"/>
      <sheetName val="준검_내역서"/>
      <sheetName val="단양_00_아파트-세부내역"/>
      <sheetName val="중기조종사_단위단가"/>
      <sheetName val="노무비_근거"/>
      <sheetName val="을_2"/>
      <sheetName val="을_1"/>
      <sheetName val="인건비"/>
      <sheetName val="전화물량"/>
      <sheetName val="구의33고"/>
      <sheetName val="차액보증"/>
      <sheetName val="1차 내역서"/>
      <sheetName val="터파기및재료"/>
      <sheetName val="음료실행"/>
      <sheetName val="단가표"/>
      <sheetName val="조명시설"/>
      <sheetName val="검수고1-1층"/>
      <sheetName val="a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율"/>
      <sheetName val="원가"/>
      <sheetName val="집계"/>
      <sheetName val="내역"/>
      <sheetName val="하도원가"/>
      <sheetName val="하도집계"/>
      <sheetName val="하도내역"/>
      <sheetName val="하도급사항"/>
      <sheetName val="하도급산출내역사항"/>
      <sheetName val="소방"/>
      <sheetName val="현장관리비"/>
      <sheetName val="자료"/>
      <sheetName val="갑지"/>
      <sheetName val="납부서"/>
    </sheetNames>
    <sheetDataSet>
      <sheetData sheetId="0" refreshError="1"/>
      <sheetData sheetId="1" refreshError="1"/>
      <sheetData sheetId="2" refreshError="1"/>
      <sheetData sheetId="3" refreshError="1">
        <row r="3">
          <cell r="AH3" t="str">
            <v>합계</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갑지"/>
      <sheetName val="집계표"/>
      <sheetName val="제직재"/>
      <sheetName val="설치공사"/>
      <sheetName val="일위(PN)"/>
      <sheetName val="부진점(10.09)"/>
      <sheetName val="급여대장출력"/>
      <sheetName val="기준"/>
      <sheetName val="#REF"/>
      <sheetName val="Sheet1"/>
      <sheetName val="anaysis_sheet"/>
      <sheetName val="노무비"/>
      <sheetName val="소일위대가코드표"/>
      <sheetName val="2.대외공문"/>
      <sheetName val="Macro Codes"/>
      <sheetName val="Input"/>
      <sheetName val="N賃率-職"/>
      <sheetName val="지급자재"/>
      <sheetName val="건축"/>
      <sheetName val="데이타"/>
      <sheetName val="표준가산출"/>
      <sheetName val="시방서"/>
      <sheetName val="Initial Input Variable"/>
      <sheetName val="99'대차 통합(2)"/>
      <sheetName val="임대보고(최종)"/>
      <sheetName val="99'대차 통합"/>
      <sheetName val="인원계획-미화"/>
      <sheetName val="96노임기준"/>
      <sheetName val="f3"/>
      <sheetName val="노임단가"/>
      <sheetName val="2공구산출내역"/>
      <sheetName val="XREF"/>
      <sheetName val="(Monthly)"/>
      <sheetName val="전체"/>
      <sheetName val="직재"/>
      <sheetName val="S&am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견적"/>
      <sheetName val="환산"/>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총괄"/>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안내"/>
      <sheetName val="기본사항"/>
      <sheetName val="기본절차"/>
      <sheetName val="급여대장"/>
      <sheetName val="급여명세"/>
      <sheetName val="납부서"/>
      <sheetName val="일용노무비대장"/>
      <sheetName val="환산"/>
      <sheetName val="코드"/>
      <sheetName val="주민세"/>
      <sheetName val="갑근세"/>
      <sheetName val="자유세"/>
      <sheetName val="퇴직세"/>
      <sheetName val="기타세"/>
      <sheetName val="법인세"/>
      <sheetName val="과거대장"/>
      <sheetName val="양식"/>
      <sheetName val="간이세액표"/>
      <sheetName val="내역"/>
      <sheetName val="을지(가로-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
      <sheetName val="내역"/>
      <sheetName val="물량증감내역서"/>
      <sheetName val="변경항목"/>
      <sheetName val="수량산출서 "/>
      <sheetName val="노무산출서 "/>
      <sheetName val="단가조사표"/>
      <sheetName val="단가대조표"/>
      <sheetName val="일위대가목록"/>
      <sheetName val="일위대가"/>
      <sheetName val="설계변경내역(안흥초)"/>
      <sheetName val="교통대책내역"/>
      <sheetName val="신청서"/>
      <sheetName val="건축공사실행"/>
      <sheetName val="기본사항"/>
      <sheetName val="N賃率-職"/>
      <sheetName val="전신환매도율"/>
      <sheetName val="Macro7"/>
      <sheetName val="1차 내역서"/>
      <sheetName val="금융비용"/>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공정표 (4)"/>
      <sheetName val="일위대가(98)"/>
      <sheetName val="기성 (3)"/>
      <sheetName val="실행예산"/>
      <sheetName val="정산내역 "/>
      <sheetName val="정산내역 (품의)"/>
      <sheetName val="구동단가비교 "/>
      <sheetName val="집계"/>
      <sheetName val="견적대비표 "/>
      <sheetName val="정산집계"/>
      <sheetName val="시방서"/>
      <sheetName val="내역서"/>
      <sheetName val="내역"/>
      <sheetName val="을-ATYPE"/>
      <sheetName val="노임"/>
      <sheetName val="공정표_(4)"/>
      <sheetName val="기성_(3)"/>
      <sheetName val="정산내역_"/>
      <sheetName val="정산내역_(품의)"/>
      <sheetName val="구동단가비교_"/>
      <sheetName val="견적대비표_"/>
      <sheetName val="공통가설"/>
      <sheetName val="기본사항"/>
      <sheetName val="원자력"/>
      <sheetName val="단"/>
      <sheetName val="환산"/>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소비자가"/>
      <sheetName val="내역"/>
      <sheetName val="다원(ZENECA)"/>
      <sheetName val="대비표(토공1안)"/>
      <sheetName val="갑지(추정)"/>
      <sheetName val="경비2내역"/>
      <sheetName val="빗물받이(910-510-410)"/>
      <sheetName val="집수정(600-700)"/>
      <sheetName val="토목공사"/>
      <sheetName val="분석표_아파트동"/>
      <sheetName val="분석표_부속동"/>
      <sheetName val="단가대비표"/>
      <sheetName val="일위대가목록"/>
      <sheetName val="총물량"/>
      <sheetName val="1월"/>
      <sheetName val="설계"/>
      <sheetName val="Customer Databas"/>
      <sheetName val="토목"/>
      <sheetName val="일반부표"/>
      <sheetName val="정보"/>
      <sheetName val="직노"/>
      <sheetName val="코드"/>
      <sheetName val="공사비"/>
      <sheetName val="공사개요"/>
      <sheetName val="내역1"/>
      <sheetName val="을-ATYPE"/>
      <sheetName val="I一般比"/>
      <sheetName val="분전함신설"/>
      <sheetName val="접지1종"/>
      <sheetName val="인사자료총집계"/>
      <sheetName val="일위대가"/>
      <sheetName val="경비"/>
      <sheetName val="입력1"/>
      <sheetName val="맨홀수량산출"/>
      <sheetName val="기본사항"/>
      <sheetName val="도급실행(본관-주차장)"/>
      <sheetName val="마산월령동골조물량변경"/>
      <sheetName val="총괄갑 "/>
      <sheetName val="노무산출서"/>
      <sheetName val="집계"/>
      <sheetName val="샤워실위생"/>
      <sheetName val="Sheet1 (2)"/>
      <sheetName val="Sheet4"/>
      <sheetName val="1ST"/>
      <sheetName val="납부서"/>
      <sheetName val="금액내역서"/>
      <sheetName val="기본일위"/>
      <sheetName val="Customer_Databas"/>
      <sheetName val="교통대책내역"/>
      <sheetName val="Total"/>
      <sheetName val="공통가설"/>
      <sheetName val="견적내역"/>
      <sheetName val="N賃率-職"/>
      <sheetName val="내역서"/>
      <sheetName val="설계명세서"/>
      <sheetName val="노무비단가"/>
      <sheetName val="Customer_Databas1"/>
      <sheetName val="형틀공사"/>
      <sheetName val="단가 및 재료비"/>
      <sheetName val="부재리스트"/>
      <sheetName val="상반기손익차2총괄"/>
      <sheetName val="노임단가"/>
      <sheetName val="기초자료입력"/>
      <sheetName val="하수급견적대비"/>
      <sheetName val="노임"/>
      <sheetName val="국내조달(통합-1)"/>
      <sheetName val="일위대가 "/>
      <sheetName val="노임단가 (2)"/>
      <sheetName val="환산"/>
      <sheetName val="총괄갑_"/>
      <sheetName val="Sheet1_(2)"/>
      <sheetName val="갑지"/>
      <sheetName val="호표"/>
      <sheetName val="수입"/>
      <sheetName val="자재 DB LIST"/>
      <sheetName val="경산"/>
      <sheetName val="새공통"/>
      <sheetName val="Sheet1"/>
      <sheetName val="공통비(전체)"/>
      <sheetName val="개산공사비"/>
      <sheetName val="노임이"/>
      <sheetName val="본공사"/>
      <sheetName val="시설투자"/>
      <sheetName val="4.2유효폭의 계산"/>
      <sheetName val="입찰"/>
      <sheetName val="현경"/>
      <sheetName val="공비대비"/>
      <sheetName val="Y-WORK"/>
      <sheetName val="자재단가"/>
      <sheetName val="0000"/>
      <sheetName val="회사정보"/>
      <sheetName val="업체명"/>
      <sheetName val="관리"/>
      <sheetName val="."/>
      <sheetName val="1차 내역서"/>
      <sheetName val="가격조사서"/>
      <sheetName val="공사내역"/>
      <sheetName val="일용직내역"/>
      <sheetName val="노무비"/>
      <sheetName val="물량표"/>
      <sheetName val="수량산출내역1115"/>
      <sheetName val="물가시세"/>
      <sheetName val="식재인부"/>
      <sheetName val="EQT-ESTN"/>
      <sheetName val="투찰"/>
      <sheetName val="DATA"/>
      <sheetName val="J直材4"/>
      <sheetName val="Setup"/>
      <sheetName val="tggwan(mac)"/>
      <sheetName val="금융비용"/>
      <sheetName val="날개벽수량표"/>
      <sheetName val="2공구산출내역"/>
      <sheetName val="TOWER 10TON"/>
      <sheetName val="48수량"/>
      <sheetName val="49일위"/>
      <sheetName val="49수량"/>
      <sheetName val="완도-군외"/>
      <sheetName val="수량집계(방송설비)"/>
      <sheetName val="수량집계(전기시계)"/>
      <sheetName val="수량집계(출입통제)"/>
      <sheetName val="수량집계(통합배선)"/>
      <sheetName val="수량집계(CATV)"/>
      <sheetName val="수량집계(CCTV)"/>
      <sheetName val="단가"/>
      <sheetName val="조직"/>
      <sheetName val="Sheet5"/>
      <sheetName val="남양시작동자105노65기1.3화1.2"/>
      <sheetName val="TYPE-A"/>
      <sheetName val="총괄"/>
      <sheetName val="수지"/>
      <sheetName val="기초일위"/>
      <sheetName val="3.공통공사대비"/>
      <sheetName val="공사비산출내역"/>
      <sheetName val="설계내역서"/>
      <sheetName val="구리토평1전기"/>
      <sheetName val="#REF"/>
      <sheetName val="Customer_Databas2"/>
      <sheetName val="총괄갑_1"/>
      <sheetName val="Sheet1_(2)1"/>
      <sheetName val="단가_및_재료비"/>
      <sheetName val="자재_DB_LIST"/>
      <sheetName val="일위대가_"/>
      <sheetName val="노임단가_(2)"/>
      <sheetName val="1차_내역서"/>
      <sheetName val="_"/>
      <sheetName val="소방"/>
      <sheetName val="7단가"/>
      <sheetName val="Customer_Databas3"/>
      <sheetName val="총괄갑_2"/>
      <sheetName val="Sheet1_(2)2"/>
      <sheetName val="단가_및_재료비1"/>
      <sheetName val="일위대가_1"/>
      <sheetName val="노임단가_(2)1"/>
      <sheetName val="자재_DB_LIST1"/>
      <sheetName val="_1"/>
      <sheetName val="1차_내역서1"/>
      <sheetName val="표지"/>
      <sheetName val="지급자재"/>
      <sheetName val="Macro7"/>
      <sheetName val="기준층(외주부)"/>
      <sheetName val="인건비"/>
      <sheetName val="내역서(신규OFFICE(14))"/>
      <sheetName val="하부철근수량"/>
      <sheetName val="내   역"/>
      <sheetName val="차액보증"/>
      <sheetName val="전기집계표"/>
      <sheetName val="산출서"/>
      <sheetName val="2008년상반기"/>
      <sheetName val="수량산출서(철거)"/>
      <sheetName val="실행내역"/>
      <sheetName val="현장관리비"/>
      <sheetName val="APT"/>
      <sheetName val="인원자료"/>
      <sheetName val="원가계산서"/>
      <sheetName val="도급FORM"/>
      <sheetName val="실행철강하도"/>
      <sheetName val="부서별3월"/>
      <sheetName val="단가산출"/>
      <sheetName val="Customer_Databas4"/>
      <sheetName val="총괄갑_3"/>
      <sheetName val="Sheet1_(2)3"/>
      <sheetName val="단가_및_재료비2"/>
      <sheetName val="자재_DB_LIST2"/>
      <sheetName val="일위대가_2"/>
      <sheetName val="노임단가_(2)2"/>
      <sheetName val="_2"/>
      <sheetName val="1차_내역서2"/>
      <sheetName val="TOWER_10TON"/>
      <sheetName val="4_2유효폭의_계산"/>
      <sheetName val="3_공통공사대비"/>
      <sheetName val="내___역"/>
      <sheetName val="Customer_Databas5"/>
      <sheetName val="총괄갑_4"/>
      <sheetName val="Sheet1_(2)4"/>
      <sheetName val="단가_및_재료비3"/>
      <sheetName val="자재_DB_LIST3"/>
      <sheetName val="일위대가_3"/>
      <sheetName val="노임단가_(2)3"/>
      <sheetName val="_3"/>
      <sheetName val="1차_내역서3"/>
      <sheetName val="TOWER_10TON1"/>
      <sheetName val="4_2유효폭의_계산1"/>
      <sheetName val="3_공통공사대비1"/>
      <sheetName val="내___역1"/>
      <sheetName val="은행"/>
      <sheetName val="대비"/>
      <sheetName val="공내역"/>
      <sheetName val="사리부설"/>
      <sheetName val="Sheet6"/>
      <sheetName val="기초단가"/>
      <sheetName val="관리,공감"/>
      <sheetName val="정화조동내역"/>
      <sheetName val="을지"/>
      <sheetName val="Customer_Databas6"/>
      <sheetName val="총괄갑_5"/>
      <sheetName val="Sheet1_(2)5"/>
      <sheetName val="단가_및_재료비4"/>
      <sheetName val="일위대가_4"/>
      <sheetName val="노임단가_(2)4"/>
      <sheetName val="자재_DB_LIST4"/>
      <sheetName val="_4"/>
      <sheetName val="1차_내역서4"/>
      <sheetName val="TOWER_10TON2"/>
      <sheetName val="4_2유효폭의_계산2"/>
      <sheetName val="3_공통공사대비2"/>
      <sheetName val="내___역2"/>
      <sheetName val="①매출"/>
      <sheetName val="수원공사비"/>
      <sheetName val="자재대"/>
      <sheetName val="DATA1"/>
      <sheetName val="현장별계약현황('98.10.31)"/>
      <sheetName val="중기손료"/>
      <sheetName val="NP-총정리"/>
      <sheetName val="판매시설"/>
      <sheetName val="Customer_Databas7"/>
      <sheetName val="총괄갑_6"/>
      <sheetName val="Sheet1_(2)6"/>
      <sheetName val="단가_및_재료비5"/>
      <sheetName val="자재_DB_LIST5"/>
      <sheetName val="일위대가_5"/>
      <sheetName val="노임단가_(2)5"/>
      <sheetName val="_5"/>
      <sheetName val="1차_내역서5"/>
      <sheetName val="TOWER_10TON3"/>
      <sheetName val="4_2유효폭의_계산3"/>
      <sheetName val="3_공통공사대비3"/>
      <sheetName val="내___역3"/>
      <sheetName val="Customer_Databas8"/>
      <sheetName val="총괄갑_7"/>
      <sheetName val="Sheet1_(2)7"/>
      <sheetName val="단가_및_재료비6"/>
      <sheetName val="자재_DB_LIST6"/>
      <sheetName val="일위대가_6"/>
      <sheetName val="노임단가_(2)6"/>
      <sheetName val="_6"/>
      <sheetName val="1차_내역서6"/>
      <sheetName val="TOWER_10TON4"/>
      <sheetName val="4_2유효폭의_계산4"/>
      <sheetName val="3_공통공사대비4"/>
      <sheetName val="내___역4"/>
      <sheetName val="Customer_Databas9"/>
      <sheetName val="총괄갑_8"/>
      <sheetName val="Sheet1_(2)8"/>
      <sheetName val="단가_및_재료비7"/>
      <sheetName val="일위대가_7"/>
      <sheetName val="노임단가_(2)7"/>
      <sheetName val="자재_DB_LIST7"/>
      <sheetName val="_7"/>
      <sheetName val="1차_내역서7"/>
      <sheetName val="TOWER_10TON5"/>
      <sheetName val="4_2유효폭의_계산5"/>
      <sheetName val="3_공통공사대비5"/>
      <sheetName val="내___역5"/>
      <sheetName val="예산서"/>
      <sheetName val="유림총괄"/>
      <sheetName val="공사원가계산서"/>
      <sheetName val="전기일위대가"/>
      <sheetName val="wall"/>
      <sheetName val="단"/>
      <sheetName val="VENT"/>
      <sheetName val="일위"/>
      <sheetName val="현황CODE"/>
      <sheetName val="손익현황"/>
      <sheetName val="경율산정.XLS"/>
      <sheetName val="신우"/>
      <sheetName val="제-노임"/>
      <sheetName val="설직재-1"/>
      <sheetName val="제직재"/>
      <sheetName val="EKOG10건축"/>
      <sheetName val="목차"/>
      <sheetName val="1.우편집중내역서"/>
      <sheetName val="을"/>
      <sheetName val="danga"/>
      <sheetName val="ilch"/>
      <sheetName val="제품"/>
      <sheetName val="20관리비율"/>
      <sheetName val="공사현황"/>
      <sheetName val="원본(갑지)"/>
      <sheetName val="분석"/>
      <sheetName val="일위대가목차"/>
      <sheetName val="조경"/>
      <sheetName val="FB25JN"/>
      <sheetName val="내역서 제출"/>
      <sheetName val="hvac(제어동)"/>
      <sheetName val="현장지지물물량"/>
      <sheetName val="실행"/>
      <sheetName val="대비내역"/>
      <sheetName val="BOQ건축"/>
      <sheetName val="1-1"/>
      <sheetName val="COPING"/>
      <sheetName val="Material U.P"/>
      <sheetName val="미장"/>
      <sheetName val="철골"/>
      <sheetName val="GAEYO"/>
      <sheetName val="INPUT"/>
      <sheetName val="내역서_제출"/>
      <sheetName val="Material_U_P"/>
      <sheetName val="6호기"/>
      <sheetName val="본선 토공 분배표"/>
      <sheetName val="정부노임단가"/>
      <sheetName val="내역서_제출1"/>
      <sheetName val="Material_U_P1"/>
      <sheetName val="copy"/>
      <sheetName val="서식"/>
      <sheetName val="주경기-오배수"/>
      <sheetName val="데이타"/>
      <sheetName val="CAPVC"/>
      <sheetName val="골조시행"/>
      <sheetName val="내역서 "/>
      <sheetName val="h-013211-2"/>
      <sheetName val="말뚝지지력산정"/>
      <sheetName val="카렌스센터계량기설치공사"/>
      <sheetName val=" 냉각수펌프"/>
      <sheetName val="건축"/>
      <sheetName val="물량표S"/>
      <sheetName val="물량표(신)"/>
      <sheetName val="DI1"/>
      <sheetName val="미드수량"/>
      <sheetName val="건축집계"/>
      <sheetName val="T1"/>
      <sheetName val="48평형"/>
      <sheetName val="62평형"/>
      <sheetName val="plan&amp;section of foundation"/>
      <sheetName val="design criteria"/>
      <sheetName val="부속동"/>
      <sheetName val="본선_토공_분배표"/>
      <sheetName val="기둥(원형)"/>
      <sheetName val="FD"/>
      <sheetName val="조명시설"/>
      <sheetName val="평형공사비"/>
      <sheetName val="백암비스타내역"/>
      <sheetName val="견적"/>
      <sheetName val="집계표"/>
      <sheetName val="자료"/>
      <sheetName val="적용률"/>
      <sheetName val="AP1"/>
      <sheetName val="2.야탑"/>
      <sheetName val="갑지1"/>
      <sheetName val="CIVIL"/>
      <sheetName val="TONG HOP VL-NC TT"/>
      <sheetName val="CHITIET VL-NC-TT -1p"/>
      <sheetName val="TDTKP1"/>
      <sheetName val="KPVC-BD "/>
      <sheetName val="I.설계조건"/>
      <sheetName val="설계예산서"/>
      <sheetName val="예산내역서"/>
      <sheetName val="부대대비"/>
      <sheetName val="냉연집계"/>
      <sheetName val="DEF"/>
      <sheetName val="Summary"/>
      <sheetName val="99노임기준"/>
      <sheetName val="본장"/>
      <sheetName val="guard(mac)"/>
      <sheetName val="FURNITURE-01"/>
      <sheetName val="asd"/>
      <sheetName val="FRP내역서"/>
      <sheetName val="기계설비"/>
      <sheetName val="TB-내역서"/>
      <sheetName val="연돌일위집계"/>
      <sheetName val="견적서"/>
      <sheetName val="Front"/>
      <sheetName val="소일위대가코드표"/>
      <sheetName val="세부내역"/>
      <sheetName val="Sheet3"/>
      <sheetName val="입찰안"/>
      <sheetName val="약품공급2"/>
      <sheetName val="입력"/>
      <sheetName val="단면가정"/>
      <sheetName val="시멘트"/>
      <sheetName val="내역서_제출2"/>
      <sheetName val="Material_U_P2"/>
      <sheetName val="본선_토공_분배표1"/>
      <sheetName val="_냉각수펌프"/>
      <sheetName val="내역서_"/>
      <sheetName val="plan&amp;section_of_foundation"/>
      <sheetName val="design_criteria"/>
      <sheetName val="TONG_HOP_VL-NC_TT"/>
      <sheetName val="CHITIET_VL-NC-TT_-1p"/>
      <sheetName val="KPVC-BD_"/>
      <sheetName val="월별손익"/>
      <sheetName val="2_야탑"/>
      <sheetName val="작업자명단"/>
      <sheetName val="Apt내역"/>
      <sheetName val="admin"/>
      <sheetName val="표지 (2)"/>
      <sheetName val="Breakdown"/>
      <sheetName val="UnitRate"/>
      <sheetName val="건축공사실행"/>
      <sheetName val="Æo°¡±aAØ"/>
      <sheetName val="9609Aß"/>
      <sheetName val="LD"/>
      <sheetName val="기계내역"/>
      <sheetName val="저"/>
      <sheetName val="MOTOR"/>
      <sheetName val="P3"/>
      <sheetName val="4 노임단가"/>
      <sheetName val="M-EQPT-Z"/>
      <sheetName val="실행,원가 최종예상"/>
      <sheetName val="내역표지"/>
      <sheetName val="수목단가"/>
      <sheetName val="시설수량표"/>
      <sheetName val="식재수량표"/>
      <sheetName val="수량산출"/>
      <sheetName val="인제내역"/>
      <sheetName val="건축내역서"/>
      <sheetName val="설비내역서"/>
      <sheetName val="전기내역서"/>
      <sheetName val="정공공사"/>
      <sheetName val="설명서 "/>
      <sheetName val="실행(ALT1)"/>
      <sheetName val="내역서2안"/>
      <sheetName val="연습"/>
      <sheetName val="WC96709"/>
      <sheetName val="문학간접"/>
      <sheetName val="간접"/>
      <sheetName val="4_노임단가"/>
      <sheetName val="실행,원가_최종예상"/>
      <sheetName val="사장실도배발주서"/>
      <sheetName val="설명서_"/>
      <sheetName val="SG"/>
      <sheetName val="4_노임단가1"/>
      <sheetName val="실행,원가_최종예상1"/>
      <sheetName val="설명서_1"/>
      <sheetName val="조명율표"/>
      <sheetName val="차도조도계산"/>
      <sheetName val="순공사비"/>
      <sheetName val="기결의"/>
      <sheetName val="토목공사일반"/>
      <sheetName val="101동"/>
      <sheetName val="현장"/>
      <sheetName val="철거산출근거"/>
      <sheetName val="일위목록"/>
      <sheetName val="환경기계공정표 (3)"/>
      <sheetName val="결재갑지"/>
      <sheetName val="판관"/>
      <sheetName val="중기"/>
      <sheetName val="건축명"/>
      <sheetName val="기계명"/>
      <sheetName val="전기명"/>
      <sheetName val="토목명"/>
      <sheetName val="빙장비사양"/>
      <sheetName val="장비사양"/>
      <sheetName val="견적을(1안)"/>
      <sheetName val="2.대외공문"/>
      <sheetName val="01"/>
      <sheetName val="건축내역"/>
      <sheetName val="전도금정산서(27)"/>
      <sheetName val="전기"/>
      <sheetName val="기본단가표"/>
      <sheetName val="원가계산"/>
      <sheetName val="인테리어내역"/>
      <sheetName val="수량산출(음암)"/>
      <sheetName val="단가표"/>
      <sheetName val="주공 갑지"/>
      <sheetName val="2-1. 경관조명 내역총괄표"/>
      <sheetName val="내역서1999.8최종"/>
      <sheetName val="도급자재"/>
      <sheetName val="총원가계산서(요율)"/>
      <sheetName val="참조"/>
      <sheetName val="케이블류 OLD"/>
      <sheetName val="가스(내역)"/>
      <sheetName val="설계기준"/>
      <sheetName val="내역을"/>
      <sheetName val="수량산출서"/>
      <sheetName val="연결임시"/>
      <sheetName val="가격비"/>
      <sheetName val="금호내역서"/>
      <sheetName val="금액집계"/>
      <sheetName val="상계견적"/>
      <sheetName val="T13(P68~72,78)"/>
      <sheetName val="단중표"/>
      <sheetName val="H-PILE수량집계"/>
      <sheetName val="경비내역(을)-1"/>
      <sheetName val="연부97-1"/>
      <sheetName val="산출근거"/>
      <sheetName val="예총"/>
      <sheetName val="가시설단위수량"/>
      <sheetName val="SORCE1"/>
      <sheetName val="단위수량"/>
      <sheetName val="약품설비"/>
      <sheetName val="기기리스트"/>
      <sheetName val="4_노임단가2"/>
      <sheetName val="실행,원가_최종예상2"/>
      <sheetName val="설명서_2"/>
      <sheetName val="환경기계공정표_(3)"/>
      <sheetName val="2_대외공문"/>
      <sheetName val="주공_갑지"/>
      <sheetName val="2-1__경관조명_내역총괄표"/>
      <sheetName val="내역서1999_8최종"/>
      <sheetName val="케이블류_OLD"/>
      <sheetName val="직재"/>
      <sheetName val="재집"/>
      <sheetName val="4_노임단가3"/>
      <sheetName val="실행,원가_최종예상3"/>
      <sheetName val="내역서_제출3"/>
      <sheetName val="설명서_3"/>
      <sheetName val="2_대외공문1"/>
      <sheetName val="환경기계공정표_(3)1"/>
      <sheetName val="2-1__경관조명_내역총괄표1"/>
      <sheetName val="내역서1999_8최종1"/>
      <sheetName val="주공_갑지1"/>
      <sheetName val="케이블류_OLD1"/>
      <sheetName val="가시설수량"/>
      <sheetName val="테이블"/>
      <sheetName val="제경비율"/>
      <sheetName val="토적계산서"/>
      <sheetName val="건축공사"/>
      <sheetName val="2.Summary-cash"/>
      <sheetName val="95WBS"/>
      <sheetName val="CASHFLOW"/>
      <sheetName val="견적990322"/>
      <sheetName val="건축내역서 (2)"/>
      <sheetName val="Inve. &amp; Income Assum."/>
      <sheetName val="Annex C - 1 - Cash"/>
      <sheetName val="Assumptions"/>
      <sheetName val="Macro Codes"/>
      <sheetName val="화재 탐지 설비"/>
      <sheetName val="MATRLDATA"/>
      <sheetName val="공종단가"/>
      <sheetName val="냉천부속동"/>
      <sheetName val="4 LINE"/>
      <sheetName val="7 th"/>
      <sheetName val="FANDBS"/>
      <sheetName val="GRDATA"/>
      <sheetName val="SHAFTDBSE"/>
      <sheetName val="EJ"/>
      <sheetName val="2002상반기노임기준"/>
      <sheetName val="960318-1"/>
      <sheetName val="할증 "/>
      <sheetName val="경동~상록"/>
      <sheetName val="우주~로베로"/>
      <sheetName val="일위대가표"/>
      <sheetName val="직접비"/>
      <sheetName val="SAM"/>
      <sheetName val="직공비"/>
      <sheetName val="수지표"/>
      <sheetName val="셀명"/>
      <sheetName val="식재"/>
      <sheetName val="시설물"/>
      <sheetName val="식재출력용"/>
      <sheetName val="유지관리"/>
      <sheetName val="설계가"/>
      <sheetName val="D"/>
      <sheetName val="PL단가산정"/>
      <sheetName val="그림"/>
      <sheetName val="그림2"/>
      <sheetName val="지질조사"/>
      <sheetName val="AS포장복구 "/>
      <sheetName val="산출내역서집계표"/>
      <sheetName val="DB"/>
      <sheetName val="Material_U_P3"/>
      <sheetName val="본선_토공_분배표2"/>
      <sheetName val="_냉각수펌프1"/>
      <sheetName val="내역서_1"/>
      <sheetName val="plan&amp;section_of_foundation1"/>
      <sheetName val="design_criteria1"/>
      <sheetName val="TONG_HOP_VL-NC_TT1"/>
      <sheetName val="CHITIET_VL-NC-TT_-1p1"/>
      <sheetName val="KPVC-BD_1"/>
      <sheetName val="2_야탑1"/>
      <sheetName val="I_설계조건"/>
      <sheetName val="표지_(2)"/>
      <sheetName val="내역서_제출4"/>
      <sheetName val="Material_U_P4"/>
      <sheetName val="본선_토공_분배표3"/>
      <sheetName val="충주"/>
      <sheetName val="_냉각수펌프2"/>
      <sheetName val="내역서_2"/>
      <sheetName val="plan&amp;section_of_foundation2"/>
      <sheetName val="design_criteria2"/>
      <sheetName val="TONG_HOP_VL-NC_TT2"/>
      <sheetName val="CHITIET_VL-NC-TT_-1p2"/>
      <sheetName val="KPVC-BD_2"/>
      <sheetName val="2_야탑2"/>
      <sheetName val="I_설계조건1"/>
      <sheetName val="표지_(2)1"/>
      <sheetName val="일반공사"/>
      <sheetName val="내역서_제출5"/>
      <sheetName val="Material_U_P5"/>
      <sheetName val="본선_토공_분배표4"/>
      <sheetName val="내역서_3"/>
      <sheetName val="_냉각수펌프3"/>
      <sheetName val="plan&amp;section_of_foundation3"/>
      <sheetName val="design_criteria3"/>
      <sheetName val="2_야탑3"/>
      <sheetName val="TONG_HOP_VL-NC_TT3"/>
      <sheetName val="CHITIET_VL-NC-TT_-1p3"/>
      <sheetName val="KPVC-BD_3"/>
      <sheetName val="I_설계조건2"/>
      <sheetName val="표지_(2)2"/>
      <sheetName val="BSD (2)"/>
      <sheetName val="견적대비 견적서"/>
      <sheetName val="내역서_제출6"/>
      <sheetName val="Material_U_P6"/>
      <sheetName val="본선_토공_분배표5"/>
      <sheetName val="_냉각수펌프4"/>
      <sheetName val="내역서_4"/>
      <sheetName val="plan&amp;section_of_foundation4"/>
      <sheetName val="design_criteria4"/>
      <sheetName val="2_야탑4"/>
      <sheetName val="TONG_HOP_VL-NC_TT4"/>
      <sheetName val="CHITIET_VL-NC-TT_-1p4"/>
      <sheetName val="KPVC-BD_4"/>
      <sheetName val="I_설계조건3"/>
      <sheetName val="표지_(2)3"/>
      <sheetName val="내역서_제출7"/>
      <sheetName val="Material_U_P7"/>
      <sheetName val="본선_토공_분배표6"/>
      <sheetName val="_냉각수펌프5"/>
      <sheetName val="내역서_5"/>
      <sheetName val="plan&amp;section_of_foundation5"/>
      <sheetName val="design_criteria5"/>
      <sheetName val="TONG_HOP_VL-NC_TT5"/>
      <sheetName val="CHITIET_VL-NC-TT_-1p5"/>
      <sheetName val="KPVC-BD_5"/>
      <sheetName val="2_야탑5"/>
      <sheetName val="I_설계조건4"/>
      <sheetName val="표지_(2)4"/>
      <sheetName val="BSD_(2)"/>
      <sheetName val="견적대비_견적서"/>
      <sheetName val="내역서_제출8"/>
      <sheetName val="Material_U_P8"/>
      <sheetName val="본선_토공_분배표7"/>
      <sheetName val="내역서_6"/>
      <sheetName val="_냉각수펌프6"/>
      <sheetName val="plan&amp;section_of_foundation6"/>
      <sheetName val="design_criteria6"/>
      <sheetName val="2_야탑6"/>
      <sheetName val="TONG_HOP_VL-NC_TT6"/>
      <sheetName val="CHITIET_VL-NC-TT_-1p6"/>
      <sheetName val="KPVC-BD_6"/>
      <sheetName val="I_설계조건5"/>
      <sheetName val="표지_(2)5"/>
      <sheetName val="BSD_(2)1"/>
      <sheetName val="견적대비_견적서1"/>
      <sheetName val="4_노임단가4"/>
      <sheetName val="실행,원가_최종예상4"/>
      <sheetName val="설명서_4"/>
      <sheetName val="환경기계공정표_(3)2"/>
      <sheetName val="2_대외공문2"/>
      <sheetName val="주공_갑지2"/>
      <sheetName val="2-1__경관조명_내역총괄표2"/>
      <sheetName val="내역서1999_8최종2"/>
      <sheetName val="케이블류_OLD2"/>
      <sheetName val="2_Summary-cash"/>
      <sheetName val="건축내역서_(2)"/>
      <sheetName val="Inve__&amp;_Income_Assum_"/>
      <sheetName val="Annex_C_-_1_-_Cash"/>
      <sheetName val="Macro_Codes"/>
      <sheetName val="화재_탐지_설비"/>
      <sheetName val="4_LINE"/>
      <sheetName val="7_th"/>
      <sheetName val="할증_"/>
      <sheetName val="AS포장복구_"/>
      <sheetName val="4_노임단가5"/>
      <sheetName val="실행,원가_최종예상5"/>
      <sheetName val="설명서_5"/>
      <sheetName val="환경기계공정표_(3)3"/>
      <sheetName val="2_대외공문3"/>
      <sheetName val="주공_갑지3"/>
      <sheetName val="2-1__경관조명_내역총괄표3"/>
      <sheetName val="내역서1999_8최종3"/>
      <sheetName val="케이블류_OLD3"/>
      <sheetName val="2_Summary-cash1"/>
      <sheetName val="건축내역서_(2)1"/>
      <sheetName val="Inve__&amp;_Income_Assum_1"/>
      <sheetName val="Annex_C_-_1_-_Cash1"/>
      <sheetName val="Macro_Codes1"/>
      <sheetName val="화재_탐지_설비1"/>
      <sheetName val="4_LINE1"/>
      <sheetName val="7_th1"/>
      <sheetName val="할증_1"/>
      <sheetName val="AS포장복구_1"/>
      <sheetName val="ITEM"/>
      <sheetName val="가격표"/>
      <sheetName val="간접1"/>
      <sheetName val="4_노임단가6"/>
      <sheetName val="실행,원가_최종예상6"/>
      <sheetName val="설명서_6"/>
      <sheetName val="2_대외공문4"/>
      <sheetName val="환경기계공정표_(3)4"/>
      <sheetName val="주공_갑지4"/>
      <sheetName val="2-1__경관조명_내역총괄표4"/>
      <sheetName val="내역서1999_8최종4"/>
      <sheetName val="케이블류_OLD4"/>
      <sheetName val="2_Summary-cash2"/>
      <sheetName val="건축내역서_(2)2"/>
      <sheetName val="Inve__&amp;_Income_Assum_2"/>
      <sheetName val="Annex_C_-_1_-_Cash2"/>
      <sheetName val="Macro_Codes2"/>
      <sheetName val="화재_탐지_설비2"/>
      <sheetName val="4_LINE2"/>
      <sheetName val="7_th2"/>
      <sheetName val="할증_2"/>
      <sheetName val="AS포장복구_2"/>
      <sheetName val="CTEMCOST"/>
      <sheetName val="터널조도"/>
      <sheetName val="단가일람"/>
      <sheetName val="재료비"/>
      <sheetName val="경비일반이윤"/>
      <sheetName val="4_노임단가7"/>
      <sheetName val="실행,원가_최종예상7"/>
      <sheetName val="설명서_7"/>
      <sheetName val="환경기계공정표_(3)5"/>
      <sheetName val="2_대외공문5"/>
      <sheetName val="2-1__경관조명_내역총괄표5"/>
      <sheetName val="내역서1999_8최종5"/>
      <sheetName val="주공_갑지5"/>
      <sheetName val="케이블류_OLD5"/>
      <sheetName val="2_Summary-cash3"/>
      <sheetName val="건축내역서_(2)3"/>
      <sheetName val="Inve__&amp;_Income_Assum_3"/>
      <sheetName val="Annex_C_-_1_-_Cash3"/>
      <sheetName val="Macro_Codes3"/>
      <sheetName val="화재_탐지_설비3"/>
      <sheetName val="4_LINE3"/>
      <sheetName val="7_th3"/>
      <sheetName val="할증_3"/>
      <sheetName val="AS포장복구_3"/>
      <sheetName val="1차_내역서8"/>
      <sheetName val="4_노임단가8"/>
      <sheetName val="실행,원가_최종예상8"/>
      <sheetName val="설명서_8"/>
      <sheetName val="환경기계공정표_(3)6"/>
      <sheetName val="2_대외공문6"/>
      <sheetName val="주공_갑지6"/>
      <sheetName val="2-1__경관조명_내역총괄표6"/>
      <sheetName val="내역서1999_8최종6"/>
      <sheetName val="케이블류_OLD6"/>
      <sheetName val="2_Summary-cash4"/>
      <sheetName val="건축내역서_(2)4"/>
      <sheetName val="Inve__&amp;_Income_Assum_4"/>
      <sheetName val="Annex_C_-_1_-_Cash4"/>
      <sheetName val="Macro_Codes4"/>
      <sheetName val="화재_탐지_설비4"/>
      <sheetName val="4_LINE4"/>
      <sheetName val="7_th4"/>
      <sheetName val="할증_4"/>
      <sheetName val="AS포장복구_4"/>
      <sheetName val="1차_내역서9"/>
      <sheetName val="4_노임단가9"/>
      <sheetName val="실행,원가_최종예상9"/>
      <sheetName val="내역서_제출9"/>
      <sheetName val="설명서_9"/>
      <sheetName val="2_대외공문7"/>
      <sheetName val="환경기계공정표_(3)7"/>
      <sheetName val="주공_갑지7"/>
      <sheetName val="2-1__경관조명_내역총괄표7"/>
      <sheetName val="내역서1999_8최종7"/>
      <sheetName val="케이블류_OLD7"/>
      <sheetName val="2_Summary-cash5"/>
      <sheetName val="건축내역서_(2)5"/>
      <sheetName val="Inve__&amp;_Income_Assum_5"/>
      <sheetName val="Annex_C_-_1_-_Cash5"/>
      <sheetName val="Macro_Codes5"/>
      <sheetName val="화재_탐지_설비5"/>
      <sheetName val="4_LINE5"/>
      <sheetName val="7_th5"/>
      <sheetName val="할증_5"/>
      <sheetName val="AS포장복구_5"/>
      <sheetName val="참고"/>
      <sheetName val="Tables"/>
      <sheetName val="연령현황"/>
      <sheetName val="비용"/>
      <sheetName val="수목데이타"/>
      <sheetName val="시설물일위"/>
      <sheetName val="가설공사"/>
      <sheetName val="단가결정"/>
      <sheetName val="내역아"/>
      <sheetName val="울타리"/>
      <sheetName val="본사인상전"/>
      <sheetName val="2-1__경관조명_내역총괄표ꢠ"/>
      <sheetName val="개요"/>
      <sheetName val="2-1__경관조명_내역총괄표恴"/>
      <sheetName val="2-1__경관조명_내역총괄표悯"/>
      <sheetName val="소방사항"/>
      <sheetName val="Macro3"/>
      <sheetName val="2-1__경관조명_내역총_x0000__x0000_Ԁ"/>
      <sheetName val="예가표"/>
      <sheetName val="실행(표지,갑,을)"/>
      <sheetName val="일위대가 (100%)"/>
      <sheetName val="2-1__경관조명_내역총쌀⬅/"/>
      <sheetName val="2-1__경관조명_내역총က_x0000_퀀"/>
      <sheetName val="내역(중앙)"/>
      <sheetName val="내역(창신)"/>
      <sheetName val="2-1__경관조명_내역총_x0000__x0000_倀"/>
      <sheetName val="2-1__경관조명_내역총䴀᠀"/>
      <sheetName val="2-1__경관조명_내역총夶⠀"/>
      <sheetName val="FC-101"/>
      <sheetName val="도급철콘내역"/>
      <sheetName val="수정시산표"/>
      <sheetName val="부대내역"/>
      <sheetName val="골조"/>
      <sheetName val="원도급"/>
      <sheetName val="하도급"/>
      <sheetName val="학생내역"/>
      <sheetName val="Import"/>
      <sheetName val="경비지출영수증_양식"/>
      <sheetName val="전도금정산영수증_양식"/>
      <sheetName val="2-1__경관조명_내역총_x0000__x0000__x0000_"/>
      <sheetName val="3.단가산출기초"/>
      <sheetName val="비목분류내역서1115"/>
      <sheetName val="B1(반포1차)"/>
      <sheetName val="요약"/>
      <sheetName val="부록"/>
      <sheetName val="목록"/>
      <sheetName val="유림골조"/>
      <sheetName val="갑지_추정_"/>
      <sheetName val="2-1__경관조명_내역총椀ﻶ　"/>
      <sheetName val="2-1__경관조명_내역총က"/>
      <sheetName val="백호우계수"/>
      <sheetName val="45,46"/>
      <sheetName val="사업성분석"/>
      <sheetName val="99년신청"/>
      <sheetName val="현금"/>
      <sheetName val="서울지역분담금"/>
      <sheetName val="2-1__경관조명_내역총¬_x0000_Ԁ"/>
      <sheetName val="[다원(ZENECA).xls]2_1___________2"/>
      <sheetName val="Customer_Databas10"/>
      <sheetName val="총괄갑_9"/>
      <sheetName val="Sheet1_(2)9"/>
      <sheetName val="단가_및_재료비8"/>
      <sheetName val="일위대가_8"/>
      <sheetName val="노임단가_(2)8"/>
      <sheetName val="자재_DB_LIST8"/>
      <sheetName val="4_2유효폭의_계산6"/>
      <sheetName val="_8"/>
      <sheetName val="1차_내역서10"/>
      <sheetName val="TOWER_10TON6"/>
      <sheetName val="남양시작동자105노65기1_3화1_2"/>
      <sheetName val="3_공통공사대비6"/>
      <sheetName val="내___역6"/>
      <sheetName val="현장별계약현황('98_10_31)"/>
      <sheetName val="경율산정_XLS"/>
      <sheetName val="1_우편집중내역서"/>
      <sheetName val="내역서_제출10"/>
      <sheetName val="Material_U_P9"/>
      <sheetName val="본선_토공_분배표8"/>
      <sheetName val="내역서_7"/>
      <sheetName val="_냉각수펌프7"/>
      <sheetName val="plan&amp;section_of_foundation7"/>
      <sheetName val="design_criteria7"/>
      <sheetName val="2_야탑7"/>
      <sheetName val="TONG_HOP_VL-NC_TT7"/>
      <sheetName val="CHITIET_VL-NC-TT_-1p7"/>
      <sheetName val="KPVC-BD_7"/>
      <sheetName val="I_설계조건6"/>
      <sheetName val="표지_(2)6"/>
      <sheetName val="4_노임단가10"/>
      <sheetName val="실행,원가_최종예상10"/>
      <sheetName val="설명서_10"/>
      <sheetName val="환경기계공정표_(3)8"/>
      <sheetName val="2_대외공문8"/>
      <sheetName val="주공_갑지8"/>
      <sheetName val="2-1__경관조명_내역총괄표8"/>
      <sheetName val="내역서1999_8최종8"/>
      <sheetName val="케이블류_OLD8"/>
      <sheetName val="2_Summary-cash6"/>
      <sheetName val="건축내역서_(2)6"/>
      <sheetName val="Inve__&amp;_Income_Assum_6"/>
      <sheetName val="Annex_C_-_1_-_Cash6"/>
      <sheetName val="Macro_Codes6"/>
      <sheetName val="화재_탐지_설비6"/>
      <sheetName val="4_LINE6"/>
      <sheetName val="7_th6"/>
      <sheetName val="할증_6"/>
      <sheetName val="AS포장복구_6"/>
      <sheetName val="BSD_(2)2"/>
      <sheetName val="견적대비_견적서2"/>
      <sheetName val="일위대가_(100%)"/>
      <sheetName val="3_단가산출기초"/>
      <sheetName val="[다원(ZENECA)_xls]2_1___________2"/>
      <sheetName val="원가 (2)"/>
      <sheetName val="2-1__경관조명_내역총´_x0000__x0000_"/>
      <sheetName val="2-1__경관조_x0000__x0000_ﾈ"/>
      <sheetName val="2-1__경관조_xda30_朖U_x0000_ꉊ寇翷_x0000_"/>
      <sheetName val="2-1__경관조_x0000__x0000_ﾈɚ萹Ğ㖄ª"/>
      <sheetName val="2-1__경관조명_내역총¬_x0000__x0000_"/>
      <sheetName val="설계서"/>
      <sheetName val="영업소실적"/>
      <sheetName val="금액"/>
      <sheetName val="측량요율"/>
      <sheetName val="원가계산 (2)"/>
      <sheetName val="품셈TABLE"/>
      <sheetName val="2-1__경관조"/>
      <sheetName val="2-1__경관조_xda30_朖U"/>
      <sheetName val="gyun"/>
    </sheetNames>
    <sheetDataSet>
      <sheetData sheetId="0" refreshError="1"/>
      <sheetData sheetId="1" refreshError="1">
        <row r="46">
          <cell r="I46" t="str">
            <v>내용</v>
          </cell>
          <cell r="J46" t="str">
            <v>단가</v>
          </cell>
        </row>
        <row r="47">
          <cell r="I47" t="str">
            <v>ED008</v>
          </cell>
          <cell r="J47">
            <v>141800</v>
          </cell>
        </row>
        <row r="48">
          <cell r="I48" t="str">
            <v>ED012</v>
          </cell>
          <cell r="J48">
            <v>173300</v>
          </cell>
        </row>
        <row r="49">
          <cell r="I49" t="str">
            <v>ED014</v>
          </cell>
          <cell r="J49">
            <v>216300</v>
          </cell>
        </row>
        <row r="50">
          <cell r="I50" t="str">
            <v>ED016</v>
          </cell>
          <cell r="J50">
            <v>231000</v>
          </cell>
        </row>
        <row r="51">
          <cell r="I51" t="str">
            <v>ED018</v>
          </cell>
          <cell r="J51">
            <v>243600</v>
          </cell>
        </row>
        <row r="52">
          <cell r="I52" t="str">
            <v>ED018X</v>
          </cell>
          <cell r="J52">
            <v>268800</v>
          </cell>
        </row>
        <row r="53">
          <cell r="I53" t="str">
            <v>ED0108</v>
          </cell>
          <cell r="J53">
            <v>105000</v>
          </cell>
        </row>
        <row r="54">
          <cell r="I54" t="str">
            <v>ED0112</v>
          </cell>
          <cell r="J54">
            <v>132300</v>
          </cell>
        </row>
        <row r="55">
          <cell r="I55" t="str">
            <v>ED0114</v>
          </cell>
          <cell r="J55">
            <v>162800</v>
          </cell>
        </row>
        <row r="56">
          <cell r="I56" t="str">
            <v>ED0116</v>
          </cell>
          <cell r="J56">
            <v>177500</v>
          </cell>
        </row>
        <row r="57">
          <cell r="I57" t="str">
            <v>EP0202</v>
          </cell>
          <cell r="J57">
            <v>131300</v>
          </cell>
        </row>
        <row r="58">
          <cell r="I58" t="str">
            <v>EP0203</v>
          </cell>
          <cell r="J58">
            <v>131300</v>
          </cell>
        </row>
        <row r="59">
          <cell r="I59" t="str">
            <v>EP0302</v>
          </cell>
          <cell r="J59">
            <v>168000</v>
          </cell>
        </row>
        <row r="60">
          <cell r="I60" t="str">
            <v>EP0303</v>
          </cell>
          <cell r="J60">
            <v>168000</v>
          </cell>
        </row>
        <row r="61">
          <cell r="I61" t="str">
            <v>ED401</v>
          </cell>
          <cell r="J61">
            <v>128100</v>
          </cell>
        </row>
        <row r="62">
          <cell r="I62" t="str">
            <v>ED410R</v>
          </cell>
          <cell r="J62">
            <v>160700</v>
          </cell>
        </row>
        <row r="63">
          <cell r="I63" t="str">
            <v>ED410L</v>
          </cell>
          <cell r="J63">
            <v>160700</v>
          </cell>
        </row>
        <row r="64">
          <cell r="I64" t="str">
            <v>ED412</v>
          </cell>
          <cell r="J64">
            <v>160700</v>
          </cell>
        </row>
        <row r="65">
          <cell r="I65" t="str">
            <v>ED950</v>
          </cell>
          <cell r="J65">
            <v>264600</v>
          </cell>
        </row>
        <row r="66">
          <cell r="I66" t="str">
            <v>ED5086R</v>
          </cell>
          <cell r="J66">
            <v>105000</v>
          </cell>
        </row>
        <row r="67">
          <cell r="I67" t="str">
            <v>ED5086L</v>
          </cell>
          <cell r="J67">
            <v>105000</v>
          </cell>
        </row>
        <row r="68">
          <cell r="I68" t="str">
            <v>ED5466</v>
          </cell>
          <cell r="J68">
            <v>33600</v>
          </cell>
        </row>
        <row r="69">
          <cell r="I69" t="str">
            <v>ED5966</v>
          </cell>
          <cell r="J69">
            <v>56700</v>
          </cell>
        </row>
        <row r="70">
          <cell r="I70" t="str">
            <v>ED912</v>
          </cell>
          <cell r="J70">
            <v>203700</v>
          </cell>
        </row>
        <row r="71">
          <cell r="I71" t="str">
            <v>ED916</v>
          </cell>
          <cell r="J71">
            <v>249900</v>
          </cell>
        </row>
        <row r="72">
          <cell r="I72" t="str">
            <v>ED516</v>
          </cell>
          <cell r="J72">
            <v>63000</v>
          </cell>
        </row>
        <row r="73">
          <cell r="I73" t="str">
            <v>ED517R</v>
          </cell>
          <cell r="J73">
            <v>74600</v>
          </cell>
        </row>
        <row r="74">
          <cell r="I74" t="str">
            <v>ED517L</v>
          </cell>
          <cell r="J74">
            <v>74600</v>
          </cell>
        </row>
        <row r="75">
          <cell r="I75" t="str">
            <v>ED5488</v>
          </cell>
          <cell r="J75">
            <v>39900</v>
          </cell>
        </row>
        <row r="76">
          <cell r="I76" t="str">
            <v>ED5988</v>
          </cell>
          <cell r="J76">
            <v>65100</v>
          </cell>
        </row>
        <row r="77">
          <cell r="I77" t="str">
            <v>ED0608</v>
          </cell>
          <cell r="J77">
            <v>54600</v>
          </cell>
        </row>
        <row r="78">
          <cell r="I78" t="str">
            <v>ED0612</v>
          </cell>
          <cell r="J78">
            <v>65100</v>
          </cell>
        </row>
        <row r="81">
          <cell r="I81" t="str">
            <v>ED0616</v>
          </cell>
          <cell r="J81">
            <v>92400</v>
          </cell>
        </row>
        <row r="82">
          <cell r="I82" t="str">
            <v>ED0706</v>
          </cell>
          <cell r="J82">
            <v>105000</v>
          </cell>
        </row>
        <row r="83">
          <cell r="I83" t="str">
            <v>ED0708</v>
          </cell>
          <cell r="J83">
            <v>141800</v>
          </cell>
        </row>
        <row r="84">
          <cell r="I84" t="str">
            <v>ED0806</v>
          </cell>
          <cell r="J84">
            <v>122900</v>
          </cell>
        </row>
        <row r="85">
          <cell r="I85" t="str">
            <v>ED0808</v>
          </cell>
          <cell r="J85">
            <v>164900</v>
          </cell>
        </row>
        <row r="86">
          <cell r="I86" t="str">
            <v>EZ016</v>
          </cell>
          <cell r="J86">
            <v>371700</v>
          </cell>
        </row>
        <row r="87">
          <cell r="I87" t="str">
            <v>EZ018</v>
          </cell>
          <cell r="J87">
            <v>400100</v>
          </cell>
        </row>
        <row r="88">
          <cell r="I88" t="str">
            <v>TD008</v>
          </cell>
          <cell r="J88">
            <v>155400</v>
          </cell>
        </row>
        <row r="89">
          <cell r="I89" t="str">
            <v>TD010</v>
          </cell>
          <cell r="J89">
            <v>173300</v>
          </cell>
        </row>
        <row r="90">
          <cell r="I90" t="str">
            <v>TD012</v>
          </cell>
          <cell r="J90">
            <v>191100</v>
          </cell>
        </row>
        <row r="91">
          <cell r="I91" t="str">
            <v>TD014</v>
          </cell>
          <cell r="J91">
            <v>236300</v>
          </cell>
        </row>
        <row r="92">
          <cell r="I92" t="str">
            <v>TD016</v>
          </cell>
          <cell r="J92">
            <v>254100</v>
          </cell>
        </row>
        <row r="93">
          <cell r="I93" t="str">
            <v>TD018</v>
          </cell>
          <cell r="J93">
            <v>272000</v>
          </cell>
        </row>
        <row r="94">
          <cell r="I94" t="str">
            <v>TD108</v>
          </cell>
          <cell r="J94">
            <v>115500</v>
          </cell>
        </row>
        <row r="112">
          <cell r="I112" t="str">
            <v>TD110</v>
          </cell>
          <cell r="J112">
            <v>130200</v>
          </cell>
        </row>
        <row r="113">
          <cell r="I113" t="str">
            <v>TD112</v>
          </cell>
          <cell r="J113">
            <v>147000</v>
          </cell>
        </row>
        <row r="114">
          <cell r="I114" t="str">
            <v>TD114</v>
          </cell>
          <cell r="J114">
            <v>178500</v>
          </cell>
        </row>
        <row r="115">
          <cell r="I115" t="str">
            <v>TD116</v>
          </cell>
          <cell r="J115">
            <v>196400</v>
          </cell>
        </row>
        <row r="116">
          <cell r="I116" t="str">
            <v>TD118</v>
          </cell>
          <cell r="J116">
            <v>222600</v>
          </cell>
        </row>
        <row r="117">
          <cell r="I117" t="str">
            <v>TP0302</v>
          </cell>
          <cell r="J117">
            <v>198500</v>
          </cell>
        </row>
        <row r="118">
          <cell r="I118" t="str">
            <v>TP0303</v>
          </cell>
          <cell r="J118">
            <v>206900</v>
          </cell>
        </row>
        <row r="119">
          <cell r="I119" t="str">
            <v>TP0312</v>
          </cell>
          <cell r="J119">
            <v>156500</v>
          </cell>
        </row>
        <row r="120">
          <cell r="I120" t="str">
            <v>TP0313</v>
          </cell>
          <cell r="J120">
            <v>162800</v>
          </cell>
        </row>
        <row r="121">
          <cell r="I121" t="str">
            <v>TP0502</v>
          </cell>
          <cell r="J121">
            <v>149100</v>
          </cell>
        </row>
        <row r="122">
          <cell r="I122" t="str">
            <v>TP0503</v>
          </cell>
          <cell r="J122">
            <v>152300</v>
          </cell>
        </row>
        <row r="123">
          <cell r="I123" t="str">
            <v>TD410</v>
          </cell>
          <cell r="J123">
            <v>163800</v>
          </cell>
        </row>
        <row r="124">
          <cell r="I124" t="str">
            <v>TD412</v>
          </cell>
          <cell r="J124">
            <v>173300</v>
          </cell>
        </row>
        <row r="125">
          <cell r="I125" t="str">
            <v>TD546</v>
          </cell>
          <cell r="J125">
            <v>46200</v>
          </cell>
        </row>
        <row r="126">
          <cell r="I126" t="str">
            <v>TD596</v>
          </cell>
          <cell r="J126">
            <v>68300</v>
          </cell>
        </row>
        <row r="127">
          <cell r="I127" t="str">
            <v>TD516</v>
          </cell>
          <cell r="J127">
            <v>83000</v>
          </cell>
        </row>
        <row r="128">
          <cell r="I128" t="str">
            <v>TD517R</v>
          </cell>
          <cell r="J128">
            <v>97700</v>
          </cell>
        </row>
        <row r="129">
          <cell r="I129" t="str">
            <v>TD517L</v>
          </cell>
          <cell r="J129">
            <v>97700</v>
          </cell>
        </row>
        <row r="130">
          <cell r="I130" t="str">
            <v>TD518</v>
          </cell>
          <cell r="J130">
            <v>108200</v>
          </cell>
        </row>
        <row r="131">
          <cell r="I131" t="str">
            <v>TD546</v>
          </cell>
          <cell r="J131">
            <v>46200</v>
          </cell>
        </row>
        <row r="132">
          <cell r="I132" t="str">
            <v>TD548</v>
          </cell>
          <cell r="J132">
            <v>66200</v>
          </cell>
        </row>
        <row r="133">
          <cell r="I133" t="str">
            <v>TD506</v>
          </cell>
          <cell r="J133">
            <v>159600</v>
          </cell>
        </row>
        <row r="134">
          <cell r="I134" t="str">
            <v>TD507R</v>
          </cell>
          <cell r="J134">
            <v>171200</v>
          </cell>
        </row>
        <row r="135">
          <cell r="I135" t="str">
            <v>TD507L</v>
          </cell>
          <cell r="J135">
            <v>171200</v>
          </cell>
        </row>
        <row r="136">
          <cell r="I136" t="str">
            <v>TD508</v>
          </cell>
          <cell r="J136">
            <v>183800</v>
          </cell>
        </row>
        <row r="137">
          <cell r="I137" t="str">
            <v>TD598</v>
          </cell>
          <cell r="J137">
            <v>95600</v>
          </cell>
        </row>
        <row r="138">
          <cell r="I138" t="str">
            <v>TD597R</v>
          </cell>
          <cell r="J138">
            <v>86100</v>
          </cell>
        </row>
        <row r="139">
          <cell r="I139" t="str">
            <v>TD597L</v>
          </cell>
          <cell r="J139">
            <v>86100</v>
          </cell>
        </row>
        <row r="140">
          <cell r="I140" t="str">
            <v>TD0608</v>
          </cell>
          <cell r="J140">
            <v>56700</v>
          </cell>
        </row>
        <row r="141">
          <cell r="I141" t="str">
            <v>TD0612</v>
          </cell>
          <cell r="J141">
            <v>68300</v>
          </cell>
        </row>
        <row r="142">
          <cell r="I142" t="str">
            <v>TD0614</v>
          </cell>
          <cell r="J142">
            <v>86100</v>
          </cell>
        </row>
        <row r="143">
          <cell r="I143" t="str">
            <v>TD0616</v>
          </cell>
          <cell r="J143">
            <v>96600</v>
          </cell>
        </row>
        <row r="144">
          <cell r="I144" t="str">
            <v>TD712</v>
          </cell>
          <cell r="J144">
            <v>212100</v>
          </cell>
        </row>
        <row r="145">
          <cell r="I145" t="str">
            <v>TD808</v>
          </cell>
          <cell r="J145">
            <v>180600</v>
          </cell>
        </row>
        <row r="146">
          <cell r="I146" t="str">
            <v>TD990</v>
          </cell>
          <cell r="J146">
            <v>159600</v>
          </cell>
        </row>
        <row r="147">
          <cell r="I147" t="str">
            <v>TD912</v>
          </cell>
          <cell r="J147">
            <v>129200</v>
          </cell>
        </row>
        <row r="148">
          <cell r="I148" t="str">
            <v>TD916</v>
          </cell>
          <cell r="J148">
            <v>171200</v>
          </cell>
        </row>
        <row r="149">
          <cell r="I149" t="str">
            <v>TD966</v>
          </cell>
          <cell r="J149">
            <v>96600</v>
          </cell>
        </row>
        <row r="150">
          <cell r="I150" t="str">
            <v>TD988</v>
          </cell>
          <cell r="J150">
            <v>155400</v>
          </cell>
        </row>
        <row r="151">
          <cell r="I151" t="str">
            <v>TF008</v>
          </cell>
          <cell r="J151">
            <v>51500</v>
          </cell>
        </row>
        <row r="152">
          <cell r="I152" t="str">
            <v>TF010</v>
          </cell>
          <cell r="J152">
            <v>61700</v>
          </cell>
        </row>
        <row r="153">
          <cell r="I153" t="str">
            <v>TF012</v>
          </cell>
          <cell r="J153">
            <v>69300</v>
          </cell>
        </row>
        <row r="154">
          <cell r="I154" t="str">
            <v>TF014</v>
          </cell>
          <cell r="J154">
            <v>85100</v>
          </cell>
        </row>
        <row r="155">
          <cell r="I155" t="str">
            <v>TF016</v>
          </cell>
          <cell r="J155">
            <v>92400</v>
          </cell>
        </row>
        <row r="156">
          <cell r="I156" t="str">
            <v>TF018</v>
          </cell>
          <cell r="J156">
            <v>103800</v>
          </cell>
        </row>
        <row r="157">
          <cell r="I157" t="str">
            <v>YD018</v>
          </cell>
          <cell r="J157">
            <v>351800</v>
          </cell>
        </row>
        <row r="158">
          <cell r="I158" t="str">
            <v>YP0302</v>
          </cell>
          <cell r="J158">
            <v>233100</v>
          </cell>
        </row>
        <row r="159">
          <cell r="I159" t="str">
            <v>YP0303</v>
          </cell>
          <cell r="J159">
            <v>233100</v>
          </cell>
        </row>
        <row r="160">
          <cell r="I160" t="str">
            <v>YD412</v>
          </cell>
          <cell r="J160">
            <v>194300</v>
          </cell>
        </row>
        <row r="161">
          <cell r="I161" t="str">
            <v>YC055L</v>
          </cell>
          <cell r="J161">
            <v>290900</v>
          </cell>
        </row>
        <row r="162">
          <cell r="I162" t="str">
            <v>YC555R</v>
          </cell>
          <cell r="J162">
            <v>290900</v>
          </cell>
        </row>
        <row r="163">
          <cell r="I163" t="str">
            <v>YC085</v>
          </cell>
          <cell r="J163">
            <v>396900</v>
          </cell>
        </row>
        <row r="164">
          <cell r="I164" t="str">
            <v>YC2082</v>
          </cell>
          <cell r="J164">
            <v>411600</v>
          </cell>
        </row>
        <row r="165">
          <cell r="I165" t="str">
            <v>YC182</v>
          </cell>
          <cell r="J165">
            <v>226800</v>
          </cell>
        </row>
        <row r="166">
          <cell r="I166" t="str">
            <v>YD990</v>
          </cell>
          <cell r="J166">
            <v>202700</v>
          </cell>
        </row>
        <row r="167">
          <cell r="I167" t="str">
            <v>PD018</v>
          </cell>
          <cell r="J167">
            <v>584900</v>
          </cell>
        </row>
        <row r="168">
          <cell r="I168" t="str">
            <v>PD021</v>
          </cell>
          <cell r="J168">
            <v>621600</v>
          </cell>
        </row>
        <row r="169">
          <cell r="I169" t="str">
            <v>PP0202</v>
          </cell>
          <cell r="J169">
            <v>246800</v>
          </cell>
        </row>
        <row r="170">
          <cell r="I170" t="str">
            <v>PP0203</v>
          </cell>
          <cell r="J170">
            <v>246800</v>
          </cell>
        </row>
        <row r="171">
          <cell r="I171" t="str">
            <v>PP0302</v>
          </cell>
          <cell r="J171">
            <v>246800</v>
          </cell>
        </row>
        <row r="172">
          <cell r="I172" t="str">
            <v>PP0303</v>
          </cell>
          <cell r="J172">
            <v>246800</v>
          </cell>
        </row>
        <row r="173">
          <cell r="I173" t="str">
            <v>PD414</v>
          </cell>
          <cell r="J173">
            <v>484100</v>
          </cell>
        </row>
        <row r="174">
          <cell r="I174" t="str">
            <v>PZ021</v>
          </cell>
          <cell r="J174">
            <v>696200</v>
          </cell>
        </row>
        <row r="175">
          <cell r="I175" t="str">
            <v>PC055L</v>
          </cell>
          <cell r="J175">
            <v>347600</v>
          </cell>
        </row>
        <row r="176">
          <cell r="I176" t="str">
            <v>PC355L</v>
          </cell>
          <cell r="J176">
            <v>487200</v>
          </cell>
        </row>
        <row r="177">
          <cell r="I177" t="str">
            <v>PC5055R</v>
          </cell>
          <cell r="J177">
            <v>353900</v>
          </cell>
        </row>
        <row r="178">
          <cell r="I178" t="str">
            <v>PC085</v>
          </cell>
          <cell r="J178">
            <v>513500</v>
          </cell>
        </row>
        <row r="179">
          <cell r="I179" t="str">
            <v>LD021</v>
          </cell>
          <cell r="J179">
            <v>2876000</v>
          </cell>
        </row>
        <row r="180">
          <cell r="I180" t="str">
            <v>LD018</v>
          </cell>
          <cell r="J180">
            <v>2595600</v>
          </cell>
        </row>
        <row r="181">
          <cell r="I181" t="str">
            <v>LD712R</v>
          </cell>
          <cell r="J181">
            <v>781200</v>
          </cell>
        </row>
        <row r="182">
          <cell r="I182" t="str">
            <v>LD712L</v>
          </cell>
          <cell r="J182">
            <v>781200</v>
          </cell>
        </row>
        <row r="183">
          <cell r="I183" t="str">
            <v>LC01</v>
          </cell>
          <cell r="J183">
            <v>5120900</v>
          </cell>
        </row>
        <row r="184">
          <cell r="I184" t="str">
            <v>LC02</v>
          </cell>
          <cell r="J184">
            <v>4102400</v>
          </cell>
        </row>
        <row r="185">
          <cell r="I185" t="str">
            <v>LC03</v>
          </cell>
          <cell r="J185">
            <v>3716000</v>
          </cell>
        </row>
        <row r="186">
          <cell r="I186" t="str">
            <v>LC04</v>
          </cell>
          <cell r="J186">
            <v>5292000</v>
          </cell>
        </row>
        <row r="187">
          <cell r="I187" t="str">
            <v>LC05</v>
          </cell>
          <cell r="J187">
            <v>4273500</v>
          </cell>
        </row>
        <row r="188">
          <cell r="I188" t="str">
            <v>LC11</v>
          </cell>
          <cell r="J188">
            <v>4237800</v>
          </cell>
        </row>
        <row r="189">
          <cell r="I189" t="str">
            <v>LC12</v>
          </cell>
          <cell r="J189">
            <v>3182600</v>
          </cell>
        </row>
        <row r="190">
          <cell r="I190" t="str">
            <v>LC06</v>
          </cell>
          <cell r="J190">
            <v>3887100</v>
          </cell>
        </row>
        <row r="191">
          <cell r="I191" t="str">
            <v>LC21</v>
          </cell>
          <cell r="J191">
            <v>3257100</v>
          </cell>
        </row>
        <row r="192">
          <cell r="I192" t="str">
            <v>LC22</v>
          </cell>
          <cell r="J192">
            <v>2519000</v>
          </cell>
        </row>
        <row r="193">
          <cell r="I193" t="str">
            <v>LC23</v>
          </cell>
          <cell r="J193">
            <v>3782100</v>
          </cell>
        </row>
        <row r="194">
          <cell r="I194" t="str">
            <v>LC24</v>
          </cell>
          <cell r="J194">
            <v>3044000</v>
          </cell>
        </row>
        <row r="195">
          <cell r="I195" t="str">
            <v>LC565R</v>
          </cell>
          <cell r="J195">
            <v>750800</v>
          </cell>
        </row>
        <row r="196">
          <cell r="I196" t="str">
            <v>LC065L</v>
          </cell>
          <cell r="J196">
            <v>729800</v>
          </cell>
        </row>
        <row r="197">
          <cell r="I197" t="str">
            <v>LC162R</v>
          </cell>
          <cell r="J197">
            <v>343400</v>
          </cell>
        </row>
        <row r="198">
          <cell r="I198" t="str">
            <v>LC162L</v>
          </cell>
          <cell r="J198">
            <v>343400</v>
          </cell>
        </row>
        <row r="199">
          <cell r="I199" t="str">
            <v>LC6122</v>
          </cell>
          <cell r="J199">
            <v>515600</v>
          </cell>
        </row>
        <row r="200">
          <cell r="I200" t="str">
            <v>LC7064</v>
          </cell>
          <cell r="J200">
            <v>605900</v>
          </cell>
        </row>
        <row r="201">
          <cell r="I201" t="str">
            <v>LC1063S</v>
          </cell>
          <cell r="J201">
            <v>89300</v>
          </cell>
        </row>
        <row r="202">
          <cell r="I202" t="str">
            <v>LB1063G</v>
          </cell>
          <cell r="J202">
            <v>190100</v>
          </cell>
        </row>
        <row r="203">
          <cell r="I203" t="str">
            <v>LC9112</v>
          </cell>
          <cell r="J203">
            <v>179600</v>
          </cell>
        </row>
        <row r="204">
          <cell r="I204" t="str">
            <v>LC9118</v>
          </cell>
          <cell r="J204">
            <v>237300</v>
          </cell>
        </row>
        <row r="205">
          <cell r="I205" t="str">
            <v>LC9124</v>
          </cell>
          <cell r="J205">
            <v>336000</v>
          </cell>
        </row>
        <row r="206">
          <cell r="I206" t="str">
            <v>LC9106T</v>
          </cell>
          <cell r="J206">
            <v>86100</v>
          </cell>
        </row>
        <row r="207">
          <cell r="I207" t="str">
            <v>LC9112T</v>
          </cell>
          <cell r="J207">
            <v>179600</v>
          </cell>
        </row>
        <row r="208">
          <cell r="I208" t="str">
            <v>LC9118T</v>
          </cell>
          <cell r="J208">
            <v>217400</v>
          </cell>
        </row>
        <row r="209">
          <cell r="I209" t="str">
            <v>LC9124T</v>
          </cell>
          <cell r="J209">
            <v>287700</v>
          </cell>
        </row>
        <row r="210">
          <cell r="I210" t="str">
            <v>LC9124N</v>
          </cell>
          <cell r="J210">
            <v>336000</v>
          </cell>
        </row>
        <row r="211">
          <cell r="I211" t="str">
            <v>LZ01</v>
          </cell>
          <cell r="J211">
            <v>2063300</v>
          </cell>
        </row>
        <row r="212">
          <cell r="I212" t="str">
            <v>LZ02</v>
          </cell>
          <cell r="J212">
            <v>2234400</v>
          </cell>
        </row>
        <row r="213">
          <cell r="I213" t="str">
            <v>LZ11</v>
          </cell>
          <cell r="J213">
            <v>1529900</v>
          </cell>
        </row>
        <row r="214">
          <cell r="I214" t="str">
            <v>LR024</v>
          </cell>
          <cell r="J214">
            <v>1932000</v>
          </cell>
        </row>
        <row r="215">
          <cell r="I215" t="str">
            <v>LR012</v>
          </cell>
          <cell r="J215">
            <v>1430100</v>
          </cell>
        </row>
        <row r="216">
          <cell r="I216" t="str">
            <v>LS7001C</v>
          </cell>
          <cell r="J216">
            <v>1045800</v>
          </cell>
        </row>
        <row r="217">
          <cell r="I217" t="str">
            <v>LS7001W</v>
          </cell>
          <cell r="J217">
            <v>1045800</v>
          </cell>
        </row>
        <row r="218">
          <cell r="I218" t="str">
            <v>LS7003C</v>
          </cell>
          <cell r="J218">
            <v>1708400</v>
          </cell>
        </row>
        <row r="219">
          <cell r="I219" t="str">
            <v>LS7003W</v>
          </cell>
          <cell r="J219">
            <v>1708400</v>
          </cell>
        </row>
        <row r="220">
          <cell r="I220" t="str">
            <v>LL016</v>
          </cell>
          <cell r="J220">
            <v>1146600</v>
          </cell>
        </row>
        <row r="221">
          <cell r="I221" t="str">
            <v>LL008</v>
          </cell>
          <cell r="J221">
            <v>1019600</v>
          </cell>
        </row>
        <row r="222">
          <cell r="I222" t="str">
            <v>LL0007</v>
          </cell>
          <cell r="J222">
            <v>393800</v>
          </cell>
        </row>
        <row r="223">
          <cell r="I223" t="str">
            <v>CA0302</v>
          </cell>
          <cell r="J223">
            <v>60900</v>
          </cell>
        </row>
        <row r="224">
          <cell r="I224" t="str">
            <v>CA0301</v>
          </cell>
          <cell r="J224">
            <v>10500</v>
          </cell>
        </row>
        <row r="225">
          <cell r="I225" t="str">
            <v>CA1101</v>
          </cell>
          <cell r="J225">
            <v>10500</v>
          </cell>
        </row>
        <row r="226">
          <cell r="I226" t="str">
            <v>CC1082</v>
          </cell>
          <cell r="J226">
            <v>107100</v>
          </cell>
        </row>
        <row r="227">
          <cell r="I227" t="str">
            <v>CC1083</v>
          </cell>
          <cell r="J227">
            <v>147000</v>
          </cell>
        </row>
        <row r="228">
          <cell r="I228" t="str">
            <v>CC0054</v>
          </cell>
          <cell r="J228">
            <v>108200</v>
          </cell>
        </row>
        <row r="229">
          <cell r="I229" t="str">
            <v>CC0055</v>
          </cell>
          <cell r="J229">
            <v>129200</v>
          </cell>
        </row>
        <row r="230">
          <cell r="I230" t="str">
            <v>CC0084</v>
          </cell>
          <cell r="J230">
            <v>147000</v>
          </cell>
        </row>
        <row r="231">
          <cell r="I231" t="str">
            <v>CC0085</v>
          </cell>
          <cell r="J231">
            <v>164900</v>
          </cell>
        </row>
        <row r="232">
          <cell r="I232" t="str">
            <v>CC0084N</v>
          </cell>
          <cell r="J232">
            <v>113400</v>
          </cell>
        </row>
        <row r="233">
          <cell r="I233" t="str">
            <v>CC0085N</v>
          </cell>
          <cell r="J233">
            <v>129200</v>
          </cell>
        </row>
        <row r="234">
          <cell r="I234" t="str">
            <v>CC5054</v>
          </cell>
          <cell r="J234">
            <v>101900</v>
          </cell>
        </row>
        <row r="235">
          <cell r="I235" t="str">
            <v>CC5055</v>
          </cell>
          <cell r="J235">
            <v>117600</v>
          </cell>
        </row>
        <row r="236">
          <cell r="I236" t="str">
            <v>TB1082</v>
          </cell>
          <cell r="J236">
            <v>69300</v>
          </cell>
        </row>
        <row r="237">
          <cell r="I237" t="str">
            <v>TB1083</v>
          </cell>
          <cell r="J237">
            <v>90300</v>
          </cell>
        </row>
        <row r="238">
          <cell r="I238" t="str">
            <v>TB0082</v>
          </cell>
          <cell r="J238">
            <v>69300</v>
          </cell>
        </row>
        <row r="239">
          <cell r="I239" t="str">
            <v>TB084</v>
          </cell>
          <cell r="J239">
            <v>127100</v>
          </cell>
        </row>
        <row r="240">
          <cell r="I240" t="str">
            <v>TB085</v>
          </cell>
          <cell r="J240">
            <v>152300</v>
          </cell>
        </row>
        <row r="241">
          <cell r="I241" t="str">
            <v>TB0052R</v>
          </cell>
          <cell r="J241">
            <v>50400</v>
          </cell>
        </row>
        <row r="242">
          <cell r="I242" t="str">
            <v>TB0052L</v>
          </cell>
          <cell r="J242">
            <v>50400</v>
          </cell>
        </row>
        <row r="243">
          <cell r="I243" t="str">
            <v>TB0054R</v>
          </cell>
          <cell r="J243">
            <v>90300</v>
          </cell>
        </row>
        <row r="244">
          <cell r="I244" t="str">
            <v>TB0054L</v>
          </cell>
          <cell r="J244">
            <v>90300</v>
          </cell>
        </row>
        <row r="245">
          <cell r="I245" t="str">
            <v>TB0055R</v>
          </cell>
          <cell r="J245">
            <v>102900</v>
          </cell>
        </row>
        <row r="246">
          <cell r="I246" t="str">
            <v>TB0055L</v>
          </cell>
          <cell r="J246">
            <v>102900</v>
          </cell>
        </row>
        <row r="247">
          <cell r="I247" t="str">
            <v>TB0083G</v>
          </cell>
          <cell r="J247">
            <v>76700</v>
          </cell>
        </row>
        <row r="248">
          <cell r="I248" t="str">
            <v>EB1083G</v>
          </cell>
          <cell r="J248">
            <v>72500</v>
          </cell>
        </row>
        <row r="249">
          <cell r="I249" t="str">
            <v>EB1082</v>
          </cell>
          <cell r="J249">
            <v>54600</v>
          </cell>
        </row>
        <row r="250">
          <cell r="I250" t="str">
            <v>EB1083</v>
          </cell>
          <cell r="J250">
            <v>72500</v>
          </cell>
        </row>
        <row r="251">
          <cell r="I251" t="str">
            <v>EB0082</v>
          </cell>
          <cell r="J251">
            <v>54600</v>
          </cell>
        </row>
        <row r="252">
          <cell r="I252" t="str">
            <v>EB084</v>
          </cell>
          <cell r="J252">
            <v>101900</v>
          </cell>
        </row>
        <row r="253">
          <cell r="I253" t="str">
            <v>EB085</v>
          </cell>
          <cell r="J253">
            <v>120800</v>
          </cell>
        </row>
        <row r="254">
          <cell r="I254" t="str">
            <v>EB0052R</v>
          </cell>
          <cell r="J254">
            <v>42000</v>
          </cell>
        </row>
        <row r="255">
          <cell r="I255" t="str">
            <v>EB0052L</v>
          </cell>
          <cell r="J255">
            <v>42000</v>
          </cell>
        </row>
        <row r="256">
          <cell r="I256" t="str">
            <v>EB0054R</v>
          </cell>
          <cell r="J256">
            <v>74600</v>
          </cell>
        </row>
        <row r="257">
          <cell r="I257" t="str">
            <v>EB0054L</v>
          </cell>
          <cell r="J257">
            <v>74600</v>
          </cell>
        </row>
        <row r="258">
          <cell r="I258" t="str">
            <v>EB0055R</v>
          </cell>
          <cell r="J258">
            <v>86100</v>
          </cell>
        </row>
        <row r="259">
          <cell r="I259" t="str">
            <v>EB0055L</v>
          </cell>
          <cell r="J259">
            <v>86100</v>
          </cell>
        </row>
        <row r="260">
          <cell r="I260" t="str">
            <v>EC2052</v>
          </cell>
          <cell r="J260">
            <v>201600</v>
          </cell>
        </row>
        <row r="261">
          <cell r="I261" t="str">
            <v>EC2053</v>
          </cell>
          <cell r="J261">
            <v>269900</v>
          </cell>
        </row>
        <row r="262">
          <cell r="I262" t="str">
            <v>EC2050</v>
          </cell>
          <cell r="J262">
            <v>38900</v>
          </cell>
        </row>
        <row r="263">
          <cell r="I263" t="str">
            <v>TC2042</v>
          </cell>
          <cell r="J263">
            <v>242600</v>
          </cell>
        </row>
        <row r="264">
          <cell r="I264" t="str">
            <v>TC2043</v>
          </cell>
          <cell r="J264">
            <v>327600</v>
          </cell>
        </row>
        <row r="265">
          <cell r="I265" t="str">
            <v>TC2082</v>
          </cell>
          <cell r="J265">
            <v>371700</v>
          </cell>
        </row>
        <row r="266">
          <cell r="I266" t="str">
            <v>TC2083</v>
          </cell>
          <cell r="J266">
            <v>492500</v>
          </cell>
        </row>
        <row r="267">
          <cell r="I267" t="str">
            <v>TC242S</v>
          </cell>
          <cell r="J267">
            <v>253100</v>
          </cell>
        </row>
        <row r="268">
          <cell r="I268" t="str">
            <v>TC242N</v>
          </cell>
          <cell r="J268">
            <v>246800</v>
          </cell>
        </row>
        <row r="269">
          <cell r="I269" t="str">
            <v>CB9054</v>
          </cell>
          <cell r="J269">
            <v>27300</v>
          </cell>
        </row>
        <row r="270">
          <cell r="I270" t="str">
            <v>CB955</v>
          </cell>
          <cell r="J270">
            <v>35700</v>
          </cell>
        </row>
        <row r="271">
          <cell r="I271" t="str">
            <v>CB9084</v>
          </cell>
          <cell r="J271">
            <v>42000</v>
          </cell>
        </row>
        <row r="272">
          <cell r="I272" t="str">
            <v>CB985</v>
          </cell>
          <cell r="J272">
            <v>54600</v>
          </cell>
        </row>
        <row r="273">
          <cell r="I273" t="str">
            <v>XX100</v>
          </cell>
          <cell r="J273">
            <v>459900</v>
          </cell>
        </row>
        <row r="274">
          <cell r="I274" t="str">
            <v>XC100</v>
          </cell>
          <cell r="J274">
            <v>430500</v>
          </cell>
        </row>
        <row r="275">
          <cell r="I275" t="str">
            <v>XC150R</v>
          </cell>
          <cell r="J275">
            <v>279300</v>
          </cell>
        </row>
        <row r="276">
          <cell r="I276" t="str">
            <v>XC150L</v>
          </cell>
          <cell r="J276">
            <v>279300</v>
          </cell>
        </row>
        <row r="277">
          <cell r="I277" t="str">
            <v>CR1007</v>
          </cell>
          <cell r="J277">
            <v>132300</v>
          </cell>
        </row>
        <row r="278">
          <cell r="I278" t="str">
            <v>CR1015</v>
          </cell>
          <cell r="J278">
            <v>183800</v>
          </cell>
        </row>
        <row r="279">
          <cell r="I279" t="str">
            <v>CR1066</v>
          </cell>
          <cell r="J279">
            <v>201600</v>
          </cell>
        </row>
        <row r="280">
          <cell r="I280" t="str">
            <v>CR1107</v>
          </cell>
          <cell r="J280">
            <v>114500</v>
          </cell>
        </row>
        <row r="281">
          <cell r="I281" t="str">
            <v>CR1115</v>
          </cell>
          <cell r="J281">
            <v>150200</v>
          </cell>
        </row>
        <row r="282">
          <cell r="I282" t="str">
            <v>CR1166</v>
          </cell>
          <cell r="J282">
            <v>158600</v>
          </cell>
        </row>
        <row r="283">
          <cell r="I283" t="str">
            <v>CR1206</v>
          </cell>
          <cell r="J283">
            <v>30500</v>
          </cell>
        </row>
        <row r="284">
          <cell r="I284" t="str">
            <v>CR1207</v>
          </cell>
          <cell r="J284">
            <v>33600</v>
          </cell>
        </row>
        <row r="285">
          <cell r="I285" t="str">
            <v>CR1307</v>
          </cell>
          <cell r="J285">
            <v>17900</v>
          </cell>
        </row>
        <row r="286">
          <cell r="I286" t="str">
            <v>CR1315</v>
          </cell>
          <cell r="J286">
            <v>33600</v>
          </cell>
        </row>
        <row r="287">
          <cell r="I287" t="str">
            <v>CR1360</v>
          </cell>
          <cell r="J287">
            <v>17900</v>
          </cell>
        </row>
        <row r="288">
          <cell r="I288" t="str">
            <v>CR1361</v>
          </cell>
          <cell r="J288">
            <v>17900</v>
          </cell>
        </row>
        <row r="289">
          <cell r="I289" t="str">
            <v>CR2008N</v>
          </cell>
          <cell r="J289">
            <v>150200</v>
          </cell>
        </row>
        <row r="290">
          <cell r="I290" t="str">
            <v>CR2016N</v>
          </cell>
          <cell r="J290">
            <v>246800</v>
          </cell>
        </row>
        <row r="291">
          <cell r="I291" t="str">
            <v>CR2590N</v>
          </cell>
          <cell r="J291">
            <v>135500</v>
          </cell>
        </row>
        <row r="292">
          <cell r="I292" t="str">
            <v>CR2000</v>
          </cell>
          <cell r="J292">
            <v>48300</v>
          </cell>
        </row>
        <row r="293">
          <cell r="I293" t="str">
            <v>CR2000S</v>
          </cell>
          <cell r="J293">
            <v>26300</v>
          </cell>
        </row>
        <row r="294">
          <cell r="I294" t="str">
            <v>CR2000E</v>
          </cell>
          <cell r="J294">
            <v>48300</v>
          </cell>
        </row>
        <row r="295">
          <cell r="I295" t="str">
            <v>CR018</v>
          </cell>
          <cell r="J295">
            <v>278300</v>
          </cell>
        </row>
        <row r="296">
          <cell r="I296" t="str">
            <v>CR024</v>
          </cell>
          <cell r="J296">
            <v>354900</v>
          </cell>
        </row>
        <row r="297">
          <cell r="I297" t="str">
            <v>CR3118</v>
          </cell>
          <cell r="J297">
            <v>285600</v>
          </cell>
        </row>
        <row r="298">
          <cell r="I298" t="str">
            <v>CR3218</v>
          </cell>
          <cell r="J298">
            <v>249900</v>
          </cell>
        </row>
        <row r="299">
          <cell r="I299" t="str">
            <v>CR3114N</v>
          </cell>
          <cell r="J299">
            <v>225800</v>
          </cell>
        </row>
        <row r="300">
          <cell r="I300" t="str">
            <v>CR3214N</v>
          </cell>
          <cell r="J300">
            <v>206900</v>
          </cell>
        </row>
        <row r="301">
          <cell r="I301" t="str">
            <v>CR4110</v>
          </cell>
          <cell r="J301">
            <v>107100</v>
          </cell>
        </row>
        <row r="302">
          <cell r="I302" t="str">
            <v>SR009</v>
          </cell>
          <cell r="J302">
            <v>225800</v>
          </cell>
        </row>
        <row r="303">
          <cell r="I303" t="str">
            <v>SR012</v>
          </cell>
          <cell r="J303">
            <v>241500</v>
          </cell>
        </row>
        <row r="304">
          <cell r="I304" t="str">
            <v>SR018</v>
          </cell>
          <cell r="J304">
            <v>303500</v>
          </cell>
        </row>
        <row r="305">
          <cell r="I305" t="str">
            <v>SR024S</v>
          </cell>
          <cell r="J305">
            <v>375900</v>
          </cell>
        </row>
        <row r="306">
          <cell r="I306" t="str">
            <v>SR024</v>
          </cell>
          <cell r="J306">
            <v>375900</v>
          </cell>
        </row>
        <row r="307">
          <cell r="I307" t="str">
            <v>SR032</v>
          </cell>
          <cell r="J307">
            <v>483000</v>
          </cell>
        </row>
        <row r="308">
          <cell r="I308" t="str">
            <v>CR413</v>
          </cell>
          <cell r="J308">
            <v>129200</v>
          </cell>
        </row>
        <row r="309">
          <cell r="I309" t="str">
            <v>CA9900</v>
          </cell>
          <cell r="J309">
            <v>5300</v>
          </cell>
        </row>
        <row r="310">
          <cell r="I310" t="str">
            <v>CA9901</v>
          </cell>
          <cell r="J310">
            <v>4200</v>
          </cell>
        </row>
        <row r="311">
          <cell r="I311" t="str">
            <v>CA0100</v>
          </cell>
          <cell r="J311">
            <v>26300</v>
          </cell>
        </row>
        <row r="312">
          <cell r="I312" t="str">
            <v>CA0401</v>
          </cell>
          <cell r="J312">
            <v>175400</v>
          </cell>
        </row>
        <row r="313">
          <cell r="I313" t="str">
            <v>CA0402</v>
          </cell>
          <cell r="J313">
            <v>194300</v>
          </cell>
        </row>
        <row r="314">
          <cell r="I314" t="str">
            <v>CA0501</v>
          </cell>
          <cell r="J314">
            <v>161700</v>
          </cell>
        </row>
        <row r="315">
          <cell r="I315" t="str">
            <v>CA0601</v>
          </cell>
          <cell r="J315">
            <v>99800</v>
          </cell>
        </row>
        <row r="316">
          <cell r="I316" t="str">
            <v>CA0702</v>
          </cell>
          <cell r="J316">
            <v>24200</v>
          </cell>
        </row>
        <row r="317">
          <cell r="I317" t="str">
            <v>CA0703</v>
          </cell>
          <cell r="J317">
            <v>18900</v>
          </cell>
        </row>
        <row r="318">
          <cell r="I318" t="str">
            <v>CA0801</v>
          </cell>
          <cell r="J318">
            <v>15800</v>
          </cell>
        </row>
        <row r="319">
          <cell r="I319" t="str">
            <v>CA0802</v>
          </cell>
          <cell r="J319">
            <v>142800</v>
          </cell>
        </row>
        <row r="320">
          <cell r="I320" t="str">
            <v>CA0803</v>
          </cell>
          <cell r="J320">
            <v>66200</v>
          </cell>
        </row>
        <row r="321">
          <cell r="I321" t="str">
            <v>CA0901</v>
          </cell>
          <cell r="J321">
            <v>48300</v>
          </cell>
        </row>
        <row r="322">
          <cell r="I322" t="str">
            <v>CA0001</v>
          </cell>
          <cell r="J322">
            <v>62000</v>
          </cell>
        </row>
        <row r="323">
          <cell r="I323" t="str">
            <v>CA0002</v>
          </cell>
          <cell r="J323">
            <v>172200</v>
          </cell>
        </row>
        <row r="324">
          <cell r="I324" t="str">
            <v>CA0110</v>
          </cell>
          <cell r="J324">
            <v>105000</v>
          </cell>
        </row>
        <row r="325">
          <cell r="I325" t="str">
            <v>CA1003</v>
          </cell>
          <cell r="J325">
            <v>44100</v>
          </cell>
        </row>
        <row r="326">
          <cell r="I326" t="str">
            <v>CA1004</v>
          </cell>
          <cell r="J326">
            <v>44100</v>
          </cell>
        </row>
        <row r="327">
          <cell r="I327" t="str">
            <v>CA1005</v>
          </cell>
          <cell r="J327">
            <v>44000</v>
          </cell>
        </row>
        <row r="328">
          <cell r="I328" t="str">
            <v>CA120</v>
          </cell>
          <cell r="J328">
            <v>123900</v>
          </cell>
        </row>
        <row r="329">
          <cell r="I329" t="str">
            <v>CA0120</v>
          </cell>
          <cell r="J329">
            <v>62000</v>
          </cell>
        </row>
        <row r="330">
          <cell r="I330" t="str">
            <v>NF0060</v>
          </cell>
          <cell r="J330">
            <v>110300</v>
          </cell>
        </row>
        <row r="331">
          <cell r="I331" t="str">
            <v>NF0080</v>
          </cell>
          <cell r="J331">
            <v>122900</v>
          </cell>
        </row>
        <row r="332">
          <cell r="I332" t="str">
            <v>NF0100</v>
          </cell>
          <cell r="J332">
            <v>134400</v>
          </cell>
        </row>
        <row r="333">
          <cell r="I333" t="str">
            <v>NF0120</v>
          </cell>
          <cell r="J333">
            <v>144900</v>
          </cell>
        </row>
        <row r="334">
          <cell r="I334" t="str">
            <v>NF0062</v>
          </cell>
          <cell r="J334">
            <v>123900</v>
          </cell>
        </row>
        <row r="335">
          <cell r="I335" t="str">
            <v>NF0082</v>
          </cell>
          <cell r="J335">
            <v>135500</v>
          </cell>
        </row>
        <row r="336">
          <cell r="I336" t="str">
            <v>NF0102</v>
          </cell>
          <cell r="J336">
            <v>147000</v>
          </cell>
        </row>
        <row r="337">
          <cell r="I337" t="str">
            <v>NF0122</v>
          </cell>
          <cell r="J337">
            <v>159600</v>
          </cell>
        </row>
        <row r="338">
          <cell r="I338" t="str">
            <v>NF0065</v>
          </cell>
          <cell r="J338">
            <v>143900</v>
          </cell>
        </row>
        <row r="339">
          <cell r="I339" t="str">
            <v>NF0085</v>
          </cell>
          <cell r="J339">
            <v>161700</v>
          </cell>
        </row>
        <row r="340">
          <cell r="I340" t="str">
            <v>NF0105</v>
          </cell>
          <cell r="J340">
            <v>177500</v>
          </cell>
        </row>
        <row r="341">
          <cell r="I341" t="str">
            <v>NF0125</v>
          </cell>
          <cell r="J341">
            <v>195300</v>
          </cell>
        </row>
        <row r="342">
          <cell r="I342" t="str">
            <v>NF0068</v>
          </cell>
          <cell r="J342">
            <v>170100</v>
          </cell>
        </row>
        <row r="343">
          <cell r="I343" t="str">
            <v>NF0088</v>
          </cell>
          <cell r="J343">
            <v>195300</v>
          </cell>
        </row>
        <row r="344">
          <cell r="I344" t="str">
            <v>NF0108</v>
          </cell>
          <cell r="J344">
            <v>221600</v>
          </cell>
        </row>
        <row r="345">
          <cell r="I345" t="str">
            <v>NF0128</v>
          </cell>
          <cell r="J345">
            <v>245700</v>
          </cell>
        </row>
        <row r="346">
          <cell r="I346" t="str">
            <v>NF1082</v>
          </cell>
          <cell r="J346">
            <v>204800</v>
          </cell>
        </row>
        <row r="347">
          <cell r="I347" t="str">
            <v>NF1102</v>
          </cell>
          <cell r="J347">
            <v>231000</v>
          </cell>
        </row>
        <row r="348">
          <cell r="I348" t="str">
            <v>NF1085</v>
          </cell>
          <cell r="J348">
            <v>234200</v>
          </cell>
        </row>
        <row r="349">
          <cell r="I349" t="str">
            <v>NF1105</v>
          </cell>
          <cell r="J349">
            <v>273000</v>
          </cell>
        </row>
        <row r="350">
          <cell r="I350" t="str">
            <v>NF1088</v>
          </cell>
          <cell r="J350">
            <v>273000</v>
          </cell>
        </row>
        <row r="351">
          <cell r="I351" t="str">
            <v>NF1108</v>
          </cell>
          <cell r="J351">
            <v>321300</v>
          </cell>
        </row>
        <row r="352">
          <cell r="I352" t="str">
            <v>NF2085</v>
          </cell>
          <cell r="J352">
            <v>242600</v>
          </cell>
        </row>
        <row r="353">
          <cell r="I353" t="str">
            <v>NF2105</v>
          </cell>
          <cell r="J353">
            <v>281400</v>
          </cell>
        </row>
        <row r="354">
          <cell r="I354" t="str">
            <v>NF2088</v>
          </cell>
          <cell r="J354">
            <v>281400</v>
          </cell>
        </row>
        <row r="355">
          <cell r="I355" t="str">
            <v>NF2108</v>
          </cell>
          <cell r="J355">
            <v>329700</v>
          </cell>
        </row>
        <row r="356">
          <cell r="I356" t="str">
            <v>NF0060X</v>
          </cell>
          <cell r="J356">
            <v>114500</v>
          </cell>
        </row>
        <row r="357">
          <cell r="I357" t="str">
            <v>NF0080X</v>
          </cell>
          <cell r="J357">
            <v>128100</v>
          </cell>
        </row>
        <row r="358">
          <cell r="I358" t="str">
            <v>NF0100X</v>
          </cell>
          <cell r="J358">
            <v>138600</v>
          </cell>
        </row>
        <row r="359">
          <cell r="I359" t="str">
            <v>NF0120X</v>
          </cell>
          <cell r="J359">
            <v>150200</v>
          </cell>
        </row>
        <row r="360">
          <cell r="I360" t="str">
            <v>NA0001</v>
          </cell>
          <cell r="J360">
            <v>1600</v>
          </cell>
        </row>
        <row r="361">
          <cell r="I361" t="str">
            <v>NA0006</v>
          </cell>
          <cell r="J361">
            <v>11300</v>
          </cell>
        </row>
        <row r="362">
          <cell r="I362" t="str">
            <v>NA0008</v>
          </cell>
          <cell r="J362">
            <v>14500</v>
          </cell>
        </row>
        <row r="363">
          <cell r="I363" t="str">
            <v>NA0010</v>
          </cell>
          <cell r="J363">
            <v>17700</v>
          </cell>
        </row>
        <row r="364">
          <cell r="I364" t="str">
            <v>NA0012</v>
          </cell>
          <cell r="J364">
            <v>21000</v>
          </cell>
        </row>
        <row r="365">
          <cell r="I365" t="str">
            <v>NA0014</v>
          </cell>
          <cell r="J365">
            <v>24300</v>
          </cell>
        </row>
        <row r="366">
          <cell r="I366" t="str">
            <v>NA0016</v>
          </cell>
          <cell r="J366">
            <v>27500</v>
          </cell>
        </row>
        <row r="367">
          <cell r="I367" t="str">
            <v>NA0101</v>
          </cell>
          <cell r="J367">
            <v>14500</v>
          </cell>
        </row>
        <row r="368">
          <cell r="I368" t="str">
            <v>NA0102</v>
          </cell>
          <cell r="J368">
            <v>27500</v>
          </cell>
        </row>
        <row r="369">
          <cell r="I369" t="str">
            <v>NA0103</v>
          </cell>
          <cell r="J369">
            <v>16200</v>
          </cell>
        </row>
        <row r="370">
          <cell r="I370" t="str">
            <v>NA0104</v>
          </cell>
          <cell r="J370">
            <v>50100</v>
          </cell>
        </row>
        <row r="371">
          <cell r="I371" t="str">
            <v>NA0105</v>
          </cell>
          <cell r="J371">
            <v>14500</v>
          </cell>
        </row>
        <row r="372">
          <cell r="I372" t="str">
            <v>NA0106</v>
          </cell>
          <cell r="J372">
            <v>11300</v>
          </cell>
        </row>
        <row r="373">
          <cell r="I373" t="str">
            <v>NA0107</v>
          </cell>
          <cell r="J373">
            <v>11300</v>
          </cell>
        </row>
        <row r="374">
          <cell r="I374" t="str">
            <v>NF8001</v>
          </cell>
          <cell r="J374">
            <v>25700</v>
          </cell>
        </row>
        <row r="375">
          <cell r="I375" t="str">
            <v>NF8002</v>
          </cell>
          <cell r="J375">
            <v>3300</v>
          </cell>
        </row>
        <row r="376">
          <cell r="I376" t="str">
            <v>NF5109</v>
          </cell>
          <cell r="J376">
            <v>14700</v>
          </cell>
        </row>
        <row r="377">
          <cell r="I377" t="str">
            <v>NF5110</v>
          </cell>
          <cell r="J377">
            <v>16300</v>
          </cell>
        </row>
        <row r="378">
          <cell r="I378" t="str">
            <v>NF5112</v>
          </cell>
          <cell r="J378">
            <v>16300</v>
          </cell>
        </row>
        <row r="379">
          <cell r="I379" t="str">
            <v>NF5115</v>
          </cell>
          <cell r="J379">
            <v>21000</v>
          </cell>
        </row>
        <row r="380">
          <cell r="I380" t="str">
            <v>NF5118</v>
          </cell>
          <cell r="J380">
            <v>24200</v>
          </cell>
        </row>
        <row r="381">
          <cell r="I381" t="str">
            <v>NF5209</v>
          </cell>
          <cell r="J381">
            <v>17900</v>
          </cell>
        </row>
        <row r="382">
          <cell r="I382" t="str">
            <v>NF5210</v>
          </cell>
          <cell r="J382">
            <v>21000</v>
          </cell>
        </row>
        <row r="383">
          <cell r="I383" t="str">
            <v>NF5212</v>
          </cell>
          <cell r="J383">
            <v>21000</v>
          </cell>
        </row>
        <row r="384">
          <cell r="I384" t="str">
            <v>NF5215</v>
          </cell>
          <cell r="J384">
            <v>24200</v>
          </cell>
        </row>
        <row r="385">
          <cell r="I385" t="str">
            <v>NF5218</v>
          </cell>
          <cell r="J385">
            <v>27300</v>
          </cell>
        </row>
        <row r="386">
          <cell r="I386" t="str">
            <v>NF5309</v>
          </cell>
          <cell r="J386">
            <v>14700</v>
          </cell>
        </row>
        <row r="387">
          <cell r="I387" t="str">
            <v>NF5310</v>
          </cell>
          <cell r="J387">
            <v>16300</v>
          </cell>
        </row>
        <row r="388">
          <cell r="I388" t="str">
            <v>NF5312</v>
          </cell>
          <cell r="J388">
            <v>16300</v>
          </cell>
        </row>
        <row r="389">
          <cell r="I389" t="str">
            <v>NF5315</v>
          </cell>
          <cell r="J389">
            <v>21000</v>
          </cell>
        </row>
        <row r="390">
          <cell r="I390" t="str">
            <v>NF5318</v>
          </cell>
          <cell r="J390">
            <v>24200</v>
          </cell>
        </row>
        <row r="391">
          <cell r="I391" t="str">
            <v>NF5409</v>
          </cell>
          <cell r="J391">
            <v>14700</v>
          </cell>
        </row>
        <row r="392">
          <cell r="I392" t="str">
            <v>NF5410</v>
          </cell>
          <cell r="J392">
            <v>16300</v>
          </cell>
        </row>
        <row r="393">
          <cell r="I393" t="str">
            <v>NF5412</v>
          </cell>
          <cell r="J393">
            <v>16300</v>
          </cell>
        </row>
        <row r="394">
          <cell r="I394" t="str">
            <v>NF5415</v>
          </cell>
          <cell r="J394">
            <v>21000</v>
          </cell>
        </row>
        <row r="395">
          <cell r="I395" t="str">
            <v>NF5418</v>
          </cell>
          <cell r="J395">
            <v>24200</v>
          </cell>
        </row>
        <row r="396">
          <cell r="I396" t="str">
            <v>NF5500</v>
          </cell>
          <cell r="J396">
            <v>11600</v>
          </cell>
        </row>
        <row r="397">
          <cell r="I397" t="str">
            <v>NF5600</v>
          </cell>
          <cell r="J397">
            <v>11600</v>
          </cell>
        </row>
        <row r="398">
          <cell r="I398" t="str">
            <v>NF6009</v>
          </cell>
          <cell r="J398">
            <v>3200</v>
          </cell>
        </row>
        <row r="399">
          <cell r="I399" t="str">
            <v>NF6010</v>
          </cell>
          <cell r="J399">
            <v>3200</v>
          </cell>
        </row>
        <row r="400">
          <cell r="I400" t="str">
            <v>NF6012</v>
          </cell>
          <cell r="J400">
            <v>3200</v>
          </cell>
        </row>
        <row r="401">
          <cell r="I401" t="str">
            <v>NF6015</v>
          </cell>
          <cell r="J401">
            <v>4700</v>
          </cell>
        </row>
        <row r="402">
          <cell r="I402" t="str">
            <v>NF6018</v>
          </cell>
          <cell r="J402">
            <v>4700</v>
          </cell>
        </row>
        <row r="403">
          <cell r="I403" t="str">
            <v>NF6103</v>
          </cell>
          <cell r="J403">
            <v>1600</v>
          </cell>
        </row>
        <row r="404">
          <cell r="I404" t="str">
            <v>NF6106</v>
          </cell>
          <cell r="J404">
            <v>1600</v>
          </cell>
        </row>
        <row r="405">
          <cell r="I405" t="str">
            <v>NF6109</v>
          </cell>
          <cell r="J405">
            <v>3200</v>
          </cell>
        </row>
        <row r="406">
          <cell r="I406" t="str">
            <v>NF6303</v>
          </cell>
          <cell r="J406">
            <v>9500</v>
          </cell>
        </row>
        <row r="407">
          <cell r="I407" t="str">
            <v>NF6306</v>
          </cell>
          <cell r="J407">
            <v>11600</v>
          </cell>
        </row>
        <row r="408">
          <cell r="I408" t="str">
            <v>NF6309</v>
          </cell>
          <cell r="J408">
            <v>13100</v>
          </cell>
        </row>
        <row r="409">
          <cell r="I409" t="str">
            <v>NF6403</v>
          </cell>
          <cell r="J409">
            <v>9500</v>
          </cell>
        </row>
        <row r="410">
          <cell r="I410" t="str">
            <v>NF6406</v>
          </cell>
          <cell r="J410">
            <v>11600</v>
          </cell>
        </row>
        <row r="411">
          <cell r="I411" t="str">
            <v>NF6409</v>
          </cell>
          <cell r="J411">
            <v>12600</v>
          </cell>
        </row>
        <row r="412">
          <cell r="I412" t="str">
            <v>NT8001</v>
          </cell>
          <cell r="J412">
            <v>17900</v>
          </cell>
        </row>
        <row r="413">
          <cell r="I413" t="str">
            <v>NT0006</v>
          </cell>
          <cell r="J413">
            <v>66200</v>
          </cell>
        </row>
        <row r="414">
          <cell r="I414" t="str">
            <v>NT0008</v>
          </cell>
          <cell r="J414">
            <v>74600</v>
          </cell>
        </row>
        <row r="415">
          <cell r="I415" t="str">
            <v>NT0010</v>
          </cell>
          <cell r="J415">
            <v>87200</v>
          </cell>
        </row>
        <row r="416">
          <cell r="I416" t="str">
            <v>NT0012</v>
          </cell>
          <cell r="J416">
            <v>92400</v>
          </cell>
        </row>
        <row r="417">
          <cell r="I417" t="str">
            <v>NT0016</v>
          </cell>
          <cell r="J417">
            <v>123900</v>
          </cell>
        </row>
        <row r="418">
          <cell r="I418" t="str">
            <v>NT0018</v>
          </cell>
          <cell r="J418">
            <v>140700</v>
          </cell>
        </row>
        <row r="419">
          <cell r="I419" t="str">
            <v>NT0106</v>
          </cell>
          <cell r="J419">
            <v>54600</v>
          </cell>
        </row>
        <row r="420">
          <cell r="I420" t="str">
            <v>NT0108</v>
          </cell>
          <cell r="J420">
            <v>63000</v>
          </cell>
        </row>
        <row r="421">
          <cell r="I421" t="str">
            <v>NT0110</v>
          </cell>
          <cell r="J421">
            <v>72500</v>
          </cell>
        </row>
        <row r="422">
          <cell r="I422" t="str">
            <v>NT0112</v>
          </cell>
          <cell r="J422">
            <v>75600</v>
          </cell>
        </row>
        <row r="423">
          <cell r="I423" t="str">
            <v>NT0116</v>
          </cell>
          <cell r="J423">
            <v>102900</v>
          </cell>
        </row>
        <row r="424">
          <cell r="I424" t="str">
            <v>NT0118</v>
          </cell>
          <cell r="J424">
            <v>116600</v>
          </cell>
        </row>
        <row r="425">
          <cell r="I425" t="str">
            <v>NT0100</v>
          </cell>
          <cell r="J425">
            <v>63000</v>
          </cell>
        </row>
        <row r="426">
          <cell r="I426" t="str">
            <v>NT0000</v>
          </cell>
          <cell r="J426">
            <v>72500</v>
          </cell>
        </row>
        <row r="427">
          <cell r="I427" t="str">
            <v>NT2004</v>
          </cell>
          <cell r="J427">
            <v>39900</v>
          </cell>
        </row>
        <row r="428">
          <cell r="I428" t="str">
            <v>NT2006</v>
          </cell>
          <cell r="J428">
            <v>45200</v>
          </cell>
        </row>
        <row r="429">
          <cell r="I429" t="str">
            <v>NT2008</v>
          </cell>
          <cell r="J429">
            <v>53600</v>
          </cell>
        </row>
        <row r="430">
          <cell r="I430" t="str">
            <v>NT2010</v>
          </cell>
          <cell r="J430">
            <v>63000</v>
          </cell>
        </row>
        <row r="431">
          <cell r="I431" t="str">
            <v>NT2012</v>
          </cell>
          <cell r="J431">
            <v>66200</v>
          </cell>
        </row>
        <row r="432">
          <cell r="I432" t="str">
            <v>NT2014</v>
          </cell>
          <cell r="J432">
            <v>81900</v>
          </cell>
        </row>
        <row r="433">
          <cell r="I433" t="str">
            <v>NT2016</v>
          </cell>
          <cell r="J433">
            <v>92400</v>
          </cell>
        </row>
        <row r="434">
          <cell r="I434" t="str">
            <v>NT2018</v>
          </cell>
          <cell r="J434">
            <v>95600</v>
          </cell>
        </row>
        <row r="435">
          <cell r="I435" t="str">
            <v>NT2122</v>
          </cell>
          <cell r="J435">
            <v>26300</v>
          </cell>
        </row>
        <row r="436">
          <cell r="I436" t="str">
            <v>NT2206</v>
          </cell>
          <cell r="J436">
            <v>53600</v>
          </cell>
        </row>
        <row r="437">
          <cell r="I437" t="str">
            <v>NT2208</v>
          </cell>
          <cell r="J437">
            <v>59900</v>
          </cell>
        </row>
        <row r="438">
          <cell r="I438" t="str">
            <v>NT2210</v>
          </cell>
          <cell r="J438">
            <v>66200</v>
          </cell>
        </row>
        <row r="439">
          <cell r="I439" t="str">
            <v>NT2212</v>
          </cell>
          <cell r="J439">
            <v>75600</v>
          </cell>
        </row>
        <row r="440">
          <cell r="I440" t="str">
            <v>NT2308</v>
          </cell>
          <cell r="J440">
            <v>45200</v>
          </cell>
        </row>
        <row r="441">
          <cell r="I441" t="str">
            <v>NT912</v>
          </cell>
          <cell r="J441">
            <v>84000</v>
          </cell>
        </row>
        <row r="442">
          <cell r="I442" t="str">
            <v>NT916</v>
          </cell>
          <cell r="J442">
            <v>129200</v>
          </cell>
        </row>
        <row r="443">
          <cell r="I443" t="str">
            <v>NT918</v>
          </cell>
          <cell r="J443">
            <v>153300</v>
          </cell>
        </row>
        <row r="444">
          <cell r="I444" t="str">
            <v>NT966</v>
          </cell>
          <cell r="J444">
            <v>112400</v>
          </cell>
        </row>
        <row r="445">
          <cell r="I445" t="str">
            <v>NT988</v>
          </cell>
          <cell r="J445">
            <v>143900</v>
          </cell>
        </row>
        <row r="446">
          <cell r="I446" t="str">
            <v>NT5566</v>
          </cell>
          <cell r="J446">
            <v>119700</v>
          </cell>
        </row>
        <row r="447">
          <cell r="I447" t="str">
            <v>NT5586R</v>
          </cell>
          <cell r="J447">
            <v>137600</v>
          </cell>
        </row>
        <row r="448">
          <cell r="I448" t="str">
            <v>NT5586L</v>
          </cell>
          <cell r="J448">
            <v>137600</v>
          </cell>
        </row>
        <row r="449">
          <cell r="I449" t="str">
            <v>NT5588</v>
          </cell>
          <cell r="J449">
            <v>144900</v>
          </cell>
        </row>
        <row r="450">
          <cell r="I450" t="str">
            <v>NT5806R</v>
          </cell>
          <cell r="J450">
            <v>80900</v>
          </cell>
        </row>
        <row r="451">
          <cell r="I451" t="str">
            <v>NT5806L</v>
          </cell>
          <cell r="J451">
            <v>80900</v>
          </cell>
        </row>
        <row r="452">
          <cell r="I452" t="str">
            <v>NT5266</v>
          </cell>
          <cell r="J452">
            <v>150200</v>
          </cell>
        </row>
        <row r="453">
          <cell r="I453" t="str">
            <v>NT5288</v>
          </cell>
          <cell r="J453">
            <v>155400</v>
          </cell>
        </row>
        <row r="454">
          <cell r="I454" t="str">
            <v>NT3006</v>
          </cell>
          <cell r="J454">
            <v>30500</v>
          </cell>
        </row>
        <row r="455">
          <cell r="I455" t="str">
            <v>NT3008</v>
          </cell>
          <cell r="J455">
            <v>35700</v>
          </cell>
        </row>
        <row r="456">
          <cell r="I456" t="str">
            <v>NT3010</v>
          </cell>
          <cell r="J456">
            <v>39900</v>
          </cell>
        </row>
        <row r="457">
          <cell r="I457" t="str">
            <v>NT3012</v>
          </cell>
          <cell r="J457">
            <v>45200</v>
          </cell>
        </row>
        <row r="458">
          <cell r="I458" t="str">
            <v>NT3306</v>
          </cell>
          <cell r="J458">
            <v>90300</v>
          </cell>
        </row>
        <row r="459">
          <cell r="I459" t="str">
            <v>NT3308</v>
          </cell>
          <cell r="J459">
            <v>99800</v>
          </cell>
        </row>
        <row r="460">
          <cell r="I460" t="str">
            <v>NT3310</v>
          </cell>
          <cell r="J460">
            <v>119700</v>
          </cell>
        </row>
        <row r="461">
          <cell r="I461" t="str">
            <v>NT3312</v>
          </cell>
          <cell r="J461">
            <v>161700</v>
          </cell>
        </row>
        <row r="462">
          <cell r="I462" t="str">
            <v>NA0206</v>
          </cell>
          <cell r="J462">
            <v>6500</v>
          </cell>
        </row>
        <row r="463">
          <cell r="I463" t="str">
            <v>NA0208</v>
          </cell>
          <cell r="J463">
            <v>6500</v>
          </cell>
        </row>
        <row r="464">
          <cell r="I464" t="str">
            <v>NA0210</v>
          </cell>
          <cell r="J464">
            <v>8100</v>
          </cell>
        </row>
        <row r="465">
          <cell r="I465" t="str">
            <v>NA0212</v>
          </cell>
          <cell r="J465">
            <v>8100</v>
          </cell>
        </row>
        <row r="466">
          <cell r="I466" t="str">
            <v>NA0300</v>
          </cell>
          <cell r="J466">
            <v>4800</v>
          </cell>
        </row>
        <row r="467">
          <cell r="I467" t="str">
            <v>NA0400</v>
          </cell>
          <cell r="J467">
            <v>1300</v>
          </cell>
        </row>
        <row r="468">
          <cell r="I468" t="str">
            <v>CH0001</v>
          </cell>
          <cell r="J468">
            <v>39900</v>
          </cell>
        </row>
        <row r="469">
          <cell r="I469" t="str">
            <v>CH0002</v>
          </cell>
          <cell r="J469">
            <v>75600</v>
          </cell>
        </row>
        <row r="470">
          <cell r="I470" t="str">
            <v>CH0003</v>
          </cell>
          <cell r="J470">
            <v>65100</v>
          </cell>
        </row>
        <row r="471">
          <cell r="I471" t="str">
            <v>CH0004</v>
          </cell>
          <cell r="J471">
            <v>80900</v>
          </cell>
        </row>
        <row r="472">
          <cell r="I472" t="str">
            <v>CH0005</v>
          </cell>
          <cell r="J472">
            <v>158600</v>
          </cell>
        </row>
        <row r="473">
          <cell r="I473" t="str">
            <v>CH0005R</v>
          </cell>
          <cell r="J473">
            <v>13700</v>
          </cell>
        </row>
        <row r="474">
          <cell r="I474" t="str">
            <v>CH0005T</v>
          </cell>
          <cell r="J474">
            <v>34700</v>
          </cell>
        </row>
        <row r="475">
          <cell r="I475" t="str">
            <v>CH0007</v>
          </cell>
          <cell r="J475">
            <v>94500</v>
          </cell>
        </row>
        <row r="476">
          <cell r="I476" t="str">
            <v>CH0007천</v>
          </cell>
          <cell r="J476">
            <v>113400</v>
          </cell>
        </row>
        <row r="477">
          <cell r="I477" t="str">
            <v>CH0007B</v>
          </cell>
          <cell r="J477">
            <v>55700</v>
          </cell>
        </row>
        <row r="478">
          <cell r="I478" t="str">
            <v>CH0007B천</v>
          </cell>
          <cell r="J478">
            <v>75600</v>
          </cell>
        </row>
        <row r="479">
          <cell r="I479" t="str">
            <v>CH0007T</v>
          </cell>
          <cell r="J479">
            <v>27300</v>
          </cell>
        </row>
        <row r="480">
          <cell r="I480" t="str">
            <v>CH0007A</v>
          </cell>
          <cell r="J480">
            <v>10700</v>
          </cell>
        </row>
        <row r="481">
          <cell r="I481" t="str">
            <v>CH0007S</v>
          </cell>
          <cell r="J481">
            <v>27300</v>
          </cell>
        </row>
        <row r="482">
          <cell r="I482" t="str">
            <v>CH0007C</v>
          </cell>
          <cell r="J482">
            <v>26800</v>
          </cell>
        </row>
        <row r="483">
          <cell r="I483" t="str">
            <v>CH0007N</v>
          </cell>
          <cell r="J483">
            <v>500</v>
          </cell>
        </row>
        <row r="484">
          <cell r="I484" t="str">
            <v>CH0100</v>
          </cell>
          <cell r="J484">
            <v>602700</v>
          </cell>
        </row>
        <row r="485">
          <cell r="I485" t="str">
            <v>CH0101</v>
          </cell>
          <cell r="J485">
            <v>383300</v>
          </cell>
        </row>
        <row r="486">
          <cell r="I486" t="str">
            <v>CH0111</v>
          </cell>
          <cell r="J486">
            <v>254100</v>
          </cell>
        </row>
        <row r="487">
          <cell r="I487" t="str">
            <v>CH0200</v>
          </cell>
          <cell r="J487">
            <v>326600</v>
          </cell>
        </row>
        <row r="488">
          <cell r="I488" t="str">
            <v>CH0201</v>
          </cell>
          <cell r="J488">
            <v>302400</v>
          </cell>
        </row>
        <row r="489">
          <cell r="I489" t="str">
            <v>CH0211</v>
          </cell>
          <cell r="J489">
            <v>246800</v>
          </cell>
        </row>
        <row r="490">
          <cell r="I490" t="str">
            <v>CH0300</v>
          </cell>
          <cell r="J490">
            <v>153300</v>
          </cell>
        </row>
        <row r="491">
          <cell r="I491" t="str">
            <v>CH0303</v>
          </cell>
          <cell r="J491">
            <v>152300</v>
          </cell>
        </row>
        <row r="492">
          <cell r="I492" t="str">
            <v>CH0301</v>
          </cell>
          <cell r="J492">
            <v>135500</v>
          </cell>
        </row>
        <row r="493">
          <cell r="I493" t="str">
            <v>CH0302</v>
          </cell>
          <cell r="J493">
            <v>117600</v>
          </cell>
        </row>
        <row r="494">
          <cell r="I494" t="str">
            <v>CH0311</v>
          </cell>
          <cell r="J494">
            <v>98700</v>
          </cell>
        </row>
        <row r="495">
          <cell r="I495" t="str">
            <v>CH0300B</v>
          </cell>
          <cell r="J495">
            <v>170100</v>
          </cell>
        </row>
        <row r="496">
          <cell r="I496" t="str">
            <v>CH0301B</v>
          </cell>
          <cell r="J496">
            <v>143900</v>
          </cell>
        </row>
        <row r="497">
          <cell r="I497" t="str">
            <v>CH0311B</v>
          </cell>
          <cell r="J497">
            <v>119700</v>
          </cell>
        </row>
        <row r="498">
          <cell r="I498" t="str">
            <v>CH0332</v>
          </cell>
          <cell r="J498">
            <v>185900</v>
          </cell>
        </row>
        <row r="499">
          <cell r="I499" t="str">
            <v>CH0333</v>
          </cell>
          <cell r="J499">
            <v>257300</v>
          </cell>
        </row>
        <row r="500">
          <cell r="I500" t="str">
            <v>CH0332S</v>
          </cell>
          <cell r="J500">
            <v>210000</v>
          </cell>
        </row>
        <row r="501">
          <cell r="I501" t="str">
            <v>CH0032</v>
          </cell>
          <cell r="J501">
            <v>98100</v>
          </cell>
        </row>
        <row r="502">
          <cell r="I502" t="str">
            <v>CH0033</v>
          </cell>
          <cell r="J502">
            <v>126000</v>
          </cell>
        </row>
        <row r="503">
          <cell r="I503" t="str">
            <v>CH0032S</v>
          </cell>
          <cell r="J503">
            <v>120800</v>
          </cell>
        </row>
        <row r="504">
          <cell r="I504" t="str">
            <v>CH0342</v>
          </cell>
          <cell r="J504">
            <v>120800</v>
          </cell>
        </row>
        <row r="505">
          <cell r="I505" t="str">
            <v>CH0342S</v>
          </cell>
          <cell r="J505">
            <v>147000</v>
          </cell>
        </row>
        <row r="506">
          <cell r="I506" t="str">
            <v>CH0343</v>
          </cell>
          <cell r="J506">
            <v>159600</v>
          </cell>
        </row>
        <row r="507">
          <cell r="I507" t="str">
            <v>CH0401</v>
          </cell>
          <cell r="J507">
            <v>219500</v>
          </cell>
        </row>
        <row r="508">
          <cell r="I508" t="str">
            <v>CH0402</v>
          </cell>
          <cell r="J508">
            <v>189000</v>
          </cell>
        </row>
        <row r="509">
          <cell r="I509" t="str">
            <v>CH0411</v>
          </cell>
          <cell r="J509">
            <v>135500</v>
          </cell>
        </row>
        <row r="510">
          <cell r="I510" t="str">
            <v>CH0491</v>
          </cell>
          <cell r="J510">
            <v>23100</v>
          </cell>
        </row>
        <row r="511">
          <cell r="I511" t="str">
            <v>CH0500</v>
          </cell>
          <cell r="J511">
            <v>170100</v>
          </cell>
        </row>
        <row r="512">
          <cell r="I512" t="str">
            <v>CH0501</v>
          </cell>
          <cell r="J512">
            <v>159600</v>
          </cell>
        </row>
        <row r="513">
          <cell r="I513" t="str">
            <v>CH0502</v>
          </cell>
          <cell r="J513">
            <v>150200</v>
          </cell>
        </row>
        <row r="514">
          <cell r="I514" t="str">
            <v>CH0511</v>
          </cell>
          <cell r="J514">
            <v>107100</v>
          </cell>
        </row>
        <row r="515">
          <cell r="I515" t="str">
            <v>CH0600</v>
          </cell>
          <cell r="J515">
            <v>221600</v>
          </cell>
        </row>
        <row r="516">
          <cell r="I516" t="str">
            <v>CH0601</v>
          </cell>
          <cell r="J516">
            <v>201600</v>
          </cell>
        </row>
        <row r="517">
          <cell r="I517" t="str">
            <v>CH0602</v>
          </cell>
          <cell r="J517">
            <v>177500</v>
          </cell>
        </row>
        <row r="518">
          <cell r="I518" t="str">
            <v>CH0611</v>
          </cell>
          <cell r="J518">
            <v>159600</v>
          </cell>
        </row>
        <row r="519">
          <cell r="I519" t="str">
            <v>CH0701</v>
          </cell>
          <cell r="J519">
            <v>120800</v>
          </cell>
        </row>
        <row r="520">
          <cell r="I520" t="str">
            <v>CH0702</v>
          </cell>
          <cell r="J520">
            <v>102900</v>
          </cell>
        </row>
        <row r="521">
          <cell r="I521" t="str">
            <v>CH0712</v>
          </cell>
          <cell r="J521">
            <v>78800</v>
          </cell>
        </row>
        <row r="522">
          <cell r="I522" t="str">
            <v>CH0801</v>
          </cell>
          <cell r="J522">
            <v>108200</v>
          </cell>
        </row>
        <row r="523">
          <cell r="I523" t="str">
            <v>CH0802</v>
          </cell>
          <cell r="J523">
            <v>90300</v>
          </cell>
        </row>
        <row r="524">
          <cell r="I524" t="str">
            <v>CH0812</v>
          </cell>
          <cell r="J524">
            <v>66200</v>
          </cell>
        </row>
        <row r="525">
          <cell r="I525" t="str">
            <v>CH0900</v>
          </cell>
          <cell r="J525">
            <v>798000</v>
          </cell>
        </row>
        <row r="526">
          <cell r="I526" t="str">
            <v>CH0901</v>
          </cell>
          <cell r="J526">
            <v>707700</v>
          </cell>
        </row>
        <row r="527">
          <cell r="I527" t="str">
            <v>CH0911</v>
          </cell>
          <cell r="J527">
            <v>614300</v>
          </cell>
        </row>
        <row r="528">
          <cell r="I528" t="str">
            <v>CH1000</v>
          </cell>
          <cell r="J528">
            <v>882000</v>
          </cell>
        </row>
        <row r="529">
          <cell r="I529" t="str">
            <v>CH1001</v>
          </cell>
          <cell r="J529">
            <v>764400</v>
          </cell>
        </row>
        <row r="530">
          <cell r="I530" t="str">
            <v>CH9000</v>
          </cell>
          <cell r="J530">
            <v>3011400</v>
          </cell>
        </row>
        <row r="531">
          <cell r="I531" t="str">
            <v>CH9901</v>
          </cell>
          <cell r="J531">
            <v>45200</v>
          </cell>
        </row>
        <row r="532">
          <cell r="I532" t="str">
            <v>CH9903</v>
          </cell>
          <cell r="J532">
            <v>45200</v>
          </cell>
        </row>
        <row r="533">
          <cell r="I533" t="str">
            <v>CH9905</v>
          </cell>
          <cell r="J533">
            <v>66200</v>
          </cell>
        </row>
        <row r="534">
          <cell r="I534" t="str">
            <v>CH0907</v>
          </cell>
          <cell r="J534">
            <v>102900</v>
          </cell>
        </row>
        <row r="535">
          <cell r="I535" t="str">
            <v>CH9917</v>
          </cell>
          <cell r="J535">
            <v>210000</v>
          </cell>
        </row>
        <row r="536">
          <cell r="I536" t="str">
            <v>CS0101</v>
          </cell>
          <cell r="J536">
            <v>219500</v>
          </cell>
        </row>
        <row r="537">
          <cell r="I537" t="str">
            <v>CS0103</v>
          </cell>
          <cell r="J537">
            <v>392700</v>
          </cell>
        </row>
        <row r="538">
          <cell r="I538" t="str">
            <v>CS0301</v>
          </cell>
          <cell r="J538">
            <v>258300</v>
          </cell>
        </row>
        <row r="539">
          <cell r="I539" t="str">
            <v>CS0303</v>
          </cell>
          <cell r="J539">
            <v>449400</v>
          </cell>
        </row>
        <row r="540">
          <cell r="I540" t="str">
            <v>CS401천연</v>
          </cell>
          <cell r="J540">
            <v>407400</v>
          </cell>
        </row>
        <row r="541">
          <cell r="I541" t="str">
            <v>CS401인조</v>
          </cell>
          <cell r="J541">
            <v>300300</v>
          </cell>
        </row>
        <row r="542">
          <cell r="I542" t="str">
            <v>CS0501</v>
          </cell>
          <cell r="J542">
            <v>197400</v>
          </cell>
        </row>
        <row r="543">
          <cell r="I543" t="str">
            <v>CS0503</v>
          </cell>
          <cell r="J543">
            <v>329700</v>
          </cell>
        </row>
        <row r="544">
          <cell r="I544" t="str">
            <v>CS0601</v>
          </cell>
          <cell r="J544">
            <v>246800</v>
          </cell>
        </row>
        <row r="545">
          <cell r="I545" t="str">
            <v>CS0603</v>
          </cell>
          <cell r="J545">
            <v>411600</v>
          </cell>
        </row>
        <row r="546">
          <cell r="I546" t="str">
            <v>CS0701</v>
          </cell>
          <cell r="J546">
            <v>305600</v>
          </cell>
        </row>
        <row r="547">
          <cell r="I547" t="str">
            <v>CS0703</v>
          </cell>
          <cell r="J547">
            <v>483000</v>
          </cell>
        </row>
        <row r="548">
          <cell r="I548" t="str">
            <v>CS0801천연</v>
          </cell>
          <cell r="J548">
            <v>909300</v>
          </cell>
        </row>
        <row r="549">
          <cell r="I549" t="str">
            <v>CS0803천연</v>
          </cell>
          <cell r="J549">
            <v>357000</v>
          </cell>
        </row>
        <row r="550">
          <cell r="I550" t="str">
            <v>CS0801인조</v>
          </cell>
          <cell r="J550">
            <v>1494200</v>
          </cell>
        </row>
        <row r="551">
          <cell r="I551" t="str">
            <v>CS0803인조</v>
          </cell>
          <cell r="J551">
            <v>576500</v>
          </cell>
        </row>
        <row r="552">
          <cell r="I552" t="str">
            <v>CS0901</v>
          </cell>
          <cell r="J552">
            <v>906200</v>
          </cell>
        </row>
        <row r="553">
          <cell r="I553" t="str">
            <v>CS0902</v>
          </cell>
          <cell r="J553">
            <v>1107800</v>
          </cell>
        </row>
        <row r="554">
          <cell r="I554" t="str">
            <v>CS0903</v>
          </cell>
          <cell r="J554">
            <v>1434300</v>
          </cell>
        </row>
        <row r="555">
          <cell r="I555" t="str">
            <v>CS1001</v>
          </cell>
          <cell r="J555">
            <v>945000</v>
          </cell>
        </row>
        <row r="556">
          <cell r="I556" t="str">
            <v>CS1002</v>
          </cell>
          <cell r="J556">
            <v>1211700</v>
          </cell>
        </row>
        <row r="557">
          <cell r="I557" t="str">
            <v>CS1003</v>
          </cell>
          <cell r="J557">
            <v>1530900</v>
          </cell>
        </row>
        <row r="558">
          <cell r="I558" t="str">
            <v>EL0104</v>
          </cell>
          <cell r="J558">
            <v>68300</v>
          </cell>
        </row>
        <row r="559">
          <cell r="I559" t="str">
            <v>EL0112</v>
          </cell>
          <cell r="J559">
            <v>98700</v>
          </cell>
        </row>
        <row r="560">
          <cell r="I560" t="str">
            <v>CL0204</v>
          </cell>
          <cell r="J560">
            <v>90300</v>
          </cell>
        </row>
        <row r="561">
          <cell r="I561" t="str">
            <v>CL0207</v>
          </cell>
          <cell r="J561">
            <v>86100</v>
          </cell>
        </row>
        <row r="562">
          <cell r="I562" t="str">
            <v>CL0212</v>
          </cell>
          <cell r="J562">
            <v>107100</v>
          </cell>
        </row>
        <row r="563">
          <cell r="I563" t="str">
            <v>CL034</v>
          </cell>
          <cell r="J563">
            <v>153300</v>
          </cell>
        </row>
        <row r="564">
          <cell r="I564" t="str">
            <v>CL031</v>
          </cell>
          <cell r="J564">
            <v>183800</v>
          </cell>
        </row>
        <row r="565">
          <cell r="I565" t="str">
            <v>CL046</v>
          </cell>
          <cell r="J565">
            <v>174300</v>
          </cell>
        </row>
        <row r="566">
          <cell r="I566" t="str">
            <v>CL044</v>
          </cell>
          <cell r="J566">
            <v>185900</v>
          </cell>
        </row>
        <row r="567">
          <cell r="I567" t="str">
            <v>CL041</v>
          </cell>
          <cell r="J567">
            <v>243600</v>
          </cell>
        </row>
        <row r="568">
          <cell r="I568" t="str">
            <v>CL056</v>
          </cell>
          <cell r="J568">
            <v>117600</v>
          </cell>
        </row>
        <row r="569">
          <cell r="I569" t="str">
            <v>CL054</v>
          </cell>
          <cell r="J569">
            <v>129200</v>
          </cell>
        </row>
        <row r="570">
          <cell r="I570" t="str">
            <v>CL051</v>
          </cell>
          <cell r="J570">
            <v>185900</v>
          </cell>
        </row>
        <row r="571">
          <cell r="I571" t="str">
            <v>PL0904</v>
          </cell>
          <cell r="J571">
            <v>245700</v>
          </cell>
        </row>
        <row r="572">
          <cell r="I572" t="str">
            <v>PL0908</v>
          </cell>
          <cell r="J572">
            <v>227900</v>
          </cell>
        </row>
        <row r="573">
          <cell r="I573" t="str">
            <v>PL0912</v>
          </cell>
          <cell r="J573">
            <v>261500</v>
          </cell>
        </row>
        <row r="574">
          <cell r="I574" t="str">
            <v>PL0914</v>
          </cell>
          <cell r="J574">
            <v>297200</v>
          </cell>
        </row>
        <row r="575">
          <cell r="I575" t="str">
            <v>AT0106</v>
          </cell>
          <cell r="J575">
            <v>54600</v>
          </cell>
        </row>
        <row r="576">
          <cell r="I576" t="str">
            <v>AT0108</v>
          </cell>
          <cell r="J576">
            <v>63000</v>
          </cell>
        </row>
        <row r="577">
          <cell r="I577" t="str">
            <v>AT0110</v>
          </cell>
          <cell r="J577">
            <v>72500</v>
          </cell>
        </row>
        <row r="578">
          <cell r="I578" t="str">
            <v>AT0112</v>
          </cell>
          <cell r="J578">
            <v>75600</v>
          </cell>
        </row>
        <row r="579">
          <cell r="I579" t="str">
            <v>AT0114</v>
          </cell>
          <cell r="J579">
            <v>87200</v>
          </cell>
        </row>
        <row r="580">
          <cell r="I580" t="str">
            <v>AT0116</v>
          </cell>
          <cell r="J580">
            <v>102900</v>
          </cell>
        </row>
        <row r="581">
          <cell r="I581" t="str">
            <v>AT0118</v>
          </cell>
          <cell r="J581">
            <v>116600</v>
          </cell>
        </row>
        <row r="582">
          <cell r="I582" t="str">
            <v>AT0006</v>
          </cell>
          <cell r="J582">
            <v>66200</v>
          </cell>
        </row>
        <row r="583">
          <cell r="I583" t="str">
            <v>AT0008</v>
          </cell>
          <cell r="J583">
            <v>74600</v>
          </cell>
        </row>
        <row r="584">
          <cell r="I584" t="str">
            <v>AT0010</v>
          </cell>
          <cell r="J584">
            <v>87200</v>
          </cell>
        </row>
        <row r="585">
          <cell r="I585" t="str">
            <v>AT0012</v>
          </cell>
          <cell r="J585">
            <v>92400</v>
          </cell>
        </row>
        <row r="586">
          <cell r="I586" t="str">
            <v>AT0014</v>
          </cell>
          <cell r="J586">
            <v>110300</v>
          </cell>
        </row>
        <row r="587">
          <cell r="I587" t="str">
            <v>AT0016</v>
          </cell>
          <cell r="J587">
            <v>123900</v>
          </cell>
        </row>
        <row r="588">
          <cell r="I588" t="str">
            <v>AT0018</v>
          </cell>
          <cell r="J588">
            <v>140700</v>
          </cell>
        </row>
        <row r="589">
          <cell r="I589" t="str">
            <v>AT0000R</v>
          </cell>
          <cell r="J589">
            <v>56700</v>
          </cell>
        </row>
        <row r="590">
          <cell r="I590" t="str">
            <v>AT0000L</v>
          </cell>
          <cell r="J590">
            <v>56700</v>
          </cell>
        </row>
        <row r="591">
          <cell r="I591" t="str">
            <v>AT0100R</v>
          </cell>
          <cell r="J591">
            <v>45200</v>
          </cell>
        </row>
        <row r="592">
          <cell r="I592" t="str">
            <v>AT0100L</v>
          </cell>
          <cell r="J592">
            <v>45200</v>
          </cell>
        </row>
        <row r="593">
          <cell r="I593" t="str">
            <v>AT5066</v>
          </cell>
          <cell r="J593">
            <v>128100</v>
          </cell>
        </row>
        <row r="594">
          <cell r="I594" t="str">
            <v>AT5086R</v>
          </cell>
          <cell r="J594">
            <v>144900</v>
          </cell>
        </row>
        <row r="595">
          <cell r="I595" t="str">
            <v>AT5086L</v>
          </cell>
          <cell r="J595">
            <v>144900</v>
          </cell>
        </row>
        <row r="596">
          <cell r="I596" t="str">
            <v>AT5088</v>
          </cell>
          <cell r="J596">
            <v>155400</v>
          </cell>
        </row>
        <row r="597">
          <cell r="I597" t="str">
            <v>AT5806R</v>
          </cell>
          <cell r="J597">
            <v>90300</v>
          </cell>
        </row>
        <row r="598">
          <cell r="I598" t="str">
            <v>AT5806L</v>
          </cell>
          <cell r="J598">
            <v>90300</v>
          </cell>
        </row>
        <row r="599">
          <cell r="I599" t="str">
            <v>AT5166</v>
          </cell>
          <cell r="J599">
            <v>110300</v>
          </cell>
        </row>
        <row r="600">
          <cell r="I600" t="str">
            <v>AT5186R</v>
          </cell>
          <cell r="J600">
            <v>128100</v>
          </cell>
        </row>
        <row r="601">
          <cell r="I601" t="str">
            <v>AT5186L</v>
          </cell>
          <cell r="J601">
            <v>128100</v>
          </cell>
        </row>
        <row r="602">
          <cell r="I602" t="str">
            <v>AT5188</v>
          </cell>
          <cell r="J602">
            <v>137600</v>
          </cell>
        </row>
        <row r="603">
          <cell r="I603" t="str">
            <v>AT5266</v>
          </cell>
          <cell r="J603">
            <v>161700</v>
          </cell>
        </row>
        <row r="604">
          <cell r="I604" t="str">
            <v>AT5288</v>
          </cell>
          <cell r="J604">
            <v>164900</v>
          </cell>
        </row>
        <row r="605">
          <cell r="I605" t="str">
            <v>AT912</v>
          </cell>
          <cell r="J605">
            <v>122900</v>
          </cell>
        </row>
        <row r="606">
          <cell r="I606" t="str">
            <v>AT914</v>
          </cell>
          <cell r="J606">
            <v>156500</v>
          </cell>
        </row>
        <row r="607">
          <cell r="I607" t="str">
            <v>AT916</v>
          </cell>
          <cell r="J607">
            <v>162800</v>
          </cell>
        </row>
        <row r="608">
          <cell r="I608" t="str">
            <v>AT918</v>
          </cell>
          <cell r="J608">
            <v>185900</v>
          </cell>
        </row>
        <row r="609">
          <cell r="I609" t="str">
            <v>AT988A</v>
          </cell>
          <cell r="J609">
            <v>176400</v>
          </cell>
        </row>
        <row r="610">
          <cell r="I610" t="str">
            <v>AT966A</v>
          </cell>
          <cell r="J610">
            <v>144900</v>
          </cell>
        </row>
        <row r="611">
          <cell r="I611" t="str">
            <v>AT988B</v>
          </cell>
          <cell r="J611">
            <v>198500</v>
          </cell>
        </row>
        <row r="612">
          <cell r="I612" t="str">
            <v>AT966B</v>
          </cell>
          <cell r="J612">
            <v>186900</v>
          </cell>
        </row>
        <row r="613">
          <cell r="I613" t="str">
            <v>AT914CR</v>
          </cell>
          <cell r="J613">
            <v>183800</v>
          </cell>
        </row>
        <row r="614">
          <cell r="I614" t="str">
            <v>AT914CL</v>
          </cell>
          <cell r="J614">
            <v>183800</v>
          </cell>
        </row>
        <row r="615">
          <cell r="I615" t="str">
            <v>AT916CR</v>
          </cell>
          <cell r="J615">
            <v>195300</v>
          </cell>
        </row>
        <row r="616">
          <cell r="I616" t="str">
            <v>AT916CL</v>
          </cell>
          <cell r="J616">
            <v>195300</v>
          </cell>
        </row>
        <row r="617">
          <cell r="I617" t="str">
            <v>AT966D</v>
          </cell>
          <cell r="J617">
            <v>203700</v>
          </cell>
        </row>
        <row r="618">
          <cell r="I618" t="str">
            <v>AT2004</v>
          </cell>
          <cell r="J618">
            <v>39900</v>
          </cell>
        </row>
        <row r="619">
          <cell r="I619" t="str">
            <v>AT2006</v>
          </cell>
          <cell r="J619">
            <v>45200</v>
          </cell>
        </row>
        <row r="620">
          <cell r="I620" t="str">
            <v>AT2008</v>
          </cell>
          <cell r="J620">
            <v>53600</v>
          </cell>
        </row>
        <row r="621">
          <cell r="I621" t="str">
            <v>AT2010</v>
          </cell>
          <cell r="J621">
            <v>63000</v>
          </cell>
        </row>
        <row r="622">
          <cell r="I622" t="str">
            <v>AT2012</v>
          </cell>
          <cell r="J622">
            <v>66200</v>
          </cell>
        </row>
        <row r="623">
          <cell r="I623" t="str">
            <v>AT2014</v>
          </cell>
          <cell r="J623">
            <v>81900</v>
          </cell>
        </row>
        <row r="624">
          <cell r="I624" t="str">
            <v>AT2016</v>
          </cell>
          <cell r="J624">
            <v>92400</v>
          </cell>
        </row>
        <row r="625">
          <cell r="I625" t="str">
            <v>AT2018</v>
          </cell>
          <cell r="J625">
            <v>95600</v>
          </cell>
        </row>
        <row r="626">
          <cell r="I626" t="str">
            <v>AT2122</v>
          </cell>
          <cell r="J626">
            <v>26300</v>
          </cell>
        </row>
        <row r="627">
          <cell r="I627" t="str">
            <v>AT2206</v>
          </cell>
          <cell r="J627">
            <v>53600</v>
          </cell>
        </row>
        <row r="628">
          <cell r="I628" t="str">
            <v>AT2208</v>
          </cell>
          <cell r="J628">
            <v>59900</v>
          </cell>
        </row>
        <row r="629">
          <cell r="I629" t="str">
            <v>AT2210</v>
          </cell>
          <cell r="J629">
            <v>66200</v>
          </cell>
        </row>
        <row r="630">
          <cell r="I630" t="str">
            <v>AT2212</v>
          </cell>
          <cell r="J630">
            <v>75600</v>
          </cell>
        </row>
        <row r="631">
          <cell r="I631" t="str">
            <v>AT2308</v>
          </cell>
          <cell r="J631">
            <v>45200</v>
          </cell>
        </row>
        <row r="632">
          <cell r="I632" t="str">
            <v>AA0006</v>
          </cell>
          <cell r="J632">
            <v>12600</v>
          </cell>
        </row>
        <row r="633">
          <cell r="I633" t="str">
            <v>AA0007</v>
          </cell>
          <cell r="J633">
            <v>14700</v>
          </cell>
        </row>
        <row r="634">
          <cell r="I634" t="str">
            <v>AA0008</v>
          </cell>
          <cell r="J634">
            <v>16200</v>
          </cell>
        </row>
        <row r="635">
          <cell r="I635" t="str">
            <v>AA0010</v>
          </cell>
          <cell r="J635">
            <v>20000</v>
          </cell>
        </row>
        <row r="636">
          <cell r="I636" t="str">
            <v>AA0012</v>
          </cell>
          <cell r="J636">
            <v>23400</v>
          </cell>
        </row>
        <row r="637">
          <cell r="I637" t="str">
            <v>AA0101</v>
          </cell>
          <cell r="J637">
            <v>5400</v>
          </cell>
        </row>
        <row r="638">
          <cell r="I638" t="str">
            <v>AA0102</v>
          </cell>
          <cell r="J638">
            <v>7600</v>
          </cell>
        </row>
        <row r="639">
          <cell r="I639" t="str">
            <v>AA0103</v>
          </cell>
          <cell r="J639">
            <v>9500</v>
          </cell>
        </row>
        <row r="640">
          <cell r="I640" t="str">
            <v>AA0104</v>
          </cell>
          <cell r="J640">
            <v>4200</v>
          </cell>
        </row>
        <row r="641">
          <cell r="I641" t="str">
            <v>AA0105</v>
          </cell>
          <cell r="J641">
            <v>6600</v>
          </cell>
        </row>
        <row r="642">
          <cell r="I642" t="str">
            <v>AA0106</v>
          </cell>
          <cell r="J642">
            <v>3400</v>
          </cell>
        </row>
        <row r="643">
          <cell r="I643" t="str">
            <v>AA1006</v>
          </cell>
          <cell r="J643">
            <v>9700</v>
          </cell>
        </row>
        <row r="644">
          <cell r="I644" t="str">
            <v>AA1007</v>
          </cell>
          <cell r="J644">
            <v>10800</v>
          </cell>
        </row>
        <row r="645">
          <cell r="I645" t="str">
            <v>AA1008</v>
          </cell>
          <cell r="J645">
            <v>12000</v>
          </cell>
        </row>
        <row r="646">
          <cell r="I646" t="str">
            <v>AA1010</v>
          </cell>
          <cell r="J646">
            <v>14400</v>
          </cell>
        </row>
        <row r="647">
          <cell r="I647" t="str">
            <v>AA1012</v>
          </cell>
          <cell r="J647">
            <v>16800</v>
          </cell>
        </row>
        <row r="648">
          <cell r="I648" t="str">
            <v>AA0901B</v>
          </cell>
          <cell r="J648">
            <v>82200</v>
          </cell>
        </row>
        <row r="649">
          <cell r="I649" t="str">
            <v>AA9901</v>
          </cell>
          <cell r="J649">
            <v>6000</v>
          </cell>
        </row>
        <row r="650">
          <cell r="I650" t="str">
            <v>AA0200</v>
          </cell>
          <cell r="J650">
            <v>1300</v>
          </cell>
        </row>
        <row r="651">
          <cell r="I651" t="str">
            <v>AF060</v>
          </cell>
          <cell r="J651">
            <v>143900</v>
          </cell>
        </row>
        <row r="652">
          <cell r="I652" t="str">
            <v>AF070</v>
          </cell>
          <cell r="J652">
            <v>157500</v>
          </cell>
        </row>
        <row r="653">
          <cell r="I653" t="str">
            <v>AF080</v>
          </cell>
          <cell r="J653">
            <v>167000</v>
          </cell>
        </row>
        <row r="654">
          <cell r="I654" t="str">
            <v>AF100</v>
          </cell>
          <cell r="J654">
            <v>184800</v>
          </cell>
        </row>
        <row r="655">
          <cell r="I655" t="str">
            <v>AF120</v>
          </cell>
          <cell r="J655">
            <v>204800</v>
          </cell>
        </row>
        <row r="656">
          <cell r="I656" t="str">
            <v>AF062</v>
          </cell>
          <cell r="J656">
            <v>170100</v>
          </cell>
        </row>
        <row r="657">
          <cell r="I657" t="str">
            <v>AF072</v>
          </cell>
          <cell r="J657">
            <v>184800</v>
          </cell>
        </row>
        <row r="658">
          <cell r="I658" t="str">
            <v>AF082</v>
          </cell>
          <cell r="J658">
            <v>198500</v>
          </cell>
        </row>
        <row r="659">
          <cell r="I659" t="str">
            <v>AF102</v>
          </cell>
          <cell r="J659">
            <v>220500</v>
          </cell>
        </row>
        <row r="660">
          <cell r="I660" t="str">
            <v>AF122</v>
          </cell>
          <cell r="J660">
            <v>244700</v>
          </cell>
        </row>
        <row r="661">
          <cell r="I661" t="str">
            <v>AF064</v>
          </cell>
          <cell r="J661">
            <v>195300</v>
          </cell>
        </row>
        <row r="662">
          <cell r="I662" t="str">
            <v>AF074</v>
          </cell>
          <cell r="J662">
            <v>214200</v>
          </cell>
        </row>
        <row r="663">
          <cell r="I663" t="str">
            <v>AF084</v>
          </cell>
          <cell r="J663">
            <v>228900</v>
          </cell>
        </row>
        <row r="664">
          <cell r="I664" t="str">
            <v>AF104</v>
          </cell>
          <cell r="J664">
            <v>256200</v>
          </cell>
        </row>
        <row r="665">
          <cell r="I665" t="str">
            <v>AF124</v>
          </cell>
          <cell r="J665">
            <v>285600</v>
          </cell>
        </row>
        <row r="666">
          <cell r="I666" t="str">
            <v>AF066</v>
          </cell>
          <cell r="J666">
            <v>221600</v>
          </cell>
        </row>
        <row r="667">
          <cell r="I667" t="str">
            <v>AF076</v>
          </cell>
          <cell r="J667">
            <v>241500</v>
          </cell>
        </row>
        <row r="668">
          <cell r="I668" t="str">
            <v>AF086</v>
          </cell>
          <cell r="J668">
            <v>260400</v>
          </cell>
        </row>
        <row r="669">
          <cell r="I669" t="str">
            <v>AF106</v>
          </cell>
          <cell r="J669">
            <v>291900</v>
          </cell>
        </row>
        <row r="670">
          <cell r="I670" t="str">
            <v>AF126</v>
          </cell>
          <cell r="J670">
            <v>325500</v>
          </cell>
        </row>
        <row r="671">
          <cell r="I671" t="str">
            <v>AF068</v>
          </cell>
          <cell r="J671">
            <v>246800</v>
          </cell>
        </row>
        <row r="672">
          <cell r="I672" t="str">
            <v>AF078</v>
          </cell>
          <cell r="J672">
            <v>270900</v>
          </cell>
        </row>
        <row r="673">
          <cell r="I673" t="str">
            <v>AF088</v>
          </cell>
          <cell r="J673">
            <v>290900</v>
          </cell>
        </row>
        <row r="674">
          <cell r="I674" t="str">
            <v>AF108</v>
          </cell>
          <cell r="J674">
            <v>327600</v>
          </cell>
        </row>
        <row r="675">
          <cell r="I675" t="str">
            <v>AF128</v>
          </cell>
          <cell r="J675">
            <v>366500</v>
          </cell>
        </row>
        <row r="676">
          <cell r="I676" t="str">
            <v>AF062H</v>
          </cell>
          <cell r="J676">
            <v>179600</v>
          </cell>
        </row>
        <row r="677">
          <cell r="I677" t="str">
            <v>AF072H</v>
          </cell>
          <cell r="J677">
            <v>196400</v>
          </cell>
        </row>
        <row r="678">
          <cell r="I678" t="str">
            <v>AF082H</v>
          </cell>
          <cell r="J678">
            <v>211100</v>
          </cell>
        </row>
        <row r="679">
          <cell r="I679" t="str">
            <v>AF102H</v>
          </cell>
          <cell r="J679">
            <v>236300</v>
          </cell>
        </row>
        <row r="680">
          <cell r="I680" t="str">
            <v>AF122H</v>
          </cell>
          <cell r="J680">
            <v>263600</v>
          </cell>
        </row>
        <row r="681">
          <cell r="I681" t="str">
            <v>AF064H</v>
          </cell>
          <cell r="J681">
            <v>211100</v>
          </cell>
        </row>
        <row r="682">
          <cell r="I682" t="str">
            <v>AF074H</v>
          </cell>
          <cell r="J682">
            <v>232100</v>
          </cell>
        </row>
        <row r="683">
          <cell r="I683" t="str">
            <v>AF084H</v>
          </cell>
          <cell r="J683">
            <v>248900</v>
          </cell>
        </row>
        <row r="684">
          <cell r="I684" t="str">
            <v>AF104H</v>
          </cell>
          <cell r="J684">
            <v>279300</v>
          </cell>
        </row>
        <row r="685">
          <cell r="I685" t="str">
            <v>AF124H</v>
          </cell>
          <cell r="J685">
            <v>315000</v>
          </cell>
        </row>
        <row r="686">
          <cell r="I686" t="str">
            <v>AF066H</v>
          </cell>
          <cell r="J686">
            <v>237300</v>
          </cell>
        </row>
        <row r="687">
          <cell r="I687" t="str">
            <v>AF076H</v>
          </cell>
          <cell r="J687">
            <v>259400</v>
          </cell>
        </row>
        <row r="688">
          <cell r="I688" t="str">
            <v>AF086H</v>
          </cell>
          <cell r="J688">
            <v>280400</v>
          </cell>
        </row>
        <row r="689">
          <cell r="I689" t="str">
            <v>AF106H</v>
          </cell>
          <cell r="J689">
            <v>315000</v>
          </cell>
        </row>
        <row r="690">
          <cell r="I690" t="str">
            <v>AF126H</v>
          </cell>
          <cell r="J690">
            <v>354900</v>
          </cell>
        </row>
        <row r="691">
          <cell r="I691" t="str">
            <v>AF068H</v>
          </cell>
          <cell r="J691">
            <v>262500</v>
          </cell>
        </row>
        <row r="692">
          <cell r="I692" t="str">
            <v>AF078H</v>
          </cell>
          <cell r="J692">
            <v>288800</v>
          </cell>
        </row>
        <row r="693">
          <cell r="I693" t="str">
            <v>AF088H</v>
          </cell>
          <cell r="J693">
            <v>310800</v>
          </cell>
        </row>
        <row r="694">
          <cell r="I694" t="str">
            <v>AF108H</v>
          </cell>
          <cell r="J694">
            <v>350700</v>
          </cell>
        </row>
        <row r="695">
          <cell r="I695" t="str">
            <v>AF128H</v>
          </cell>
          <cell r="J695">
            <v>395900</v>
          </cell>
        </row>
        <row r="696">
          <cell r="I696" t="str">
            <v>AF060G</v>
          </cell>
          <cell r="J696">
            <v>170100</v>
          </cell>
        </row>
        <row r="697">
          <cell r="I697" t="str">
            <v>AF070G</v>
          </cell>
          <cell r="J697">
            <v>183800</v>
          </cell>
        </row>
        <row r="698">
          <cell r="I698" t="str">
            <v>AF080G</v>
          </cell>
          <cell r="J698">
            <v>193200</v>
          </cell>
        </row>
        <row r="699">
          <cell r="I699" t="str">
            <v>AF100G</v>
          </cell>
          <cell r="J699">
            <v>214200</v>
          </cell>
        </row>
        <row r="700">
          <cell r="I700" t="str">
            <v>AF120G</v>
          </cell>
          <cell r="J700">
            <v>237300</v>
          </cell>
        </row>
        <row r="701">
          <cell r="I701" t="str">
            <v>AF062G</v>
          </cell>
          <cell r="J701">
            <v>205800</v>
          </cell>
        </row>
        <row r="702">
          <cell r="I702" t="str">
            <v>AF072G</v>
          </cell>
          <cell r="J702">
            <v>222600</v>
          </cell>
        </row>
        <row r="703">
          <cell r="I703" t="str">
            <v>AF082G</v>
          </cell>
          <cell r="J703">
            <v>237300</v>
          </cell>
        </row>
        <row r="704">
          <cell r="I704" t="str">
            <v>AF102G</v>
          </cell>
          <cell r="J704">
            <v>265700</v>
          </cell>
        </row>
        <row r="705">
          <cell r="I705" t="str">
            <v>AF122G</v>
          </cell>
          <cell r="J705">
            <v>296100</v>
          </cell>
        </row>
        <row r="706">
          <cell r="I706" t="str">
            <v>AF064G</v>
          </cell>
          <cell r="J706">
            <v>237300</v>
          </cell>
        </row>
        <row r="707">
          <cell r="I707" t="str">
            <v>AF074G</v>
          </cell>
          <cell r="J707">
            <v>258300</v>
          </cell>
        </row>
        <row r="708">
          <cell r="I708" t="str">
            <v>AF084G</v>
          </cell>
          <cell r="J708">
            <v>275100</v>
          </cell>
        </row>
        <row r="709">
          <cell r="I709" t="str">
            <v>AF104G</v>
          </cell>
          <cell r="J709">
            <v>308700</v>
          </cell>
        </row>
        <row r="710">
          <cell r="I710" t="str">
            <v>AF124G</v>
          </cell>
          <cell r="J710">
            <v>347600</v>
          </cell>
        </row>
        <row r="711">
          <cell r="I711" t="str">
            <v>AF066G</v>
          </cell>
          <cell r="J711">
            <v>273000</v>
          </cell>
        </row>
        <row r="712">
          <cell r="I712" t="str">
            <v>AF076G</v>
          </cell>
          <cell r="J712">
            <v>297200</v>
          </cell>
        </row>
        <row r="713">
          <cell r="I713" t="str">
            <v>AF086G</v>
          </cell>
          <cell r="J713">
            <v>319200</v>
          </cell>
        </row>
        <row r="714">
          <cell r="I714" t="str">
            <v>AF106G</v>
          </cell>
          <cell r="J714">
            <v>360200</v>
          </cell>
        </row>
        <row r="715">
          <cell r="I715" t="str">
            <v>AF126G</v>
          </cell>
          <cell r="J715">
            <v>406400</v>
          </cell>
        </row>
        <row r="716">
          <cell r="I716" t="str">
            <v>AF068G</v>
          </cell>
          <cell r="J716">
            <v>304500</v>
          </cell>
        </row>
        <row r="717">
          <cell r="I717" t="str">
            <v>AF078G</v>
          </cell>
          <cell r="J717">
            <v>332900</v>
          </cell>
        </row>
        <row r="718">
          <cell r="I718" t="str">
            <v>AF088G</v>
          </cell>
          <cell r="J718">
            <v>357000</v>
          </cell>
        </row>
        <row r="719">
          <cell r="I719" t="str">
            <v>AF108G</v>
          </cell>
          <cell r="J719">
            <v>403200</v>
          </cell>
        </row>
        <row r="720">
          <cell r="I720" t="str">
            <v>AF128G</v>
          </cell>
          <cell r="J720">
            <v>457800</v>
          </cell>
        </row>
        <row r="721">
          <cell r="I721" t="str">
            <v>AF0060</v>
          </cell>
          <cell r="J721">
            <v>74600</v>
          </cell>
        </row>
        <row r="722">
          <cell r="I722" t="str">
            <v>AF0070</v>
          </cell>
          <cell r="J722">
            <v>77700</v>
          </cell>
        </row>
        <row r="723">
          <cell r="I723" t="str">
            <v>AF0080</v>
          </cell>
          <cell r="J723">
            <v>78800</v>
          </cell>
        </row>
        <row r="724">
          <cell r="I724" t="str">
            <v>AF0100</v>
          </cell>
          <cell r="J724">
            <v>84000</v>
          </cell>
        </row>
        <row r="725">
          <cell r="I725" t="str">
            <v>AF0120</v>
          </cell>
          <cell r="J725">
            <v>89300</v>
          </cell>
        </row>
        <row r="726">
          <cell r="I726" t="str">
            <v>AF0062</v>
          </cell>
          <cell r="J726">
            <v>77700</v>
          </cell>
        </row>
        <row r="727">
          <cell r="I727" t="str">
            <v>AF0072</v>
          </cell>
          <cell r="J727">
            <v>80900</v>
          </cell>
        </row>
        <row r="728">
          <cell r="I728" t="str">
            <v>AF0082</v>
          </cell>
          <cell r="J728">
            <v>84000</v>
          </cell>
        </row>
        <row r="729">
          <cell r="I729" t="str">
            <v>AF0102</v>
          </cell>
          <cell r="J729">
            <v>90300</v>
          </cell>
        </row>
        <row r="730">
          <cell r="I730" t="str">
            <v>AF0122</v>
          </cell>
          <cell r="J730">
            <v>96600</v>
          </cell>
        </row>
        <row r="731">
          <cell r="I731" t="str">
            <v>AF0064S</v>
          </cell>
          <cell r="J731">
            <v>18900</v>
          </cell>
        </row>
        <row r="732">
          <cell r="I732" t="str">
            <v>AF0074S</v>
          </cell>
          <cell r="J732">
            <v>21000</v>
          </cell>
        </row>
        <row r="733">
          <cell r="I733" t="str">
            <v>AF0084S</v>
          </cell>
          <cell r="J733">
            <v>23100</v>
          </cell>
        </row>
        <row r="734">
          <cell r="I734" t="str">
            <v>AF0104S</v>
          </cell>
          <cell r="J734">
            <v>26300</v>
          </cell>
        </row>
        <row r="735">
          <cell r="I735" t="str">
            <v>AF0124S</v>
          </cell>
          <cell r="J735">
            <v>29400</v>
          </cell>
        </row>
        <row r="736">
          <cell r="I736" t="str">
            <v>AF5110</v>
          </cell>
          <cell r="J736">
            <v>25800</v>
          </cell>
        </row>
        <row r="737">
          <cell r="I737" t="str">
            <v>AF5112</v>
          </cell>
          <cell r="J737">
            <v>29100</v>
          </cell>
        </row>
        <row r="738">
          <cell r="I738" t="str">
            <v>AF5114</v>
          </cell>
          <cell r="J738">
            <v>32300</v>
          </cell>
        </row>
        <row r="739">
          <cell r="I739" t="str">
            <v>AF5116</v>
          </cell>
          <cell r="J739">
            <v>35500</v>
          </cell>
        </row>
        <row r="740">
          <cell r="I740" t="str">
            <v>AF5118</v>
          </cell>
          <cell r="J740">
            <v>38700</v>
          </cell>
        </row>
        <row r="741">
          <cell r="I741" t="str">
            <v>AF5120</v>
          </cell>
          <cell r="J741">
            <v>42000</v>
          </cell>
        </row>
        <row r="742">
          <cell r="I742" t="str">
            <v>AF5210</v>
          </cell>
          <cell r="J742">
            <v>30700</v>
          </cell>
        </row>
        <row r="743">
          <cell r="I743" t="str">
            <v>AF5212</v>
          </cell>
          <cell r="J743">
            <v>35500</v>
          </cell>
        </row>
        <row r="744">
          <cell r="I744" t="str">
            <v>AF5214</v>
          </cell>
          <cell r="J744">
            <v>40400</v>
          </cell>
        </row>
        <row r="745">
          <cell r="I745" t="str">
            <v>AF5216</v>
          </cell>
          <cell r="J745">
            <v>45300</v>
          </cell>
        </row>
        <row r="746">
          <cell r="I746" t="str">
            <v>AF5218</v>
          </cell>
          <cell r="J746">
            <v>50100</v>
          </cell>
        </row>
        <row r="747">
          <cell r="I747" t="str">
            <v>AF5220</v>
          </cell>
          <cell r="J747">
            <v>54900</v>
          </cell>
        </row>
        <row r="748">
          <cell r="I748" t="str">
            <v>AF5510</v>
          </cell>
          <cell r="J748">
            <v>29100</v>
          </cell>
        </row>
        <row r="749">
          <cell r="I749" t="str">
            <v>AF5512</v>
          </cell>
          <cell r="J749">
            <v>33900</v>
          </cell>
        </row>
        <row r="750">
          <cell r="I750" t="str">
            <v>AF5514</v>
          </cell>
          <cell r="J750">
            <v>38700</v>
          </cell>
        </row>
        <row r="751">
          <cell r="I751" t="str">
            <v>AF5516</v>
          </cell>
          <cell r="J751">
            <v>43600</v>
          </cell>
        </row>
        <row r="752">
          <cell r="I752" t="str">
            <v>AF5518</v>
          </cell>
          <cell r="J752">
            <v>48500</v>
          </cell>
        </row>
        <row r="753">
          <cell r="I753" t="str">
            <v>AF5520</v>
          </cell>
          <cell r="J753">
            <v>53300</v>
          </cell>
        </row>
        <row r="754">
          <cell r="I754" t="str">
            <v>AF5310</v>
          </cell>
          <cell r="J754">
            <v>24300</v>
          </cell>
        </row>
        <row r="755">
          <cell r="I755" t="str">
            <v>AF5312</v>
          </cell>
          <cell r="J755">
            <v>27500</v>
          </cell>
        </row>
        <row r="756">
          <cell r="I756" t="str">
            <v>AF5314</v>
          </cell>
          <cell r="J756">
            <v>30700</v>
          </cell>
        </row>
        <row r="757">
          <cell r="I757" t="str">
            <v>AF5316</v>
          </cell>
          <cell r="J757">
            <v>33900</v>
          </cell>
        </row>
        <row r="758">
          <cell r="I758" t="str">
            <v>AF5318</v>
          </cell>
          <cell r="J758">
            <v>37200</v>
          </cell>
        </row>
        <row r="759">
          <cell r="I759" t="str">
            <v>AF5320</v>
          </cell>
          <cell r="J759">
            <v>40400</v>
          </cell>
        </row>
        <row r="760">
          <cell r="I760" t="str">
            <v>AF5610</v>
          </cell>
          <cell r="J760">
            <v>22600</v>
          </cell>
        </row>
        <row r="761">
          <cell r="I761" t="str">
            <v>AF5612</v>
          </cell>
          <cell r="J761">
            <v>25800</v>
          </cell>
        </row>
        <row r="762">
          <cell r="I762" t="str">
            <v>AF5614</v>
          </cell>
          <cell r="J762">
            <v>29100</v>
          </cell>
        </row>
        <row r="763">
          <cell r="I763" t="str">
            <v>AF5616</v>
          </cell>
          <cell r="J763">
            <v>32300</v>
          </cell>
        </row>
        <row r="764">
          <cell r="I764" t="str">
            <v>AF5618</v>
          </cell>
          <cell r="J764">
            <v>35500</v>
          </cell>
        </row>
        <row r="765">
          <cell r="I765" t="str">
            <v>AF5620</v>
          </cell>
          <cell r="J765">
            <v>38700</v>
          </cell>
        </row>
        <row r="766">
          <cell r="I766" t="str">
            <v>AF6010</v>
          </cell>
          <cell r="J766">
            <v>9700</v>
          </cell>
        </row>
        <row r="767">
          <cell r="I767" t="str">
            <v>AF6012</v>
          </cell>
          <cell r="J767">
            <v>11300</v>
          </cell>
        </row>
        <row r="768">
          <cell r="I768" t="str">
            <v>AF6014</v>
          </cell>
          <cell r="J768">
            <v>12900</v>
          </cell>
        </row>
        <row r="769">
          <cell r="I769" t="str">
            <v>AF6016</v>
          </cell>
          <cell r="J769">
            <v>14500</v>
          </cell>
        </row>
        <row r="770">
          <cell r="I770" t="str">
            <v>AF6018</v>
          </cell>
          <cell r="J770">
            <v>16200</v>
          </cell>
        </row>
        <row r="771">
          <cell r="I771" t="str">
            <v>AF6020</v>
          </cell>
          <cell r="J771">
            <v>17700</v>
          </cell>
        </row>
        <row r="772">
          <cell r="I772" t="str">
            <v>AF6102</v>
          </cell>
          <cell r="J772">
            <v>3300</v>
          </cell>
        </row>
        <row r="773">
          <cell r="I773" t="str">
            <v>AF6104</v>
          </cell>
          <cell r="J773">
            <v>4800</v>
          </cell>
        </row>
        <row r="774">
          <cell r="I774" t="str">
            <v>AF6106</v>
          </cell>
          <cell r="J774">
            <v>6500</v>
          </cell>
        </row>
        <row r="775">
          <cell r="I775" t="str">
            <v>AF6108</v>
          </cell>
          <cell r="J775">
            <v>8100</v>
          </cell>
        </row>
        <row r="776">
          <cell r="I776" t="str">
            <v>AF6102T</v>
          </cell>
          <cell r="J776">
            <v>3300</v>
          </cell>
        </row>
        <row r="777">
          <cell r="I777" t="str">
            <v>AF6104T</v>
          </cell>
          <cell r="J777">
            <v>4800</v>
          </cell>
        </row>
        <row r="778">
          <cell r="I778" t="str">
            <v>AF6106T</v>
          </cell>
          <cell r="J778">
            <v>6500</v>
          </cell>
        </row>
        <row r="779">
          <cell r="I779" t="str">
            <v>AF6108T</v>
          </cell>
          <cell r="J779">
            <v>8100</v>
          </cell>
        </row>
        <row r="780">
          <cell r="I780" t="str">
            <v>AF6202</v>
          </cell>
          <cell r="J780">
            <v>1600</v>
          </cell>
        </row>
        <row r="781">
          <cell r="I781" t="str">
            <v>AF6204</v>
          </cell>
          <cell r="J781">
            <v>3300</v>
          </cell>
        </row>
        <row r="782">
          <cell r="I782" t="str">
            <v>AF6206</v>
          </cell>
          <cell r="J782">
            <v>4800</v>
          </cell>
        </row>
        <row r="783">
          <cell r="I783" t="str">
            <v>AF6208</v>
          </cell>
          <cell r="J783">
            <v>6500</v>
          </cell>
        </row>
        <row r="784">
          <cell r="I784" t="str">
            <v>AF8001</v>
          </cell>
          <cell r="J784">
            <v>38900</v>
          </cell>
        </row>
        <row r="785">
          <cell r="I785" t="str">
            <v>AT8001</v>
          </cell>
          <cell r="J785">
            <v>6300</v>
          </cell>
        </row>
        <row r="786">
          <cell r="I786" t="str">
            <v>AT8002</v>
          </cell>
          <cell r="J786">
            <v>6300</v>
          </cell>
        </row>
        <row r="787">
          <cell r="I787" t="str">
            <v>AT8003</v>
          </cell>
          <cell r="J787">
            <v>3200</v>
          </cell>
        </row>
        <row r="788">
          <cell r="I788" t="str">
            <v>CX0011</v>
          </cell>
          <cell r="J788">
            <v>24200</v>
          </cell>
        </row>
        <row r="789">
          <cell r="I789" t="str">
            <v>CX0012</v>
          </cell>
          <cell r="J789">
            <v>24200</v>
          </cell>
        </row>
        <row r="790">
          <cell r="I790" t="str">
            <v>AT8006</v>
          </cell>
          <cell r="J790">
            <v>8400</v>
          </cell>
        </row>
        <row r="791">
          <cell r="I791" t="str">
            <v>AT8007</v>
          </cell>
          <cell r="J791">
            <v>8400</v>
          </cell>
        </row>
        <row r="792">
          <cell r="I792" t="str">
            <v>AT8008</v>
          </cell>
          <cell r="J792">
            <v>8400</v>
          </cell>
        </row>
        <row r="793">
          <cell r="I793" t="str">
            <v>AT8010</v>
          </cell>
          <cell r="J793">
            <v>10500</v>
          </cell>
        </row>
        <row r="794">
          <cell r="I794" t="str">
            <v>AT8012</v>
          </cell>
          <cell r="J794">
            <v>10500</v>
          </cell>
        </row>
        <row r="795">
          <cell r="I795" t="str">
            <v>AF1062</v>
          </cell>
          <cell r="J795">
            <v>11600</v>
          </cell>
        </row>
        <row r="796">
          <cell r="I796" t="str">
            <v>AF1064</v>
          </cell>
          <cell r="J796">
            <v>16300</v>
          </cell>
        </row>
        <row r="797">
          <cell r="I797" t="str">
            <v>AF1066</v>
          </cell>
          <cell r="J797">
            <v>19400</v>
          </cell>
        </row>
        <row r="798">
          <cell r="I798" t="str">
            <v>AF1072</v>
          </cell>
          <cell r="J798">
            <v>12100</v>
          </cell>
        </row>
        <row r="799">
          <cell r="I799" t="str">
            <v>AF1074</v>
          </cell>
          <cell r="J799">
            <v>17900</v>
          </cell>
        </row>
        <row r="800">
          <cell r="I800" t="str">
            <v>AF1076</v>
          </cell>
          <cell r="J800">
            <v>22600</v>
          </cell>
        </row>
        <row r="801">
          <cell r="I801" t="str">
            <v>AF1082</v>
          </cell>
          <cell r="J801">
            <v>13100</v>
          </cell>
        </row>
        <row r="802">
          <cell r="I802" t="str">
            <v>AF1084</v>
          </cell>
          <cell r="J802">
            <v>19400</v>
          </cell>
        </row>
        <row r="803">
          <cell r="I803" t="str">
            <v>AF1086</v>
          </cell>
          <cell r="J803">
            <v>25700</v>
          </cell>
        </row>
        <row r="804">
          <cell r="I804" t="str">
            <v>AF1102</v>
          </cell>
          <cell r="J804">
            <v>14700</v>
          </cell>
        </row>
        <row r="805">
          <cell r="I805" t="str">
            <v>AF1104</v>
          </cell>
          <cell r="J805">
            <v>22600</v>
          </cell>
        </row>
        <row r="806">
          <cell r="I806" t="str">
            <v>AF1106</v>
          </cell>
          <cell r="J806">
            <v>30500</v>
          </cell>
        </row>
        <row r="807">
          <cell r="I807" t="str">
            <v>AF1122</v>
          </cell>
          <cell r="J807">
            <v>16300</v>
          </cell>
        </row>
        <row r="808">
          <cell r="I808" t="str">
            <v>AF1124</v>
          </cell>
          <cell r="J808">
            <v>25700</v>
          </cell>
        </row>
        <row r="809">
          <cell r="I809" t="str">
            <v>AF1126</v>
          </cell>
          <cell r="J809">
            <v>35700</v>
          </cell>
        </row>
        <row r="810">
          <cell r="I810" t="str">
            <v>AF1062G</v>
          </cell>
          <cell r="J810">
            <v>16300</v>
          </cell>
        </row>
        <row r="811">
          <cell r="I811" t="str">
            <v>AF1064G</v>
          </cell>
          <cell r="J811">
            <v>24200</v>
          </cell>
        </row>
        <row r="812">
          <cell r="I812" t="str">
            <v>AF1066G</v>
          </cell>
          <cell r="J812">
            <v>32600</v>
          </cell>
        </row>
        <row r="813">
          <cell r="I813" t="str">
            <v>AF1072G</v>
          </cell>
          <cell r="J813">
            <v>17900</v>
          </cell>
        </row>
        <row r="814">
          <cell r="I814" t="str">
            <v>AF1074G</v>
          </cell>
          <cell r="J814">
            <v>26800</v>
          </cell>
        </row>
        <row r="815">
          <cell r="I815" t="str">
            <v>AF1076G</v>
          </cell>
          <cell r="J815">
            <v>35700</v>
          </cell>
        </row>
        <row r="816">
          <cell r="I816" t="str">
            <v>AF1082G</v>
          </cell>
          <cell r="J816">
            <v>19400</v>
          </cell>
        </row>
        <row r="817">
          <cell r="I817" t="str">
            <v>AF1084G</v>
          </cell>
          <cell r="J817">
            <v>29400</v>
          </cell>
        </row>
        <row r="818">
          <cell r="I818" t="str">
            <v>AF1086G</v>
          </cell>
          <cell r="J818">
            <v>38900</v>
          </cell>
        </row>
        <row r="819">
          <cell r="I819" t="str">
            <v>AF1102G</v>
          </cell>
          <cell r="J819">
            <v>22600</v>
          </cell>
        </row>
        <row r="820">
          <cell r="I820" t="str">
            <v>AF1104G</v>
          </cell>
          <cell r="J820">
            <v>34100</v>
          </cell>
        </row>
        <row r="821">
          <cell r="I821" t="str">
            <v>AF1106G</v>
          </cell>
          <cell r="J821">
            <v>45200</v>
          </cell>
        </row>
        <row r="822">
          <cell r="I822" t="str">
            <v>AF1122G</v>
          </cell>
          <cell r="J822">
            <v>25700</v>
          </cell>
        </row>
        <row r="823">
          <cell r="I823" t="str">
            <v>AF1124G</v>
          </cell>
          <cell r="J823">
            <v>40400</v>
          </cell>
        </row>
        <row r="824">
          <cell r="I824" t="str">
            <v>AF1126G</v>
          </cell>
          <cell r="J824">
            <v>52000</v>
          </cell>
        </row>
        <row r="825">
          <cell r="I825" t="str">
            <v>AF2062</v>
          </cell>
          <cell r="J825">
            <v>12100</v>
          </cell>
        </row>
        <row r="826">
          <cell r="I826" t="str">
            <v>AF2072</v>
          </cell>
          <cell r="J826">
            <v>13100</v>
          </cell>
        </row>
        <row r="827">
          <cell r="I827" t="str">
            <v>AF2082</v>
          </cell>
          <cell r="J827">
            <v>14200</v>
          </cell>
        </row>
        <row r="828">
          <cell r="I828" t="str">
            <v>AF2102</v>
          </cell>
          <cell r="J828">
            <v>15200</v>
          </cell>
        </row>
        <row r="829">
          <cell r="I829" t="str">
            <v>AF2122</v>
          </cell>
          <cell r="J829">
            <v>16300</v>
          </cell>
        </row>
        <row r="830">
          <cell r="I830" t="str">
            <v>AF3061</v>
          </cell>
          <cell r="J830">
            <v>3200</v>
          </cell>
        </row>
        <row r="831">
          <cell r="I831" t="str">
            <v>AF3071</v>
          </cell>
          <cell r="J831">
            <v>4200</v>
          </cell>
        </row>
        <row r="832">
          <cell r="I832" t="str">
            <v>AF3081</v>
          </cell>
          <cell r="J832">
            <v>4200</v>
          </cell>
        </row>
        <row r="833">
          <cell r="I833" t="str">
            <v>AF3101</v>
          </cell>
          <cell r="J833">
            <v>4700</v>
          </cell>
        </row>
        <row r="834">
          <cell r="I834" t="str">
            <v>AF3121</v>
          </cell>
          <cell r="J834">
            <v>5800</v>
          </cell>
        </row>
        <row r="835">
          <cell r="I835" t="str">
            <v>AF1062A</v>
          </cell>
          <cell r="J835">
            <v>17900</v>
          </cell>
        </row>
        <row r="836">
          <cell r="I836" t="str">
            <v>AF1064A</v>
          </cell>
          <cell r="J836">
            <v>32600</v>
          </cell>
        </row>
        <row r="837">
          <cell r="I837" t="str">
            <v>AF1072A</v>
          </cell>
          <cell r="J837">
            <v>19400</v>
          </cell>
        </row>
        <row r="838">
          <cell r="I838" t="str">
            <v>AF1074A</v>
          </cell>
          <cell r="J838">
            <v>35700</v>
          </cell>
        </row>
        <row r="839">
          <cell r="I839" t="str">
            <v>AF1082A</v>
          </cell>
          <cell r="J839">
            <v>21000</v>
          </cell>
        </row>
        <row r="840">
          <cell r="I840" t="str">
            <v>AF1084A</v>
          </cell>
          <cell r="J840">
            <v>38900</v>
          </cell>
        </row>
        <row r="841">
          <cell r="I841" t="str">
            <v>AF1102A</v>
          </cell>
          <cell r="J841">
            <v>24200</v>
          </cell>
        </row>
        <row r="842">
          <cell r="I842" t="str">
            <v>AF1104A</v>
          </cell>
          <cell r="J842">
            <v>45200</v>
          </cell>
        </row>
        <row r="843">
          <cell r="I843" t="str">
            <v>AF1122A</v>
          </cell>
          <cell r="J843">
            <v>27300</v>
          </cell>
        </row>
        <row r="844">
          <cell r="I844" t="str">
            <v>AF1124A</v>
          </cell>
          <cell r="J844">
            <v>51500</v>
          </cell>
        </row>
        <row r="845">
          <cell r="I845" t="str">
            <v>AF1064B</v>
          </cell>
          <cell r="J845">
            <v>30500</v>
          </cell>
        </row>
        <row r="846">
          <cell r="I846" t="str">
            <v>AF1074B</v>
          </cell>
          <cell r="J846">
            <v>34700</v>
          </cell>
        </row>
        <row r="847">
          <cell r="I847" t="str">
            <v>AF1084B</v>
          </cell>
          <cell r="J847">
            <v>38900</v>
          </cell>
        </row>
        <row r="848">
          <cell r="I848" t="str">
            <v>AF1104B</v>
          </cell>
          <cell r="J848">
            <v>54600</v>
          </cell>
        </row>
        <row r="849">
          <cell r="I849" t="str">
            <v>AF1124B</v>
          </cell>
          <cell r="J849">
            <v>59900</v>
          </cell>
        </row>
        <row r="850">
          <cell r="I850" t="str">
            <v>AT3006</v>
          </cell>
          <cell r="J850">
            <v>66200</v>
          </cell>
        </row>
        <row r="851">
          <cell r="I851" t="str">
            <v>AT3007</v>
          </cell>
          <cell r="J851">
            <v>69300</v>
          </cell>
        </row>
        <row r="852">
          <cell r="I852" t="str">
            <v>AT3008</v>
          </cell>
          <cell r="J852">
            <v>71400</v>
          </cell>
        </row>
        <row r="853">
          <cell r="I853" t="str">
            <v>AT3010</v>
          </cell>
          <cell r="J853">
            <v>77700</v>
          </cell>
        </row>
        <row r="854">
          <cell r="I854" t="str">
            <v>AT3012</v>
          </cell>
          <cell r="J854">
            <v>81900</v>
          </cell>
        </row>
        <row r="855">
          <cell r="I855" t="str">
            <v>AT3406</v>
          </cell>
          <cell r="J855">
            <v>78800</v>
          </cell>
        </row>
        <row r="856">
          <cell r="I856" t="str">
            <v>AT3407</v>
          </cell>
          <cell r="J856">
            <v>81900</v>
          </cell>
        </row>
        <row r="857">
          <cell r="I857" t="str">
            <v>AT3408</v>
          </cell>
          <cell r="J857">
            <v>84000</v>
          </cell>
        </row>
        <row r="858">
          <cell r="I858" t="str">
            <v>AT3410</v>
          </cell>
          <cell r="J858">
            <v>89300</v>
          </cell>
        </row>
        <row r="859">
          <cell r="I859" t="str">
            <v>AT3412</v>
          </cell>
          <cell r="J859">
            <v>93500</v>
          </cell>
        </row>
        <row r="860">
          <cell r="I860" t="str">
            <v>AT3306</v>
          </cell>
          <cell r="J860">
            <v>168000</v>
          </cell>
        </row>
        <row r="861">
          <cell r="I861" t="str">
            <v>AT3307</v>
          </cell>
          <cell r="J861">
            <v>173300</v>
          </cell>
        </row>
        <row r="862">
          <cell r="I862" t="str">
            <v>AT3308</v>
          </cell>
          <cell r="J862">
            <v>177500</v>
          </cell>
        </row>
        <row r="863">
          <cell r="I863" t="str">
            <v>AT3310</v>
          </cell>
          <cell r="J863">
            <v>189000</v>
          </cell>
        </row>
        <row r="864">
          <cell r="I864" t="str">
            <v>AT3312</v>
          </cell>
          <cell r="J864">
            <v>198500</v>
          </cell>
        </row>
        <row r="865">
          <cell r="I865" t="str">
            <v>AF066HB</v>
          </cell>
          <cell r="J865">
            <v>246800</v>
          </cell>
        </row>
        <row r="866">
          <cell r="I866" t="str">
            <v>AF076HB</v>
          </cell>
          <cell r="J866">
            <v>270900</v>
          </cell>
        </row>
        <row r="867">
          <cell r="I867" t="str">
            <v>AF086HB</v>
          </cell>
          <cell r="J867">
            <v>293000</v>
          </cell>
        </row>
        <row r="868">
          <cell r="I868" t="str">
            <v>AF106HB</v>
          </cell>
          <cell r="J868">
            <v>330800</v>
          </cell>
        </row>
        <row r="869">
          <cell r="I869" t="str">
            <v>AF126HB</v>
          </cell>
          <cell r="J869">
            <v>373800</v>
          </cell>
        </row>
        <row r="870">
          <cell r="I870" t="str">
            <v>AF068HB</v>
          </cell>
          <cell r="J870">
            <v>278300</v>
          </cell>
        </row>
        <row r="871">
          <cell r="I871" t="str">
            <v>AF078HB</v>
          </cell>
          <cell r="J871">
            <v>306600</v>
          </cell>
        </row>
        <row r="872">
          <cell r="I872" t="str">
            <v>AF088HB</v>
          </cell>
          <cell r="J872">
            <v>330800</v>
          </cell>
        </row>
        <row r="873">
          <cell r="I873" t="str">
            <v>AF108HB</v>
          </cell>
          <cell r="J873">
            <v>373800</v>
          </cell>
        </row>
        <row r="874">
          <cell r="I874" t="str">
            <v>AF128HB</v>
          </cell>
          <cell r="J874">
            <v>425300</v>
          </cell>
        </row>
        <row r="875">
          <cell r="I875" t="str">
            <v>AF062C</v>
          </cell>
          <cell r="J875">
            <v>176400</v>
          </cell>
        </row>
        <row r="876">
          <cell r="I876" t="str">
            <v>AF072C</v>
          </cell>
          <cell r="J876">
            <v>192200</v>
          </cell>
        </row>
        <row r="877">
          <cell r="I877" t="str">
            <v>AF082C</v>
          </cell>
          <cell r="J877">
            <v>206300</v>
          </cell>
        </row>
        <row r="878">
          <cell r="I878" t="str">
            <v>AF102C</v>
          </cell>
          <cell r="J878">
            <v>230000</v>
          </cell>
        </row>
        <row r="879">
          <cell r="I879" t="str">
            <v>AF122C</v>
          </cell>
          <cell r="J879">
            <v>255700</v>
          </cell>
        </row>
        <row r="880">
          <cell r="I880" t="str">
            <v>AF064S</v>
          </cell>
          <cell r="J880">
            <v>51500</v>
          </cell>
        </row>
        <row r="881">
          <cell r="I881" t="str">
            <v>AF074S</v>
          </cell>
          <cell r="J881">
            <v>56700</v>
          </cell>
        </row>
        <row r="882">
          <cell r="I882" t="str">
            <v>AF084S</v>
          </cell>
          <cell r="J882">
            <v>62000</v>
          </cell>
        </row>
        <row r="883">
          <cell r="I883" t="str">
            <v>AF104S</v>
          </cell>
          <cell r="J883">
            <v>71400</v>
          </cell>
        </row>
        <row r="884">
          <cell r="I884" t="str">
            <v>AF124S</v>
          </cell>
          <cell r="J884">
            <v>80900</v>
          </cell>
        </row>
        <row r="885">
          <cell r="I885" t="str">
            <v>AF064SG</v>
          </cell>
          <cell r="J885">
            <v>67200</v>
          </cell>
        </row>
        <row r="886">
          <cell r="I886" t="str">
            <v>AF074SG</v>
          </cell>
          <cell r="J886">
            <v>74600</v>
          </cell>
        </row>
        <row r="887">
          <cell r="I887" t="str">
            <v>AF084SG</v>
          </cell>
          <cell r="J887">
            <v>81900</v>
          </cell>
        </row>
        <row r="888">
          <cell r="I888" t="str">
            <v>AF104SG</v>
          </cell>
          <cell r="J888">
            <v>94500</v>
          </cell>
        </row>
        <row r="889">
          <cell r="I889" t="str">
            <v>AF124SG</v>
          </cell>
          <cell r="J889">
            <v>110300</v>
          </cell>
        </row>
        <row r="890">
          <cell r="I890" t="str">
            <v>AF064SB</v>
          </cell>
          <cell r="J890">
            <v>79800</v>
          </cell>
        </row>
        <row r="891">
          <cell r="I891" t="str">
            <v>AF074SB</v>
          </cell>
          <cell r="J891">
            <v>90300</v>
          </cell>
        </row>
        <row r="892">
          <cell r="I892" t="str">
            <v>AF084SB</v>
          </cell>
          <cell r="J892">
            <v>100800</v>
          </cell>
        </row>
        <row r="893">
          <cell r="I893" t="str">
            <v>AF104SB</v>
          </cell>
          <cell r="J893">
            <v>135500</v>
          </cell>
        </row>
        <row r="894">
          <cell r="I894" t="str">
            <v>AF124SB</v>
          </cell>
          <cell r="J894">
            <v>149100</v>
          </cell>
        </row>
        <row r="895">
          <cell r="I895" t="str">
            <v>AF064SA</v>
          </cell>
          <cell r="J895">
            <v>84000</v>
          </cell>
        </row>
        <row r="896">
          <cell r="I896" t="str">
            <v>AF074SA</v>
          </cell>
          <cell r="J896">
            <v>92400</v>
          </cell>
        </row>
        <row r="897">
          <cell r="I897" t="str">
            <v>AF084SA</v>
          </cell>
          <cell r="J897">
            <v>100800</v>
          </cell>
        </row>
        <row r="898">
          <cell r="I898" t="str">
            <v>AF104SA</v>
          </cell>
          <cell r="J898">
            <v>116600</v>
          </cell>
        </row>
        <row r="899">
          <cell r="I899" t="str">
            <v>AF124SA</v>
          </cell>
          <cell r="J899">
            <v>132300</v>
          </cell>
        </row>
        <row r="900">
          <cell r="I900" t="str">
            <v>AF064SD</v>
          </cell>
          <cell r="J900">
            <v>65600</v>
          </cell>
        </row>
        <row r="901">
          <cell r="I901" t="str">
            <v>AF074SD</v>
          </cell>
          <cell r="J901">
            <v>73500</v>
          </cell>
        </row>
        <row r="902">
          <cell r="I902" t="str">
            <v>AF084SD</v>
          </cell>
          <cell r="J902">
            <v>81400</v>
          </cell>
        </row>
        <row r="903">
          <cell r="I903" t="str">
            <v>AF104SD</v>
          </cell>
          <cell r="J903">
            <v>103400</v>
          </cell>
        </row>
        <row r="904">
          <cell r="I904" t="str">
            <v>AF124SD</v>
          </cell>
          <cell r="J904">
            <v>115000</v>
          </cell>
        </row>
        <row r="905">
          <cell r="I905" t="str">
            <v>AF064SC</v>
          </cell>
          <cell r="J905">
            <v>67700</v>
          </cell>
        </row>
        <row r="906">
          <cell r="I906" t="str">
            <v>AF074SC</v>
          </cell>
          <cell r="J906">
            <v>74600</v>
          </cell>
        </row>
        <row r="907">
          <cell r="I907" t="str">
            <v>AF084SC</v>
          </cell>
          <cell r="J907">
            <v>81400</v>
          </cell>
        </row>
        <row r="908">
          <cell r="I908" t="str">
            <v>AF104SC</v>
          </cell>
          <cell r="J908">
            <v>94000</v>
          </cell>
        </row>
        <row r="909">
          <cell r="I909" t="str">
            <v>AF124SC</v>
          </cell>
          <cell r="J909">
            <v>106600</v>
          </cell>
        </row>
        <row r="910">
          <cell r="I910" t="str">
            <v>AF064SM</v>
          </cell>
          <cell r="J910">
            <v>81900</v>
          </cell>
        </row>
        <row r="911">
          <cell r="I911" t="str">
            <v>AF074SM</v>
          </cell>
          <cell r="J911">
            <v>91400</v>
          </cell>
        </row>
        <row r="912">
          <cell r="I912" t="str">
            <v>AF084SM</v>
          </cell>
          <cell r="J912">
            <v>100800</v>
          </cell>
        </row>
        <row r="913">
          <cell r="I913" t="str">
            <v>AF104SM</v>
          </cell>
          <cell r="J913">
            <v>126000</v>
          </cell>
        </row>
        <row r="914">
          <cell r="I914" t="str">
            <v>AF124SM</v>
          </cell>
          <cell r="J914">
            <v>140700</v>
          </cell>
        </row>
        <row r="915">
          <cell r="I915" t="str">
            <v>AF062A</v>
          </cell>
          <cell r="J915">
            <v>182700</v>
          </cell>
        </row>
        <row r="916">
          <cell r="I916" t="str">
            <v>AF072A</v>
          </cell>
          <cell r="J916">
            <v>199500</v>
          </cell>
        </row>
        <row r="917">
          <cell r="I917" t="str">
            <v>AF082A</v>
          </cell>
          <cell r="J917">
            <v>214200</v>
          </cell>
        </row>
        <row r="918">
          <cell r="I918" t="str">
            <v>AF102A</v>
          </cell>
          <cell r="J918">
            <v>239400</v>
          </cell>
        </row>
        <row r="919">
          <cell r="I919" t="str">
            <v>AF122A</v>
          </cell>
          <cell r="J919">
            <v>266700</v>
          </cell>
        </row>
        <row r="920">
          <cell r="I920" t="str">
            <v>SD008L</v>
          </cell>
          <cell r="J920">
            <v>177500</v>
          </cell>
        </row>
        <row r="921">
          <cell r="I921" t="str">
            <v>SD008R</v>
          </cell>
          <cell r="J921">
            <v>177500</v>
          </cell>
        </row>
        <row r="922">
          <cell r="I922" t="str">
            <v>SD008</v>
          </cell>
          <cell r="J922">
            <v>177500</v>
          </cell>
        </row>
        <row r="923">
          <cell r="I923" t="str">
            <v>SD012L</v>
          </cell>
          <cell r="J923">
            <v>210000</v>
          </cell>
        </row>
        <row r="924">
          <cell r="I924" t="str">
            <v>SD012R</v>
          </cell>
          <cell r="J924">
            <v>210000</v>
          </cell>
        </row>
        <row r="925">
          <cell r="I925" t="str">
            <v>SD012</v>
          </cell>
          <cell r="J925">
            <v>210000</v>
          </cell>
        </row>
        <row r="926">
          <cell r="I926" t="str">
            <v>SD014L</v>
          </cell>
          <cell r="J926">
            <v>236300</v>
          </cell>
        </row>
        <row r="927">
          <cell r="I927" t="str">
            <v>SD014R</v>
          </cell>
          <cell r="J927">
            <v>236300</v>
          </cell>
        </row>
        <row r="928">
          <cell r="I928" t="str">
            <v>SD014</v>
          </cell>
          <cell r="J928">
            <v>236300</v>
          </cell>
        </row>
        <row r="929">
          <cell r="I929" t="str">
            <v>SD016L</v>
          </cell>
          <cell r="J929">
            <v>254100</v>
          </cell>
        </row>
        <row r="930">
          <cell r="I930" t="str">
            <v>SD016R</v>
          </cell>
          <cell r="J930">
            <v>254100</v>
          </cell>
        </row>
        <row r="931">
          <cell r="I931" t="str">
            <v>SD016</v>
          </cell>
          <cell r="J931">
            <v>254100</v>
          </cell>
        </row>
        <row r="932">
          <cell r="I932" t="str">
            <v>SD316L</v>
          </cell>
          <cell r="J932">
            <v>339200</v>
          </cell>
        </row>
        <row r="933">
          <cell r="I933" t="str">
            <v>SD316R</v>
          </cell>
          <cell r="J933">
            <v>339200</v>
          </cell>
        </row>
        <row r="934">
          <cell r="I934" t="str">
            <v>SD318R</v>
          </cell>
          <cell r="J934">
            <v>356000</v>
          </cell>
        </row>
        <row r="935">
          <cell r="I935" t="str">
            <v>SD318L</v>
          </cell>
          <cell r="J935">
            <v>356000</v>
          </cell>
        </row>
        <row r="936">
          <cell r="I936" t="str">
            <v>SP0202</v>
          </cell>
          <cell r="J936">
            <v>146000</v>
          </cell>
        </row>
        <row r="937">
          <cell r="I937" t="str">
            <v>SP0203</v>
          </cell>
          <cell r="J937">
            <v>161700</v>
          </cell>
        </row>
        <row r="938">
          <cell r="I938" t="str">
            <v>SP0302</v>
          </cell>
          <cell r="J938">
            <v>170100</v>
          </cell>
        </row>
        <row r="939">
          <cell r="I939" t="str">
            <v>SP0303</v>
          </cell>
          <cell r="J939">
            <v>185900</v>
          </cell>
        </row>
        <row r="940">
          <cell r="I940" t="str">
            <v>SP0300</v>
          </cell>
          <cell r="J940">
            <v>53600</v>
          </cell>
        </row>
        <row r="941">
          <cell r="I941" t="str">
            <v>SD507</v>
          </cell>
          <cell r="J941">
            <v>174300</v>
          </cell>
        </row>
        <row r="942">
          <cell r="I942" t="str">
            <v>SD507F</v>
          </cell>
          <cell r="J942">
            <v>298200</v>
          </cell>
        </row>
        <row r="943">
          <cell r="I943" t="str">
            <v>SD517</v>
          </cell>
          <cell r="J943">
            <v>92400</v>
          </cell>
        </row>
        <row r="944">
          <cell r="I944" t="str">
            <v>SD517F</v>
          </cell>
          <cell r="J944">
            <v>217400</v>
          </cell>
        </row>
        <row r="945">
          <cell r="I945" t="str">
            <v>SD547</v>
          </cell>
          <cell r="J945">
            <v>60900</v>
          </cell>
        </row>
        <row r="946">
          <cell r="I946" t="str">
            <v>SD597</v>
          </cell>
          <cell r="J946">
            <v>77700</v>
          </cell>
        </row>
        <row r="947">
          <cell r="I947" t="str">
            <v>SD406L</v>
          </cell>
          <cell r="J947">
            <v>84000</v>
          </cell>
        </row>
        <row r="948">
          <cell r="I948" t="str">
            <v>SD406R</v>
          </cell>
          <cell r="J948">
            <v>84000</v>
          </cell>
        </row>
        <row r="949">
          <cell r="I949" t="str">
            <v>SD912</v>
          </cell>
          <cell r="J949">
            <v>162800</v>
          </cell>
        </row>
        <row r="950">
          <cell r="I950" t="str">
            <v>SD912F</v>
          </cell>
          <cell r="J950">
            <v>199500</v>
          </cell>
        </row>
        <row r="951">
          <cell r="I951" t="str">
            <v>SD955</v>
          </cell>
          <cell r="J951">
            <v>99800</v>
          </cell>
        </row>
        <row r="952">
          <cell r="I952" t="str">
            <v>SD977</v>
          </cell>
          <cell r="J952">
            <v>189000</v>
          </cell>
        </row>
        <row r="953">
          <cell r="I953" t="str">
            <v>SD927L</v>
          </cell>
          <cell r="J953">
            <v>165900</v>
          </cell>
        </row>
        <row r="954">
          <cell r="I954" t="str">
            <v>SD927R</v>
          </cell>
          <cell r="J954">
            <v>165900</v>
          </cell>
        </row>
        <row r="955">
          <cell r="I955" t="str">
            <v>SD990</v>
          </cell>
          <cell r="J955">
            <v>153300</v>
          </cell>
        </row>
        <row r="956">
          <cell r="I956" t="str">
            <v>SF008</v>
          </cell>
          <cell r="J956">
            <v>75600</v>
          </cell>
        </row>
        <row r="957">
          <cell r="I957" t="str">
            <v>SF008BE</v>
          </cell>
          <cell r="J957">
            <v>67200</v>
          </cell>
        </row>
        <row r="958">
          <cell r="I958" t="str">
            <v>SF012</v>
          </cell>
          <cell r="J958">
            <v>94500</v>
          </cell>
        </row>
        <row r="959">
          <cell r="I959" t="str">
            <v>SF012BE</v>
          </cell>
          <cell r="J959">
            <v>84000</v>
          </cell>
        </row>
        <row r="960">
          <cell r="I960" t="str">
            <v>SF014</v>
          </cell>
          <cell r="J960">
            <v>105000</v>
          </cell>
        </row>
        <row r="961">
          <cell r="I961" t="str">
            <v>SF014BE</v>
          </cell>
          <cell r="J961">
            <v>93500</v>
          </cell>
        </row>
        <row r="962">
          <cell r="I962" t="str">
            <v>SF016</v>
          </cell>
          <cell r="J962">
            <v>114500</v>
          </cell>
        </row>
        <row r="963">
          <cell r="I963" t="str">
            <v>SF016BE</v>
          </cell>
          <cell r="J963">
            <v>101900</v>
          </cell>
        </row>
        <row r="964">
          <cell r="I964" t="str">
            <v>SF300</v>
          </cell>
          <cell r="J964">
            <v>34700</v>
          </cell>
        </row>
        <row r="965">
          <cell r="I965" t="str">
            <v>SF300BE</v>
          </cell>
          <cell r="J965">
            <v>29400</v>
          </cell>
        </row>
        <row r="966">
          <cell r="I966" t="str">
            <v>SF912</v>
          </cell>
          <cell r="J966">
            <v>49400</v>
          </cell>
        </row>
        <row r="967">
          <cell r="I967" t="str">
            <v>SF912BE</v>
          </cell>
          <cell r="J967">
            <v>42000</v>
          </cell>
        </row>
        <row r="968">
          <cell r="I968" t="str">
            <v>SF507</v>
          </cell>
          <cell r="J968">
            <v>173300</v>
          </cell>
        </row>
        <row r="969">
          <cell r="I969" t="str">
            <v>SF507BE</v>
          </cell>
          <cell r="J969">
            <v>152300</v>
          </cell>
        </row>
        <row r="970">
          <cell r="I970" t="str">
            <v>SF517</v>
          </cell>
          <cell r="J970">
            <v>135500</v>
          </cell>
        </row>
        <row r="971">
          <cell r="I971" t="str">
            <v>SF517BE</v>
          </cell>
          <cell r="J971">
            <v>118700</v>
          </cell>
        </row>
        <row r="972">
          <cell r="I972" t="str">
            <v>SF316</v>
          </cell>
          <cell r="J972">
            <v>193200</v>
          </cell>
        </row>
        <row r="973">
          <cell r="I973" t="str">
            <v>SF316BE</v>
          </cell>
          <cell r="J973">
            <v>170100</v>
          </cell>
        </row>
        <row r="974">
          <cell r="I974" t="str">
            <v>SF507T</v>
          </cell>
          <cell r="J974">
            <v>260400</v>
          </cell>
        </row>
        <row r="975">
          <cell r="I975" t="str">
            <v>SF507TBE</v>
          </cell>
          <cell r="J975">
            <v>228900</v>
          </cell>
        </row>
        <row r="976">
          <cell r="I976" t="str">
            <v>SC182</v>
          </cell>
          <cell r="J976">
            <v>116600</v>
          </cell>
        </row>
        <row r="977">
          <cell r="I977" t="str">
            <v>SC183</v>
          </cell>
          <cell r="J977">
            <v>149100</v>
          </cell>
        </row>
        <row r="978">
          <cell r="I978" t="str">
            <v>SC1082</v>
          </cell>
          <cell r="J978">
            <v>80900</v>
          </cell>
        </row>
        <row r="979">
          <cell r="I979" t="str">
            <v>SC1083</v>
          </cell>
          <cell r="J979">
            <v>113400</v>
          </cell>
        </row>
        <row r="980">
          <cell r="I980" t="str">
            <v>SC0084</v>
          </cell>
          <cell r="J980">
            <v>144900</v>
          </cell>
        </row>
        <row r="981">
          <cell r="I981" t="str">
            <v>SC0085S</v>
          </cell>
          <cell r="J981">
            <v>153300</v>
          </cell>
        </row>
        <row r="982">
          <cell r="I982" t="str">
            <v>SC0086</v>
          </cell>
          <cell r="J982">
            <v>202700</v>
          </cell>
        </row>
        <row r="983">
          <cell r="I983" t="str">
            <v>SC0054</v>
          </cell>
          <cell r="J983">
            <v>110300</v>
          </cell>
        </row>
        <row r="984">
          <cell r="I984" t="str">
            <v>SC0055S</v>
          </cell>
          <cell r="J984">
            <v>122900</v>
          </cell>
        </row>
        <row r="985">
          <cell r="I985" t="str">
            <v>SC0056</v>
          </cell>
          <cell r="J985">
            <v>170100</v>
          </cell>
        </row>
        <row r="986">
          <cell r="I986" t="str">
            <v>SC5054</v>
          </cell>
          <cell r="J986">
            <v>110300</v>
          </cell>
        </row>
        <row r="987">
          <cell r="I987" t="str">
            <v>SC5055S</v>
          </cell>
          <cell r="J987">
            <v>122900</v>
          </cell>
        </row>
        <row r="988">
          <cell r="I988" t="str">
            <v>SC9108</v>
          </cell>
          <cell r="J988">
            <v>35700</v>
          </cell>
        </row>
        <row r="989">
          <cell r="I989" t="str">
            <v>SC9105</v>
          </cell>
          <cell r="J989">
            <v>26300</v>
          </cell>
        </row>
        <row r="990">
          <cell r="I990" t="str">
            <v>SB1082</v>
          </cell>
          <cell r="J990">
            <v>65100</v>
          </cell>
        </row>
        <row r="991">
          <cell r="I991" t="str">
            <v>SB1083</v>
          </cell>
          <cell r="J991">
            <v>81900</v>
          </cell>
        </row>
        <row r="992">
          <cell r="I992" t="str">
            <v>SB0082</v>
          </cell>
          <cell r="J992">
            <v>65100</v>
          </cell>
        </row>
        <row r="993">
          <cell r="I993" t="str">
            <v>SB0084</v>
          </cell>
          <cell r="J993">
            <v>108200</v>
          </cell>
        </row>
        <row r="994">
          <cell r="I994" t="str">
            <v>SB0085S</v>
          </cell>
          <cell r="J994">
            <v>120800</v>
          </cell>
        </row>
        <row r="995">
          <cell r="I995" t="str">
            <v>SB0086</v>
          </cell>
          <cell r="J995">
            <v>143900</v>
          </cell>
        </row>
        <row r="996">
          <cell r="I996" t="str">
            <v>SB0083SG</v>
          </cell>
          <cell r="J996">
            <v>85100</v>
          </cell>
        </row>
        <row r="997">
          <cell r="I997" t="str">
            <v>SB052L</v>
          </cell>
          <cell r="J997">
            <v>45200</v>
          </cell>
        </row>
        <row r="998">
          <cell r="I998" t="str">
            <v>SB052R</v>
          </cell>
          <cell r="J998">
            <v>45200</v>
          </cell>
        </row>
        <row r="999">
          <cell r="I999" t="str">
            <v>SB054L</v>
          </cell>
          <cell r="J999">
            <v>74600</v>
          </cell>
        </row>
        <row r="1000">
          <cell r="I1000" t="str">
            <v>SB054R</v>
          </cell>
          <cell r="J1000">
            <v>74600</v>
          </cell>
        </row>
        <row r="1001">
          <cell r="I1001" t="str">
            <v>SB055SL</v>
          </cell>
          <cell r="J1001">
            <v>80900</v>
          </cell>
        </row>
        <row r="1002">
          <cell r="I1002" t="str">
            <v>SB055SR</v>
          </cell>
          <cell r="J1002">
            <v>80900</v>
          </cell>
        </row>
        <row r="1003">
          <cell r="I1003" t="str">
            <v>SB056L</v>
          </cell>
          <cell r="J1003">
            <v>107100</v>
          </cell>
        </row>
        <row r="1004">
          <cell r="I1004" t="str">
            <v>SB056R</v>
          </cell>
          <cell r="J1004">
            <v>107100</v>
          </cell>
        </row>
        <row r="1005">
          <cell r="I1005" t="str">
            <v>SB9082</v>
          </cell>
          <cell r="J1005">
            <v>39900</v>
          </cell>
        </row>
        <row r="1006">
          <cell r="I1006" t="str">
            <v>SB9082BE</v>
          </cell>
          <cell r="J1006">
            <v>25800</v>
          </cell>
        </row>
        <row r="1007">
          <cell r="I1007" t="str">
            <v>SB9083</v>
          </cell>
          <cell r="J1007">
            <v>59900</v>
          </cell>
        </row>
        <row r="1008">
          <cell r="I1008" t="str">
            <v>SB9083BE</v>
          </cell>
          <cell r="J1008">
            <v>38900</v>
          </cell>
        </row>
        <row r="1009">
          <cell r="I1009" t="str">
            <v>SB9084</v>
          </cell>
          <cell r="J1009">
            <v>80900</v>
          </cell>
        </row>
        <row r="1010">
          <cell r="I1010" t="str">
            <v>SB9084BE</v>
          </cell>
          <cell r="J1010">
            <v>53600</v>
          </cell>
        </row>
        <row r="1011">
          <cell r="I1011" t="str">
            <v>SB9085S</v>
          </cell>
          <cell r="J1011">
            <v>93500</v>
          </cell>
        </row>
        <row r="1012">
          <cell r="I1012" t="str">
            <v>SB9055SBE</v>
          </cell>
          <cell r="J1012">
            <v>63000</v>
          </cell>
        </row>
        <row r="1013">
          <cell r="I1013" t="str">
            <v>SB9054</v>
          </cell>
          <cell r="J1013">
            <v>45200</v>
          </cell>
        </row>
        <row r="1014">
          <cell r="I1014" t="str">
            <v>SB9054BE</v>
          </cell>
          <cell r="J1014">
            <v>32600</v>
          </cell>
        </row>
        <row r="1015">
          <cell r="I1015" t="str">
            <v>SB9055S</v>
          </cell>
          <cell r="J1015">
            <v>57800</v>
          </cell>
        </row>
        <row r="1016">
          <cell r="I1016" t="str">
            <v>SB9055SBE</v>
          </cell>
          <cell r="J1016">
            <v>38900</v>
          </cell>
        </row>
        <row r="1017">
          <cell r="I1017" t="str">
            <v>SC981F</v>
          </cell>
          <cell r="J1017">
            <v>93000</v>
          </cell>
        </row>
        <row r="1018">
          <cell r="I1018" t="str">
            <v>SC981C</v>
          </cell>
          <cell r="J1018">
            <v>73000</v>
          </cell>
        </row>
        <row r="1019">
          <cell r="I1019" t="str">
            <v>SC982F</v>
          </cell>
          <cell r="J1019">
            <v>137000</v>
          </cell>
        </row>
        <row r="1020">
          <cell r="I1020" t="str">
            <v>SC982C</v>
          </cell>
          <cell r="J1020">
            <v>108000</v>
          </cell>
        </row>
        <row r="1021">
          <cell r="I1021" t="str">
            <v>SC951F</v>
          </cell>
          <cell r="J1021">
            <v>77000</v>
          </cell>
        </row>
        <row r="1022">
          <cell r="I1022" t="str">
            <v>SC951C</v>
          </cell>
          <cell r="J1022">
            <v>57000</v>
          </cell>
        </row>
        <row r="1023">
          <cell r="I1023" t="str">
            <v>SC952F</v>
          </cell>
          <cell r="J1023">
            <v>113000</v>
          </cell>
        </row>
        <row r="1024">
          <cell r="I1024" t="str">
            <v>SC952C</v>
          </cell>
          <cell r="J1024">
            <v>84000</v>
          </cell>
        </row>
        <row r="1025">
          <cell r="I1025" t="str">
            <v>SC9350</v>
          </cell>
          <cell r="J1025">
            <v>18000</v>
          </cell>
        </row>
        <row r="1026">
          <cell r="I1026" t="str">
            <v>SC9380</v>
          </cell>
          <cell r="J1026">
            <v>26000</v>
          </cell>
        </row>
        <row r="1027">
          <cell r="I1027" t="str">
            <v>SF517T</v>
          </cell>
          <cell r="J1027">
            <v>203700</v>
          </cell>
        </row>
        <row r="1028">
          <cell r="I1028" t="str">
            <v>SF517TBE</v>
          </cell>
          <cell r="J1028">
            <v>178500</v>
          </cell>
        </row>
        <row r="1029">
          <cell r="I1029" t="str">
            <v>SF316TA</v>
          </cell>
          <cell r="J1029">
            <v>300300</v>
          </cell>
        </row>
        <row r="1030">
          <cell r="I1030" t="str">
            <v>SF316TABE</v>
          </cell>
          <cell r="J1030">
            <v>264600</v>
          </cell>
        </row>
        <row r="1031">
          <cell r="I1031" t="str">
            <v>SF316TB</v>
          </cell>
          <cell r="J1031">
            <v>280400</v>
          </cell>
        </row>
        <row r="1032">
          <cell r="I1032" t="str">
            <v>SF316TBBE</v>
          </cell>
          <cell r="J1032">
            <v>246800</v>
          </cell>
        </row>
        <row r="1033">
          <cell r="I1033" t="str">
            <v>SC282</v>
          </cell>
          <cell r="J1033">
            <v>362300</v>
          </cell>
        </row>
        <row r="1034">
          <cell r="I1034" t="str">
            <v>SC283</v>
          </cell>
          <cell r="J1034">
            <v>485100</v>
          </cell>
        </row>
        <row r="1035">
          <cell r="I1035" t="str">
            <v>SC2082</v>
          </cell>
          <cell r="J1035">
            <v>326600</v>
          </cell>
        </row>
        <row r="1036">
          <cell r="I1036" t="str">
            <v>SC2083</v>
          </cell>
          <cell r="J1036">
            <v>449400</v>
          </cell>
        </row>
        <row r="1037">
          <cell r="I1037" t="str">
            <v>SC162</v>
          </cell>
          <cell r="J1037">
            <v>114500</v>
          </cell>
        </row>
        <row r="1038">
          <cell r="I1038" t="str">
            <v>SC662L</v>
          </cell>
          <cell r="J1038">
            <v>236300</v>
          </cell>
        </row>
        <row r="1039">
          <cell r="I1039" t="str">
            <v>SC662R</v>
          </cell>
          <cell r="J1039">
            <v>236300</v>
          </cell>
        </row>
        <row r="1040">
          <cell r="I1040" t="str">
            <v>SC764</v>
          </cell>
          <cell r="J1040">
            <v>239400</v>
          </cell>
        </row>
        <row r="1041">
          <cell r="I1041" t="str">
            <v>SA0101</v>
          </cell>
          <cell r="J1041">
            <v>4800</v>
          </cell>
        </row>
        <row r="1042">
          <cell r="I1042" t="str">
            <v>SA0102</v>
          </cell>
          <cell r="J1042">
            <v>4800</v>
          </cell>
        </row>
        <row r="1043">
          <cell r="I1043" t="str">
            <v>SA0103</v>
          </cell>
          <cell r="J1043">
            <v>4800</v>
          </cell>
        </row>
        <row r="1044">
          <cell r="I1044" t="str">
            <v>SA0104</v>
          </cell>
          <cell r="J1044">
            <v>9700</v>
          </cell>
        </row>
        <row r="1045">
          <cell r="I1045" t="str">
            <v>SA1012</v>
          </cell>
          <cell r="J1045">
            <v>60900</v>
          </cell>
        </row>
        <row r="1046">
          <cell r="I1046" t="str">
            <v>SA1014</v>
          </cell>
          <cell r="J1046">
            <v>68300</v>
          </cell>
        </row>
        <row r="1047">
          <cell r="I1047" t="str">
            <v>SA0201</v>
          </cell>
          <cell r="J1047">
            <v>57800</v>
          </cell>
        </row>
        <row r="1048">
          <cell r="I1048" t="str">
            <v>SA0301</v>
          </cell>
          <cell r="J1048">
            <v>14700</v>
          </cell>
        </row>
        <row r="1049">
          <cell r="I1049" t="str">
            <v>SA0401</v>
          </cell>
          <cell r="J1049">
            <v>14700</v>
          </cell>
        </row>
        <row r="1050">
          <cell r="I1050" t="str">
            <v>SA9900</v>
          </cell>
          <cell r="J1050">
            <v>8900</v>
          </cell>
        </row>
        <row r="1051">
          <cell r="I1051" t="str">
            <v>IF0060</v>
          </cell>
          <cell r="J1051">
            <v>33600</v>
          </cell>
        </row>
        <row r="1052">
          <cell r="I1052" t="str">
            <v>IF0070</v>
          </cell>
          <cell r="J1052">
            <v>36800</v>
          </cell>
        </row>
        <row r="1053">
          <cell r="I1053" t="str">
            <v>IF0080</v>
          </cell>
          <cell r="J1053">
            <v>39900</v>
          </cell>
        </row>
        <row r="1054">
          <cell r="I1054" t="str">
            <v>IF0100</v>
          </cell>
          <cell r="J1054">
            <v>45200</v>
          </cell>
        </row>
        <row r="1055">
          <cell r="I1055" t="str">
            <v>IF0120</v>
          </cell>
          <cell r="J1055">
            <v>50400</v>
          </cell>
        </row>
        <row r="1056">
          <cell r="I1056" t="str">
            <v>IF0062</v>
          </cell>
          <cell r="J1056">
            <v>36800</v>
          </cell>
        </row>
        <row r="1057">
          <cell r="I1057" t="str">
            <v>IF0072</v>
          </cell>
          <cell r="J1057">
            <v>39900</v>
          </cell>
        </row>
        <row r="1058">
          <cell r="I1058" t="str">
            <v>IF0082</v>
          </cell>
          <cell r="J1058">
            <v>43100</v>
          </cell>
        </row>
        <row r="1059">
          <cell r="I1059" t="str">
            <v>IF0102</v>
          </cell>
          <cell r="J1059">
            <v>48300</v>
          </cell>
        </row>
        <row r="1060">
          <cell r="I1060" t="str">
            <v>IF0122</v>
          </cell>
          <cell r="J1060">
            <v>53600</v>
          </cell>
        </row>
        <row r="1061">
          <cell r="I1061" t="str">
            <v>IF0064</v>
          </cell>
          <cell r="J1061">
            <v>42000</v>
          </cell>
        </row>
        <row r="1062">
          <cell r="I1062" t="str">
            <v>IF0074</v>
          </cell>
          <cell r="J1062">
            <v>45200</v>
          </cell>
        </row>
        <row r="1063">
          <cell r="I1063" t="str">
            <v>IF0084</v>
          </cell>
          <cell r="J1063">
            <v>48300</v>
          </cell>
        </row>
        <row r="1064">
          <cell r="I1064" t="str">
            <v>IF0104</v>
          </cell>
          <cell r="J1064">
            <v>53600</v>
          </cell>
        </row>
        <row r="1065">
          <cell r="I1065" t="str">
            <v>IF0124</v>
          </cell>
          <cell r="J1065">
            <v>58800</v>
          </cell>
        </row>
        <row r="1066">
          <cell r="I1066" t="str">
            <v>IF0066</v>
          </cell>
          <cell r="J1066">
            <v>47300</v>
          </cell>
        </row>
        <row r="1067">
          <cell r="I1067" t="str">
            <v>IF0076</v>
          </cell>
          <cell r="J1067">
            <v>50400</v>
          </cell>
        </row>
        <row r="1068">
          <cell r="I1068" t="str">
            <v>IF0086</v>
          </cell>
          <cell r="J1068">
            <v>53600</v>
          </cell>
        </row>
        <row r="1069">
          <cell r="I1069" t="str">
            <v>IF0106</v>
          </cell>
          <cell r="J1069">
            <v>58800</v>
          </cell>
        </row>
        <row r="1070">
          <cell r="I1070" t="str">
            <v>IF0126</v>
          </cell>
          <cell r="J1070">
            <v>64100</v>
          </cell>
        </row>
        <row r="1071">
          <cell r="I1071" t="str">
            <v>IF0068</v>
          </cell>
          <cell r="J1071">
            <v>51500</v>
          </cell>
        </row>
        <row r="1072">
          <cell r="I1072" t="str">
            <v>IF0078</v>
          </cell>
          <cell r="J1072">
            <v>54600</v>
          </cell>
        </row>
        <row r="1073">
          <cell r="I1073" t="str">
            <v>IF0088</v>
          </cell>
          <cell r="J1073">
            <v>57800</v>
          </cell>
        </row>
        <row r="1074">
          <cell r="I1074" t="str">
            <v>IF0108</v>
          </cell>
          <cell r="J1074">
            <v>63000</v>
          </cell>
        </row>
        <row r="1075">
          <cell r="I1075" t="str">
            <v>IF0128</v>
          </cell>
          <cell r="J1075">
            <v>68300</v>
          </cell>
        </row>
        <row r="1076">
          <cell r="I1076" t="str">
            <v>IF3061</v>
          </cell>
          <cell r="J1076">
            <v>10000</v>
          </cell>
        </row>
        <row r="1077">
          <cell r="I1077" t="str">
            <v>IF3071</v>
          </cell>
          <cell r="J1077">
            <v>11000</v>
          </cell>
        </row>
        <row r="1078">
          <cell r="I1078" t="str">
            <v>IF3081</v>
          </cell>
          <cell r="J1078">
            <v>12600</v>
          </cell>
        </row>
        <row r="1079">
          <cell r="I1079" t="str">
            <v>IF3101</v>
          </cell>
          <cell r="J1079">
            <v>14700</v>
          </cell>
        </row>
        <row r="1080">
          <cell r="I1080" t="str">
            <v>IF3121</v>
          </cell>
          <cell r="J1080">
            <v>16800</v>
          </cell>
        </row>
        <row r="1081">
          <cell r="I1081" t="str">
            <v>IF1062</v>
          </cell>
          <cell r="J1081">
            <v>8400</v>
          </cell>
        </row>
        <row r="1082">
          <cell r="I1082" t="str">
            <v>IF1072</v>
          </cell>
          <cell r="J1082">
            <v>10000</v>
          </cell>
        </row>
        <row r="1083">
          <cell r="I1083" t="str">
            <v>IF1082</v>
          </cell>
          <cell r="J1083">
            <v>11600</v>
          </cell>
        </row>
        <row r="1084">
          <cell r="I1084" t="str">
            <v>IF1102</v>
          </cell>
          <cell r="J1084">
            <v>13100</v>
          </cell>
        </row>
        <row r="1085">
          <cell r="I1085" t="str">
            <v>IF1122</v>
          </cell>
          <cell r="J1085">
            <v>14700</v>
          </cell>
        </row>
        <row r="1086">
          <cell r="I1086" t="str">
            <v>IF1064</v>
          </cell>
          <cell r="J1086">
            <v>14700</v>
          </cell>
        </row>
        <row r="1087">
          <cell r="I1087" t="str">
            <v>IF1074</v>
          </cell>
          <cell r="J1087">
            <v>16300</v>
          </cell>
        </row>
        <row r="1088">
          <cell r="I1088" t="str">
            <v>IF1084</v>
          </cell>
          <cell r="J1088">
            <v>17900</v>
          </cell>
        </row>
        <row r="1089">
          <cell r="I1089" t="str">
            <v>IF1104</v>
          </cell>
          <cell r="J1089">
            <v>21000</v>
          </cell>
        </row>
        <row r="1090">
          <cell r="I1090" t="str">
            <v>IF1124</v>
          </cell>
          <cell r="J1090">
            <v>24200</v>
          </cell>
        </row>
        <row r="1091">
          <cell r="I1091" t="str">
            <v>IF1066</v>
          </cell>
          <cell r="J1091">
            <v>21000</v>
          </cell>
        </row>
        <row r="1092">
          <cell r="I1092" t="str">
            <v>IF1076</v>
          </cell>
          <cell r="J1092">
            <v>22600</v>
          </cell>
        </row>
        <row r="1093">
          <cell r="I1093" t="str">
            <v>IF1086</v>
          </cell>
          <cell r="J1093">
            <v>24200</v>
          </cell>
        </row>
        <row r="1094">
          <cell r="I1094" t="str">
            <v>IF1106</v>
          </cell>
          <cell r="J1094">
            <v>27300</v>
          </cell>
        </row>
        <row r="1095">
          <cell r="I1095" t="str">
            <v>IF1126</v>
          </cell>
          <cell r="J1095">
            <v>30500</v>
          </cell>
        </row>
        <row r="1096">
          <cell r="I1096" t="str">
            <v>IF1066MM</v>
          </cell>
          <cell r="J1096">
            <v>17900</v>
          </cell>
        </row>
        <row r="1097">
          <cell r="I1097" t="str">
            <v>IF1066BE</v>
          </cell>
          <cell r="J1097">
            <v>17900</v>
          </cell>
        </row>
        <row r="1098">
          <cell r="I1098" t="str">
            <v>IF1076MM</v>
          </cell>
          <cell r="J1098">
            <v>19400</v>
          </cell>
        </row>
        <row r="1099">
          <cell r="I1099" t="str">
            <v>IF1076BE</v>
          </cell>
          <cell r="J1099">
            <v>19400</v>
          </cell>
        </row>
        <row r="1100">
          <cell r="I1100" t="str">
            <v>IF1086MM</v>
          </cell>
          <cell r="J1100">
            <v>21000</v>
          </cell>
        </row>
        <row r="1101">
          <cell r="I1101" t="str">
            <v>IF1086BE</v>
          </cell>
          <cell r="J1101">
            <v>21000</v>
          </cell>
        </row>
        <row r="1102">
          <cell r="I1102" t="str">
            <v>IF1106MM</v>
          </cell>
          <cell r="J1102">
            <v>23100</v>
          </cell>
        </row>
        <row r="1103">
          <cell r="I1103" t="str">
            <v>IF1106BE</v>
          </cell>
          <cell r="J1103">
            <v>23100</v>
          </cell>
        </row>
        <row r="1104">
          <cell r="I1104" t="str">
            <v>IF1126MM</v>
          </cell>
          <cell r="J1104">
            <v>26300</v>
          </cell>
        </row>
        <row r="1105">
          <cell r="I1105" t="str">
            <v>IF1126BE</v>
          </cell>
          <cell r="J1105">
            <v>26300</v>
          </cell>
        </row>
        <row r="1106">
          <cell r="I1106" t="str">
            <v>IF1064G</v>
          </cell>
          <cell r="J1106">
            <v>13100</v>
          </cell>
        </row>
        <row r="1107">
          <cell r="I1107" t="str">
            <v>IF1074G</v>
          </cell>
          <cell r="J1107">
            <v>15800</v>
          </cell>
        </row>
        <row r="1108">
          <cell r="I1108" t="str">
            <v>IF1084G</v>
          </cell>
          <cell r="J1108">
            <v>18900</v>
          </cell>
        </row>
        <row r="1109">
          <cell r="I1109" t="str">
            <v>IF1104G</v>
          </cell>
          <cell r="J1109">
            <v>24200</v>
          </cell>
        </row>
        <row r="1110">
          <cell r="I1110" t="str">
            <v>IF1124G</v>
          </cell>
          <cell r="J1110">
            <v>29400</v>
          </cell>
        </row>
        <row r="1111">
          <cell r="I1111" t="str">
            <v>IF1066G</v>
          </cell>
          <cell r="J1111">
            <v>21500</v>
          </cell>
        </row>
        <row r="1112">
          <cell r="I1112" t="str">
            <v>IF1076G</v>
          </cell>
          <cell r="J1112">
            <v>24200</v>
          </cell>
        </row>
        <row r="1113">
          <cell r="I1113" t="str">
            <v>IF1086G</v>
          </cell>
          <cell r="J1113">
            <v>27300</v>
          </cell>
        </row>
        <row r="1114">
          <cell r="I1114" t="str">
            <v>IF1106G</v>
          </cell>
          <cell r="J1114">
            <v>32600</v>
          </cell>
        </row>
        <row r="1115">
          <cell r="I1115" t="str">
            <v>IF1126G</v>
          </cell>
          <cell r="J1115">
            <v>37800</v>
          </cell>
        </row>
        <row r="1116">
          <cell r="I1116" t="str">
            <v>IF1064K</v>
          </cell>
          <cell r="J1116">
            <v>15800</v>
          </cell>
        </row>
        <row r="1117">
          <cell r="I1117" t="str">
            <v>IF1074K</v>
          </cell>
          <cell r="J1117">
            <v>18900</v>
          </cell>
        </row>
        <row r="1118">
          <cell r="I1118" t="str">
            <v>IF1084K</v>
          </cell>
          <cell r="J1118">
            <v>23100</v>
          </cell>
        </row>
        <row r="1119">
          <cell r="I1119" t="str">
            <v>IF1104K</v>
          </cell>
          <cell r="J1119">
            <v>27300</v>
          </cell>
        </row>
        <row r="1120">
          <cell r="I1120" t="str">
            <v>IF1124K</v>
          </cell>
          <cell r="J1120">
            <v>32600</v>
          </cell>
        </row>
        <row r="1121">
          <cell r="I1121" t="str">
            <v>IF1066K</v>
          </cell>
          <cell r="J1121">
            <v>26300</v>
          </cell>
        </row>
        <row r="1122">
          <cell r="I1122" t="str">
            <v>IF1076K</v>
          </cell>
          <cell r="J1122">
            <v>29400</v>
          </cell>
        </row>
        <row r="1123">
          <cell r="I1123" t="str">
            <v>IF1086K</v>
          </cell>
          <cell r="J1123">
            <v>32600</v>
          </cell>
        </row>
        <row r="1124">
          <cell r="I1124" t="str">
            <v>IF1106K</v>
          </cell>
          <cell r="J1124">
            <v>36800</v>
          </cell>
        </row>
        <row r="1125">
          <cell r="I1125" t="str">
            <v>IF1126K</v>
          </cell>
          <cell r="J1125">
            <v>42000</v>
          </cell>
        </row>
        <row r="1126">
          <cell r="I1126" t="str">
            <v>IF1064B</v>
          </cell>
          <cell r="J1126">
            <v>20000</v>
          </cell>
        </row>
        <row r="1127">
          <cell r="I1127" t="str">
            <v>IF1074B</v>
          </cell>
          <cell r="J1127">
            <v>22100</v>
          </cell>
        </row>
        <row r="1128">
          <cell r="I1128" t="str">
            <v>IF1084B</v>
          </cell>
          <cell r="J1128">
            <v>24200</v>
          </cell>
        </row>
        <row r="1129">
          <cell r="I1129" t="str">
            <v>IF1104B</v>
          </cell>
          <cell r="J1129">
            <v>35700</v>
          </cell>
        </row>
        <row r="1130">
          <cell r="I1130" t="str">
            <v>IF1124B</v>
          </cell>
          <cell r="J1130">
            <v>38900</v>
          </cell>
        </row>
        <row r="1131">
          <cell r="I1131" t="str">
            <v>IF1066B</v>
          </cell>
          <cell r="J1131">
            <v>27300</v>
          </cell>
        </row>
        <row r="1132">
          <cell r="I1132" t="str">
            <v>IF1076B</v>
          </cell>
          <cell r="J1132">
            <v>30500</v>
          </cell>
        </row>
        <row r="1133">
          <cell r="I1133" t="str">
            <v>IF1086B</v>
          </cell>
          <cell r="J1133">
            <v>33600</v>
          </cell>
        </row>
        <row r="1134">
          <cell r="I1134" t="str">
            <v>IF1106B</v>
          </cell>
          <cell r="J1134">
            <v>42000</v>
          </cell>
        </row>
        <row r="1135">
          <cell r="I1135" t="str">
            <v>IF1126B</v>
          </cell>
          <cell r="J1135">
            <v>46200</v>
          </cell>
        </row>
        <row r="1136">
          <cell r="I1136" t="str">
            <v>IF5110</v>
          </cell>
          <cell r="J1136">
            <v>17900</v>
          </cell>
        </row>
        <row r="1137">
          <cell r="I1137" t="str">
            <v>IF5112</v>
          </cell>
          <cell r="J1137">
            <v>19400</v>
          </cell>
        </row>
        <row r="1138">
          <cell r="I1138" t="str">
            <v>IF5114</v>
          </cell>
          <cell r="J1138">
            <v>21000</v>
          </cell>
        </row>
        <row r="1139">
          <cell r="I1139" t="str">
            <v>IF5116</v>
          </cell>
          <cell r="J1139">
            <v>24200</v>
          </cell>
        </row>
        <row r="1140">
          <cell r="I1140" t="str">
            <v>IF5118</v>
          </cell>
          <cell r="J1140">
            <v>28400</v>
          </cell>
        </row>
        <row r="1141">
          <cell r="I1141" t="str">
            <v>IF5210</v>
          </cell>
          <cell r="J1141">
            <v>21000</v>
          </cell>
        </row>
        <row r="1142">
          <cell r="I1142" t="str">
            <v>IF5212</v>
          </cell>
          <cell r="J1142">
            <v>22600</v>
          </cell>
        </row>
        <row r="1143">
          <cell r="I1143" t="str">
            <v>IF5214</v>
          </cell>
          <cell r="J1143">
            <v>24200</v>
          </cell>
        </row>
        <row r="1144">
          <cell r="I1144" t="str">
            <v>IF5216</v>
          </cell>
          <cell r="J1144">
            <v>27300</v>
          </cell>
        </row>
        <row r="1145">
          <cell r="I1145" t="str">
            <v>IF5218</v>
          </cell>
          <cell r="J1145">
            <v>31500</v>
          </cell>
        </row>
        <row r="1146">
          <cell r="I1146" t="str">
            <v>IF5510</v>
          </cell>
          <cell r="J1146">
            <v>24200</v>
          </cell>
        </row>
        <row r="1147">
          <cell r="I1147" t="str">
            <v>IF5512</v>
          </cell>
          <cell r="J1147">
            <v>25700</v>
          </cell>
        </row>
        <row r="1148">
          <cell r="I1148" t="str">
            <v>IF5514</v>
          </cell>
          <cell r="J1148">
            <v>27300</v>
          </cell>
        </row>
        <row r="1149">
          <cell r="I1149" t="str">
            <v>IF5516</v>
          </cell>
          <cell r="J1149">
            <v>30500</v>
          </cell>
        </row>
        <row r="1150">
          <cell r="I1150" t="str">
            <v>IF5518</v>
          </cell>
          <cell r="J1150">
            <v>34700</v>
          </cell>
        </row>
        <row r="1151">
          <cell r="I1151" t="str">
            <v>IF6010</v>
          </cell>
          <cell r="J1151">
            <v>6300</v>
          </cell>
        </row>
        <row r="1152">
          <cell r="I1152" t="str">
            <v>IF6012</v>
          </cell>
          <cell r="J1152">
            <v>7900</v>
          </cell>
        </row>
        <row r="1153">
          <cell r="I1153" t="str">
            <v>IF6014</v>
          </cell>
          <cell r="J1153">
            <v>9500</v>
          </cell>
        </row>
        <row r="1154">
          <cell r="I1154" t="str">
            <v>IF6016</v>
          </cell>
          <cell r="J1154">
            <v>11600</v>
          </cell>
        </row>
        <row r="1155">
          <cell r="I1155" t="str">
            <v>IF6018</v>
          </cell>
          <cell r="J1155">
            <v>13700</v>
          </cell>
        </row>
        <row r="1156">
          <cell r="I1156" t="str">
            <v>IF6102</v>
          </cell>
          <cell r="J1156">
            <v>3200</v>
          </cell>
        </row>
        <row r="1157">
          <cell r="I1157" t="str">
            <v>IF6104</v>
          </cell>
          <cell r="J1157">
            <v>4200</v>
          </cell>
        </row>
        <row r="1158">
          <cell r="I1158" t="str">
            <v>IF6106</v>
          </cell>
          <cell r="J1158">
            <v>4700</v>
          </cell>
        </row>
        <row r="1159">
          <cell r="I1159" t="str">
            <v>IF6108</v>
          </cell>
          <cell r="J1159">
            <v>5800</v>
          </cell>
        </row>
        <row r="1160">
          <cell r="I1160" t="str">
            <v>IF6102T</v>
          </cell>
          <cell r="J1160">
            <v>3200</v>
          </cell>
        </row>
        <row r="1161">
          <cell r="I1161" t="str">
            <v>IF6104T</v>
          </cell>
          <cell r="J1161">
            <v>4200</v>
          </cell>
        </row>
        <row r="1162">
          <cell r="I1162" t="str">
            <v>IF6106T</v>
          </cell>
          <cell r="J1162">
            <v>4700</v>
          </cell>
        </row>
        <row r="1163">
          <cell r="I1163" t="str">
            <v>IF6108T</v>
          </cell>
          <cell r="J1163">
            <v>5800</v>
          </cell>
        </row>
        <row r="1164">
          <cell r="I1164" t="str">
            <v>IF8001</v>
          </cell>
          <cell r="J1164">
            <v>23100</v>
          </cell>
        </row>
        <row r="1165">
          <cell r="I1165" t="str">
            <v>IF8002</v>
          </cell>
          <cell r="J1165">
            <v>3200</v>
          </cell>
        </row>
        <row r="1166">
          <cell r="I1166" t="str">
            <v>IT8001</v>
          </cell>
          <cell r="J1166">
            <v>5300</v>
          </cell>
        </row>
        <row r="1167">
          <cell r="I1167" t="str">
            <v>IT8002</v>
          </cell>
          <cell r="J1167">
            <v>5300</v>
          </cell>
        </row>
        <row r="1168">
          <cell r="I1168" t="str">
            <v>IT8003</v>
          </cell>
          <cell r="J1168">
            <v>2600</v>
          </cell>
        </row>
        <row r="1169">
          <cell r="I1169" t="str">
            <v>IT0008L</v>
          </cell>
          <cell r="J1169">
            <v>57800</v>
          </cell>
        </row>
        <row r="1170">
          <cell r="I1170" t="str">
            <v>IT0008R</v>
          </cell>
          <cell r="J1170">
            <v>57800</v>
          </cell>
        </row>
        <row r="1171">
          <cell r="I1171" t="str">
            <v>IT0008</v>
          </cell>
          <cell r="J1171">
            <v>57800</v>
          </cell>
        </row>
        <row r="1172">
          <cell r="I1172" t="str">
            <v>IT0010L</v>
          </cell>
          <cell r="J1172">
            <v>71400</v>
          </cell>
        </row>
        <row r="1173">
          <cell r="I1173" t="str">
            <v>IT0010R</v>
          </cell>
          <cell r="J1173">
            <v>71400</v>
          </cell>
        </row>
        <row r="1174">
          <cell r="I1174" t="str">
            <v>IT0100</v>
          </cell>
          <cell r="J1174">
            <v>71400</v>
          </cell>
        </row>
        <row r="1175">
          <cell r="I1175" t="str">
            <v>IT0012L</v>
          </cell>
          <cell r="J1175">
            <v>80900</v>
          </cell>
        </row>
        <row r="1176">
          <cell r="I1176" t="str">
            <v>IT0012R</v>
          </cell>
          <cell r="J1176">
            <v>80900</v>
          </cell>
        </row>
        <row r="1177">
          <cell r="I1177" t="str">
            <v>IT0012</v>
          </cell>
          <cell r="J1177">
            <v>80900</v>
          </cell>
        </row>
        <row r="1178">
          <cell r="I1178" t="str">
            <v>IT0116</v>
          </cell>
          <cell r="J1178">
            <v>92400</v>
          </cell>
        </row>
        <row r="1179">
          <cell r="I1179" t="str">
            <v>IT0118</v>
          </cell>
          <cell r="J1179">
            <v>101900</v>
          </cell>
        </row>
        <row r="1180">
          <cell r="I1180" t="str">
            <v>IT0100L</v>
          </cell>
          <cell r="J1180">
            <v>36800</v>
          </cell>
        </row>
        <row r="1181">
          <cell r="I1181" t="str">
            <v>IT0100R</v>
          </cell>
          <cell r="J1181">
            <v>36800</v>
          </cell>
        </row>
        <row r="1182">
          <cell r="I1182" t="str">
            <v>IT5066</v>
          </cell>
          <cell r="J1182">
            <v>110300</v>
          </cell>
        </row>
        <row r="1183">
          <cell r="I1183" t="str">
            <v>IT5077</v>
          </cell>
          <cell r="J1183">
            <v>135500</v>
          </cell>
        </row>
        <row r="1184">
          <cell r="I1184" t="str">
            <v>IT912</v>
          </cell>
          <cell r="J1184">
            <v>108200</v>
          </cell>
        </row>
        <row r="1185">
          <cell r="I1185" t="str">
            <v>IT916</v>
          </cell>
          <cell r="J1185">
            <v>160700</v>
          </cell>
        </row>
        <row r="1186">
          <cell r="I1186" t="str">
            <v>IT966</v>
          </cell>
          <cell r="J1186">
            <v>161700</v>
          </cell>
        </row>
        <row r="1187">
          <cell r="I1187" t="str">
            <v>IT977</v>
          </cell>
          <cell r="J1187">
            <v>172200</v>
          </cell>
        </row>
        <row r="1188">
          <cell r="I1188" t="str">
            <v>IT926L</v>
          </cell>
          <cell r="J1188">
            <v>138600</v>
          </cell>
        </row>
        <row r="1189">
          <cell r="I1189" t="str">
            <v>IT926R</v>
          </cell>
          <cell r="J1189">
            <v>138600</v>
          </cell>
        </row>
        <row r="1190">
          <cell r="I1190" t="str">
            <v>IT927L</v>
          </cell>
          <cell r="J1190">
            <v>141800</v>
          </cell>
        </row>
        <row r="1191">
          <cell r="I1191" t="str">
            <v>IT927R</v>
          </cell>
          <cell r="J1191">
            <v>141800</v>
          </cell>
        </row>
        <row r="1192">
          <cell r="I1192" t="str">
            <v>IT912CL</v>
          </cell>
          <cell r="J1192">
            <v>126000</v>
          </cell>
        </row>
        <row r="1193">
          <cell r="I1193" t="str">
            <v>IT912CR</v>
          </cell>
          <cell r="J1193">
            <v>126000</v>
          </cell>
        </row>
        <row r="1194">
          <cell r="I1194" t="str">
            <v>IT918CL</v>
          </cell>
          <cell r="J1194">
            <v>176400</v>
          </cell>
        </row>
        <row r="1195">
          <cell r="I1195" t="str">
            <v>IT918CR</v>
          </cell>
          <cell r="J1195">
            <v>176400</v>
          </cell>
        </row>
        <row r="1196">
          <cell r="I1196" t="str">
            <v>IT912DL</v>
          </cell>
          <cell r="J1196">
            <v>126000</v>
          </cell>
        </row>
        <row r="1197">
          <cell r="I1197" t="str">
            <v>IT912DR</v>
          </cell>
          <cell r="J1197">
            <v>126000</v>
          </cell>
        </row>
        <row r="1198">
          <cell r="I1198" t="str">
            <v>IT918DR</v>
          </cell>
          <cell r="J1198">
            <v>176400</v>
          </cell>
        </row>
        <row r="1199">
          <cell r="I1199" t="str">
            <v>IT918DL</v>
          </cell>
          <cell r="J1199">
            <v>176400</v>
          </cell>
        </row>
        <row r="1200">
          <cell r="I1200" t="str">
            <v>IT2004</v>
          </cell>
          <cell r="J1200">
            <v>21000</v>
          </cell>
        </row>
        <row r="1201">
          <cell r="I1201" t="str">
            <v>IT2005</v>
          </cell>
          <cell r="J1201">
            <v>24200</v>
          </cell>
        </row>
        <row r="1202">
          <cell r="I1202" t="str">
            <v>IT2006</v>
          </cell>
          <cell r="J1202">
            <v>27300</v>
          </cell>
        </row>
        <row r="1203">
          <cell r="I1203" t="str">
            <v>IT2007</v>
          </cell>
          <cell r="J1203">
            <v>30500</v>
          </cell>
        </row>
        <row r="1204">
          <cell r="I1204" t="str">
            <v>IT2008</v>
          </cell>
          <cell r="J1204">
            <v>33600</v>
          </cell>
        </row>
        <row r="1205">
          <cell r="I1205" t="str">
            <v>IT2010</v>
          </cell>
          <cell r="J1205">
            <v>39900</v>
          </cell>
        </row>
        <row r="1206">
          <cell r="I1206" t="str">
            <v>IT2012</v>
          </cell>
          <cell r="J1206">
            <v>47300</v>
          </cell>
        </row>
        <row r="1207">
          <cell r="I1207" t="str">
            <v>IT2014</v>
          </cell>
          <cell r="J1207">
            <v>54600</v>
          </cell>
        </row>
        <row r="1208">
          <cell r="I1208" t="str">
            <v>IT2016</v>
          </cell>
          <cell r="J1208">
            <v>60900</v>
          </cell>
        </row>
        <row r="1209">
          <cell r="I1209" t="str">
            <v>IT2122</v>
          </cell>
          <cell r="J1209">
            <v>21000</v>
          </cell>
        </row>
        <row r="1210">
          <cell r="I1210" t="str">
            <v>IT2204</v>
          </cell>
          <cell r="J1210">
            <v>24200</v>
          </cell>
        </row>
        <row r="1211">
          <cell r="I1211" t="str">
            <v>IT2205</v>
          </cell>
          <cell r="J1211">
            <v>27300</v>
          </cell>
        </row>
        <row r="1212">
          <cell r="I1212" t="str">
            <v>IT2206</v>
          </cell>
          <cell r="J1212">
            <v>30500</v>
          </cell>
        </row>
        <row r="1213">
          <cell r="I1213" t="str">
            <v>IT2207</v>
          </cell>
          <cell r="J1213">
            <v>33600</v>
          </cell>
        </row>
        <row r="1214">
          <cell r="I1214" t="str">
            <v>IT2208</v>
          </cell>
          <cell r="J1214">
            <v>36800</v>
          </cell>
        </row>
        <row r="1215">
          <cell r="I1215" t="str">
            <v>IT2210</v>
          </cell>
          <cell r="J1215">
            <v>44100</v>
          </cell>
        </row>
        <row r="1216">
          <cell r="I1216" t="str">
            <v>IT2212</v>
          </cell>
          <cell r="J1216">
            <v>51500</v>
          </cell>
        </row>
        <row r="1217">
          <cell r="I1217" t="str">
            <v>IT3006</v>
          </cell>
          <cell r="J1217">
            <v>44100</v>
          </cell>
        </row>
        <row r="1218">
          <cell r="I1218" t="str">
            <v>IT3007</v>
          </cell>
          <cell r="J1218">
            <v>47300</v>
          </cell>
        </row>
        <row r="1219">
          <cell r="I1219" t="str">
            <v>IT3008</v>
          </cell>
          <cell r="J1219">
            <v>51500</v>
          </cell>
        </row>
        <row r="1220">
          <cell r="I1220" t="str">
            <v>IT3010</v>
          </cell>
          <cell r="J1220">
            <v>57800</v>
          </cell>
        </row>
        <row r="1221">
          <cell r="I1221" t="str">
            <v>IT3012</v>
          </cell>
          <cell r="J1221">
            <v>65100</v>
          </cell>
        </row>
        <row r="1222">
          <cell r="I1222" t="str">
            <v>IT3406</v>
          </cell>
          <cell r="J1222">
            <v>53600</v>
          </cell>
        </row>
        <row r="1223">
          <cell r="I1223" t="str">
            <v>IT3407</v>
          </cell>
          <cell r="J1223">
            <v>56700</v>
          </cell>
        </row>
        <row r="1224">
          <cell r="I1224" t="str">
            <v>IT3408</v>
          </cell>
          <cell r="J1224">
            <v>59900</v>
          </cell>
        </row>
        <row r="1225">
          <cell r="I1225" t="str">
            <v>IT3410</v>
          </cell>
          <cell r="J1225">
            <v>66200</v>
          </cell>
        </row>
        <row r="1226">
          <cell r="I1226" t="str">
            <v>IT3412</v>
          </cell>
          <cell r="J1226">
            <v>72500</v>
          </cell>
        </row>
        <row r="1227">
          <cell r="I1227" t="str">
            <v>IT3106</v>
          </cell>
          <cell r="J1227">
            <v>44100</v>
          </cell>
        </row>
        <row r="1228">
          <cell r="I1228" t="str">
            <v>IT3107</v>
          </cell>
          <cell r="J1228">
            <v>47300</v>
          </cell>
        </row>
        <row r="1229">
          <cell r="I1229" t="str">
            <v>IT3108</v>
          </cell>
          <cell r="J1229">
            <v>51500</v>
          </cell>
        </row>
        <row r="1230">
          <cell r="I1230" t="str">
            <v>IT3110</v>
          </cell>
          <cell r="J1230">
            <v>57800</v>
          </cell>
        </row>
        <row r="1231">
          <cell r="I1231" t="str">
            <v>IT3112</v>
          </cell>
          <cell r="J1231">
            <v>65100</v>
          </cell>
        </row>
        <row r="1232">
          <cell r="I1232" t="str">
            <v>IT3306</v>
          </cell>
          <cell r="J1232">
            <v>162800</v>
          </cell>
        </row>
        <row r="1233">
          <cell r="I1233" t="str">
            <v>IT3307</v>
          </cell>
          <cell r="J1233">
            <v>170100</v>
          </cell>
        </row>
        <row r="1234">
          <cell r="I1234" t="str">
            <v>IT3308</v>
          </cell>
          <cell r="J1234">
            <v>174300</v>
          </cell>
        </row>
        <row r="1235">
          <cell r="I1235" t="str">
            <v>IT3310</v>
          </cell>
          <cell r="J1235">
            <v>183800</v>
          </cell>
        </row>
        <row r="1236">
          <cell r="I1236" t="str">
            <v>IT3312</v>
          </cell>
          <cell r="J1236">
            <v>195300</v>
          </cell>
        </row>
        <row r="1237">
          <cell r="I1237" t="str">
            <v>IA0006</v>
          </cell>
          <cell r="J1237">
            <v>12600</v>
          </cell>
        </row>
        <row r="1238">
          <cell r="I1238" t="str">
            <v>IA0007</v>
          </cell>
          <cell r="J1238">
            <v>14200</v>
          </cell>
        </row>
        <row r="1239">
          <cell r="I1239" t="str">
            <v>IA0008</v>
          </cell>
          <cell r="J1239">
            <v>15800</v>
          </cell>
        </row>
        <row r="1240">
          <cell r="I1240" t="str">
            <v>IA0010</v>
          </cell>
          <cell r="J1240">
            <v>18900</v>
          </cell>
        </row>
        <row r="1241">
          <cell r="I1241" t="str">
            <v>IA0012</v>
          </cell>
          <cell r="J1241">
            <v>21000</v>
          </cell>
        </row>
        <row r="1242">
          <cell r="I1242" t="str">
            <v>IA9901</v>
          </cell>
          <cell r="J1242">
            <v>5800</v>
          </cell>
        </row>
        <row r="1243">
          <cell r="I1243" t="str">
            <v>IF060</v>
          </cell>
          <cell r="J1243">
            <v>102400</v>
          </cell>
        </row>
        <row r="1244">
          <cell r="I1244" t="str">
            <v>IF070</v>
          </cell>
          <cell r="J1244">
            <v>112900</v>
          </cell>
        </row>
        <row r="1245">
          <cell r="I1245" t="str">
            <v>IF080</v>
          </cell>
          <cell r="J1245">
            <v>123900</v>
          </cell>
        </row>
        <row r="1246">
          <cell r="I1246" t="str">
            <v>IF100</v>
          </cell>
          <cell r="J1246">
            <v>140700</v>
          </cell>
        </row>
        <row r="1247">
          <cell r="I1247" t="str">
            <v>IF120</v>
          </cell>
          <cell r="J1247">
            <v>157500</v>
          </cell>
        </row>
        <row r="1248">
          <cell r="I1248" t="str">
            <v>IF062</v>
          </cell>
          <cell r="J1248">
            <v>118100</v>
          </cell>
        </row>
        <row r="1249">
          <cell r="I1249" t="str">
            <v>IF072</v>
          </cell>
          <cell r="J1249">
            <v>128600</v>
          </cell>
        </row>
        <row r="1250">
          <cell r="I1250" t="str">
            <v>IF082</v>
          </cell>
          <cell r="J1250">
            <v>139700</v>
          </cell>
        </row>
        <row r="1251">
          <cell r="I1251" t="str">
            <v>IF102</v>
          </cell>
          <cell r="J1251">
            <v>159600</v>
          </cell>
        </row>
        <row r="1252">
          <cell r="I1252" t="str">
            <v>IF122</v>
          </cell>
          <cell r="J1252">
            <v>179600</v>
          </cell>
        </row>
        <row r="1253">
          <cell r="I1253" t="str">
            <v>IF064</v>
          </cell>
          <cell r="J1253">
            <v>136000</v>
          </cell>
        </row>
        <row r="1254">
          <cell r="I1254" t="str">
            <v>IF074</v>
          </cell>
          <cell r="J1254">
            <v>146500</v>
          </cell>
        </row>
        <row r="1255">
          <cell r="I1255" t="str">
            <v>IF084</v>
          </cell>
          <cell r="J1255">
            <v>157500</v>
          </cell>
        </row>
        <row r="1256">
          <cell r="I1256" t="str">
            <v>IF104</v>
          </cell>
          <cell r="J1256">
            <v>177500</v>
          </cell>
        </row>
        <row r="1257">
          <cell r="I1257" t="str">
            <v>IF124</v>
          </cell>
          <cell r="J1257">
            <v>197400</v>
          </cell>
        </row>
        <row r="1258">
          <cell r="I1258" t="str">
            <v>IF066</v>
          </cell>
          <cell r="J1258">
            <v>158000</v>
          </cell>
        </row>
        <row r="1259">
          <cell r="I1259" t="str">
            <v>IF076</v>
          </cell>
          <cell r="J1259">
            <v>171700</v>
          </cell>
        </row>
        <row r="1260">
          <cell r="I1260" t="str">
            <v>IF086</v>
          </cell>
          <cell r="J1260">
            <v>185900</v>
          </cell>
        </row>
        <row r="1261">
          <cell r="I1261" t="str">
            <v>IF106</v>
          </cell>
          <cell r="J1261">
            <v>212100</v>
          </cell>
        </row>
        <row r="1262">
          <cell r="I1262" t="str">
            <v>IF126</v>
          </cell>
          <cell r="J1262">
            <v>238400</v>
          </cell>
        </row>
        <row r="1263">
          <cell r="I1263" t="str">
            <v>IF068</v>
          </cell>
          <cell r="J1263">
            <v>174800</v>
          </cell>
        </row>
        <row r="1264">
          <cell r="I1264" t="str">
            <v>IF078</v>
          </cell>
          <cell r="J1264">
            <v>188500</v>
          </cell>
        </row>
        <row r="1265">
          <cell r="I1265" t="str">
            <v>IF088</v>
          </cell>
          <cell r="J1265">
            <v>202700</v>
          </cell>
        </row>
        <row r="1266">
          <cell r="I1266" t="str">
            <v>IF108</v>
          </cell>
          <cell r="J1266">
            <v>228900</v>
          </cell>
        </row>
        <row r="1267">
          <cell r="I1267" t="str">
            <v>IF128</v>
          </cell>
          <cell r="J1267">
            <v>255200</v>
          </cell>
        </row>
        <row r="1268">
          <cell r="I1268" t="str">
            <v>IF060T</v>
          </cell>
          <cell r="J1268">
            <v>96100</v>
          </cell>
        </row>
        <row r="1269">
          <cell r="I1269" t="str">
            <v>IF070T</v>
          </cell>
          <cell r="J1269">
            <v>106600</v>
          </cell>
        </row>
        <row r="1270">
          <cell r="I1270" t="str">
            <v>IF080T</v>
          </cell>
          <cell r="J1270">
            <v>117600</v>
          </cell>
        </row>
        <row r="1271">
          <cell r="I1271" t="str">
            <v>IF100T</v>
          </cell>
          <cell r="J1271">
            <v>132300</v>
          </cell>
        </row>
        <row r="1272">
          <cell r="I1272" t="str">
            <v>IF120T</v>
          </cell>
          <cell r="J1272">
            <v>149100</v>
          </cell>
        </row>
        <row r="1273">
          <cell r="I1273" t="str">
            <v>IF062T</v>
          </cell>
          <cell r="J1273">
            <v>111800</v>
          </cell>
        </row>
        <row r="1274">
          <cell r="I1274" t="str">
            <v>IF072T</v>
          </cell>
          <cell r="J1274">
            <v>122300</v>
          </cell>
        </row>
        <row r="1275">
          <cell r="I1275" t="str">
            <v>IF082T</v>
          </cell>
          <cell r="J1275">
            <v>133400</v>
          </cell>
        </row>
        <row r="1276">
          <cell r="I1276" t="str">
            <v>IF102T</v>
          </cell>
          <cell r="J1276">
            <v>151200</v>
          </cell>
        </row>
        <row r="1277">
          <cell r="I1277" t="str">
            <v>IF122T</v>
          </cell>
          <cell r="J1277">
            <v>171200</v>
          </cell>
        </row>
        <row r="1278">
          <cell r="I1278" t="str">
            <v>IF064T</v>
          </cell>
          <cell r="J1278">
            <v>129700</v>
          </cell>
        </row>
        <row r="1279">
          <cell r="I1279" t="str">
            <v>IF074T</v>
          </cell>
          <cell r="J1279">
            <v>140200</v>
          </cell>
        </row>
        <row r="1280">
          <cell r="I1280" t="str">
            <v>IF084T</v>
          </cell>
          <cell r="J1280">
            <v>151200</v>
          </cell>
        </row>
        <row r="1281">
          <cell r="I1281" t="str">
            <v>IF104T</v>
          </cell>
          <cell r="J1281">
            <v>169100</v>
          </cell>
        </row>
        <row r="1282">
          <cell r="I1282" t="str">
            <v>IF124T</v>
          </cell>
          <cell r="J1282">
            <v>189000</v>
          </cell>
        </row>
        <row r="1283">
          <cell r="I1283" t="str">
            <v>IF066T</v>
          </cell>
          <cell r="J1283">
            <v>151700</v>
          </cell>
        </row>
        <row r="1284">
          <cell r="I1284" t="str">
            <v>IF076T</v>
          </cell>
          <cell r="J1284">
            <v>165400</v>
          </cell>
        </row>
        <row r="1285">
          <cell r="I1285" t="str">
            <v>IF086T</v>
          </cell>
          <cell r="J1285">
            <v>179600</v>
          </cell>
        </row>
        <row r="1286">
          <cell r="I1286" t="str">
            <v>IF106T</v>
          </cell>
          <cell r="J1286">
            <v>302700</v>
          </cell>
        </row>
        <row r="1287">
          <cell r="I1287" t="str">
            <v>IF126T</v>
          </cell>
          <cell r="J1287">
            <v>230000</v>
          </cell>
        </row>
        <row r="1288">
          <cell r="I1288" t="str">
            <v>IF068T</v>
          </cell>
          <cell r="J1288">
            <v>168500</v>
          </cell>
        </row>
        <row r="1289">
          <cell r="I1289" t="str">
            <v>IF078T</v>
          </cell>
          <cell r="J1289">
            <v>182200</v>
          </cell>
        </row>
        <row r="1290">
          <cell r="I1290" t="str">
            <v>IF088T</v>
          </cell>
          <cell r="J1290">
            <v>196400</v>
          </cell>
        </row>
        <row r="1291">
          <cell r="I1291" t="str">
            <v>IF108T</v>
          </cell>
          <cell r="J1291">
            <v>220500</v>
          </cell>
        </row>
        <row r="1292">
          <cell r="I1292" t="str">
            <v>IF128T</v>
          </cell>
          <cell r="J1292">
            <v>246800</v>
          </cell>
        </row>
        <row r="1293">
          <cell r="I1293" t="str">
            <v>IF060W</v>
          </cell>
          <cell r="J1293">
            <v>99200</v>
          </cell>
        </row>
        <row r="1294">
          <cell r="I1294" t="str">
            <v>IF070W</v>
          </cell>
          <cell r="J1294">
            <v>109700</v>
          </cell>
        </row>
        <row r="1295">
          <cell r="I1295" t="str">
            <v>IF080W</v>
          </cell>
          <cell r="J1295">
            <v>120800</v>
          </cell>
        </row>
        <row r="1296">
          <cell r="I1296" t="str">
            <v>IF100W</v>
          </cell>
          <cell r="J1296">
            <v>136500</v>
          </cell>
        </row>
        <row r="1297">
          <cell r="I1297" t="str">
            <v>IF120W</v>
          </cell>
          <cell r="J1297">
            <v>153300</v>
          </cell>
        </row>
        <row r="1298">
          <cell r="I1298" t="str">
            <v>IF062W</v>
          </cell>
          <cell r="J1298">
            <v>115000</v>
          </cell>
        </row>
        <row r="1299">
          <cell r="I1299" t="str">
            <v>IF072W</v>
          </cell>
          <cell r="J1299">
            <v>125500</v>
          </cell>
        </row>
        <row r="1300">
          <cell r="I1300" t="str">
            <v>IF082W</v>
          </cell>
          <cell r="J1300">
            <v>136500</v>
          </cell>
        </row>
        <row r="1301">
          <cell r="I1301" t="str">
            <v>IF102W</v>
          </cell>
          <cell r="J1301">
            <v>155400</v>
          </cell>
        </row>
        <row r="1302">
          <cell r="I1302" t="str">
            <v>IF122W</v>
          </cell>
          <cell r="J1302">
            <v>175400</v>
          </cell>
        </row>
        <row r="1303">
          <cell r="I1303" t="str">
            <v>IF064W</v>
          </cell>
          <cell r="J1303">
            <v>132800</v>
          </cell>
        </row>
        <row r="1304">
          <cell r="I1304" t="str">
            <v>IF074W</v>
          </cell>
          <cell r="J1304">
            <v>143300</v>
          </cell>
        </row>
        <row r="1305">
          <cell r="I1305" t="str">
            <v>IF084W</v>
          </cell>
          <cell r="J1305">
            <v>154400</v>
          </cell>
        </row>
        <row r="1306">
          <cell r="I1306" t="str">
            <v>IF104W</v>
          </cell>
          <cell r="J1306">
            <v>173300</v>
          </cell>
        </row>
        <row r="1307">
          <cell r="I1307" t="str">
            <v>IF124W</v>
          </cell>
          <cell r="J1307">
            <v>193200</v>
          </cell>
        </row>
        <row r="1308">
          <cell r="I1308" t="str">
            <v>IF066W</v>
          </cell>
          <cell r="J1308">
            <v>154900</v>
          </cell>
        </row>
        <row r="1309">
          <cell r="I1309" t="str">
            <v>IF076W</v>
          </cell>
          <cell r="J1309">
            <v>168500</v>
          </cell>
        </row>
        <row r="1310">
          <cell r="I1310" t="str">
            <v>IF086W</v>
          </cell>
          <cell r="J1310">
            <v>182700</v>
          </cell>
        </row>
        <row r="1311">
          <cell r="I1311" t="str">
            <v>IF106W</v>
          </cell>
          <cell r="J1311">
            <v>207900</v>
          </cell>
        </row>
        <row r="1312">
          <cell r="I1312" t="str">
            <v>IF126W</v>
          </cell>
          <cell r="J1312">
            <v>234200</v>
          </cell>
        </row>
        <row r="1313">
          <cell r="I1313" t="str">
            <v>IF068W</v>
          </cell>
          <cell r="J1313">
            <v>171700</v>
          </cell>
        </row>
        <row r="1314">
          <cell r="I1314" t="str">
            <v>IF078W</v>
          </cell>
          <cell r="J1314">
            <v>185300</v>
          </cell>
        </row>
        <row r="1315">
          <cell r="I1315" t="str">
            <v>IF088W</v>
          </cell>
          <cell r="J1315">
            <v>199500</v>
          </cell>
        </row>
        <row r="1316">
          <cell r="I1316" t="str">
            <v>IF108W</v>
          </cell>
          <cell r="J1316">
            <v>224700</v>
          </cell>
        </row>
        <row r="1317">
          <cell r="I1317" t="str">
            <v>IF128W</v>
          </cell>
          <cell r="J1317">
            <v>251000</v>
          </cell>
        </row>
        <row r="1318">
          <cell r="I1318" t="str">
            <v>IF062G</v>
          </cell>
          <cell r="J1318">
            <v>116000</v>
          </cell>
        </row>
        <row r="1319">
          <cell r="I1319" t="str">
            <v>IF072G</v>
          </cell>
          <cell r="J1319">
            <v>130700</v>
          </cell>
        </row>
        <row r="1320">
          <cell r="I1320" t="str">
            <v>IF082G</v>
          </cell>
          <cell r="J1320">
            <v>148100</v>
          </cell>
        </row>
        <row r="1321">
          <cell r="I1321" t="str">
            <v>IF102G</v>
          </cell>
          <cell r="J1321">
            <v>176400</v>
          </cell>
        </row>
        <row r="1322">
          <cell r="I1322" t="str">
            <v>IF122G</v>
          </cell>
          <cell r="J1322">
            <v>204800</v>
          </cell>
        </row>
        <row r="1323">
          <cell r="I1323" t="str">
            <v>IF064G</v>
          </cell>
          <cell r="J1323">
            <v>138100</v>
          </cell>
        </row>
        <row r="1324">
          <cell r="I1324" t="str">
            <v>IF074G</v>
          </cell>
          <cell r="J1324">
            <v>152800</v>
          </cell>
        </row>
        <row r="1325">
          <cell r="I1325" t="str">
            <v>IF084G</v>
          </cell>
          <cell r="J1325">
            <v>170100</v>
          </cell>
        </row>
        <row r="1326">
          <cell r="I1326" t="str">
            <v>IF104G</v>
          </cell>
          <cell r="J1326">
            <v>198500</v>
          </cell>
        </row>
        <row r="1327">
          <cell r="I1327" t="str">
            <v>IF124G</v>
          </cell>
          <cell r="J1327">
            <v>226800</v>
          </cell>
        </row>
        <row r="1328">
          <cell r="I1328" t="str">
            <v>IF066G</v>
          </cell>
          <cell r="J1328">
            <v>152800</v>
          </cell>
        </row>
        <row r="1329">
          <cell r="I1329" t="str">
            <v>IF076G</v>
          </cell>
          <cell r="J1329">
            <v>172700</v>
          </cell>
        </row>
        <row r="1330">
          <cell r="I1330" t="str">
            <v>IF086G</v>
          </cell>
          <cell r="J1330">
            <v>196400</v>
          </cell>
        </row>
        <row r="1331">
          <cell r="I1331" t="str">
            <v>IF106G</v>
          </cell>
          <cell r="J1331">
            <v>235200</v>
          </cell>
        </row>
        <row r="1332">
          <cell r="I1332" t="str">
            <v>IF126G</v>
          </cell>
          <cell r="J1332">
            <v>274100</v>
          </cell>
        </row>
        <row r="1333">
          <cell r="I1333" t="str">
            <v>IF068G</v>
          </cell>
          <cell r="J1333">
            <v>173800</v>
          </cell>
        </row>
        <row r="1334">
          <cell r="I1334" t="str">
            <v>IF078G</v>
          </cell>
          <cell r="J1334">
            <v>193700</v>
          </cell>
        </row>
        <row r="1335">
          <cell r="I1335" t="str">
            <v>IF088G</v>
          </cell>
          <cell r="J1335">
            <v>217400</v>
          </cell>
        </row>
        <row r="1336">
          <cell r="I1336" t="str">
            <v>IF108G</v>
          </cell>
          <cell r="J1336">
            <v>256200</v>
          </cell>
        </row>
        <row r="1337">
          <cell r="I1337" t="str">
            <v>IF128G</v>
          </cell>
          <cell r="J1337">
            <v>295100</v>
          </cell>
        </row>
        <row r="1338">
          <cell r="I1338" t="str">
            <v>IF062H</v>
          </cell>
          <cell r="J1338">
            <v>115000</v>
          </cell>
        </row>
        <row r="1339">
          <cell r="I1339" t="str">
            <v>IF072H</v>
          </cell>
          <cell r="J1339">
            <v>127600</v>
          </cell>
        </row>
        <row r="1340">
          <cell r="I1340" t="str">
            <v>IF082H</v>
          </cell>
          <cell r="J1340">
            <v>141800</v>
          </cell>
        </row>
        <row r="1341">
          <cell r="I1341" t="str">
            <v>IF102H</v>
          </cell>
          <cell r="J1341">
            <v>165900</v>
          </cell>
        </row>
        <row r="1342">
          <cell r="I1342" t="str">
            <v>IF122H</v>
          </cell>
          <cell r="J1342">
            <v>190100</v>
          </cell>
        </row>
        <row r="1343">
          <cell r="I1343" t="str">
            <v>IF064H</v>
          </cell>
          <cell r="J1343">
            <v>137000</v>
          </cell>
        </row>
        <row r="1344">
          <cell r="I1344" t="str">
            <v>IF074H</v>
          </cell>
          <cell r="J1344">
            <v>149600</v>
          </cell>
        </row>
        <row r="1345">
          <cell r="I1345" t="str">
            <v>IF084H</v>
          </cell>
          <cell r="J1345">
            <v>163800</v>
          </cell>
        </row>
        <row r="1346">
          <cell r="I1346" t="str">
            <v>IF104H</v>
          </cell>
          <cell r="J1346">
            <v>188000</v>
          </cell>
        </row>
        <row r="1347">
          <cell r="I1347" t="str">
            <v>IF124H</v>
          </cell>
          <cell r="J1347">
            <v>212100</v>
          </cell>
        </row>
        <row r="1348">
          <cell r="I1348" t="str">
            <v>IF066H</v>
          </cell>
          <cell r="J1348">
            <v>154900</v>
          </cell>
        </row>
        <row r="1349">
          <cell r="I1349" t="str">
            <v>IF076H</v>
          </cell>
          <cell r="J1349">
            <v>170600</v>
          </cell>
        </row>
        <row r="1350">
          <cell r="I1350" t="str">
            <v>IF086H</v>
          </cell>
          <cell r="J1350">
            <v>188000</v>
          </cell>
        </row>
        <row r="1351">
          <cell r="I1351" t="str">
            <v>IF106H</v>
          </cell>
          <cell r="J1351">
            <v>218400</v>
          </cell>
        </row>
        <row r="1352">
          <cell r="I1352" t="str">
            <v>IF126H</v>
          </cell>
          <cell r="J1352">
            <v>248900</v>
          </cell>
        </row>
        <row r="1353">
          <cell r="I1353" t="str">
            <v>IF068H</v>
          </cell>
          <cell r="J1353">
            <v>175900</v>
          </cell>
        </row>
        <row r="1354">
          <cell r="I1354" t="str">
            <v>IF078H</v>
          </cell>
          <cell r="J1354">
            <v>191600</v>
          </cell>
        </row>
        <row r="1355">
          <cell r="I1355" t="str">
            <v>IF088H</v>
          </cell>
          <cell r="J1355">
            <v>209000</v>
          </cell>
        </row>
        <row r="1356">
          <cell r="I1356" t="str">
            <v>IF108H</v>
          </cell>
          <cell r="J1356">
            <v>239400</v>
          </cell>
        </row>
        <row r="1357">
          <cell r="I1357" t="str">
            <v>IF128H</v>
          </cell>
          <cell r="J1357">
            <v>269900</v>
          </cell>
        </row>
        <row r="1358">
          <cell r="I1358" t="str">
            <v>IF062B</v>
          </cell>
          <cell r="J1358">
            <v>128600</v>
          </cell>
        </row>
        <row r="1359">
          <cell r="I1359" t="str">
            <v>IF072B</v>
          </cell>
          <cell r="J1359">
            <v>140200</v>
          </cell>
        </row>
        <row r="1360">
          <cell r="I1360" t="str">
            <v>IF082B</v>
          </cell>
          <cell r="J1360">
            <v>152300</v>
          </cell>
        </row>
        <row r="1361">
          <cell r="I1361" t="str">
            <v>IF102B</v>
          </cell>
          <cell r="J1361">
            <v>176400</v>
          </cell>
        </row>
        <row r="1362">
          <cell r="I1362" t="str">
            <v>IF122B</v>
          </cell>
          <cell r="J1362">
            <v>200600</v>
          </cell>
        </row>
        <row r="1363">
          <cell r="I1363" t="str">
            <v>IF064B</v>
          </cell>
          <cell r="J1363">
            <v>148600</v>
          </cell>
        </row>
        <row r="1364">
          <cell r="I1364" t="str">
            <v>IF074B</v>
          </cell>
          <cell r="J1364">
            <v>162200</v>
          </cell>
        </row>
        <row r="1365">
          <cell r="I1365" t="str">
            <v>IF084B</v>
          </cell>
          <cell r="J1365">
            <v>176400</v>
          </cell>
        </row>
        <row r="1366">
          <cell r="I1366" t="str">
            <v>IF104B</v>
          </cell>
          <cell r="J1366">
            <v>202700</v>
          </cell>
        </row>
        <row r="1367">
          <cell r="I1367" t="str">
            <v>IF124B</v>
          </cell>
          <cell r="J1367">
            <v>228900</v>
          </cell>
        </row>
        <row r="1368">
          <cell r="I1368" t="str">
            <v>IF066B</v>
          </cell>
          <cell r="J1368">
            <v>168500</v>
          </cell>
        </row>
        <row r="1369">
          <cell r="I1369" t="str">
            <v>IF076B</v>
          </cell>
          <cell r="J1369">
            <v>183200</v>
          </cell>
        </row>
        <row r="1370">
          <cell r="I1370" t="str">
            <v>IF086B</v>
          </cell>
          <cell r="J1370">
            <v>198500</v>
          </cell>
        </row>
        <row r="1371">
          <cell r="I1371" t="str">
            <v>IF106B</v>
          </cell>
          <cell r="J1371">
            <v>228900</v>
          </cell>
        </row>
        <row r="1372">
          <cell r="I1372" t="str">
            <v>IF126B</v>
          </cell>
          <cell r="J1372">
            <v>259400</v>
          </cell>
        </row>
        <row r="1373">
          <cell r="I1373" t="str">
            <v>IF068B</v>
          </cell>
          <cell r="J1373">
            <v>187400</v>
          </cell>
        </row>
        <row r="1374">
          <cell r="I1374" t="str">
            <v>IF078B</v>
          </cell>
          <cell r="J1374">
            <v>204200</v>
          </cell>
        </row>
        <row r="1375">
          <cell r="I1375" t="str">
            <v>IF088B</v>
          </cell>
          <cell r="J1375">
            <v>221600</v>
          </cell>
        </row>
        <row r="1376">
          <cell r="I1376" t="str">
            <v>IF108B</v>
          </cell>
          <cell r="J1376">
            <v>254100</v>
          </cell>
        </row>
        <row r="1377">
          <cell r="I1377" t="str">
            <v>IF128B</v>
          </cell>
          <cell r="J1377">
            <v>286700</v>
          </cell>
        </row>
        <row r="1378">
          <cell r="I1378" t="str">
            <v>IF066HB</v>
          </cell>
          <cell r="J1378">
            <v>151700</v>
          </cell>
        </row>
        <row r="1379">
          <cell r="I1379" t="str">
            <v>IF076HB</v>
          </cell>
          <cell r="J1379">
            <v>169600</v>
          </cell>
        </row>
        <row r="1380">
          <cell r="I1380" t="str">
            <v>IF086HB</v>
          </cell>
          <cell r="J1380">
            <v>190100</v>
          </cell>
        </row>
        <row r="1381">
          <cell r="I1381" t="str">
            <v>IF106HB</v>
          </cell>
          <cell r="J1381">
            <v>224700</v>
          </cell>
        </row>
        <row r="1382">
          <cell r="I1382" t="str">
            <v>IF126HB</v>
          </cell>
          <cell r="J1382">
            <v>259400</v>
          </cell>
        </row>
        <row r="1383">
          <cell r="I1383" t="str">
            <v>IF068HB</v>
          </cell>
          <cell r="J1383">
            <v>172700</v>
          </cell>
        </row>
        <row r="1384">
          <cell r="I1384" t="str">
            <v>IF078HB</v>
          </cell>
          <cell r="J1384">
            <v>190600</v>
          </cell>
        </row>
        <row r="1385">
          <cell r="I1385" t="str">
            <v>IF088HB</v>
          </cell>
          <cell r="J1385">
            <v>211100</v>
          </cell>
        </row>
        <row r="1386">
          <cell r="I1386" t="str">
            <v>IF108HB</v>
          </cell>
          <cell r="J1386">
            <v>245700</v>
          </cell>
        </row>
        <row r="1387">
          <cell r="I1387" t="str">
            <v>IF128HB</v>
          </cell>
          <cell r="J1387">
            <v>280400</v>
          </cell>
        </row>
        <row r="1388">
          <cell r="I1388" t="str">
            <v>IF062D</v>
          </cell>
          <cell r="J1388">
            <v>123400</v>
          </cell>
        </row>
        <row r="1389">
          <cell r="I1389" t="str">
            <v>IF072D</v>
          </cell>
          <cell r="J1389">
            <v>134400</v>
          </cell>
        </row>
        <row r="1390">
          <cell r="I1390" t="str">
            <v>IF082D</v>
          </cell>
          <cell r="J1390">
            <v>146000</v>
          </cell>
        </row>
        <row r="1391">
          <cell r="I1391" t="str">
            <v>IF102D</v>
          </cell>
          <cell r="J1391">
            <v>168000</v>
          </cell>
        </row>
        <row r="1392">
          <cell r="I1392" t="str">
            <v>IF122D</v>
          </cell>
          <cell r="J1392">
            <v>190100</v>
          </cell>
        </row>
        <row r="1393">
          <cell r="I1393" t="str">
            <v>IF064D</v>
          </cell>
          <cell r="J1393">
            <v>142300</v>
          </cell>
        </row>
        <row r="1394">
          <cell r="I1394" t="str">
            <v>IF074D</v>
          </cell>
          <cell r="J1394">
            <v>154400</v>
          </cell>
        </row>
        <row r="1395">
          <cell r="I1395" t="str">
            <v>IF084D</v>
          </cell>
          <cell r="J1395">
            <v>167000</v>
          </cell>
        </row>
        <row r="1396">
          <cell r="I1396" t="str">
            <v>IF104D</v>
          </cell>
          <cell r="J1396">
            <v>190100</v>
          </cell>
        </row>
        <row r="1397">
          <cell r="I1397" t="str">
            <v>IF124D</v>
          </cell>
          <cell r="J1397">
            <v>213200</v>
          </cell>
        </row>
        <row r="1398">
          <cell r="I1398" t="str">
            <v>IF066D</v>
          </cell>
          <cell r="J1398">
            <v>163300</v>
          </cell>
        </row>
        <row r="1399">
          <cell r="I1399" t="str">
            <v>IF076D</v>
          </cell>
          <cell r="J1399">
            <v>177500</v>
          </cell>
        </row>
        <row r="1400">
          <cell r="I1400" t="str">
            <v>IF086D</v>
          </cell>
          <cell r="J1400">
            <v>192200</v>
          </cell>
        </row>
        <row r="1401">
          <cell r="I1401" t="str">
            <v>IF106D</v>
          </cell>
          <cell r="J1401">
            <v>220500</v>
          </cell>
        </row>
        <row r="1402">
          <cell r="I1402" t="str">
            <v>IF126D</v>
          </cell>
          <cell r="J1402">
            <v>248900</v>
          </cell>
        </row>
        <row r="1403">
          <cell r="I1403" t="str">
            <v>IF068D</v>
          </cell>
          <cell r="J1403">
            <v>181100</v>
          </cell>
        </row>
        <row r="1404">
          <cell r="I1404" t="str">
            <v>IF078D</v>
          </cell>
          <cell r="J1404">
            <v>196400</v>
          </cell>
        </row>
        <row r="1405">
          <cell r="I1405" t="str">
            <v>IF088D</v>
          </cell>
          <cell r="J1405">
            <v>212100</v>
          </cell>
        </row>
        <row r="1406">
          <cell r="I1406" t="str">
            <v>IF108D</v>
          </cell>
          <cell r="J1406">
            <v>241500</v>
          </cell>
        </row>
        <row r="1407">
          <cell r="I1407" t="str">
            <v>IF128D</v>
          </cell>
          <cell r="J1407">
            <v>270900</v>
          </cell>
        </row>
        <row r="1408">
          <cell r="I1408" t="str">
            <v>유리ED008</v>
          </cell>
          <cell r="J1408">
            <v>28000</v>
          </cell>
        </row>
        <row r="1409">
          <cell r="I1409" t="str">
            <v>유리ED012</v>
          </cell>
          <cell r="J1409">
            <v>32000</v>
          </cell>
        </row>
        <row r="1410">
          <cell r="I1410" t="str">
            <v>유리ED014</v>
          </cell>
          <cell r="J1410">
            <v>37000</v>
          </cell>
        </row>
        <row r="1411">
          <cell r="I1411" t="str">
            <v>유리ED016</v>
          </cell>
          <cell r="J1411">
            <v>43000</v>
          </cell>
        </row>
        <row r="1412">
          <cell r="I1412" t="str">
            <v>유리ED018</v>
          </cell>
          <cell r="J1412">
            <v>48000</v>
          </cell>
        </row>
        <row r="1413">
          <cell r="I1413" t="str">
            <v>유리ED018X</v>
          </cell>
          <cell r="J1413">
            <v>50000</v>
          </cell>
        </row>
        <row r="1414">
          <cell r="I1414" t="str">
            <v>유리ED0108</v>
          </cell>
          <cell r="J1414">
            <v>22000</v>
          </cell>
        </row>
        <row r="1415">
          <cell r="I1415" t="str">
            <v>유리ED0112</v>
          </cell>
          <cell r="J1415">
            <v>26000</v>
          </cell>
        </row>
        <row r="1416">
          <cell r="I1416" t="str">
            <v>유리ED0114</v>
          </cell>
          <cell r="J1416">
            <v>28000</v>
          </cell>
        </row>
        <row r="1417">
          <cell r="I1417" t="str">
            <v>유리ED0116</v>
          </cell>
          <cell r="J1417">
            <v>32000</v>
          </cell>
        </row>
        <row r="1418">
          <cell r="I1418" t="str">
            <v>유리ED401</v>
          </cell>
          <cell r="J1418">
            <v>20000</v>
          </cell>
        </row>
        <row r="1419">
          <cell r="I1419" t="str">
            <v>유리ED410</v>
          </cell>
          <cell r="J1419">
            <v>20000</v>
          </cell>
        </row>
        <row r="1420">
          <cell r="I1420" t="str">
            <v>유리ED412</v>
          </cell>
          <cell r="J1420">
            <v>22000</v>
          </cell>
        </row>
        <row r="1421">
          <cell r="I1421" t="str">
            <v>유리ED0706</v>
          </cell>
          <cell r="J1421">
            <v>22000</v>
          </cell>
        </row>
        <row r="1422">
          <cell r="I1422" t="str">
            <v>유리ED0708</v>
          </cell>
          <cell r="J1422">
            <v>27000</v>
          </cell>
        </row>
        <row r="1423">
          <cell r="I1423" t="str">
            <v>유리ED0806</v>
          </cell>
          <cell r="J1423">
            <v>15000</v>
          </cell>
        </row>
        <row r="1424">
          <cell r="I1424" t="str">
            <v>유리ED0808</v>
          </cell>
          <cell r="J1424">
            <v>18000</v>
          </cell>
        </row>
        <row r="1425">
          <cell r="I1425" t="str">
            <v>유리ED5466</v>
          </cell>
          <cell r="J1425">
            <v>22000</v>
          </cell>
        </row>
        <row r="1426">
          <cell r="I1426" t="str">
            <v>유리ED5488</v>
          </cell>
          <cell r="J1426">
            <v>25000</v>
          </cell>
        </row>
        <row r="1427">
          <cell r="I1427" t="str">
            <v>유리ED5966</v>
          </cell>
          <cell r="J1427">
            <v>22000</v>
          </cell>
        </row>
        <row r="1428">
          <cell r="I1428" t="str">
            <v>유리ED5988</v>
          </cell>
          <cell r="J1428">
            <v>25000</v>
          </cell>
        </row>
        <row r="1429">
          <cell r="I1429" t="str">
            <v>유리ED950</v>
          </cell>
          <cell r="J1429">
            <v>40000</v>
          </cell>
        </row>
        <row r="1430">
          <cell r="I1430" t="str">
            <v>유리ED912</v>
          </cell>
          <cell r="J1430">
            <v>28000</v>
          </cell>
        </row>
        <row r="1431">
          <cell r="I1431" t="str">
            <v>유리ED916</v>
          </cell>
          <cell r="J1431">
            <v>43000</v>
          </cell>
        </row>
        <row r="1432">
          <cell r="I1432" t="str">
            <v>유리EZ016</v>
          </cell>
          <cell r="J1432">
            <v>30000</v>
          </cell>
        </row>
        <row r="1433">
          <cell r="I1433" t="str">
            <v>유리TD008</v>
          </cell>
          <cell r="J1433">
            <v>30000</v>
          </cell>
        </row>
        <row r="1434">
          <cell r="I1434" t="str">
            <v>유리TD010</v>
          </cell>
          <cell r="J1434">
            <v>35000</v>
          </cell>
        </row>
        <row r="1435">
          <cell r="I1435" t="str">
            <v>유리TD012</v>
          </cell>
          <cell r="J1435">
            <v>37000</v>
          </cell>
        </row>
        <row r="1436">
          <cell r="I1436" t="str">
            <v>유리TD014</v>
          </cell>
          <cell r="J1436">
            <v>42000</v>
          </cell>
        </row>
        <row r="1437">
          <cell r="I1437" t="str">
            <v>유리TD016</v>
          </cell>
          <cell r="J1437">
            <v>47000</v>
          </cell>
        </row>
        <row r="1438">
          <cell r="I1438" t="str">
            <v>유리TD018</v>
          </cell>
          <cell r="J1438">
            <v>52000</v>
          </cell>
        </row>
        <row r="1439">
          <cell r="I1439" t="str">
            <v>유리TD108</v>
          </cell>
          <cell r="J1439">
            <v>23000</v>
          </cell>
        </row>
        <row r="1440">
          <cell r="I1440" t="str">
            <v>유리TD110</v>
          </cell>
          <cell r="J1440">
            <v>28000</v>
          </cell>
        </row>
        <row r="1441">
          <cell r="I1441" t="str">
            <v>유리TD112</v>
          </cell>
          <cell r="J1441">
            <v>30000</v>
          </cell>
        </row>
        <row r="1442">
          <cell r="I1442" t="str">
            <v>유리TD114</v>
          </cell>
          <cell r="J1442">
            <v>35000</v>
          </cell>
        </row>
        <row r="1443">
          <cell r="I1443" t="str">
            <v>유리TD116</v>
          </cell>
          <cell r="J1443">
            <v>40000</v>
          </cell>
        </row>
        <row r="1444">
          <cell r="I1444" t="str">
            <v>유리TD118</v>
          </cell>
          <cell r="J1444">
            <v>43000</v>
          </cell>
        </row>
        <row r="1445">
          <cell r="I1445" t="str">
            <v>유리TD912</v>
          </cell>
          <cell r="J1445">
            <v>27000</v>
          </cell>
        </row>
        <row r="1446">
          <cell r="I1446" t="str">
            <v>유리TD916</v>
          </cell>
          <cell r="J1446">
            <v>40000</v>
          </cell>
        </row>
        <row r="1447">
          <cell r="I1447" t="str">
            <v>유리TD990</v>
          </cell>
          <cell r="J1447">
            <v>42000</v>
          </cell>
        </row>
        <row r="1448">
          <cell r="I1448" t="str">
            <v>유리TD966</v>
          </cell>
          <cell r="J1448">
            <v>32000</v>
          </cell>
        </row>
        <row r="1449">
          <cell r="I1449" t="str">
            <v>유리TD988</v>
          </cell>
          <cell r="J1449">
            <v>43000</v>
          </cell>
        </row>
        <row r="1450">
          <cell r="I1450" t="str">
            <v>유리TD412</v>
          </cell>
          <cell r="J1450">
            <v>20000</v>
          </cell>
        </row>
        <row r="1451">
          <cell r="I1451" t="str">
            <v>유리TD508</v>
          </cell>
          <cell r="J1451">
            <v>46000</v>
          </cell>
        </row>
        <row r="1452">
          <cell r="I1452" t="str">
            <v>유리TD507</v>
          </cell>
          <cell r="J1452">
            <v>46000</v>
          </cell>
        </row>
        <row r="1453">
          <cell r="I1453" t="str">
            <v>유리TD518</v>
          </cell>
          <cell r="J1453">
            <v>35000</v>
          </cell>
        </row>
        <row r="1454">
          <cell r="I1454" t="str">
            <v>유리TD516</v>
          </cell>
          <cell r="J1454">
            <v>30000</v>
          </cell>
        </row>
        <row r="1455">
          <cell r="I1455" t="str">
            <v>유리NT0006</v>
          </cell>
          <cell r="J1455">
            <v>18000</v>
          </cell>
        </row>
        <row r="1456">
          <cell r="I1456" t="str">
            <v>유리NT0008</v>
          </cell>
          <cell r="J1456">
            <v>23000</v>
          </cell>
        </row>
        <row r="1457">
          <cell r="I1457" t="str">
            <v>유리NT0010</v>
          </cell>
          <cell r="J1457">
            <v>28000</v>
          </cell>
        </row>
        <row r="1458">
          <cell r="I1458" t="str">
            <v>유리NT0012</v>
          </cell>
          <cell r="J1458">
            <v>32000</v>
          </cell>
        </row>
        <row r="1459">
          <cell r="I1459" t="str">
            <v>유리NT0016</v>
          </cell>
          <cell r="J1459">
            <v>43000</v>
          </cell>
        </row>
        <row r="1460">
          <cell r="I1460" t="str">
            <v>유리NT0018</v>
          </cell>
          <cell r="J1460">
            <v>45000</v>
          </cell>
        </row>
        <row r="1461">
          <cell r="I1461" t="str">
            <v>유리NT0106</v>
          </cell>
          <cell r="J1461">
            <v>18000</v>
          </cell>
        </row>
        <row r="1462">
          <cell r="I1462" t="str">
            <v>유리NT0108</v>
          </cell>
          <cell r="J1462">
            <v>22000</v>
          </cell>
        </row>
        <row r="1463">
          <cell r="I1463" t="str">
            <v>유리NT0110</v>
          </cell>
          <cell r="J1463">
            <v>23000</v>
          </cell>
        </row>
        <row r="1464">
          <cell r="I1464" t="str">
            <v>유리NT0112</v>
          </cell>
          <cell r="J1464">
            <v>25000</v>
          </cell>
        </row>
        <row r="1465">
          <cell r="I1465" t="str">
            <v>유리NT0114</v>
          </cell>
          <cell r="J1465">
            <v>30000</v>
          </cell>
        </row>
        <row r="1466">
          <cell r="I1466" t="str">
            <v>유리NT0116</v>
          </cell>
          <cell r="J1466">
            <v>34000</v>
          </cell>
        </row>
        <row r="1467">
          <cell r="I1467" t="str">
            <v>유리NT0118</v>
          </cell>
          <cell r="J1467">
            <v>38000</v>
          </cell>
        </row>
        <row r="1468">
          <cell r="I1468" t="str">
            <v>유리NT966</v>
          </cell>
          <cell r="J1468">
            <v>40000</v>
          </cell>
        </row>
        <row r="1469">
          <cell r="I1469" t="str">
            <v>유리NT5566</v>
          </cell>
          <cell r="J1469">
            <v>47000</v>
          </cell>
        </row>
        <row r="1470">
          <cell r="I1470" t="str">
            <v>유리NT988</v>
          </cell>
          <cell r="J1470">
            <v>45000</v>
          </cell>
        </row>
        <row r="1471">
          <cell r="I1471" t="str">
            <v>유리NT912</v>
          </cell>
          <cell r="J1471">
            <v>28000</v>
          </cell>
        </row>
        <row r="1472">
          <cell r="I1472" t="str">
            <v>유리NT916</v>
          </cell>
          <cell r="J1472">
            <v>38000</v>
          </cell>
        </row>
        <row r="1473">
          <cell r="I1473" t="str">
            <v>유리NT918</v>
          </cell>
          <cell r="J1473">
            <v>45000</v>
          </cell>
        </row>
        <row r="1474">
          <cell r="I1474" t="str">
            <v>유리NT5586</v>
          </cell>
          <cell r="J1474">
            <v>50000</v>
          </cell>
        </row>
        <row r="1475">
          <cell r="I1475" t="str">
            <v>유리NT5588</v>
          </cell>
          <cell r="J1475">
            <v>52000</v>
          </cell>
        </row>
        <row r="1476">
          <cell r="I1476" t="str">
            <v>유리YD018</v>
          </cell>
          <cell r="J1476">
            <v>60000</v>
          </cell>
        </row>
        <row r="1477">
          <cell r="I1477" t="str">
            <v>유리YD412</v>
          </cell>
          <cell r="J1477">
            <v>25000</v>
          </cell>
        </row>
        <row r="1478">
          <cell r="I1478" t="str">
            <v>유리YD990</v>
          </cell>
          <cell r="J1478">
            <v>40000</v>
          </cell>
        </row>
        <row r="1479">
          <cell r="I1479" t="str">
            <v>유리CR009</v>
          </cell>
          <cell r="J1479">
            <v>27000</v>
          </cell>
        </row>
        <row r="1480">
          <cell r="I1480" t="str">
            <v>유리CR012</v>
          </cell>
          <cell r="J1480">
            <v>40000</v>
          </cell>
        </row>
        <row r="1481">
          <cell r="I1481" t="str">
            <v>유리CR018</v>
          </cell>
          <cell r="J1481">
            <v>48000</v>
          </cell>
        </row>
        <row r="1482">
          <cell r="I1482" t="str">
            <v>유리CR024</v>
          </cell>
          <cell r="J1482">
            <v>75000</v>
          </cell>
        </row>
        <row r="1483">
          <cell r="I1483" t="str">
            <v>유리SR009</v>
          </cell>
          <cell r="J1483">
            <v>25000</v>
          </cell>
        </row>
        <row r="1484">
          <cell r="I1484" t="str">
            <v>유리SR012</v>
          </cell>
          <cell r="J1484">
            <v>40000</v>
          </cell>
        </row>
        <row r="1485">
          <cell r="I1485" t="str">
            <v>유리SR018</v>
          </cell>
          <cell r="J1485">
            <v>46000</v>
          </cell>
        </row>
        <row r="1486">
          <cell r="I1486" t="str">
            <v>유리SR024S</v>
          </cell>
          <cell r="J1486">
            <v>62000</v>
          </cell>
        </row>
        <row r="1487">
          <cell r="I1487" t="str">
            <v>유리SR024</v>
          </cell>
          <cell r="J1487">
            <v>70000</v>
          </cell>
        </row>
        <row r="1488">
          <cell r="I1488" t="str">
            <v>유리SR032</v>
          </cell>
          <cell r="J1488">
            <v>85000</v>
          </cell>
        </row>
        <row r="1489">
          <cell r="I1489" t="str">
            <v>유리PD018</v>
          </cell>
          <cell r="J1489">
            <v>56000</v>
          </cell>
        </row>
        <row r="1490">
          <cell r="I1490" t="str">
            <v>유리PD021</v>
          </cell>
          <cell r="J1490">
            <v>72000</v>
          </cell>
        </row>
        <row r="1491">
          <cell r="I1491" t="str">
            <v>유리PD414</v>
          </cell>
          <cell r="J1491">
            <v>28000</v>
          </cell>
        </row>
        <row r="1492">
          <cell r="I1492" t="str">
            <v>유리EL0112</v>
          </cell>
          <cell r="J1492">
            <v>25000</v>
          </cell>
        </row>
        <row r="1493">
          <cell r="I1493" t="str">
            <v>유리EL0104</v>
          </cell>
          <cell r="J1493">
            <v>15000</v>
          </cell>
        </row>
        <row r="1494">
          <cell r="I1494" t="str">
            <v>유리CL0207</v>
          </cell>
          <cell r="J1494">
            <v>26000</v>
          </cell>
        </row>
        <row r="1495">
          <cell r="I1495" t="str">
            <v>유리CL0212</v>
          </cell>
          <cell r="J1495">
            <v>25000</v>
          </cell>
        </row>
        <row r="1496">
          <cell r="I1496" t="str">
            <v>유리CL0204</v>
          </cell>
          <cell r="J1496">
            <v>18000</v>
          </cell>
        </row>
        <row r="1497">
          <cell r="I1497" t="str">
            <v>유리LD021</v>
          </cell>
          <cell r="J1497">
            <v>70000</v>
          </cell>
        </row>
        <row r="1498">
          <cell r="I1498" t="str">
            <v>유리LD018</v>
          </cell>
          <cell r="J1498">
            <v>45000</v>
          </cell>
        </row>
        <row r="1499">
          <cell r="I1499" t="str">
            <v>유리LZ01</v>
          </cell>
          <cell r="J1499">
            <v>40000</v>
          </cell>
        </row>
        <row r="1500">
          <cell r="I1500" t="str">
            <v>유리LZ11</v>
          </cell>
          <cell r="J1500">
            <v>30000</v>
          </cell>
        </row>
        <row r="1501">
          <cell r="I1501" t="str">
            <v>유리LL016</v>
          </cell>
          <cell r="J1501">
            <v>45000</v>
          </cell>
        </row>
        <row r="1502">
          <cell r="I1502" t="str">
            <v>유리LL008</v>
          </cell>
          <cell r="J1502">
            <v>25000</v>
          </cell>
        </row>
        <row r="1503">
          <cell r="I1503" t="str">
            <v>유리LL0007</v>
          </cell>
          <cell r="J1503">
            <v>18000</v>
          </cell>
        </row>
        <row r="1504">
          <cell r="I1504" t="str">
            <v>유리CR1107</v>
          </cell>
          <cell r="J1504">
            <v>18000</v>
          </cell>
        </row>
        <row r="1505">
          <cell r="I1505" t="str">
            <v>유리CR1115</v>
          </cell>
          <cell r="J1505">
            <v>25000</v>
          </cell>
        </row>
        <row r="1506">
          <cell r="I1506" t="str">
            <v>유리CR1166</v>
          </cell>
          <cell r="J1506">
            <v>25000</v>
          </cell>
        </row>
        <row r="1507">
          <cell r="I1507" t="str">
            <v>유리CR1007</v>
          </cell>
          <cell r="J1507">
            <v>20000</v>
          </cell>
        </row>
        <row r="1508">
          <cell r="I1508" t="str">
            <v>유리CR1015</v>
          </cell>
          <cell r="J1508">
            <v>40000</v>
          </cell>
        </row>
        <row r="1509">
          <cell r="I1509" t="str">
            <v>유리CR1066</v>
          </cell>
          <cell r="J1509">
            <v>45000</v>
          </cell>
        </row>
        <row r="1510">
          <cell r="I1510" t="str">
            <v>유리CR3118</v>
          </cell>
          <cell r="J1510">
            <v>30000</v>
          </cell>
        </row>
        <row r="1511">
          <cell r="I1511" t="str">
            <v>유리SD008</v>
          </cell>
          <cell r="J1511">
            <v>23000</v>
          </cell>
        </row>
        <row r="1512">
          <cell r="I1512" t="str">
            <v>유리SD008L</v>
          </cell>
          <cell r="J1512">
            <v>23000</v>
          </cell>
        </row>
        <row r="1513">
          <cell r="I1513" t="str">
            <v>유리SD008R</v>
          </cell>
          <cell r="J1513">
            <v>23000</v>
          </cell>
        </row>
        <row r="1514">
          <cell r="I1514" t="str">
            <v>유리SD012</v>
          </cell>
          <cell r="J1514">
            <v>30000</v>
          </cell>
        </row>
        <row r="1515">
          <cell r="I1515" t="str">
            <v>유리SD012L</v>
          </cell>
          <cell r="J1515">
            <v>30000</v>
          </cell>
        </row>
        <row r="1516">
          <cell r="I1516" t="str">
            <v>유리SD012R</v>
          </cell>
          <cell r="J1516">
            <v>30000</v>
          </cell>
        </row>
        <row r="1517">
          <cell r="I1517" t="str">
            <v>유리SD014</v>
          </cell>
          <cell r="J1517">
            <v>40000</v>
          </cell>
        </row>
        <row r="1518">
          <cell r="I1518" t="str">
            <v>유리SD014L</v>
          </cell>
          <cell r="J1518">
            <v>40000</v>
          </cell>
        </row>
        <row r="1519">
          <cell r="I1519" t="str">
            <v>유리SD014R</v>
          </cell>
          <cell r="J1519">
            <v>40000</v>
          </cell>
        </row>
        <row r="1520">
          <cell r="I1520" t="str">
            <v>유리SD016</v>
          </cell>
          <cell r="J1520">
            <v>50000</v>
          </cell>
        </row>
        <row r="1521">
          <cell r="I1521" t="str">
            <v>유리SD016R</v>
          </cell>
          <cell r="J1521">
            <v>50000</v>
          </cell>
        </row>
        <row r="1522">
          <cell r="I1522" t="str">
            <v>유리SD016L</v>
          </cell>
          <cell r="J1522">
            <v>50000</v>
          </cell>
        </row>
        <row r="1523">
          <cell r="I1523" t="str">
            <v>유리SD316R</v>
          </cell>
          <cell r="J1523">
            <v>60000</v>
          </cell>
        </row>
        <row r="1524">
          <cell r="I1524" t="str">
            <v>유리SD316L</v>
          </cell>
          <cell r="J1524">
            <v>60000</v>
          </cell>
        </row>
        <row r="1525">
          <cell r="I1525" t="str">
            <v>유리SD507</v>
          </cell>
          <cell r="J1525">
            <v>40000</v>
          </cell>
        </row>
        <row r="1526">
          <cell r="I1526" t="str">
            <v>유리SD517</v>
          </cell>
          <cell r="J1526">
            <v>30000</v>
          </cell>
        </row>
        <row r="1527">
          <cell r="I1527" t="str">
            <v>유리SD547</v>
          </cell>
          <cell r="J1527">
            <v>18000</v>
          </cell>
        </row>
        <row r="1528">
          <cell r="I1528" t="str">
            <v>유리SD597</v>
          </cell>
          <cell r="J1528">
            <v>23000</v>
          </cell>
        </row>
        <row r="1529">
          <cell r="I1529" t="str">
            <v>유리SD406L</v>
          </cell>
          <cell r="J1529">
            <v>15000</v>
          </cell>
        </row>
        <row r="1530">
          <cell r="I1530" t="str">
            <v>유리SD406R</v>
          </cell>
          <cell r="J1530">
            <v>15000</v>
          </cell>
        </row>
        <row r="1531">
          <cell r="I1531" t="str">
            <v>유리SD912</v>
          </cell>
          <cell r="J1531">
            <v>23000</v>
          </cell>
        </row>
        <row r="1532">
          <cell r="I1532" t="str">
            <v>유리SD955</v>
          </cell>
          <cell r="J1532">
            <v>20000</v>
          </cell>
        </row>
        <row r="1533">
          <cell r="I1533" t="str">
            <v>유리SD977</v>
          </cell>
          <cell r="J1533">
            <v>34000</v>
          </cell>
        </row>
        <row r="1534">
          <cell r="I1534" t="str">
            <v>유리SD927L</v>
          </cell>
          <cell r="J1534">
            <v>40000</v>
          </cell>
        </row>
        <row r="1535">
          <cell r="I1535" t="str">
            <v>유리SD927R</v>
          </cell>
          <cell r="J1535">
            <v>40000</v>
          </cell>
        </row>
        <row r="1536">
          <cell r="I1536" t="str">
            <v>유리SD990</v>
          </cell>
          <cell r="J1536">
            <v>42000</v>
          </cell>
        </row>
        <row r="1537">
          <cell r="I1537" t="str">
            <v>유리SD0300</v>
          </cell>
          <cell r="J1537">
            <v>15000</v>
          </cell>
        </row>
        <row r="1538">
          <cell r="I1538" t="str">
            <v>유리SD662</v>
          </cell>
          <cell r="J1538">
            <v>18000</v>
          </cell>
        </row>
        <row r="1539">
          <cell r="I1539" t="str">
            <v>유리IT0008</v>
          </cell>
          <cell r="J1539">
            <v>24000</v>
          </cell>
        </row>
        <row r="1540">
          <cell r="I1540" t="str">
            <v>유리IT0008L</v>
          </cell>
          <cell r="J1540">
            <v>24000</v>
          </cell>
        </row>
        <row r="1541">
          <cell r="I1541" t="str">
            <v>유리IT0008R</v>
          </cell>
          <cell r="J1541">
            <v>24000</v>
          </cell>
        </row>
        <row r="1542">
          <cell r="I1542" t="str">
            <v>유리IT0010</v>
          </cell>
          <cell r="J1542">
            <v>30000</v>
          </cell>
        </row>
        <row r="1543">
          <cell r="I1543" t="str">
            <v>유리IT0010L</v>
          </cell>
          <cell r="J1543">
            <v>30000</v>
          </cell>
        </row>
        <row r="1544">
          <cell r="I1544" t="str">
            <v>유리IT0010R</v>
          </cell>
          <cell r="J1544">
            <v>30000</v>
          </cell>
        </row>
        <row r="1545">
          <cell r="I1545" t="str">
            <v>유리IT0012</v>
          </cell>
          <cell r="J1545">
            <v>32000</v>
          </cell>
        </row>
        <row r="1546">
          <cell r="I1546" t="str">
            <v>유리IT0012L</v>
          </cell>
          <cell r="J1546">
            <v>32000</v>
          </cell>
        </row>
        <row r="1547">
          <cell r="I1547" t="str">
            <v>유리IT0012R</v>
          </cell>
          <cell r="J1547">
            <v>32000</v>
          </cell>
        </row>
        <row r="1548">
          <cell r="I1548" t="str">
            <v>유리IT0116</v>
          </cell>
          <cell r="J1548">
            <v>38000</v>
          </cell>
        </row>
        <row r="1549">
          <cell r="I1549" t="str">
            <v>유리IT0118</v>
          </cell>
          <cell r="J1549">
            <v>40000</v>
          </cell>
        </row>
        <row r="1550">
          <cell r="I1550" t="str">
            <v>유리IT5066</v>
          </cell>
          <cell r="J1550">
            <v>42000</v>
          </cell>
        </row>
        <row r="1551">
          <cell r="I1551" t="str">
            <v>유리IT5077</v>
          </cell>
          <cell r="J1551">
            <v>45000</v>
          </cell>
        </row>
        <row r="1552">
          <cell r="I1552" t="str">
            <v>유리IT912</v>
          </cell>
          <cell r="J1552">
            <v>27000</v>
          </cell>
        </row>
        <row r="1553">
          <cell r="I1553" t="str">
            <v>유리IT916</v>
          </cell>
          <cell r="J1553">
            <v>43000</v>
          </cell>
        </row>
        <row r="1554">
          <cell r="I1554" t="str">
            <v>유리IT966</v>
          </cell>
          <cell r="J1554">
            <v>28000</v>
          </cell>
        </row>
        <row r="1555">
          <cell r="I1555" t="str">
            <v>유리IT977</v>
          </cell>
          <cell r="J1555">
            <v>43000</v>
          </cell>
        </row>
        <row r="1556">
          <cell r="I1556" t="str">
            <v>유리IT926L</v>
          </cell>
          <cell r="J1556">
            <v>43000</v>
          </cell>
        </row>
        <row r="1557">
          <cell r="I1557" t="str">
            <v>유리IT926R</v>
          </cell>
          <cell r="J1557">
            <v>43000</v>
          </cell>
        </row>
        <row r="1558">
          <cell r="I1558" t="str">
            <v>유리IT927L</v>
          </cell>
          <cell r="J1558">
            <v>43000</v>
          </cell>
        </row>
        <row r="1559">
          <cell r="I1559" t="str">
            <v>유리IT927R</v>
          </cell>
          <cell r="J1559">
            <v>43000</v>
          </cell>
        </row>
        <row r="1560">
          <cell r="I1560" t="str">
            <v>유리IT912DL</v>
          </cell>
          <cell r="J1560">
            <v>38000</v>
          </cell>
        </row>
        <row r="1561">
          <cell r="I1561" t="str">
            <v>유리IT912DR</v>
          </cell>
          <cell r="J1561">
            <v>38000</v>
          </cell>
        </row>
        <row r="1562">
          <cell r="I1562" t="str">
            <v>유리IT918DL</v>
          </cell>
          <cell r="J1562">
            <v>43000</v>
          </cell>
        </row>
        <row r="1563">
          <cell r="I1563" t="str">
            <v>유리IT918DR</v>
          </cell>
          <cell r="J1563">
            <v>43000</v>
          </cell>
        </row>
        <row r="1564">
          <cell r="I1564" t="str">
            <v>유리IT912CL</v>
          </cell>
          <cell r="J1564">
            <v>38000</v>
          </cell>
        </row>
        <row r="1565">
          <cell r="I1565" t="str">
            <v>유리IT912CR</v>
          </cell>
          <cell r="J1565">
            <v>38000</v>
          </cell>
        </row>
        <row r="1566">
          <cell r="I1566" t="str">
            <v>유리IT918CL</v>
          </cell>
          <cell r="J1566">
            <v>43000</v>
          </cell>
        </row>
        <row r="1567">
          <cell r="I1567" t="str">
            <v>유리IT918CR</v>
          </cell>
          <cell r="J1567">
            <v>43000</v>
          </cell>
        </row>
        <row r="1568">
          <cell r="I1568" t="str">
            <v>유리IT2004</v>
          </cell>
          <cell r="J1568">
            <v>15000</v>
          </cell>
        </row>
        <row r="1569">
          <cell r="I1569" t="str">
            <v>유리IT2005</v>
          </cell>
          <cell r="J1569">
            <v>15000</v>
          </cell>
        </row>
        <row r="1570">
          <cell r="I1570" t="str">
            <v>유리IT2006</v>
          </cell>
          <cell r="J1570">
            <v>15000</v>
          </cell>
        </row>
        <row r="1571">
          <cell r="I1571" t="str">
            <v>유리IT2007</v>
          </cell>
          <cell r="J1571">
            <v>17000</v>
          </cell>
        </row>
        <row r="1572">
          <cell r="I1572" t="str">
            <v>유리IT2008</v>
          </cell>
          <cell r="J1572">
            <v>20000</v>
          </cell>
        </row>
        <row r="1573">
          <cell r="I1573" t="str">
            <v>유리IT2010</v>
          </cell>
          <cell r="J1573">
            <v>20000</v>
          </cell>
        </row>
        <row r="1574">
          <cell r="I1574" t="str">
            <v>유리IT2012</v>
          </cell>
          <cell r="J1574">
            <v>22000</v>
          </cell>
        </row>
        <row r="1575">
          <cell r="I1575" t="str">
            <v>유리IT2014</v>
          </cell>
          <cell r="J1575">
            <v>25000</v>
          </cell>
        </row>
        <row r="1576">
          <cell r="I1576" t="str">
            <v>유리IT2016</v>
          </cell>
          <cell r="J1576">
            <v>28000</v>
          </cell>
        </row>
        <row r="1577">
          <cell r="I1577" t="str">
            <v>유리IT2122</v>
          </cell>
          <cell r="J1577">
            <v>15000</v>
          </cell>
        </row>
        <row r="1578">
          <cell r="I1578" t="str">
            <v>유리IT2204</v>
          </cell>
          <cell r="J1578">
            <v>15000</v>
          </cell>
        </row>
        <row r="1579">
          <cell r="I1579" t="str">
            <v>유리IT2205</v>
          </cell>
          <cell r="J1579">
            <v>15000</v>
          </cell>
        </row>
        <row r="1580">
          <cell r="I1580" t="str">
            <v>유리IT2206</v>
          </cell>
          <cell r="J1580">
            <v>18000</v>
          </cell>
        </row>
        <row r="1581">
          <cell r="I1581" t="str">
            <v>유리IT2207</v>
          </cell>
          <cell r="J1581">
            <v>20000</v>
          </cell>
        </row>
        <row r="1582">
          <cell r="I1582" t="str">
            <v>유리IT2208</v>
          </cell>
          <cell r="J1582">
            <v>22000</v>
          </cell>
        </row>
        <row r="1583">
          <cell r="I1583" t="str">
            <v>유리IT2210</v>
          </cell>
          <cell r="J1583">
            <v>22000</v>
          </cell>
        </row>
        <row r="1584">
          <cell r="I1584" t="str">
            <v>유리IT2212</v>
          </cell>
          <cell r="J1584">
            <v>25000</v>
          </cell>
        </row>
        <row r="1585">
          <cell r="I1585" t="str">
            <v>유리PL0904</v>
          </cell>
          <cell r="J1585">
            <v>18000</v>
          </cell>
        </row>
        <row r="1586">
          <cell r="I1586" t="str">
            <v>유리PL0908</v>
          </cell>
          <cell r="J1586">
            <v>28000</v>
          </cell>
        </row>
        <row r="1587">
          <cell r="I1587" t="str">
            <v>유리PL0912</v>
          </cell>
          <cell r="J1587">
            <v>30000</v>
          </cell>
        </row>
        <row r="1588">
          <cell r="I1588" t="str">
            <v>유리PL0914</v>
          </cell>
          <cell r="J1588">
            <v>34000</v>
          </cell>
        </row>
        <row r="1589">
          <cell r="I1589" t="str">
            <v>유리CR2008</v>
          </cell>
          <cell r="J1589">
            <v>28000</v>
          </cell>
        </row>
        <row r="1590">
          <cell r="I1590" t="str">
            <v>유리CR2590</v>
          </cell>
          <cell r="J1590">
            <v>28000</v>
          </cell>
        </row>
        <row r="1591">
          <cell r="I1591" t="str">
            <v>유리CR2016</v>
          </cell>
          <cell r="J1591">
            <v>42000</v>
          </cell>
        </row>
        <row r="1592">
          <cell r="I1592" t="str">
            <v>유리CC1083</v>
          </cell>
          <cell r="J1592">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efreshError="1"/>
      <sheetData sheetId="504" refreshError="1"/>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refreshError="1"/>
      <sheetData sheetId="520" refreshError="1"/>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refreshError="1"/>
      <sheetData sheetId="590" refreshError="1"/>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refreshError="1"/>
      <sheetData sheetId="631" refreshError="1"/>
      <sheetData sheetId="632" refreshError="1"/>
      <sheetData sheetId="633" refreshError="1"/>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sheetData sheetId="666"/>
      <sheetData sheetId="667"/>
      <sheetData sheetId="668"/>
      <sheetData sheetId="669"/>
      <sheetData sheetId="670"/>
      <sheetData sheetId="671"/>
      <sheetData sheetId="672"/>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sheetData sheetId="731"/>
      <sheetData sheetId="732"/>
      <sheetData sheetId="733"/>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sheetData sheetId="819"/>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안내"/>
      <sheetName val="관리"/>
      <sheetName val="Sheet1"/>
      <sheetName val="전체입력"/>
      <sheetName val="입력"/>
      <sheetName val="매매계약서"/>
      <sheetName val="신고서"/>
      <sheetName val="납부서"/>
      <sheetName val="환산"/>
      <sheetName val="코드"/>
      <sheetName val="주식양수도프로그램 V2.0"/>
      <sheetName val="Total"/>
      <sheetName val="소비자가"/>
      <sheetName val="주식양수도프로그램_V2_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익월작업계힉"/>
      <sheetName val="건물대사"/>
      <sheetName val="인원계획-미화"/>
      <sheetName val="Sheet1"/>
      <sheetName val="식음료"/>
      <sheetName val="Total"/>
      <sheetName val="노무비"/>
      <sheetName val="N賃率-職"/>
      <sheetName val="원가서"/>
      <sheetName val="CC Down load 071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약품공급2"/>
      <sheetName val="퍼스트"/>
      <sheetName val="기존단가 (2)"/>
      <sheetName val="GODO"/>
      <sheetName val="소비자가"/>
      <sheetName val="노임"/>
      <sheetName val="교통대책내역"/>
      <sheetName val="일위대가"/>
      <sheetName val="집계표"/>
      <sheetName val="현장관리비"/>
      <sheetName val="31층물량산출조서"/>
      <sheetName val="입력"/>
      <sheetName val="N賃率-職"/>
      <sheetName val="간접비계산"/>
      <sheetName val="실행철강하도"/>
      <sheetName val="I一般比"/>
      <sheetName val="전체"/>
      <sheetName val="인원"/>
      <sheetName val="관급자재"/>
      <sheetName val=" HIT-&gt;HMC 견적(3900)"/>
      <sheetName val="MOTOR"/>
      <sheetName val="금융비용"/>
      <sheetName val="일위CODE"/>
      <sheetName val="내역"/>
      <sheetName val="기존단가_(2)"/>
      <sheetName val="6. 안전관리비"/>
      <sheetName val="단가산출"/>
      <sheetName val="차액보증"/>
      <sheetName val="입찰안"/>
      <sheetName val="노임조서"/>
      <sheetName val="sheet1"/>
      <sheetName val="SHL"/>
      <sheetName val="일위집계표"/>
      <sheetName val="제경비"/>
      <sheetName val="산출내역서"/>
      <sheetName val="제직재"/>
      <sheetName val="설직재-1"/>
      <sheetName val="일위대가표"/>
      <sheetName val="일위대가(건축)"/>
      <sheetName val="집계"/>
      <sheetName val="2공구산출내역"/>
      <sheetName val="공사내역"/>
      <sheetName val="일용직내역"/>
      <sheetName val="부서코드표"/>
      <sheetName val="소방사항"/>
      <sheetName val="연부97-1"/>
      <sheetName val="갑지1"/>
      <sheetName val="추가예산"/>
      <sheetName val="갑지(추정)"/>
      <sheetName val=" 총괄표"/>
      <sheetName val="건설성적"/>
      <sheetName val="시화점실행"/>
      <sheetName val="sh1"/>
      <sheetName val="개요"/>
      <sheetName val="선급금신청서"/>
      <sheetName val="입력정보"/>
      <sheetName val="재료비"/>
      <sheetName val="원형1호맨홀토공수량"/>
      <sheetName val="원하대비"/>
      <sheetName val="원도급"/>
      <sheetName val="하도급"/>
      <sheetName val="일위목록"/>
      <sheetName val="품셈총괄표"/>
      <sheetName val="#REF"/>
      <sheetName val="원가계산서"/>
      <sheetName val="5.정산서"/>
      <sheetName val="RFP견적물량(60%)"/>
      <sheetName val="빗물받이(910-510-410)"/>
      <sheetName val="공사개요"/>
      <sheetName val="가로등기초"/>
      <sheetName val="PAD TR보호대기초"/>
      <sheetName val="노임단가"/>
      <sheetName val="자재단가"/>
      <sheetName val="접지수량"/>
      <sheetName val="코드표"/>
      <sheetName val="내역서"/>
      <sheetName val="일위"/>
      <sheetName val="요율"/>
      <sheetName val="일위단가"/>
      <sheetName val="일위집계(기존)"/>
      <sheetName val="여과지동"/>
      <sheetName val="기초자료"/>
      <sheetName val="BID"/>
      <sheetName val="일위대가(가설)"/>
      <sheetName val="0Title"/>
      <sheetName val="Total"/>
      <sheetName val="산출0"/>
      <sheetName val="목차 "/>
      <sheetName val="#2_일위대가목록"/>
      <sheetName val="코드"/>
      <sheetName val="2004일위대가"/>
      <sheetName val="DATE"/>
      <sheetName val="요약&amp;결과"/>
      <sheetName val="시약"/>
      <sheetName val="1공구산출내역서"/>
      <sheetName val="J"/>
      <sheetName val="(A)내역서"/>
      <sheetName val="터파기및재료"/>
      <sheetName val="단면치수"/>
      <sheetName val="조견표"/>
      <sheetName val="상-교대(A1-A2)"/>
      <sheetName val="sub"/>
      <sheetName val="뒷구간중간D - 1련"/>
      <sheetName val="국산화"/>
      <sheetName val="지수"/>
      <sheetName val="수량산출서"/>
      <sheetName val="A LINE"/>
      <sheetName val="원가계산(2)"/>
      <sheetName val="총괄표"/>
      <sheetName val="산출(토공‥"/>
      <sheetName val="맨홀수량산출"/>
      <sheetName val="노무비 근거"/>
      <sheetName val="인입관"/>
      <sheetName val="인명부"/>
      <sheetName val="일위(시설)"/>
      <sheetName val="기본단가표"/>
      <sheetName val="제출"/>
      <sheetName val="1,2공구원가계산서"/>
      <sheetName val="일위대가집계"/>
      <sheetName val="산수배수"/>
      <sheetName val="지하"/>
      <sheetName val="예산총괄"/>
      <sheetName val="Customer Databas"/>
      <sheetName val="유입량"/>
      <sheetName val=""/>
      <sheetName val="GC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약품공급2"/>
      <sheetName val="교통대책내역"/>
      <sheetName val="sheet1"/>
      <sheetName val="#REF"/>
      <sheetName val="4.전기"/>
      <sheetName val="RE9604"/>
      <sheetName val="내역"/>
      <sheetName val="접지수량"/>
      <sheetName val="부속동"/>
      <sheetName val="APT"/>
      <sheetName val="자재단가표"/>
      <sheetName val="갑지"/>
      <sheetName val="내역서"/>
      <sheetName val="천방교접속"/>
      <sheetName val="대포2교접속"/>
      <sheetName val="98지급계획"/>
      <sheetName val="실행(1)"/>
      <sheetName val="선급금신청서"/>
      <sheetName val="건축내역"/>
      <sheetName val="일위CODE"/>
      <sheetName val="기성내역"/>
      <sheetName val="전체"/>
      <sheetName val="sub"/>
      <sheetName val="견적"/>
      <sheetName val="4_전기"/>
      <sheetName val="공사비산출내역"/>
      <sheetName val="LD"/>
      <sheetName val="집계표"/>
      <sheetName val="ELEC"/>
      <sheetName val="원가계산서"/>
      <sheetName val="원도급"/>
      <sheetName val="하도급"/>
      <sheetName val="원가총괄"/>
      <sheetName val="도담구내 개소별 명세"/>
      <sheetName val="금융"/>
      <sheetName val="산출내역서집계표"/>
      <sheetName val="퍼스트"/>
      <sheetName val="소방사항"/>
      <sheetName val="직노"/>
      <sheetName val="S0"/>
      <sheetName val="GODO"/>
      <sheetName val="노임"/>
      <sheetName val="잡철물"/>
      <sheetName val="백암비스타내역"/>
      <sheetName val="실행내역"/>
      <sheetName val=" 소방공사 산출근거"/>
      <sheetName val="부서코드표"/>
      <sheetName val="봉양~조차장간고하개명(신설)"/>
      <sheetName val="품셈TABLE"/>
      <sheetName val="전입"/>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차집관로, 중계펌프장"/>
      <sheetName val="중계펌프장-건축"/>
      <sheetName val="중계펌프장-사급자재대"/>
      <sheetName val="약품설비"/>
      <sheetName val="GODO.XLS"/>
      <sheetName val="일위목록"/>
      <sheetName val="요율"/>
      <sheetName val="자재단가비교표"/>
      <sheetName val="기본Data"/>
      <sheetName val="간접비계산"/>
      <sheetName val="노임단가"/>
      <sheetName val="자재테이블"/>
      <sheetName val="전기2005"/>
      <sheetName val="통신2005"/>
      <sheetName val="소비자가"/>
      <sheetName val="전기일위목록"/>
      <sheetName val="일위대가(가설)"/>
      <sheetName val="WORK"/>
      <sheetName val="정류기"/>
      <sheetName val="재료비"/>
      <sheetName val="입찰안"/>
      <sheetName val="토목주소"/>
      <sheetName val="프랜트면허"/>
      <sheetName val="공사개요"/>
      <sheetName val="설계내역서"/>
      <sheetName val="단"/>
      <sheetName val="추가예산"/>
      <sheetName val="신호등일위대가"/>
      <sheetName val="감압변선정"/>
      <sheetName val="자재단가"/>
      <sheetName val="날개벽수량표"/>
      <sheetName val="차액보증"/>
      <sheetName val="총괄표"/>
      <sheetName val="참고자료"/>
      <sheetName val="노임조서"/>
      <sheetName val="교각계산"/>
      <sheetName val="직재"/>
      <sheetName val="옥내소화전계산서"/>
      <sheetName val="매입"/>
      <sheetName val="당진1,2호기전선관설치및접지4차공사내역서-을지"/>
      <sheetName val="문학간접"/>
      <sheetName val="점검총괄"/>
      <sheetName val="Macro(전선)"/>
      <sheetName val="부대공"/>
      <sheetName val="입력"/>
      <sheetName val="&lt;--"/>
      <sheetName val="P1(좌,우)"/>
      <sheetName val="9.단가조사서"/>
      <sheetName val="일위목차"/>
      <sheetName val="인사자료총집계"/>
      <sheetName val="소방내역서"/>
      <sheetName val="간선"/>
      <sheetName val="계산표지"/>
      <sheetName val="실행철강하도"/>
      <sheetName val="현우실적"/>
      <sheetName val="건설성적"/>
      <sheetName val="중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stomer Databas"/>
      <sheetName val="NAME"/>
      <sheetName val="cover "/>
      <sheetName val="제출"/>
      <sheetName val="제출 (2)"/>
      <sheetName val="compare"/>
      <sheetName val="XXXXXX"/>
      <sheetName val="공사일보"/>
      <sheetName val="약품공급2"/>
      <sheetName val="교통대책내역"/>
      <sheetName val="CUSTOMER"/>
      <sheetName val="소비자가"/>
      <sheetName val="노임단가"/>
      <sheetName val="지질조사"/>
      <sheetName val="#3_일위대가목록"/>
      <sheetName val="TEL"/>
      <sheetName val="입찰안"/>
      <sheetName val="중기"/>
      <sheetName val="101동"/>
      <sheetName val="조명율표"/>
      <sheetName val="sheet1"/>
      <sheetName val="단가일람"/>
      <sheetName val="조경일람"/>
      <sheetName val="4.전기"/>
      <sheetName val="금액집계"/>
      <sheetName val="바닥판"/>
      <sheetName val="입력DATA"/>
      <sheetName val="품셈TABLE"/>
      <sheetName val="내역서(전기)"/>
      <sheetName val="N賃率-職"/>
      <sheetName val="간접1"/>
      <sheetName val="장비내역"/>
      <sheetName val="입력"/>
      <sheetName val="2000년1차"/>
      <sheetName val="일위대가표"/>
      <sheetName val="잡철물"/>
      <sheetName val="직노"/>
      <sheetName val="DB"/>
      <sheetName val="환산"/>
      <sheetName val="Customer_Databas"/>
      <sheetName val="cover_"/>
      <sheetName val="제출_(2)"/>
      <sheetName val="4_전기"/>
      <sheetName val="BUS제원1"/>
      <sheetName val="내역서1"/>
      <sheetName val="기본사항"/>
      <sheetName val="인부신상자료"/>
      <sheetName val="토목주소"/>
      <sheetName val="6호기"/>
      <sheetName val="일위대가"/>
      <sheetName val="전사계"/>
      <sheetName val="공사착공계"/>
      <sheetName val="DI1"/>
      <sheetName val="준공정산"/>
      <sheetName val="원가계산"/>
      <sheetName val="집계표"/>
      <sheetName val="Customer_Databas1"/>
      <sheetName val="cover_1"/>
      <sheetName val="제출_(2)1"/>
      <sheetName val="4_전기1"/>
      <sheetName val="자료"/>
      <sheetName val="부대대비"/>
      <sheetName val="냉연집계"/>
      <sheetName val="일 위 목 록 표"/>
      <sheetName val="제품목록"/>
      <sheetName val="물량표"/>
      <sheetName val="산출내역서"/>
      <sheetName val="2000전체분"/>
      <sheetName val="99년하반기"/>
      <sheetName val="유림총괄"/>
      <sheetName val="단가비교"/>
      <sheetName val="전기혼잡제경비(45)"/>
      <sheetName val="종배수관면벽구"/>
      <sheetName val="내역서"/>
      <sheetName val="입찰보고"/>
      <sheetName val="실행(1)"/>
      <sheetName val="98지급계획"/>
      <sheetName val="8-1"/>
      <sheetName val="내역전기"/>
      <sheetName val="Total"/>
      <sheetName val="조명일위"/>
      <sheetName val="건축내역"/>
      <sheetName val="공기압축기실"/>
      <sheetName val="진주방향"/>
      <sheetName val="차수"/>
      <sheetName val="협조전"/>
      <sheetName val="공사개요"/>
      <sheetName val="간접비계산"/>
      <sheetName val="#2_일위대가목록"/>
      <sheetName val="자재단가비교표"/>
      <sheetName val="시운전연료"/>
      <sheetName val="정보"/>
      <sheetName val="#REF"/>
      <sheetName val="목록"/>
      <sheetName val="총괄표"/>
      <sheetName val="asd"/>
      <sheetName val="선급비용"/>
      <sheetName val="총괄내역서"/>
      <sheetName val="잡비"/>
      <sheetName val="실행내역"/>
      <sheetName val="간접"/>
      <sheetName val="데이타"/>
      <sheetName val="0226"/>
      <sheetName val="1ST"/>
      <sheetName val="백암비스타내역"/>
      <sheetName val="산출내역서집계표"/>
      <sheetName val="Macro(MCC)"/>
      <sheetName val="갑지(추정)"/>
      <sheetName val="기존단가 (2)"/>
      <sheetName val="일반부표"/>
      <sheetName val="추가예산"/>
      <sheetName val="분석표_아파트동"/>
      <sheetName val="분석표_부속동"/>
      <sheetName val="97년 추정"/>
      <sheetName val="BSD (2)"/>
      <sheetName val="재집"/>
      <sheetName val="직재"/>
      <sheetName val="기본일위"/>
      <sheetName val="대비"/>
      <sheetName val="현우실적"/>
      <sheetName val="01"/>
      <sheetName val="Sheet5"/>
      <sheetName val="금융비용"/>
      <sheetName val="날개벽수량표"/>
      <sheetName val="견적서세부내용"/>
      <sheetName val="견적내용입력"/>
      <sheetName val="예산총괄"/>
      <sheetName val="조직"/>
      <sheetName val="LD"/>
      <sheetName val="13LPMCC"/>
      <sheetName val="cover"/>
      <sheetName val="실행갑지"/>
      <sheetName val="BOQ 실행10.9"/>
      <sheetName val="전기일위대가"/>
      <sheetName val="설계내역서"/>
      <sheetName val="기계경비(시간당)"/>
      <sheetName val="램머"/>
      <sheetName val="갑지"/>
      <sheetName val="1차 내역서"/>
      <sheetName val="골조시행"/>
      <sheetName val="EACT10"/>
      <sheetName val="내역서(총)"/>
      <sheetName val="개요"/>
      <sheetName val="일위대가목차"/>
      <sheetName val="BID"/>
      <sheetName val="Sheet2 (2)"/>
      <sheetName val="산출금액내역"/>
      <sheetName val="청천내"/>
      <sheetName val="DESIGN CRITERIA"/>
      <sheetName val="실행(표지,갑,을)"/>
      <sheetName val="기계내역"/>
      <sheetName val="내역_FILE"/>
      <sheetName val="공통비(전체)"/>
      <sheetName val="중갑지"/>
      <sheetName val="총투입계"/>
      <sheetName val="수량산출"/>
      <sheetName val="계정"/>
      <sheetName val="아파트"/>
      <sheetName val="공통가설"/>
      <sheetName val="1-1"/>
      <sheetName val="BOQ_실행10_9"/>
      <sheetName val="1차_내역서"/>
      <sheetName val="Sheet2_(2)"/>
      <sheetName val="DESIGN_CRITERIA"/>
      <sheetName val="일위대가(4층원격)"/>
      <sheetName val="일위대가목록"/>
      <sheetName val="예가표"/>
      <sheetName val="건축원가계산서"/>
      <sheetName val="코스모공장 (어음)"/>
      <sheetName val="FANDBS"/>
      <sheetName val="GRDATA"/>
      <sheetName val="SHAFTDBSE"/>
      <sheetName val="경산"/>
      <sheetName val="신고서.전"/>
      <sheetName val="실행(ALT1)"/>
      <sheetName val="공사내역"/>
      <sheetName val="일용직내역"/>
      <sheetName val="BOQ_실행10_91"/>
      <sheetName val="1차_내역서1"/>
      <sheetName val="Sheet2_(2)1"/>
      <sheetName val="DESIGN_CRITERIA1"/>
      <sheetName val="코스모공장_(어음)"/>
      <sheetName val="신고서_전"/>
      <sheetName val="3월팀계 "/>
      <sheetName val="UR2-Calculation"/>
      <sheetName val="공사원가계산서"/>
      <sheetName val="도급예산내역서총괄표"/>
      <sheetName val="지급어음(일별)"/>
      <sheetName val="건축(충일분)"/>
      <sheetName val="노원열병합  건축공사기성내역서"/>
      <sheetName val="Baby일위대가"/>
      <sheetName val="DATE"/>
      <sheetName val="INPUT"/>
      <sheetName val="납부서"/>
      <sheetName val="VENDOR LIST"/>
      <sheetName val="소운반"/>
      <sheetName val="Tender Summary"/>
      <sheetName val="단"/>
      <sheetName val="주요항목별"/>
      <sheetName val="작성"/>
      <sheetName val="저"/>
      <sheetName val="예산M12A"/>
      <sheetName val="기초자료입력"/>
      <sheetName val="hvac(제어동)"/>
      <sheetName val="평가데이터"/>
      <sheetName val="터파기및재료"/>
      <sheetName val="EKOG10건축"/>
      <sheetName val="범례표"/>
      <sheetName val="원가"/>
      <sheetName val="Build Up"/>
      <sheetName val="주소"/>
      <sheetName val="인원계획-미화"/>
      <sheetName val="Cash Flows"/>
      <sheetName val="Area"/>
      <sheetName val="BDGTCE"/>
      <sheetName val="Building Input"/>
      <sheetName val="견적서"/>
      <sheetName val="database"/>
      <sheetName val="변동인원"/>
      <sheetName val="내부부하"/>
      <sheetName val="차액보증"/>
      <sheetName val="물가시세"/>
      <sheetName val="단가산출1"/>
      <sheetName val="단가산출2"/>
      <sheetName val="I一般比"/>
      <sheetName val="Ⅴ-2.공종별내역"/>
      <sheetName val="인건비"/>
      <sheetName val="G004601"/>
      <sheetName val="1.설계조건"/>
      <sheetName val="구조물공"/>
      <sheetName val="부대공"/>
      <sheetName val="배수공"/>
      <sheetName val="토공"/>
      <sheetName val="포장공"/>
      <sheetName val="예산M5A"/>
      <sheetName val="CON'C"/>
      <sheetName val="경비_원본"/>
      <sheetName val="밸브설치"/>
      <sheetName val="실행"/>
      <sheetName val="식재인부"/>
      <sheetName val="을"/>
      <sheetName val="내역"/>
      <sheetName val="200"/>
      <sheetName val="단가"/>
      <sheetName val="CASHFLOW"/>
      <sheetName val="Collateral"/>
      <sheetName val="적용률"/>
      <sheetName val="Sheet2"/>
      <sheetName val="완성차 미수금"/>
      <sheetName val="SG"/>
      <sheetName val=" HIT-&gt;HMC 견적(3900)"/>
      <sheetName val="공문"/>
      <sheetName val="자금운용계획표"/>
      <sheetName val="2002년"/>
      <sheetName val="CDTK"/>
      <sheetName val="CDPS"/>
      <sheetName val="controll"/>
      <sheetName val="원가계산서"/>
      <sheetName val="부서코드표"/>
      <sheetName val="집계"/>
      <sheetName val="소방"/>
      <sheetName val="세부내역"/>
      <sheetName val="sheets"/>
      <sheetName val="준공내역"/>
      <sheetName val="표지"/>
      <sheetName val="AR1.01"/>
      <sheetName val="PS3-01(3-1)"/>
      <sheetName val="."/>
      <sheetName val="선급금신청서"/>
      <sheetName val="노임"/>
      <sheetName val="조경"/>
      <sheetName val="건축"/>
      <sheetName val="노무비"/>
      <sheetName val="제품원재"/>
      <sheetName val="3련 BOX"/>
      <sheetName val="단가조사-2"/>
      <sheetName val="단가대비표"/>
      <sheetName val="Customer_Databas2"/>
      <sheetName val="cover_2"/>
      <sheetName val="제출_(2)2"/>
      <sheetName val="4_전기2"/>
      <sheetName val="일_위_목_록_표"/>
      <sheetName val="기존단가_(2)"/>
      <sheetName val="97년_추정"/>
      <sheetName val="BSD_(2)"/>
      <sheetName val="F4-F7"/>
      <sheetName val="공비대비"/>
      <sheetName val="Customer_Databas3"/>
      <sheetName val="cover_3"/>
      <sheetName val="제출_(2)3"/>
      <sheetName val="4_전기3"/>
      <sheetName val="일_위_목_록_표1"/>
      <sheetName val="기존단가_(2)1"/>
      <sheetName val="97년_추정1"/>
      <sheetName val="BSD_(2)1"/>
      <sheetName val="_1"/>
      <sheetName val="BOQ_실행10_93"/>
      <sheetName val="1차_내역서3"/>
      <sheetName val="Sheet2_(2)3"/>
      <sheetName val="DESIGN_CRITERIA3"/>
      <sheetName val="코스모공장_(어음)2"/>
      <sheetName val="신고서_전2"/>
      <sheetName val="3월팀계_1"/>
      <sheetName val="노원열병합__건축공사기성내역서1"/>
      <sheetName val="VENDOR_LIST1"/>
      <sheetName val="Tender_Summary1"/>
      <sheetName val="Build_Up1"/>
      <sheetName val="Cash_Flows1"/>
      <sheetName val="Building_Input1"/>
      <sheetName val="Ⅴ-2_공종별내역1"/>
      <sheetName val="1_설계조건1"/>
      <sheetName val="_"/>
      <sheetName val="BOQ_실행10_92"/>
      <sheetName val="1차_내역서2"/>
      <sheetName val="Sheet2_(2)2"/>
      <sheetName val="DESIGN_CRITERIA2"/>
      <sheetName val="코스모공장_(어음)1"/>
      <sheetName val="신고서_전1"/>
      <sheetName val="3월팀계_"/>
      <sheetName val="노원열병합__건축공사기성내역서"/>
      <sheetName val="VENDOR_LIST"/>
      <sheetName val="Tender_Summary"/>
      <sheetName val="Build_Up"/>
      <sheetName val="Cash_Flows"/>
      <sheetName val="Building_Input"/>
      <sheetName val="Ⅴ-2_공종별내역"/>
      <sheetName val="1_설계조건"/>
      <sheetName val="조명시설"/>
      <sheetName val="본장"/>
      <sheetName val="RD제품개발투자비(매가)"/>
      <sheetName val="광혁기성"/>
      <sheetName val="제이스_일위대가표"/>
      <sheetName val="전체"/>
      <sheetName val="재료"/>
      <sheetName val="3월연장근무"/>
      <sheetName val="대차"/>
      <sheetName val="실행철강하도"/>
      <sheetName val="프랜트면허"/>
      <sheetName val="Resource2"/>
      <sheetName val="당초"/>
      <sheetName val="공용공통공사"/>
      <sheetName val="데리네이타현황"/>
      <sheetName val="일위대가표 (2)"/>
      <sheetName val="총괄내역"/>
      <sheetName val="공종별 집계표"/>
      <sheetName val="사급,관급자재대"/>
      <sheetName val="도급내역서 표지"/>
      <sheetName val="공사구성비"/>
      <sheetName val="목차"/>
      <sheetName val="간지"/>
      <sheetName val="소방사항"/>
      <sheetName val="0Title"/>
      <sheetName val="Customer_Databas5"/>
      <sheetName val="cover_5"/>
      <sheetName val="제출_(2)5"/>
      <sheetName val="4_전기5"/>
      <sheetName val="일_위_목_록_표3"/>
      <sheetName val="기존단가_(2)3"/>
      <sheetName val="97년_추정3"/>
      <sheetName val="BSD_(2)3"/>
      <sheetName val="BOQ_실행10_95"/>
      <sheetName val="1차_내역서5"/>
      <sheetName val="Sheet2_(2)5"/>
      <sheetName val="DESIGN_CRITERIA5"/>
      <sheetName val="코스모공장_(어음)4"/>
      <sheetName val="신고서_전4"/>
      <sheetName val="3월팀계_3"/>
      <sheetName val="노원열병합__건축공사기성내역서3"/>
      <sheetName val="VENDOR_LIST3"/>
      <sheetName val="Tender_Summary3"/>
      <sheetName val="Build_Up3"/>
      <sheetName val="Cash_Flows3"/>
      <sheetName val="Building_Input3"/>
      <sheetName val="Ⅴ-2_공종별내역3"/>
      <sheetName val="1_설계조건3"/>
      <sheetName val="완성차_미수금1"/>
      <sheetName val="_HIT-&gt;HMC_견적(3900)1"/>
      <sheetName val="AR1_011"/>
      <sheetName val="_3"/>
      <sheetName val="3련_BOX1"/>
      <sheetName val="Customer_Databas4"/>
      <sheetName val="cover_4"/>
      <sheetName val="제출_(2)4"/>
      <sheetName val="4_전기4"/>
      <sheetName val="일_위_목_록_표2"/>
      <sheetName val="기존단가_(2)2"/>
      <sheetName val="97년_추정2"/>
      <sheetName val="BSD_(2)2"/>
      <sheetName val="BOQ_실행10_94"/>
      <sheetName val="1차_내역서4"/>
      <sheetName val="Sheet2_(2)4"/>
      <sheetName val="DESIGN_CRITERIA4"/>
      <sheetName val="코스모공장_(어음)3"/>
      <sheetName val="신고서_전3"/>
      <sheetName val="3월팀계_2"/>
      <sheetName val="노원열병합__건축공사기성내역서2"/>
      <sheetName val="VENDOR_LIST2"/>
      <sheetName val="Tender_Summary2"/>
      <sheetName val="Build_Up2"/>
      <sheetName val="Cash_Flows2"/>
      <sheetName val="Building_Input2"/>
      <sheetName val="Ⅴ-2_공종별내역2"/>
      <sheetName val="1_설계조건2"/>
      <sheetName val="완성차_미수금"/>
      <sheetName val="_HIT-&gt;HMC_견적(3900)"/>
      <sheetName val="AR1_01"/>
      <sheetName val="_2"/>
      <sheetName val="3련_BOX"/>
      <sheetName val="구의33고"/>
      <sheetName val="정부노임단가"/>
      <sheetName val="인사자료총집계"/>
      <sheetName val="Customer_Databas6"/>
      <sheetName val="cover_6"/>
      <sheetName val="제출_(2)6"/>
      <sheetName val="4_전기6"/>
      <sheetName val="일_위_목_록_표4"/>
      <sheetName val="기존단가_(2)4"/>
      <sheetName val="97년_추정4"/>
      <sheetName val="BSD_(2)4"/>
      <sheetName val="BOQ_실행10_96"/>
      <sheetName val="1차_내역서6"/>
      <sheetName val="Sheet2_(2)6"/>
      <sheetName val="DESIGN_CRITERIA6"/>
      <sheetName val="코스모공장_(어음)5"/>
      <sheetName val="신고서_전5"/>
      <sheetName val="3월팀계_4"/>
      <sheetName val="노원열병합__건축공사기성내역서4"/>
      <sheetName val="VENDOR_LIST4"/>
      <sheetName val="Tender_Summary4"/>
      <sheetName val="Build_Up4"/>
      <sheetName val="Cash_Flows4"/>
      <sheetName val="Building_Input4"/>
      <sheetName val="Ⅴ-2_공종별내역4"/>
      <sheetName val="1_설계조건4"/>
      <sheetName val="완성차_미수금2"/>
      <sheetName val="_HIT-&gt;HMC_견적(3900)2"/>
      <sheetName val="AR1_012"/>
      <sheetName val="_4"/>
      <sheetName val="3련_BOX2"/>
      <sheetName val="MOTOR"/>
      <sheetName val="ABUT수량-A1"/>
      <sheetName val=" Pearson Korea - Estimate -0710"/>
      <sheetName val="개당손익0303"/>
      <sheetName val="옥내소화전계산서"/>
      <sheetName val="ASEM내역"/>
      <sheetName val="노임이"/>
      <sheetName val="암거날개벽"/>
      <sheetName val="별표"/>
      <sheetName val="1공구산출내역서"/>
      <sheetName val="교수설계"/>
      <sheetName val="견적"/>
      <sheetName val="반포2차"/>
      <sheetName val="자료입력"/>
      <sheetName val="송라터널총괄"/>
      <sheetName val="청주(철골발주의뢰서)"/>
      <sheetName val="당진1,2호기전선관설치및접지4차공사내역서-을지"/>
      <sheetName val="경비"/>
      <sheetName val="수목데이타 "/>
      <sheetName val="플랜트 설치"/>
      <sheetName val="DATA"/>
      <sheetName val="현장관리비"/>
      <sheetName val="견적내역"/>
      <sheetName val="공정집계_국별"/>
      <sheetName val="도급철콘내역"/>
      <sheetName val="천방교접속"/>
      <sheetName val="대포2교접속"/>
      <sheetName val="FAX"/>
      <sheetName val="관급자재"/>
      <sheetName val="도담구내 개소별 명세"/>
      <sheetName val="을부담운반비"/>
      <sheetName val="NEWDRAW"/>
      <sheetName val="code"/>
      <sheetName val="dtxl"/>
      <sheetName val="자판실행"/>
      <sheetName val="BOJUNGGM"/>
      <sheetName val=" 냉각수펌프"/>
      <sheetName val="BOQ-1"/>
      <sheetName val="BANG TONG HOP (2)"/>
      <sheetName val="단위중량"/>
      <sheetName val="직공비"/>
      <sheetName val="Y-WORK"/>
      <sheetName val="산업"/>
      <sheetName val="분석가정"/>
      <sheetName val="자재단가"/>
      <sheetName val="표  지"/>
      <sheetName val="항목등록"/>
      <sheetName val="자재테이블"/>
      <sheetName val="급여(현지화)"/>
      <sheetName val="품의서"/>
      <sheetName val="토목"/>
      <sheetName val="금액내역서"/>
      <sheetName val=" 내역"/>
      <sheetName val="상반기손익차2총괄"/>
      <sheetName val="시화점실행"/>
      <sheetName val="SHEET"/>
      <sheetName val="접지수량"/>
      <sheetName val="위치조서"/>
      <sheetName val="옥외외등집계표"/>
      <sheetName val="C3"/>
      <sheetName val="설직재-1"/>
      <sheetName val="참고1.분류"/>
      <sheetName val="설직재-Ú"/>
      <sheetName val="금액"/>
      <sheetName val="설직재-¾"/>
      <sheetName val="6PILE  (돌출)"/>
      <sheetName val="자동세륜기"/>
      <sheetName val="자금운용표"/>
      <sheetName val="참고1.椀ﻶ"/>
      <sheetName val="설직재-_x0000_"/>
      <sheetName val="설직재-؀"/>
      <sheetName val="건축공사"/>
      <sheetName val="설직재-¬"/>
      <sheetName val="17차"/>
      <sheetName val="______C_DATA_XLS_DONGAEST_MSO_2"/>
      <sheetName val="Macro(전선)"/>
      <sheetName val=""/>
      <sheetName val="설직재-뀀"/>
      <sheetName val="Customer_Databas7"/>
      <sheetName val="cover_7"/>
      <sheetName val="제출_(2)7"/>
      <sheetName val="4_전기7"/>
      <sheetName val="일_위_목_록_표5"/>
      <sheetName val="기존단가_(2)5"/>
      <sheetName val="97년_추정5"/>
      <sheetName val="BSD_(2)5"/>
      <sheetName val="BOQ_실행10_97"/>
      <sheetName val="1차_내역서7"/>
      <sheetName val="Sheet2_(2)7"/>
      <sheetName val="DESIGN_CRITERIA7"/>
      <sheetName val="코스모공장_(어음)6"/>
      <sheetName val="신고서_전6"/>
      <sheetName val="3월팀계_5"/>
      <sheetName val="노원열병합__건축공사기성내역서5"/>
      <sheetName val="VENDOR_LIST5"/>
      <sheetName val="Tender_Summary5"/>
      <sheetName val="Build_Up5"/>
      <sheetName val="Cash_Flows5"/>
      <sheetName val="Building_Input5"/>
      <sheetName val="Ⅴ-2_공종별내역5"/>
      <sheetName val="1_설계조건5"/>
      <sheetName val="완성차_미수금3"/>
      <sheetName val="_HIT-&gt;HMC_견적(3900)3"/>
      <sheetName val="AR1_013"/>
      <sheetName val="_5"/>
      <sheetName val="3련_BOX3"/>
      <sheetName val="일위대가표_(2)"/>
      <sheetName val="공종별_집계표"/>
      <sheetName val="도급내역서_표지"/>
      <sheetName val="_Pearson_Korea_-_Estimate_-0710"/>
      <sheetName val="수목데이타_"/>
      <sheetName val="플랜트_설치"/>
      <sheetName val="도담구내_개소별_명세"/>
      <sheetName val="_냉각수펌프"/>
      <sheetName val="BANG_TONG_HOP_(2)"/>
      <sheetName val="표__지"/>
      <sheetName val="_내역"/>
      <sheetName val="참고1_분류"/>
      <sheetName val="6PILE__(돌출)"/>
      <sheetName val="참고1_椀ﻶ"/>
      <sheetName val="암거단위"/>
      <sheetName val="공사비산출내역"/>
      <sheetName val="04,10,11"/>
      <sheetName val="요율"/>
      <sheetName val="현장식당(1)"/>
      <sheetName val="______C_DATA_XLS_DONGAEST_MSO_3"/>
      <sheetName val="Macro1"/>
      <sheetName val="내역표지"/>
      <sheetName val="노임,재료비"/>
      <sheetName val="측량요율"/>
      <sheetName val="총괄메뉴"/>
      <sheetName val="학생내역"/>
      <sheetName val="수문일위1"/>
    </sheetNames>
    <sheetDataSet>
      <sheetData sheetId="0"/>
      <sheetData sheetId="1"/>
      <sheetData sheetId="2"/>
      <sheetData sheetId="3"/>
      <sheetData sheetId="4"/>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refreshError="1"/>
      <sheetData sheetId="515"/>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refreshError="1"/>
      <sheetData sheetId="560" refreshError="1"/>
      <sheetData sheetId="561" refreshError="1"/>
      <sheetData sheetId="562" refreshError="1"/>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asd"/>
      <sheetName val="Customer Databas"/>
      <sheetName val="재료"/>
      <sheetName val="공사비총괄표"/>
      <sheetName val="약품공급2"/>
      <sheetName val="금액내역서"/>
      <sheetName val="중기"/>
      <sheetName val="일위대가표"/>
      <sheetName val="#REF"/>
      <sheetName val="입찰안"/>
      <sheetName val="실행(1)"/>
      <sheetName val="조명율표"/>
      <sheetName val="지하"/>
      <sheetName val="유림콘도"/>
      <sheetName val="정산내역서"/>
      <sheetName val="노임단가"/>
      <sheetName val="노임"/>
      <sheetName val="간접1"/>
      <sheetName val="개요"/>
      <sheetName val="Customer_Databas"/>
      <sheetName val="N賃率-職"/>
      <sheetName val="101동"/>
      <sheetName val="현장근무일지 (3)"/>
      <sheetName val="NAME"/>
      <sheetName val="Customer_Databas1"/>
      <sheetName val="현장근무일지_(3)"/>
      <sheetName val="교통대책내역"/>
      <sheetName val="원가"/>
      <sheetName val="98지급계획"/>
      <sheetName val="집계표"/>
      <sheetName val="표지"/>
      <sheetName val="Resource2"/>
      <sheetName val="노임이"/>
      <sheetName val="공사개요"/>
      <sheetName val="골조"/>
      <sheetName val="설계내역서"/>
      <sheetName val="일위대가"/>
      <sheetName val="토목주소"/>
      <sheetName val="프랜트면허"/>
      <sheetName val="일위"/>
      <sheetName val="#3_일위대가목록"/>
      <sheetName val="데리네이타현황"/>
      <sheetName val="갑지(추정)"/>
      <sheetName val="#2_일위대가목록"/>
      <sheetName val="단가비교표_공통1"/>
      <sheetName val="광장"/>
      <sheetName val="실행철강하도"/>
      <sheetName val="부서코드표"/>
      <sheetName val="인사자료총집계"/>
      <sheetName val="GAEYO"/>
      <sheetName val="금융"/>
      <sheetName val="유림골조"/>
      <sheetName val="제품원재"/>
    </sheetNames>
    <sheetDataSet>
      <sheetData sheetId="0"/>
      <sheetData sheetId="1" refreshError="1">
        <row r="1">
          <cell r="B1" t="str">
            <v>직종별</v>
          </cell>
        </row>
        <row r="2">
          <cell r="B2" t="str">
            <v xml:space="preserve">  갱부</v>
          </cell>
        </row>
        <row r="3">
          <cell r="B3" t="str">
            <v xml:space="preserve">  도목수</v>
          </cell>
        </row>
        <row r="4">
          <cell r="B4" t="str">
            <v xml:space="preserve">  건축목공</v>
          </cell>
        </row>
        <row r="5">
          <cell r="B5" t="str">
            <v xml:space="preserve">  형틀목공</v>
          </cell>
        </row>
        <row r="6">
          <cell r="B6" t="str">
            <v xml:space="preserve">  창호목공</v>
          </cell>
        </row>
        <row r="7">
          <cell r="B7" t="str">
            <v xml:space="preserve">  철골공</v>
          </cell>
        </row>
        <row r="8">
          <cell r="B8" t="str">
            <v xml:space="preserve">  철공</v>
          </cell>
        </row>
        <row r="9">
          <cell r="B9" t="str">
            <v xml:space="preserve">  철근공</v>
          </cell>
        </row>
        <row r="10">
          <cell r="B10" t="str">
            <v xml:space="preserve">  철판공</v>
          </cell>
        </row>
        <row r="11">
          <cell r="B11" t="str">
            <v xml:space="preserve">  셔터공</v>
          </cell>
        </row>
        <row r="12">
          <cell r="B12" t="str">
            <v xml:space="preserve">  샤시공</v>
          </cell>
        </row>
        <row r="13">
          <cell r="B13" t="str">
            <v xml:space="preserve">  절단공</v>
          </cell>
        </row>
        <row r="14">
          <cell r="B14" t="str">
            <v xml:space="preserve">  석공</v>
          </cell>
        </row>
        <row r="15">
          <cell r="B15" t="str">
            <v xml:space="preserve">  특수비계공</v>
          </cell>
        </row>
        <row r="16">
          <cell r="B16" t="str">
            <v xml:space="preserve">  비계공</v>
          </cell>
        </row>
        <row r="17">
          <cell r="B17" t="str">
            <v xml:space="preserve">  동발공(터널)</v>
          </cell>
        </row>
        <row r="18">
          <cell r="B18" t="str">
            <v xml:space="preserve">  조적공</v>
          </cell>
        </row>
        <row r="19">
          <cell r="B19" t="str">
            <v xml:space="preserve">  치장벽돌공</v>
          </cell>
        </row>
        <row r="20">
          <cell r="B20" t="str">
            <v xml:space="preserve">  벽돌(블록)제작공</v>
          </cell>
        </row>
        <row r="21">
          <cell r="B21" t="str">
            <v xml:space="preserve">  연돌공</v>
          </cell>
        </row>
        <row r="22">
          <cell r="B22" t="str">
            <v xml:space="preserve">  미장공</v>
          </cell>
        </row>
        <row r="23">
          <cell r="B23" t="str">
            <v xml:space="preserve">  방수공</v>
          </cell>
        </row>
        <row r="24">
          <cell r="B24" t="str">
            <v xml:space="preserve">  타일공</v>
          </cell>
        </row>
        <row r="25">
          <cell r="B25" t="str">
            <v xml:space="preserve">  줄눈공</v>
          </cell>
        </row>
        <row r="26">
          <cell r="B26" t="str">
            <v xml:space="preserve">  연마공</v>
          </cell>
        </row>
        <row r="27">
          <cell r="B27" t="str">
            <v xml:space="preserve">  콘크리트공</v>
          </cell>
        </row>
        <row r="28">
          <cell r="B28" t="str">
            <v xml:space="preserve">  바이브레타공</v>
          </cell>
        </row>
        <row r="29">
          <cell r="B29" t="str">
            <v xml:space="preserve">  콘크리트공(광의)</v>
          </cell>
        </row>
        <row r="30">
          <cell r="B30" t="str">
            <v xml:space="preserve">  보일러공</v>
          </cell>
        </row>
        <row r="31">
          <cell r="B31" t="str">
            <v xml:space="preserve">  배관공</v>
          </cell>
        </row>
        <row r="32">
          <cell r="B32" t="str">
            <v xml:space="preserve">  온돌공</v>
          </cell>
        </row>
        <row r="33">
          <cell r="B33" t="str">
            <v xml:space="preserve">  위생공</v>
          </cell>
        </row>
        <row r="34">
          <cell r="B34" t="str">
            <v xml:space="preserve">  보온공</v>
          </cell>
        </row>
        <row r="35">
          <cell r="B35" t="str">
            <v xml:space="preserve">  도장공</v>
          </cell>
        </row>
        <row r="36">
          <cell r="B36" t="str">
            <v xml:space="preserve">  내장공</v>
          </cell>
        </row>
        <row r="37">
          <cell r="B37" t="str">
            <v xml:space="preserve">  도배공</v>
          </cell>
        </row>
        <row r="38">
          <cell r="B38" t="str">
            <v xml:space="preserve">  아스타일공</v>
          </cell>
        </row>
        <row r="39">
          <cell r="B39" t="str">
            <v xml:space="preserve">  기와공</v>
          </cell>
        </row>
        <row r="40">
          <cell r="B40" t="str">
            <v xml:space="preserve">  슬레이트공</v>
          </cell>
        </row>
        <row r="41">
          <cell r="B41" t="str">
            <v xml:space="preserve">  지붕잇기공</v>
          </cell>
        </row>
        <row r="42">
          <cell r="B42" t="str">
            <v xml:space="preserve">  화약취급공</v>
          </cell>
        </row>
        <row r="43">
          <cell r="B43" t="str">
            <v xml:space="preserve">  착암공</v>
          </cell>
        </row>
        <row r="44">
          <cell r="B44" t="str">
            <v xml:space="preserve">  보안공</v>
          </cell>
        </row>
        <row r="45">
          <cell r="B45" t="str">
            <v xml:space="preserve">  포장공</v>
          </cell>
        </row>
        <row r="46">
          <cell r="B46" t="str">
            <v xml:space="preserve">  포설공</v>
          </cell>
        </row>
        <row r="47">
          <cell r="B47" t="str">
            <v xml:space="preserve">  궤도공</v>
          </cell>
        </row>
        <row r="48">
          <cell r="B48" t="str">
            <v xml:space="preserve">  용접공(철도)</v>
          </cell>
        </row>
        <row r="49">
          <cell r="B49" t="str">
            <v xml:space="preserve">  잠수공</v>
          </cell>
        </row>
        <row r="50">
          <cell r="B50" t="str">
            <v xml:space="preserve">  잠함공</v>
          </cell>
        </row>
        <row r="51">
          <cell r="B51" t="str">
            <v xml:space="preserve">  보링공(지질조사)</v>
          </cell>
        </row>
        <row r="52">
          <cell r="B52" t="str">
            <v xml:space="preserve">  우물공</v>
          </cell>
        </row>
        <row r="53">
          <cell r="B53" t="str">
            <v xml:space="preserve">  영림기사</v>
          </cell>
        </row>
        <row r="54">
          <cell r="B54" t="str">
            <v xml:space="preserve">  조경공</v>
          </cell>
        </row>
        <row r="55">
          <cell r="B55" t="str">
            <v xml:space="preserve">  벌목부</v>
          </cell>
        </row>
        <row r="56">
          <cell r="B56" t="str">
            <v xml:space="preserve">  조림인부</v>
          </cell>
        </row>
        <row r="57">
          <cell r="B57" t="str">
            <v xml:space="preserve">  플랜트기계설치공</v>
          </cell>
        </row>
        <row r="58">
          <cell r="B58" t="str">
            <v xml:space="preserve">  플랜트특수용접공</v>
          </cell>
        </row>
        <row r="59">
          <cell r="B59" t="str">
            <v xml:space="preserve">  플랜트용접공</v>
          </cell>
        </row>
        <row r="60">
          <cell r="B60" t="str">
            <v xml:space="preserve">  플랜트배관공</v>
          </cell>
        </row>
        <row r="61">
          <cell r="B61" t="str">
            <v xml:space="preserve">  플랜트제관공</v>
          </cell>
        </row>
        <row r="62">
          <cell r="B62" t="str">
            <v xml:space="preserve">  시공측량사</v>
          </cell>
        </row>
        <row r="63">
          <cell r="B63" t="str">
            <v xml:space="preserve">  시공측량사조수</v>
          </cell>
        </row>
        <row r="64">
          <cell r="B64" t="str">
            <v xml:space="preserve">  측부</v>
          </cell>
        </row>
        <row r="65">
          <cell r="B65" t="str">
            <v xml:space="preserve">  검조부</v>
          </cell>
        </row>
        <row r="66">
          <cell r="B66" t="str">
            <v xml:space="preserve">  송전전공</v>
          </cell>
        </row>
        <row r="67">
          <cell r="B67" t="str">
            <v xml:space="preserve">  송전활선전공</v>
          </cell>
        </row>
        <row r="68">
          <cell r="B68" t="str">
            <v xml:space="preserve">  배전전공</v>
          </cell>
        </row>
        <row r="69">
          <cell r="B69" t="str">
            <v xml:space="preserve">  배전활선전공</v>
          </cell>
        </row>
        <row r="70">
          <cell r="B70" t="str">
            <v xml:space="preserve">  플랜트전공</v>
          </cell>
        </row>
        <row r="71">
          <cell r="B71" t="str">
            <v xml:space="preserve">  내선전공</v>
          </cell>
        </row>
        <row r="72">
          <cell r="B72" t="str">
            <v xml:space="preserve">  특별고압케이블전공</v>
          </cell>
        </row>
        <row r="73">
          <cell r="B73" t="str">
            <v xml:space="preserve">  고압케이블전공</v>
          </cell>
        </row>
        <row r="74">
          <cell r="B74" t="str">
            <v xml:space="preserve">  저압케이블전공</v>
          </cell>
        </row>
        <row r="75">
          <cell r="B75" t="str">
            <v xml:space="preserve">  철도신호공</v>
          </cell>
        </row>
        <row r="76">
          <cell r="B76" t="str">
            <v xml:space="preserve">  계장공</v>
          </cell>
        </row>
        <row r="77">
          <cell r="B77" t="str">
            <v xml:space="preserve">  통신외선공</v>
          </cell>
        </row>
        <row r="78">
          <cell r="B78" t="str">
            <v xml:space="preserve">  통신설비공</v>
          </cell>
        </row>
        <row r="79">
          <cell r="B79" t="str">
            <v xml:space="preserve">  통신내선공</v>
          </cell>
        </row>
        <row r="80">
          <cell r="B80" t="str">
            <v xml:space="preserve">  통신케이블공</v>
          </cell>
        </row>
        <row r="81">
          <cell r="B81" t="str">
            <v xml:space="preserve">  무선안테나공</v>
          </cell>
        </row>
        <row r="82">
          <cell r="B82" t="str">
            <v xml:space="preserve">  수작업반장</v>
          </cell>
        </row>
        <row r="83">
          <cell r="B83" t="str">
            <v xml:space="preserve">  작업반장</v>
          </cell>
        </row>
        <row r="84">
          <cell r="B84" t="str">
            <v xml:space="preserve">  목도</v>
          </cell>
        </row>
        <row r="85">
          <cell r="B85" t="str">
            <v xml:space="preserve">  조력공</v>
          </cell>
        </row>
        <row r="86">
          <cell r="B86" t="str">
            <v xml:space="preserve">  특별인부</v>
          </cell>
        </row>
        <row r="87">
          <cell r="B87" t="str">
            <v xml:space="preserve">  보통인부</v>
          </cell>
        </row>
        <row r="88">
          <cell r="B88" t="str">
            <v xml:space="preserve">  건설기계운전기사</v>
          </cell>
        </row>
        <row r="89">
          <cell r="B89" t="str">
            <v xml:space="preserve">  건설기계조장</v>
          </cell>
        </row>
        <row r="90">
          <cell r="B90" t="str">
            <v xml:space="preserve">  운전사(운반차)</v>
          </cell>
        </row>
        <row r="91">
          <cell r="B91" t="str">
            <v xml:space="preserve">  운전사(기계)</v>
          </cell>
        </row>
        <row r="92">
          <cell r="B92" t="str">
            <v xml:space="preserve">  건설기계운전조수</v>
          </cell>
        </row>
        <row r="93">
          <cell r="B93" t="str">
            <v xml:space="preserve">  고급선원</v>
          </cell>
        </row>
        <row r="94">
          <cell r="B94" t="str">
            <v xml:space="preserve">  보통선원</v>
          </cell>
        </row>
        <row r="95">
          <cell r="B95" t="str">
            <v xml:space="preserve">  선부</v>
          </cell>
        </row>
        <row r="96">
          <cell r="B96" t="str">
            <v xml:space="preserve">  준설선선장</v>
          </cell>
        </row>
        <row r="97">
          <cell r="B97" t="str">
            <v xml:space="preserve">  준설선기관장</v>
          </cell>
        </row>
        <row r="98">
          <cell r="B98" t="str">
            <v xml:space="preserve">  준설선기관사</v>
          </cell>
        </row>
        <row r="99">
          <cell r="B99" t="str">
            <v xml:space="preserve">  준설선운전사</v>
          </cell>
        </row>
        <row r="100">
          <cell r="B100" t="str">
            <v xml:space="preserve">  준설선전기사</v>
          </cell>
        </row>
        <row r="101">
          <cell r="B101" t="str">
            <v xml:space="preserve">  기계설치공</v>
          </cell>
        </row>
        <row r="102">
          <cell r="B102" t="str">
            <v xml:space="preserve">  기계공 </v>
          </cell>
        </row>
        <row r="103">
          <cell r="B103" t="str">
            <v xml:space="preserve">  선반공</v>
          </cell>
        </row>
        <row r="104">
          <cell r="B104" t="str">
            <v xml:space="preserve">  정비공</v>
          </cell>
        </row>
        <row r="105">
          <cell r="B105" t="str">
            <v xml:space="preserve">  벨트콘베이어작업공</v>
          </cell>
        </row>
        <row r="106">
          <cell r="B106" t="str">
            <v xml:space="preserve">  현도사</v>
          </cell>
        </row>
        <row r="107">
          <cell r="B107" t="str">
            <v xml:space="preserve">  제도사</v>
          </cell>
        </row>
        <row r="108">
          <cell r="B108" t="str">
            <v xml:space="preserve">  시험사1급</v>
          </cell>
        </row>
        <row r="109">
          <cell r="B109" t="str">
            <v xml:space="preserve">  시험사2급</v>
          </cell>
        </row>
        <row r="110">
          <cell r="B110" t="str">
            <v xml:space="preserve">  시험사3급</v>
          </cell>
        </row>
        <row r="111">
          <cell r="B111" t="str">
            <v xml:space="preserve">  시험사4급</v>
          </cell>
        </row>
        <row r="112">
          <cell r="B112" t="str">
            <v xml:space="preserve">  시험보조수</v>
          </cell>
        </row>
        <row r="113">
          <cell r="B113" t="str">
            <v xml:space="preserve">  유리공</v>
          </cell>
        </row>
        <row r="114">
          <cell r="B114" t="str">
            <v xml:space="preserve">  함석공</v>
          </cell>
        </row>
        <row r="115">
          <cell r="B115" t="str">
            <v xml:space="preserve">  용접공(일반)</v>
          </cell>
        </row>
        <row r="116">
          <cell r="B116" t="str">
            <v xml:space="preserve">  리벳공</v>
          </cell>
        </row>
        <row r="117">
          <cell r="B117" t="str">
            <v xml:space="preserve">  루핑공</v>
          </cell>
        </row>
        <row r="118">
          <cell r="B118" t="str">
            <v xml:space="preserve">  닥트공</v>
          </cell>
        </row>
        <row r="119">
          <cell r="B119" t="str">
            <v xml:space="preserve">  대장공</v>
          </cell>
        </row>
        <row r="120">
          <cell r="B120" t="str">
            <v xml:space="preserve">  할석공</v>
          </cell>
        </row>
        <row r="121">
          <cell r="B121" t="str">
            <v xml:space="preserve">  제철축로공</v>
          </cell>
        </row>
        <row r="122">
          <cell r="B122" t="str">
            <v xml:space="preserve">  양생공</v>
          </cell>
        </row>
        <row r="123">
          <cell r="B123" t="str">
            <v xml:space="preserve">  계령공</v>
          </cell>
        </row>
        <row r="124">
          <cell r="B124" t="str">
            <v xml:space="preserve">  모래분사공</v>
          </cell>
        </row>
        <row r="125">
          <cell r="B125" t="str">
            <v xml:space="preserve">  사공(배포함)</v>
          </cell>
        </row>
        <row r="126">
          <cell r="B126" t="str">
            <v xml:space="preserve">  마부(우마차포함)</v>
          </cell>
        </row>
        <row r="127">
          <cell r="B127" t="str">
            <v xml:space="preserve">  제재공</v>
          </cell>
        </row>
        <row r="128">
          <cell r="B128" t="str">
            <v xml:space="preserve">  철도궤도공</v>
          </cell>
        </row>
        <row r="129">
          <cell r="B129" t="str">
            <v xml:space="preserve">  지적기사1급</v>
          </cell>
        </row>
        <row r="130">
          <cell r="B130" t="str">
            <v xml:space="preserve">  지적기사2급</v>
          </cell>
        </row>
        <row r="131">
          <cell r="B131" t="str">
            <v xml:space="preserve">  지적기능사1급</v>
          </cell>
        </row>
        <row r="132">
          <cell r="B132" t="str">
            <v xml:space="preserve">  지적기능사2급</v>
          </cell>
        </row>
        <row r="133">
          <cell r="B133" t="str">
            <v xml:space="preserve">  견출공</v>
          </cell>
        </row>
        <row r="134">
          <cell r="B134" t="str">
            <v xml:space="preserve">  판넬조립공</v>
          </cell>
        </row>
        <row r="135">
          <cell r="B135" t="str">
            <v xml:space="preserve">  기술사</v>
          </cell>
        </row>
        <row r="136">
          <cell r="B136" t="str">
            <v xml:space="preserve">  특급기술자</v>
          </cell>
        </row>
        <row r="137">
          <cell r="B137" t="str">
            <v xml:space="preserve">  고급기술자</v>
          </cell>
        </row>
        <row r="138">
          <cell r="B138" t="str">
            <v xml:space="preserve">  중급기술자</v>
          </cell>
        </row>
        <row r="139">
          <cell r="B139" t="str">
            <v xml:space="preserve">  초급기술자</v>
          </cell>
        </row>
        <row r="140">
          <cell r="B140" t="str">
            <v xml:space="preserve">  고급기능사</v>
          </cell>
        </row>
        <row r="141">
          <cell r="B141" t="str">
            <v xml:space="preserve">  중급기능사</v>
          </cell>
        </row>
        <row r="142">
          <cell r="B142" t="str">
            <v xml:space="preserve">  초급기능사</v>
          </cell>
        </row>
        <row r="65536">
          <cell r="B65536" t="str">
            <v>직종별</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참고자료"/>
      <sheetName val="월별"/>
      <sheetName val="업종별"/>
      <sheetName val="이윤율"/>
      <sheetName val="계약금액별"/>
      <sheetName val="공정별"/>
      <sheetName val="매출자료 집계"/>
      <sheetName val="매출그래프"/>
      <sheetName val="본부총합"/>
      <sheetName val="국내1"/>
      <sheetName val="국내2"/>
      <sheetName val="국제부"/>
      <sheetName val="총괄표"/>
      <sheetName val="금액 업종별"/>
      <sheetName val="98-200"/>
      <sheetName val="실행내역"/>
      <sheetName val="개요"/>
      <sheetName val="asd"/>
      <sheetName val="2000-1분기"/>
      <sheetName val="목표대비,수금"/>
      <sheetName val="내역서"/>
      <sheetName val="SIL98"/>
      <sheetName val="220 (2)"/>
      <sheetName val="손익분석"/>
      <sheetName val="직노"/>
      <sheetName val="DB"/>
      <sheetName val="Customer Databas"/>
      <sheetName val="내역"/>
      <sheetName val="노임"/>
      <sheetName val="매출자료_집계"/>
      <sheetName val="금액_업종별"/>
      <sheetName val="220_(2)"/>
      <sheetName val="재료비내역서"/>
      <sheetName val="금액내역서"/>
      <sheetName val="견적서"/>
      <sheetName val="일위대가표"/>
      <sheetName val="0226"/>
      <sheetName val="화재 탐지 설비"/>
      <sheetName val="매출자료_집계1"/>
      <sheetName val="금액_업종별1"/>
      <sheetName val="220_(2)1"/>
      <sheetName val="Customer_Databas"/>
      <sheetName val="화재_탐지_설비"/>
      <sheetName val="MAIN_TABLE"/>
      <sheetName val="200"/>
      <sheetName val="백암비스타내역"/>
      <sheetName val="제경비율"/>
      <sheetName val="연부97-1"/>
      <sheetName val="입찰안"/>
      <sheetName val="인사자료총집계"/>
      <sheetName val="갑지1"/>
      <sheetName val="설계내역서"/>
      <sheetName val="집계표"/>
      <sheetName val="#REF"/>
      <sheetName val="FILE1"/>
      <sheetName val="견적"/>
      <sheetName val="TB-내역서"/>
      <sheetName val="실행철강하도"/>
      <sheetName val="정산내역서"/>
      <sheetName val="실행"/>
      <sheetName val="부안일위"/>
      <sheetName val="구조물공"/>
      <sheetName val="약품공급2"/>
      <sheetName val="1차설계변경내역"/>
      <sheetName val="공사개요"/>
      <sheetName val="토목주소"/>
      <sheetName val="프랜트면허"/>
      <sheetName val="세금계산서List"/>
      <sheetName val="종합표"/>
      <sheetName val="신규 수주분(사용자 정의)"/>
      <sheetName val="동해title"/>
      <sheetName val="대공종"/>
      <sheetName val="지하1층"/>
      <sheetName val="부서코드표"/>
      <sheetName val="토공내역"/>
      <sheetName val="표지"/>
      <sheetName val="96정변2"/>
      <sheetName val="소방"/>
      <sheetName val="당초"/>
      <sheetName val="N賃率-職"/>
      <sheetName val="설계명세"/>
      <sheetName val="조명시설"/>
      <sheetName val="전기내역"/>
      <sheetName val="건축내역"/>
    </sheetNames>
    <sheetDataSet>
      <sheetData sheetId="0" refreshError="1">
        <row r="2">
          <cell r="Q2" t="str">
            <v>대 외 비</v>
          </cell>
        </row>
        <row r="3">
          <cell r="Q3" t="str">
            <v>대 외 비</v>
          </cell>
        </row>
        <row r="4">
          <cell r="O4" t="str">
            <v>결</v>
          </cell>
          <cell r="P4" t="str">
            <v>담  당</v>
          </cell>
          <cell r="Q4" t="str">
            <v>전  무</v>
          </cell>
          <cell r="R4" t="str">
            <v>사  장</v>
          </cell>
        </row>
        <row r="6">
          <cell r="O6" t="str">
            <v>결</v>
          </cell>
          <cell r="P6" t="str">
            <v>담  당</v>
          </cell>
          <cell r="Q6" t="str">
            <v>전  무</v>
          </cell>
          <cell r="R6" t="str">
            <v>사  장</v>
          </cell>
        </row>
        <row r="7">
          <cell r="O7" t="str">
            <v>재</v>
          </cell>
        </row>
        <row r="9">
          <cell r="O9" t="str">
            <v>재</v>
          </cell>
        </row>
        <row r="10">
          <cell r="A10" t="str">
            <v>2000년도 1/4분기 원가관리 보고</v>
          </cell>
        </row>
        <row r="11">
          <cell r="A11" t="str">
            <v>2000년도 1/4분기 원가관리 보고</v>
          </cell>
        </row>
        <row r="12">
          <cell r="A12" t="str">
            <v>(1999년도 고실행 현장분 포함 산정)</v>
          </cell>
        </row>
        <row r="15">
          <cell r="A15" t="str">
            <v>(1999년도 고실행 현장분 포함 산정)</v>
          </cell>
        </row>
        <row r="16">
          <cell r="G16" t="str">
            <v>참고 자료: 1998년 ~ 2000년 1/4분기 대비자료</v>
          </cell>
        </row>
        <row r="17">
          <cell r="G17" t="str">
            <v>1. 월별 이윤율</v>
          </cell>
        </row>
        <row r="18">
          <cell r="G18" t="str">
            <v>2. 공종별 이윤율</v>
          </cell>
        </row>
        <row r="19">
          <cell r="G19" t="str">
            <v>3. 현장 건수별/ 본부별 이윤율</v>
          </cell>
        </row>
        <row r="20">
          <cell r="G20" t="str">
            <v>4. 계약금액별 이윤율</v>
          </cell>
        </row>
        <row r="21">
          <cell r="G21" t="str">
            <v>5. 공종별 이윤율</v>
          </cell>
        </row>
        <row r="22">
          <cell r="G22" t="str">
            <v>6. 1998년 ~ 2000년 출력인원/ 현장수/ 공사계약금액 대비</v>
          </cell>
        </row>
        <row r="23">
          <cell r="G23" t="str">
            <v>7. 1/4분기 입찰수행공사 이윤율 비교</v>
          </cell>
        </row>
        <row r="24">
          <cell r="G24" t="str">
            <v>8. 계약 확정 매출자료(1999/ 2000년)</v>
          </cell>
        </row>
        <row r="25">
          <cell r="G25" t="str">
            <v>9. 1/4분기 원가 집계자료(본부별, 공종별, 계약금액 순서별)</v>
          </cell>
        </row>
        <row r="29">
          <cell r="G29" t="str">
            <v>9. 1/4분기 원가 집계자료(본부별, 공종별, 계약금액 순서별)</v>
          </cell>
        </row>
        <row r="30">
          <cell r="A30" t="str">
            <v>2000.  04. 17</v>
          </cell>
        </row>
        <row r="36">
          <cell r="A36" t="str">
            <v>2000.  04. 17</v>
          </cell>
        </row>
        <row r="37">
          <cell r="A37" t="str">
            <v>공무팀</v>
          </cell>
        </row>
        <row r="46">
          <cell r="A46" t="str">
            <v>공무팀</v>
          </cell>
        </row>
        <row r="47">
          <cell r="A47" t="str">
            <v xml:space="preserve">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자율"/>
      <sheetName val="소트"/>
      <sheetName val="쏘트자료"/>
      <sheetName val="환율이자율"/>
      <sheetName val="44소트"/>
      <sheetName val="34쏘트"/>
      <sheetName val="24쏘트"/>
      <sheetName val="44이자율"/>
      <sheetName val="34이자율"/>
      <sheetName val="44쏘트자료"/>
      <sheetName val="34쏘트자료"/>
      <sheetName val="24쏘트자료"/>
      <sheetName val="24이자율"/>
      <sheetName val="인건비(010330)"/>
      <sheetName val="월간"/>
      <sheetName val="판매량"/>
      <sheetName val="업종코드"/>
      <sheetName val="Intro2"/>
      <sheetName val="Id"/>
      <sheetName val="수정시산표"/>
      <sheetName val="Project_CF"/>
      <sheetName val="공사개요"/>
      <sheetName val="1Month+Sheet2!"/>
      <sheetName val="회사정보"/>
      <sheetName val="매입현황"/>
      <sheetName val="수입"/>
      <sheetName val="98지급계획"/>
      <sheetName val="Initial Input Variable"/>
      <sheetName val="효용적수"/>
      <sheetName val="수지차(년)"/>
      <sheetName val="OPREV(대한)"/>
      <sheetName val="인원계획-미화"/>
      <sheetName val="노임단가"/>
      <sheetName val="1월"/>
      <sheetName val="본사감가상각대장(비품)"/>
      <sheetName val="관계주식"/>
      <sheetName val="세금계산서유"/>
      <sheetName val="Menu_Link"/>
      <sheetName val="퇴충98"/>
      <sheetName val="이름"/>
      <sheetName val="Convert"/>
      <sheetName val="1-7(재가공내역)"/>
      <sheetName val="99선급비용"/>
      <sheetName val="입찰안"/>
      <sheetName val="97년"/>
      <sheetName val="평가결과_사본"/>
      <sheetName val="98실적"/>
      <sheetName val="현장"/>
      <sheetName val="판매용03"/>
      <sheetName val="서식시트"/>
      <sheetName val="매출원가"/>
      <sheetName val="상정안건"/>
      <sheetName val="WorldQuest"/>
      <sheetName val="집계"/>
      <sheetName val="퇴직기초"/>
      <sheetName val="산출내역(1)"/>
      <sheetName val="견"/>
      <sheetName val="투자예산"/>
      <sheetName val="연구인원내역"/>
      <sheetName val="현장별미수"/>
      <sheetName val="외화계약"/>
      <sheetName val="AIR SHOWER(3인용)"/>
      <sheetName val="종합2"/>
      <sheetName val="118.세금과공과"/>
      <sheetName val="보험금"/>
      <sheetName val="상품입고집계"/>
      <sheetName val="1.취수장"/>
      <sheetName val="하조서"/>
      <sheetName val="15"/>
      <sheetName val="入力用(家賃)"/>
      <sheetName val="入力用(駐車)"/>
      <sheetName val="98년간분기"/>
      <sheetName val="건물대사"/>
      <sheetName val="손익분석"/>
      <sheetName val="임대손익"/>
      <sheetName val="XREF"/>
      <sheetName val="조정전"/>
      <sheetName val="평가금액"/>
      <sheetName val="집연95"/>
      <sheetName val="특수직호봉표"/>
      <sheetName val="admin"/>
      <sheetName val="자료"/>
      <sheetName val="코드"/>
      <sheetName val="매매손실준비금"/>
      <sheetName val="Asset98-CAK"/>
      <sheetName val="출자한도"/>
      <sheetName val="CODE"/>
      <sheetName val="PMP등급_9월"/>
      <sheetName val="지급이자"/>
      <sheetName val="산출근거"/>
      <sheetName val="비주거용"/>
      <sheetName val="집계표"/>
      <sheetName val="표지"/>
      <sheetName val="요약BS"/>
      <sheetName val="신구계정대사표"/>
      <sheetName val="경영비율 "/>
      <sheetName val="명세표"/>
      <sheetName val="표준지"/>
      <sheetName val="상여 (2)"/>
      <sheetName val="도급"/>
      <sheetName val="Initial_Input_Variable"/>
      <sheetName val="#REF"/>
      <sheetName val="機器明細(MC)"/>
      <sheetName val="시산표"/>
      <sheetName val="PHTC"/>
      <sheetName val="노무비"/>
      <sheetName val="설계내역서"/>
      <sheetName val="EJ"/>
      <sheetName val="S&amp;R"/>
      <sheetName val="품의서취합"/>
      <sheetName val="총원"/>
      <sheetName val="Control Sheet"/>
      <sheetName val="대리이하_상신양식"/>
      <sheetName val="견적대비"/>
      <sheetName val="Sheet1"/>
      <sheetName val="주요품목별판매실적"/>
      <sheetName val="보정사항"/>
      <sheetName val="합천내역"/>
      <sheetName val="2012년 하반기 승진안 및 상신양식_디자인 파트.xls"/>
      <sheetName val="등록자료"/>
      <sheetName val="인사자료총집계"/>
      <sheetName val="대리이하_승진"/>
      <sheetName val="이자수익보조부"/>
      <sheetName val="SIL98"/>
      <sheetName val="GRAPH"/>
      <sheetName val="현장기성(공사)"/>
      <sheetName val="하수급견적대비"/>
      <sheetName val="이코스"/>
      <sheetName val="부재예실1월"/>
      <sheetName val="04_도료_전체_하순"/>
      <sheetName val="실적"/>
      <sheetName val="단가"/>
      <sheetName val="울산자금"/>
      <sheetName val="자금청구"/>
      <sheetName val="당좌개설보증용"/>
      <sheetName val="금강투자2000"/>
      <sheetName val="당초"/>
      <sheetName val="신림자금"/>
      <sheetName val="GC산출"/>
      <sheetName val="Sheet4"/>
      <sheetName val="BASE"/>
      <sheetName val="조경내역"/>
      <sheetName val="건축비목군분류"/>
      <sheetName val="두께별"/>
      <sheetName val="승용"/>
      <sheetName val="상용"/>
      <sheetName val="준검 내역서"/>
      <sheetName val="실행내역"/>
      <sheetName val="총괄"/>
      <sheetName val="건재양식"/>
      <sheetName val="CAUDIT"/>
      <sheetName val="00실적"/>
      <sheetName val="배수통관(좌)"/>
      <sheetName val="판촉계획(고정)"/>
      <sheetName val="건설성적"/>
      <sheetName val="세부(종합)"/>
      <sheetName val="2. 2012년 실행계획 수립 및 대상선정용 SHEET."/>
      <sheetName val="FG"/>
      <sheetName val="부서"/>
      <sheetName val="보통예금"/>
      <sheetName val="당좌차월"/>
      <sheetName val="가격표"/>
      <sheetName val="산출근거1"/>
      <sheetName val="적격심사표"/>
      <sheetName val="이익잉여금처분계산서"/>
      <sheetName val="재무상태변동표"/>
      <sheetName val="제조원가명세서"/>
      <sheetName val="현금흐름표"/>
      <sheetName val="Macro1"/>
      <sheetName val="공정가치"/>
      <sheetName val="인원_20001101"/>
      <sheetName val="투자2"/>
      <sheetName val="단가비교"/>
      <sheetName val="입력_판매"/>
      <sheetName val="정산표"/>
      <sheetName val="종합표"/>
      <sheetName val="주소 작성"/>
      <sheetName val="타계정에서 명세서(PL상)"/>
      <sheetName val="상품수불"/>
      <sheetName val="5907"/>
      <sheetName val="편성절차"/>
      <sheetName val="지급어음(일별)"/>
      <sheetName val="생산직"/>
      <sheetName val="9-1차이내역"/>
      <sheetName val="KA011205"/>
      <sheetName val="5사남"/>
      <sheetName val="손익"/>
      <sheetName val="변동"/>
      <sheetName val="STROKE별 단가"/>
      <sheetName val="8월차잔"/>
      <sheetName val="FAB별"/>
      <sheetName val="Sheet3"/>
      <sheetName val="내역"/>
      <sheetName val="3월연장근무"/>
      <sheetName val="당기추가완료"/>
      <sheetName val="주요재무비율"/>
      <sheetName val="LIST"/>
      <sheetName val="AIR_SHOWER(3인용)"/>
      <sheetName val="경영비율_"/>
      <sheetName val="상여_(2)"/>
      <sheetName val="118_세금과공과"/>
      <sheetName val="1_취수장"/>
      <sheetName val="재료비집계표"/>
      <sheetName val="외화가수금"/>
      <sheetName val="2001Org"/>
      <sheetName val="소계정"/>
      <sheetName val="본부96(1차)"/>
      <sheetName val="월소계정(최종)"/>
      <sheetName val="본부증가(최종)"/>
      <sheetName val="배부기준별비용"/>
      <sheetName val="unit배부표"/>
      <sheetName val="비교표"/>
      <sheetName val="초고압제조원가계획"/>
      <sheetName val="고압제조원가계획"/>
      <sheetName val="Mark"/>
      <sheetName val="1. Svc_Sales"/>
      <sheetName val="2. Portfolio"/>
      <sheetName val="3. SVC_Price(Avg)"/>
      <sheetName val="4.  Net Gain"/>
      <sheetName val="5.1Q_SVC(callback)"/>
      <sheetName val="5.2 Q_SVC(Response)"/>
      <sheetName val="5.3 Q_SVC(all)"/>
      <sheetName val="SVC_Portfolio(1)"/>
      <sheetName val="2008년판매현황 (조정)"/>
      <sheetName val="참고_장르별매출"/>
      <sheetName val="무형자산명세서"/>
      <sheetName val="내외국인총괄"/>
      <sheetName val="3월"/>
      <sheetName val="그래프 (2)"/>
      <sheetName val="2.대상자"/>
      <sheetName val="정보"/>
      <sheetName val="데이터베이스"/>
      <sheetName val="9903말 현재"/>
      <sheetName val="당월금액"/>
      <sheetName val="ATM기초철가"/>
      <sheetName val="외화평가"/>
      <sheetName val="제품단가"/>
      <sheetName val="그래프_(2)"/>
      <sheetName val="2_대상자"/>
      <sheetName val="9903말_현재"/>
      <sheetName val="Control_Sheet"/>
      <sheetName val="AIR_SHOWER(3인용)1"/>
      <sheetName val="그래프_(2)1"/>
      <sheetName val="2_대상자1"/>
      <sheetName val="9903말_현재1"/>
      <sheetName val="Control_Sheet1"/>
      <sheetName val="MAIN"/>
      <sheetName val="지역개발"/>
      <sheetName val="재고자산명세"/>
      <sheetName val="96"/>
      <sheetName val="총무팀"/>
      <sheetName val="마포-임현"/>
      <sheetName val="ELECTRIC"/>
      <sheetName val="계산요약"/>
      <sheetName val="Ⅱ1-0타"/>
      <sheetName val="Cover"/>
      <sheetName val="#3_일위대가목록"/>
      <sheetName val="#2_일위대가목록"/>
      <sheetName val="지점_가격정보보고양식(면목지점)"/>
      <sheetName val="09년지점목표"/>
      <sheetName val="SQL Statement"/>
      <sheetName val="급여인상효과-연간부담분"/>
      <sheetName val="현장코드"/>
      <sheetName val="협조전"/>
      <sheetName val="대차대조표"/>
      <sheetName val="3-31"/>
      <sheetName val="금융"/>
      <sheetName val="은행"/>
      <sheetName val="리스"/>
      <sheetName val="보험"/>
      <sheetName val="24.보증금(전신전화가입권)"/>
      <sheetName val="일별자금"/>
      <sheetName val="증감내역서"/>
      <sheetName val="민감도"/>
      <sheetName val="내역서"/>
      <sheetName val="95TOTREV"/>
      <sheetName val="T6-6(2)"/>
      <sheetName val="인건비"/>
      <sheetName val="04년 투자전망"/>
      <sheetName val="2. Financial Performance"/>
      <sheetName val="DB"/>
      <sheetName val="견적서"/>
      <sheetName val="98수문일위"/>
      <sheetName val="진도말"/>
      <sheetName val="교통대책내역"/>
      <sheetName val="연부97-1"/>
      <sheetName val="주요기준"/>
      <sheetName val="T48a"/>
      <sheetName val="단말기누계"/>
      <sheetName val="A4공장"/>
      <sheetName val="sw1"/>
      <sheetName val="입찰보고"/>
      <sheetName val="총괄-1"/>
      <sheetName val="DATA"/>
      <sheetName val="콘센트신설"/>
      <sheetName val="FILE1"/>
      <sheetName val="유형분류"/>
      <sheetName val="예산실적전체당월"/>
      <sheetName val="배합비(2,3.4분기)"/>
      <sheetName val="부재예실"/>
      <sheetName val="BTS-시범물량"/>
      <sheetName val="제조원가"/>
      <sheetName val="tsuga"/>
      <sheetName val="진천"/>
      <sheetName val="가중평균 보통주식02"/>
      <sheetName val="가중평균 보통주식01"/>
      <sheetName val="완성차 미수금"/>
      <sheetName val="내역서변경성원"/>
      <sheetName val="별첨3.실패원팀"/>
      <sheetName val="매출액월별가중치"/>
      <sheetName val="외주정비"/>
      <sheetName val="매장판(BR)"/>
      <sheetName val="수익성분석2"/>
      <sheetName val="용소리교"/>
      <sheetName val="투자자산명세서"/>
      <sheetName val="외화금융(97-03)"/>
      <sheetName val="제조원가조정"/>
      <sheetName val="총괄표"/>
      <sheetName val="사원명부"/>
      <sheetName val="관급"/>
      <sheetName val="AC List"/>
      <sheetName val="상가매매0115"/>
      <sheetName val="상가임대0115"/>
      <sheetName val="본관내역서"/>
      <sheetName val="DATA_Garak"/>
      <sheetName val="DATA_Total"/>
      <sheetName val="DATA_Kwangju"/>
      <sheetName val="DATA_Daejeon"/>
      <sheetName val="DATA_Sadang"/>
      <sheetName val="DATA_Yangjae"/>
      <sheetName val="DATA_Yoido"/>
      <sheetName val="DATA_Ulsan"/>
      <sheetName val="DATA_Incheon"/>
      <sheetName val="DATA_Jeonju"/>
      <sheetName val="한일자야(감액손실) (2)"/>
      <sheetName val="Data Sheet"/>
      <sheetName val="설치공사비"/>
      <sheetName val="97년 추정"/>
      <sheetName val="매출및수주이익"/>
      <sheetName val="GRADE별 투입원단위"/>
      <sheetName val="경비세목"/>
      <sheetName val="SMXEXPS"/>
      <sheetName val="전환대상"/>
      <sheetName val="영외수지"/>
      <sheetName val="STROKE별_단가"/>
      <sheetName val="준검_내역서"/>
      <sheetName val="Executive Summary"/>
      <sheetName val="Labels"/>
      <sheetName val="Executive_Summary"/>
      <sheetName val="AIR_SHOWER(3인용)2"/>
      <sheetName val="그래프_(2)2"/>
      <sheetName val="2_대상자2"/>
      <sheetName val="9903말_현재2"/>
      <sheetName val="Control_Sheet2"/>
      <sheetName val="1__Svc_Sales"/>
      <sheetName val="2__Portfolio"/>
      <sheetName val="3__SVC_Price(Avg)"/>
      <sheetName val="4___Net_Gain"/>
      <sheetName val="5_1Q_SVC(callback)"/>
      <sheetName val="5_2_Q_SVC(Response)"/>
      <sheetName val="5_3_Q_SVC(all)"/>
      <sheetName val="2008년판매현황_(조정)"/>
      <sheetName val="SQL_Statement"/>
      <sheetName val="주소_작성"/>
      <sheetName val="BS Prior"/>
      <sheetName val="ls"/>
      <sheetName val="재공품(3)"/>
      <sheetName val="표준원가표(2)"/>
      <sheetName val="공통"/>
      <sheetName val="03中"/>
      <sheetName val="분개집계"/>
      <sheetName val="해외사업"/>
      <sheetName val="첨부1"/>
      <sheetName val="이자율별 차입금 적수"/>
      <sheetName val="TENSCH"/>
      <sheetName val="Sheet1 (2)"/>
      <sheetName val="0.0ControlSheet"/>
      <sheetName val="0.1keyAssumption"/>
      <sheetName val="선급비용"/>
      <sheetName val="익월작업계힉"/>
      <sheetName val="직노"/>
      <sheetName val="Data(인원)"/>
      <sheetName val="투찰(하수)"/>
      <sheetName val="재무제표"/>
      <sheetName val="자료입력"/>
      <sheetName val="남양내역"/>
      <sheetName val="12"/>
      <sheetName val="차량별점검"/>
      <sheetName val="区分一覧表"/>
      <sheetName val="송전기본"/>
      <sheetName val="9710"/>
      <sheetName val="평가예상(200308)"/>
      <sheetName val="96수출"/>
      <sheetName val="◀-▶"/>
      <sheetName val="버튼"/>
      <sheetName val="판매추이"/>
      <sheetName val="pt_기투자금액"/>
      <sheetName val="pt_출자_분배"/>
      <sheetName val="***********************00"/>
      <sheetName val="Q2 Actual"/>
      <sheetName val="Q3 actuals"/>
      <sheetName val="본사"/>
      <sheetName val="2__2012년_실행계획_수립_및_대상선정용_SHEET_"/>
      <sheetName val="배합비(2,3_4분기)"/>
      <sheetName val="완성차_미수금"/>
      <sheetName val="BS"/>
      <sheetName val="LOOKUP"/>
      <sheetName val="AIR_SHOWER(3인용)3"/>
      <sheetName val="그래프_(2)3"/>
      <sheetName val="2_대상자3"/>
      <sheetName val="9903말_현재3"/>
      <sheetName val="Control_Sheet3"/>
      <sheetName val="1_취수장1"/>
      <sheetName val="118_세금과공과1"/>
      <sheetName val="1__Svc_Sales1"/>
      <sheetName val="2__Portfolio1"/>
      <sheetName val="3__SVC_Price(Avg)1"/>
      <sheetName val="4___Net_Gain1"/>
      <sheetName val="5_1Q_SVC(callback)1"/>
      <sheetName val="5_2_Q_SVC(Response)1"/>
      <sheetName val="5_3_Q_SVC(all)1"/>
      <sheetName val="2008년판매현황_(조정)1"/>
      <sheetName val="Initial_Input_Variable1"/>
      <sheetName val="경영비율_1"/>
      <sheetName val="상여_(2)1"/>
      <sheetName val="준검_내역서1"/>
      <sheetName val="SQL_Statement1"/>
      <sheetName val="주소_작성1"/>
      <sheetName val="2012년_하반기_승진안_및_상신양식_디자인_파트_xls"/>
      <sheetName val="24_보증금(전신전화가입권)"/>
      <sheetName val="04년_투자전망"/>
      <sheetName val="가중평균_보통주식02"/>
      <sheetName val="가중평균_보통주식01"/>
      <sheetName val="타계정에서_명세서(PL상)"/>
      <sheetName val="BS_Prior"/>
      <sheetName val="별첨3_실패원팀"/>
      <sheetName val="직영2"/>
      <sheetName val="부동산현황표"/>
      <sheetName val="BS(5월-경리과)"/>
      <sheetName val="스평"/>
      <sheetName val="조건"/>
      <sheetName val="구동"/>
      <sheetName val="총수량집계표"/>
      <sheetName val="골조시행"/>
      <sheetName val="설비"/>
      <sheetName val="B&amp;F1"/>
      <sheetName val="생산량"/>
      <sheetName val="6.이토처리시간"/>
      <sheetName val="VXXXXXXX"/>
      <sheetName val="tggwan(mac)"/>
      <sheetName val="guard(mac)"/>
      <sheetName val="보차도경계석"/>
      <sheetName val="작업본"/>
      <sheetName val="정리"/>
      <sheetName val="담당자"/>
      <sheetName val="손익11"/>
      <sheetName val="총괄갑 "/>
      <sheetName val="1차 내역서"/>
      <sheetName val="도급FORM"/>
      <sheetName val="2공구산출내역"/>
      <sheetName val="을지"/>
      <sheetName val="백암비스타내역"/>
      <sheetName val="견적서-자동"/>
      <sheetName val="경비공통"/>
      <sheetName val="Config"/>
      <sheetName val="AC_List"/>
      <sheetName val="연결CF정산표"/>
      <sheetName val="손익계산서"/>
      <sheetName val="원가"/>
      <sheetName val="공사설계서"/>
      <sheetName val="퇴직급여충당금"/>
      <sheetName val="갑지"/>
      <sheetName val="제조부문배부"/>
      <sheetName val="Sheet2"/>
      <sheetName val="퇴직영수증"/>
      <sheetName val="FAB4생산"/>
      <sheetName val="土地ﾃﾞｰﾀ"/>
      <sheetName val="산업은행 경영지표"/>
      <sheetName val="보험료"/>
      <sheetName val="연간상여집계"/>
      <sheetName val="인건비 내역서"/>
      <sheetName val="종바2차"/>
      <sheetName val="평균급여(구미)"/>
      <sheetName val="평균급여(부산)"/>
      <sheetName val="1-1-1-1"/>
      <sheetName val="입출고9807"/>
      <sheetName val="4.2.1 마루높이 검토"/>
      <sheetName val="고시단가"/>
      <sheetName val="Data&amp;Result"/>
      <sheetName val="당월영향8월"/>
      <sheetName val="95년12월말"/>
      <sheetName val="제경비율"/>
      <sheetName val="복갑"/>
      <sheetName val="음료실행"/>
      <sheetName val="토목주소"/>
      <sheetName val="기본정보"/>
      <sheetName val="양식3"/>
      <sheetName val="최종보고1"/>
      <sheetName val="Assumption"/>
      <sheetName val="범용개발순소요비용"/>
      <sheetName val="준공내역(을)"/>
      <sheetName val="1__Svc_Sales2"/>
      <sheetName val="2__Portfolio2"/>
      <sheetName val="3__SVC_Price(Avg)2"/>
      <sheetName val="4___Net_Gain2"/>
      <sheetName val="5_1Q_SVC(callback)2"/>
      <sheetName val="5_2_Q_SVC(Response)2"/>
      <sheetName val="5_3_Q_SVC(all)2"/>
      <sheetName val="주소_작성2"/>
      <sheetName val="1_취수장2"/>
      <sheetName val="118_세금과공과2"/>
      <sheetName val="STROKE별_단가1"/>
      <sheetName val="AIR_SHOWER(3인용)4"/>
      <sheetName val="상여_(2)2"/>
      <sheetName val="준검_내역서2"/>
      <sheetName val="2008년판매현황_(조정)2"/>
      <sheetName val="그래프_(2)4"/>
      <sheetName val="2_대상자4"/>
      <sheetName val="9903말_현재4"/>
      <sheetName val="Control_Sheet4"/>
      <sheetName val="Initial_Input_Variable2"/>
      <sheetName val="경영비율_2"/>
      <sheetName val="SQL_Statement2"/>
      <sheetName val="24_보증금(전신전화가입권)1"/>
      <sheetName val="2__2012년_실행계획_수립_및_대상선정용_SHEET1"/>
      <sheetName val="타계정에서_명세서(PL상)1"/>
      <sheetName val="04년_투자전망1"/>
      <sheetName val="배합비(2,3_4분기)1"/>
      <sheetName val="완성차_미수금1"/>
      <sheetName val="2012년_하반기_승진안_및_상신양식_디자인_파트_xl1"/>
      <sheetName val="별첨3_실패원팀1"/>
      <sheetName val="Executive_Summary1"/>
      <sheetName val="가중평균_보통주식021"/>
      <sheetName val="가중평균_보통주식011"/>
      <sheetName val="97년_추정"/>
      <sheetName val="BS_Prior1"/>
      <sheetName val="이자율별_차입금_적수"/>
      <sheetName val="Sheet1_(2)"/>
      <sheetName val="0_0ControlSheet"/>
      <sheetName val="0_1keyAssumption"/>
      <sheetName val="2__Financial_Performance"/>
      <sheetName val="Q2_Actual"/>
      <sheetName val="Q3_actuals"/>
      <sheetName val="스포회원매출"/>
      <sheetName val="GRADE별_투입원단위"/>
      <sheetName val="Executive_Summary2"/>
      <sheetName val="Executive_Summary3"/>
      <sheetName val="Initial_Input_Variable3"/>
      <sheetName val="118_세금과공과3"/>
      <sheetName val="1_취수장3"/>
      <sheetName val="상여_(2)3"/>
      <sheetName val="경영비율_3"/>
      <sheetName val="STROKE별_단가2"/>
      <sheetName val="2012년_하반기_승진안_및_상신양식_디자인_파트_xl2"/>
      <sheetName val="24_보증금(전신전화가입권)2"/>
      <sheetName val="04년_투자전망2"/>
      <sheetName val="별첨3_실패원팀2"/>
      <sheetName val="2__2012년_실행계획_수립_및_대상선정용_SHEET2"/>
      <sheetName val="가중평균_보통주식022"/>
      <sheetName val="가중평균_보통주식012"/>
      <sheetName val="타계정에서_명세서(PL상)2"/>
      <sheetName val="배합비(2,3_4분기)2"/>
      <sheetName val="Controls"/>
      <sheetName val="감가상각비 배부검토"/>
      <sheetName val="00.09"/>
      <sheetName val="SAP_Role"/>
      <sheetName val="cctr"/>
      <sheetName val="계정_H100"/>
      <sheetName val="계정_1000"/>
      <sheetName val="계정_7000"/>
      <sheetName val="계정_8000"/>
      <sheetName val="AP_H100"/>
      <sheetName val="AP_1000"/>
      <sheetName val="AP_7000"/>
      <sheetName val="AP_8000"/>
      <sheetName val="수불상"/>
      <sheetName val="Index"/>
      <sheetName val="건축내역"/>
      <sheetName val="품셈TABLE"/>
      <sheetName val="主要规划指标"/>
      <sheetName val="测算明细表(0+1+1)"/>
      <sheetName val="评估结论"/>
      <sheetName val="Collateral"/>
      <sheetName val="信息"/>
      <sheetName val="B"/>
      <sheetName val="영업외손익등"/>
      <sheetName val="108.수선비"/>
      <sheetName val="Sales"/>
      <sheetName val="사회보험료세액공제"/>
      <sheetName val="고용증대세액공제"/>
      <sheetName val="2019년_세부자료_(입력할 시트)"/>
      <sheetName val="2019년보험요율_(입력할 시트)"/>
      <sheetName val="조명시설"/>
      <sheetName val="공사착공계"/>
      <sheetName val="직재"/>
      <sheetName val="방수공사 집계표"/>
      <sheetName val="평3"/>
      <sheetName val="토공산근"/>
      <sheetName val="2B1U-F-4"/>
      <sheetName val="Variables"/>
      <sheetName val="유가증권미수"/>
      <sheetName val="Finmod"/>
      <sheetName val="01반기조정감"/>
      <sheetName val="01반기조정증"/>
      <sheetName val="FOB발"/>
      <sheetName val="업무분장 "/>
      <sheetName val="source"/>
      <sheetName val="3본사"/>
      <sheetName val="월급제"/>
      <sheetName val="갑지(추정)"/>
      <sheetName val="MatchCode"/>
      <sheetName val="MARCH 25"/>
      <sheetName val="値付くん"/>
      <sheetName val="0217상가미분양자산"/>
      <sheetName val="GRACE"/>
      <sheetName val="2__2012__________________SHEE_2"/>
      <sheetName val="토공사"/>
      <sheetName val="평균터파기고(1-2,ASP)"/>
      <sheetName val="목록"/>
      <sheetName val="중기"/>
      <sheetName val="예산(한화)"/>
      <sheetName val="Executive_Summary4"/>
      <sheetName val="AIR_SHOWER(3인용)5"/>
      <sheetName val="Initial_Input_Variable4"/>
      <sheetName val="118_세금과공과4"/>
      <sheetName val="1_취수장4"/>
      <sheetName val="상여_(2)4"/>
      <sheetName val="경영비율_4"/>
      <sheetName val="준검_내역서3"/>
      <sheetName val="1__Svc_Sales3"/>
      <sheetName val="2__Portfolio3"/>
      <sheetName val="3__SVC_Price(Avg)3"/>
      <sheetName val="4___Net_Gain3"/>
      <sheetName val="5_1Q_SVC(callback)3"/>
      <sheetName val="5_2_Q_SVC(Response)3"/>
      <sheetName val="5_3_Q_SVC(all)3"/>
      <sheetName val="2008년판매현황_(조정)3"/>
      <sheetName val="그래프_(2)5"/>
      <sheetName val="2_대상자5"/>
      <sheetName val="9903말_현재5"/>
      <sheetName val="Control_Sheet5"/>
      <sheetName val="SQL_Statement3"/>
      <sheetName val="STROKE별_단가3"/>
      <sheetName val="주소_작성3"/>
      <sheetName val="2012년_하반기_승진안_및_상신양식_디자인_파트_xl3"/>
      <sheetName val="24_보증금(전신전화가입권)3"/>
      <sheetName val="04년_투자전망3"/>
      <sheetName val="별첨3_실패원팀3"/>
      <sheetName val="2__2012년_실행계획_수립_및_대상선정용_SHEET3"/>
      <sheetName val="가중평균_보통주식023"/>
      <sheetName val="가중평균_보통주식013"/>
      <sheetName val="타계정에서_명세서(PL상)3"/>
      <sheetName val="배합비(2,3_4분기)3"/>
      <sheetName val="97년_추정1"/>
      <sheetName val="AC_List1"/>
      <sheetName val="이자율별_차입금_적수1"/>
      <sheetName val="2__Financial_Performance1"/>
      <sheetName val="Sheet1_(2)1"/>
      <sheetName val="0_0ControlSheet1"/>
      <sheetName val="0_1keyAssumption1"/>
      <sheetName val="분양선수금"/>
      <sheetName val="2012________________________x_2"/>
      <sheetName val="완성차_미수금2"/>
      <sheetName val="BS_Prior2"/>
      <sheetName val="Q2_Actual1"/>
      <sheetName val="Q3_actuals1"/>
      <sheetName val="Data_Sheet"/>
      <sheetName val="한일자야(감액손실)_(2)"/>
      <sheetName val="6_이토처리시간"/>
      <sheetName val="GRADE별_투입원단위1"/>
      <sheetName val="산업은행_경영지표"/>
      <sheetName val="4_2_1_마루높이_검토"/>
      <sheetName val="인건비_내역서"/>
      <sheetName val="감가상각비_배부검토"/>
      <sheetName val="108_수선비"/>
      <sheetName val="2019년_세부자료_(입력할_시트)"/>
      <sheetName val="2019년보험요율_(입력할_시트)"/>
      <sheetName val="00_09"/>
      <sheetName val="시중노임단가"/>
      <sheetName val="전기"/>
      <sheetName val="영업점별목표산출"/>
      <sheetName val="부서코드표"/>
      <sheetName val="재무가정"/>
      <sheetName val="短期借款余额表"/>
      <sheetName val="现金和银行"/>
      <sheetName val="P9"/>
      <sheetName val="总分类账"/>
      <sheetName val="CQFMA"/>
      <sheetName val="SHFMA"/>
      <sheetName val="BPCARD"/>
      <sheetName val="Phone"/>
      <sheetName val="토목"/>
      <sheetName val="controll"/>
      <sheetName val="현금"/>
      <sheetName val="ESH 평가 Sheet"/>
      <sheetName val="추가예산"/>
      <sheetName val="참조자료"/>
      <sheetName val="계획VS실적"/>
      <sheetName val="재공품"/>
      <sheetName val="축산기준"/>
      <sheetName val="2007"/>
      <sheetName val="资产负债表"/>
      <sheetName val="大连项目（大连置业）"/>
      <sheetName val="Parameters"/>
      <sheetName val="银行借款询证"/>
      <sheetName val="科目余额表正式"/>
      <sheetName val="temp"/>
      <sheetName val="Disposition"/>
      <sheetName val="상여_(2)5"/>
      <sheetName val="118_세금과공과5"/>
      <sheetName val="1_취수장5"/>
      <sheetName val="AIR_SHOWER(3인용)6"/>
      <sheetName val="1__Svc_Sales4"/>
      <sheetName val="2__Portfolio4"/>
      <sheetName val="3__SVC_Price(Avg)4"/>
      <sheetName val="4___Net_Gain4"/>
      <sheetName val="5_1Q_SVC(callback)4"/>
      <sheetName val="5_2_Q_SVC(Response)4"/>
      <sheetName val="5_3_Q_SVC(all)4"/>
      <sheetName val="2008년판매현황_(조정)4"/>
      <sheetName val="그래프_(2)6"/>
      <sheetName val="2_대상자6"/>
      <sheetName val="9903말_현재6"/>
      <sheetName val="Control_Sheet6"/>
      <sheetName val="Initial_Input_Variable5"/>
      <sheetName val="경영비율_5"/>
      <sheetName val="준검_내역서4"/>
      <sheetName val="SQL_Statement4"/>
      <sheetName val="주소_작성4"/>
      <sheetName val="STROKE별_단가4"/>
      <sheetName val="2012년_하반기_승진안_및_상신양식_디자인_파트_xl4"/>
      <sheetName val="24_보증금(전신전화가입권)4"/>
      <sheetName val="04년_투자전망4"/>
      <sheetName val="가중평균_보통주식024"/>
      <sheetName val="가중평균_보통주식014"/>
      <sheetName val="2__2012년_실행계획_수립_및_대상선정용_SHEET4"/>
      <sheetName val="타계정에서_명세서(PL상)4"/>
      <sheetName val="별첨3_실패원팀4"/>
      <sheetName val="배합비(2,3_4분기)4"/>
      <sheetName val="완성차_미수금3"/>
      <sheetName val="BS_Prior3"/>
      <sheetName val="Executive_Summary5"/>
      <sheetName val="97년_추정2"/>
      <sheetName val="2__Financial_Performance2"/>
      <sheetName val="이자율별_차입금_적수2"/>
      <sheetName val="AC_List2"/>
      <sheetName val="Sheet1_(2)2"/>
      <sheetName val="0_0ControlSheet2"/>
      <sheetName val="0_1keyAssumption2"/>
      <sheetName val="Q2_Actual2"/>
      <sheetName val="Q3_actuals2"/>
      <sheetName val="Data_Sheet1"/>
      <sheetName val="한일자야(감액손실)_(2)1"/>
      <sheetName val="GRADE별_투입원단위2"/>
      <sheetName val="6_이토처리시간1"/>
      <sheetName val="산업은행_경영지표1"/>
      <sheetName val="인건비_내역서1"/>
      <sheetName val="감가상각비_배부검토1"/>
      <sheetName val="108_수선비1"/>
      <sheetName val="2019년_세부자료_(입력할_시트)1"/>
      <sheetName val="2019년보험요율_(입력할_시트)1"/>
      <sheetName val="4_2_1_마루높이_검토1"/>
      <sheetName val="00_091"/>
      <sheetName val="MARCH_251"/>
      <sheetName val="총괄갑_1"/>
      <sheetName val="1차_내역서1"/>
      <sheetName val="업무분장_1"/>
      <sheetName val="MARCH_25"/>
      <sheetName val="총괄갑_"/>
      <sheetName val="1차_내역서"/>
      <sheetName val="업무분장_"/>
      <sheetName val="참고(3)고정비"/>
      <sheetName val="03년"/>
      <sheetName val="시멘트"/>
      <sheetName val="h-013211-2"/>
      <sheetName val="초과사유"/>
      <sheetName val="마감사양"/>
      <sheetName val="공사비"/>
      <sheetName val="임대료산정(자동계산)"/>
      <sheetName val="안산기계장치"/>
      <sheetName val="부문99-2"/>
      <sheetName val="RECORD"/>
      <sheetName val="LD TX"/>
      <sheetName val="전전"/>
      <sheetName val="(Hidden)세부계정"/>
      <sheetName val="ESH_평가_Sheet"/>
      <sheetName val="환경설정"/>
      <sheetName val="정비활동_수선비 절감"/>
      <sheetName val="지질조사"/>
      <sheetName val="10매출"/>
      <sheetName val="배수공 시멘트 및 골재량 산출"/>
      <sheetName val="전선 및 전선관"/>
      <sheetName val="일위대가"/>
      <sheetName val="차입종류별"/>
      <sheetName val="총수신_속보"/>
      <sheetName val="00건설추정대차대조표"/>
      <sheetName val="Condition"/>
      <sheetName val="Input"/>
      <sheetName val="부서별"/>
      <sheetName val="접수"/>
      <sheetName val="ESH_평가_Sheet1"/>
      <sheetName val="All report 1"/>
      <sheetName val="ESH_평가_Sheet2"/>
      <sheetName val="정비활동_수선비_절감"/>
      <sheetName val="ESH_평가_Sheet3"/>
      <sheetName val="정비활동_수선비_절감1"/>
      <sheetName val="All_report_1"/>
      <sheetName val="ESH_평가_Sheet4"/>
      <sheetName val="정비활동_수선비_절감2"/>
      <sheetName val="All_report_11"/>
      <sheetName val="AIR_SHOWER(3인용)7"/>
      <sheetName val="ESH_평가_Sheet6"/>
      <sheetName val="정비활동_수선비_절감4"/>
      <sheetName val="All_report_13"/>
      <sheetName val="AC_List3"/>
      <sheetName val="Data_Sheet2"/>
      <sheetName val="6_이토처리시간2"/>
      <sheetName val="한일자야(감액손실)_(2)2"/>
      <sheetName val="산업은행_경영지표2"/>
      <sheetName val="인건비_내역서2"/>
      <sheetName val="ESH_평가_Sheet5"/>
      <sheetName val="정비활동_수선비_절감3"/>
      <sheetName val="All_report_12"/>
      <sheetName val="AIR_SHOWER(3인용)8"/>
      <sheetName val="ESH_평가_Sheet7"/>
      <sheetName val="정비활동_수선비_절감5"/>
      <sheetName val="All_report_14"/>
      <sheetName val="준검_내역서5"/>
      <sheetName val="1__Svc_Sales5"/>
      <sheetName val="2__Portfolio5"/>
      <sheetName val="3__SVC_Price(Avg)5"/>
      <sheetName val="4___Net_Gain5"/>
      <sheetName val="5_1Q_SVC(callback)5"/>
      <sheetName val="5_2_Q_SVC(Response)5"/>
      <sheetName val="5_3_Q_SVC(all)5"/>
      <sheetName val="2008년판매현황_(조정)5"/>
      <sheetName val="그래프_(2)7"/>
      <sheetName val="2_대상자7"/>
      <sheetName val="9903말_현재7"/>
      <sheetName val="Control_Sheet7"/>
      <sheetName val="SQL_Statement5"/>
      <sheetName val="주소_작성5"/>
      <sheetName val="완성차_미수금4"/>
      <sheetName val="AC_List4"/>
      <sheetName val="2__Financial_Performance3"/>
      <sheetName val="BS_Prior4"/>
      <sheetName val="97년_추정3"/>
      <sheetName val="이자율별_차입금_적수3"/>
      <sheetName val="Sheet1_(2)3"/>
      <sheetName val="0_0ControlSheet3"/>
      <sheetName val="0_1keyAssumption3"/>
      <sheetName val="Data_Sheet3"/>
      <sheetName val="6_이토처리시간3"/>
      <sheetName val="GRADE별_투입원단위3"/>
      <sheetName val="한일자야(감액손실)_(2)3"/>
      <sheetName val="Q2_Actual3"/>
      <sheetName val="Q3_actuals3"/>
      <sheetName val="산업은행_경영지표3"/>
      <sheetName val="인건비_내역서3"/>
      <sheetName val="방수공사_집계표"/>
      <sheetName val="AIR_SHOWER(3인용)9"/>
      <sheetName val="ESH_평가_Sheet8"/>
      <sheetName val="정비활동_수선비_절감6"/>
      <sheetName val="All_report_15"/>
      <sheetName val="118_세금과공과6"/>
      <sheetName val="1_취수장6"/>
      <sheetName val="준검_내역서6"/>
      <sheetName val="상여_(2)6"/>
      <sheetName val="1__Svc_Sales6"/>
      <sheetName val="2__Portfolio6"/>
      <sheetName val="3__SVC_Price(Avg)6"/>
      <sheetName val="4___Net_Gain6"/>
      <sheetName val="5_1Q_SVC(callback)6"/>
      <sheetName val="5_2_Q_SVC(Response)6"/>
      <sheetName val="5_3_Q_SVC(all)6"/>
      <sheetName val="2008년판매현황_(조정)6"/>
      <sheetName val="STROKE별_단가5"/>
      <sheetName val="Initial_Input_Variable6"/>
      <sheetName val="경영비율_6"/>
      <sheetName val="그래프_(2)8"/>
      <sheetName val="2_대상자8"/>
      <sheetName val="9903말_현재8"/>
      <sheetName val="Control_Sheet8"/>
      <sheetName val="2012년_하반기_승진안_및_상신양식_디자인_파트_xl5"/>
      <sheetName val="SQL_Statement6"/>
      <sheetName val="주소_작성6"/>
      <sheetName val="2__2012년_실행계획_수립_및_대상선정용_SHEET5"/>
      <sheetName val="타계정에서_명세서(PL상)5"/>
      <sheetName val="별첨3_실패원팀5"/>
      <sheetName val="24_보증금(전신전화가입권)5"/>
      <sheetName val="04년_투자전망5"/>
      <sheetName val="배합비(2,3_4분기)5"/>
      <sheetName val="가중평균_보통주식025"/>
      <sheetName val="가중평균_보통주식015"/>
      <sheetName val="완성차_미수금5"/>
      <sheetName val="AC_List5"/>
      <sheetName val="2__Financial_Performance4"/>
      <sheetName val="BS_Prior5"/>
      <sheetName val="97년_추정4"/>
      <sheetName val="이자율별_차입금_적수4"/>
      <sheetName val="Sheet1_(2)4"/>
      <sheetName val="0_0ControlSheet4"/>
      <sheetName val="0_1keyAssumption4"/>
      <sheetName val="Data_Sheet4"/>
      <sheetName val="6_이토처리시간4"/>
      <sheetName val="GRADE별_투입원단위4"/>
      <sheetName val="한일자야(감액손실)_(2)4"/>
      <sheetName val="Q2_Actual4"/>
      <sheetName val="Q3_actuals4"/>
      <sheetName val="산업은행_경영지표4"/>
      <sheetName val="인건비_내역서4"/>
      <sheetName val="방수공사_집계표1"/>
      <sheetName val="AIR_SHOWER(3인용)10"/>
      <sheetName val="ESH_평가_Sheet9"/>
      <sheetName val="정비활동_수선비_절감7"/>
      <sheetName val="All_report_16"/>
      <sheetName val="118_세금과공과7"/>
      <sheetName val="1_취수장7"/>
      <sheetName val="준검_내역서7"/>
      <sheetName val="상여_(2)7"/>
      <sheetName val="1__Svc_Sales7"/>
      <sheetName val="2__Portfolio7"/>
      <sheetName val="3__SVC_Price(Avg)7"/>
      <sheetName val="4___Net_Gain7"/>
      <sheetName val="5_1Q_SVC(callback)7"/>
      <sheetName val="5_2_Q_SVC(Response)7"/>
      <sheetName val="5_3_Q_SVC(all)7"/>
      <sheetName val="2008년판매현황_(조정)7"/>
      <sheetName val="Executive_Summary6"/>
      <sheetName val="STROKE별_단가6"/>
      <sheetName val="Initial_Input_Variable7"/>
      <sheetName val="경영비율_7"/>
      <sheetName val="그래프_(2)9"/>
      <sheetName val="2_대상자9"/>
      <sheetName val="9903말_현재9"/>
      <sheetName val="Control_Sheet9"/>
      <sheetName val="2012년_하반기_승진안_및_상신양식_디자인_파트_xl6"/>
      <sheetName val="SQL_Statement7"/>
      <sheetName val="주소_작성7"/>
      <sheetName val="2__2012년_실행계획_수립_및_대상선정용_SHEET6"/>
      <sheetName val="타계정에서_명세서(PL상)6"/>
      <sheetName val="별첨3_실패원팀6"/>
      <sheetName val="24_보증금(전신전화가입권)6"/>
      <sheetName val="04년_투자전망6"/>
      <sheetName val="배합비(2,3_4분기)6"/>
      <sheetName val="가중평균_보통주식026"/>
      <sheetName val="가중평균_보통주식016"/>
      <sheetName val="완성차_미수금6"/>
      <sheetName val="AC_List6"/>
      <sheetName val="2__Financial_Performance5"/>
      <sheetName val="BS_Prior6"/>
      <sheetName val="97년_추정5"/>
      <sheetName val="이자율별_차입금_적수5"/>
      <sheetName val="Sheet1_(2)5"/>
      <sheetName val="0_0ControlSheet5"/>
      <sheetName val="0_1keyAssumption5"/>
      <sheetName val="Data_Sheet5"/>
      <sheetName val="6_이토처리시간5"/>
      <sheetName val="GRADE별_투입원단위5"/>
      <sheetName val="한일자야(감액손실)_(2)5"/>
      <sheetName val="Q2_Actual5"/>
      <sheetName val="Q3_actuals5"/>
      <sheetName val="산업은행_경영지표5"/>
      <sheetName val="인건비_내역서5"/>
      <sheetName val="방수공사_집계표2"/>
      <sheetName val="AIR_SHOWER(3인용)11"/>
      <sheetName val="ESH_평가_Sheet10"/>
      <sheetName val="정비활동_수선비_절감8"/>
      <sheetName val="All_report_17"/>
      <sheetName val="118_세금과공과8"/>
      <sheetName val="1_취수장8"/>
      <sheetName val="준검_내역서8"/>
      <sheetName val="상여_(2)8"/>
      <sheetName val="1__Svc_Sales8"/>
      <sheetName val="2__Portfolio8"/>
      <sheetName val="3__SVC_Price(Avg)8"/>
      <sheetName val="4___Net_Gain8"/>
      <sheetName val="5_1Q_SVC(callback)8"/>
      <sheetName val="5_2_Q_SVC(Response)8"/>
      <sheetName val="5_3_Q_SVC(all)8"/>
      <sheetName val="2008년판매현황_(조정)8"/>
      <sheetName val="Executive_Summary7"/>
      <sheetName val="STROKE별_단가7"/>
      <sheetName val="Initial_Input_Variable8"/>
      <sheetName val="경영비율_8"/>
      <sheetName val="그래프_(2)10"/>
      <sheetName val="2_대상자10"/>
      <sheetName val="9903말_현재10"/>
      <sheetName val="Control_Sheet10"/>
      <sheetName val="2012년_하반기_승진안_및_상신양식_디자인_파트_xl7"/>
      <sheetName val="SQL_Statement8"/>
      <sheetName val="주소_작성8"/>
      <sheetName val="2__2012년_실행계획_수립_및_대상선정용_SHEET7"/>
      <sheetName val="타계정에서_명세서(PL상)7"/>
      <sheetName val="별첨3_실패원팀7"/>
      <sheetName val="24_보증금(전신전화가입권)7"/>
      <sheetName val="04년_투자전망7"/>
      <sheetName val="배합비(2,3_4분기)7"/>
      <sheetName val="가중평균_보통주식027"/>
      <sheetName val="가중평균_보통주식017"/>
      <sheetName val="완성차_미수금7"/>
      <sheetName val="AC_List7"/>
      <sheetName val="2__Financial_Performance6"/>
      <sheetName val="BS_Prior7"/>
      <sheetName val="97년_추정6"/>
      <sheetName val="이자율별_차입금_적수6"/>
      <sheetName val="Sheet1_(2)6"/>
      <sheetName val="0_0ControlSheet6"/>
      <sheetName val="0_1keyAssumption6"/>
      <sheetName val="Data_Sheet6"/>
      <sheetName val="6_이토처리시간6"/>
      <sheetName val="GRADE별_투입원단위6"/>
      <sheetName val="한일자야(감액손실)_(2)6"/>
      <sheetName val="Q2_Actual6"/>
      <sheetName val="Q3_actuals6"/>
      <sheetName val="산업은행_경영지표6"/>
      <sheetName val="인건비_내역서6"/>
      <sheetName val="방수공사_집계표3"/>
      <sheetName val="AIR_SHOWER(3인용)13"/>
      <sheetName val="ESH_평가_Sheet12"/>
      <sheetName val="정비활동_수선비_절감10"/>
      <sheetName val="All_report_19"/>
      <sheetName val="118_세금과공과10"/>
      <sheetName val="1_취수장10"/>
      <sheetName val="준검_내역서10"/>
      <sheetName val="상여_(2)10"/>
      <sheetName val="1__Svc_Sales10"/>
      <sheetName val="2__Portfolio10"/>
      <sheetName val="3__SVC_Price(Avg)10"/>
      <sheetName val="4___Net_Gain10"/>
      <sheetName val="5_1Q_SVC(callback)10"/>
      <sheetName val="5_2_Q_SVC(Response)10"/>
      <sheetName val="5_3_Q_SVC(all)10"/>
      <sheetName val="2008년판매현황_(조정)10"/>
      <sheetName val="Executive_Summary9"/>
      <sheetName val="STROKE별_단가9"/>
      <sheetName val="Initial_Input_Variable10"/>
      <sheetName val="경영비율_10"/>
      <sheetName val="그래프_(2)12"/>
      <sheetName val="2_대상자12"/>
      <sheetName val="9903말_현재12"/>
      <sheetName val="Control_Sheet12"/>
      <sheetName val="2012년_하반기_승진안_및_상신양식_디자인_파트_xl9"/>
      <sheetName val="SQL_Statement10"/>
      <sheetName val="주소_작성10"/>
      <sheetName val="2__2012년_실행계획_수립_및_대상선정용_SHEET9"/>
      <sheetName val="타계정에서_명세서(PL상)9"/>
      <sheetName val="별첨3_실패원팀9"/>
      <sheetName val="24_보증금(전신전화가입권)9"/>
      <sheetName val="04년_투자전망9"/>
      <sheetName val="배합비(2,3_4분기)9"/>
      <sheetName val="가중평균_보통주식029"/>
      <sheetName val="가중평균_보통주식019"/>
      <sheetName val="완성차_미수금9"/>
      <sheetName val="AC_List9"/>
      <sheetName val="2__Financial_Performance8"/>
      <sheetName val="BS_Prior9"/>
      <sheetName val="97년_추정8"/>
      <sheetName val="이자율별_차입금_적수8"/>
      <sheetName val="Sheet1_(2)8"/>
      <sheetName val="0_0ControlSheet8"/>
      <sheetName val="0_1keyAssumption8"/>
      <sheetName val="Data_Sheet8"/>
      <sheetName val="6_이토처리시간8"/>
      <sheetName val="GRADE별_투입원단위8"/>
      <sheetName val="한일자야(감액손실)_(2)8"/>
      <sheetName val="Q2_Actual8"/>
      <sheetName val="Q3_actuals8"/>
      <sheetName val="산업은행_경영지표8"/>
      <sheetName val="인건비_내역서8"/>
      <sheetName val="방수공사_집계표5"/>
      <sheetName val="AIR_SHOWER(3인용)12"/>
      <sheetName val="ESH_평가_Sheet11"/>
      <sheetName val="정비활동_수선비_절감9"/>
      <sheetName val="All_report_18"/>
      <sheetName val="118_세금과공과9"/>
      <sheetName val="1_취수장9"/>
      <sheetName val="준검_내역서9"/>
      <sheetName val="상여_(2)9"/>
      <sheetName val="1__Svc_Sales9"/>
      <sheetName val="2__Portfolio9"/>
      <sheetName val="3__SVC_Price(Avg)9"/>
      <sheetName val="4___Net_Gain9"/>
      <sheetName val="5_1Q_SVC(callback)9"/>
      <sheetName val="5_2_Q_SVC(Response)9"/>
      <sheetName val="5_3_Q_SVC(all)9"/>
      <sheetName val="2008년판매현황_(조정)9"/>
      <sheetName val="Executive_Summary8"/>
      <sheetName val="STROKE별_단가8"/>
      <sheetName val="Initial_Input_Variable9"/>
      <sheetName val="경영비율_9"/>
      <sheetName val="그래프_(2)11"/>
      <sheetName val="2_대상자11"/>
      <sheetName val="9903말_현재11"/>
      <sheetName val="Control_Sheet11"/>
      <sheetName val="2012년_하반기_승진안_및_상신양식_디자인_파트_xl8"/>
      <sheetName val="SQL_Statement9"/>
      <sheetName val="주소_작성9"/>
      <sheetName val="2__2012년_실행계획_수립_및_대상선정용_SHEET8"/>
      <sheetName val="타계정에서_명세서(PL상)8"/>
      <sheetName val="별첨3_실패원팀8"/>
      <sheetName val="24_보증금(전신전화가입권)8"/>
      <sheetName val="04년_투자전망8"/>
      <sheetName val="배합비(2,3_4분기)8"/>
      <sheetName val="가중평균_보통주식028"/>
      <sheetName val="가중평균_보통주식018"/>
      <sheetName val="완성차_미수금8"/>
      <sheetName val="AC_List8"/>
      <sheetName val="2__Financial_Performance7"/>
      <sheetName val="BS_Prior8"/>
      <sheetName val="97년_추정7"/>
      <sheetName val="이자율별_차입금_적수7"/>
      <sheetName val="Sheet1_(2)7"/>
      <sheetName val="0_0ControlSheet7"/>
      <sheetName val="0_1keyAssumption7"/>
      <sheetName val="Data_Sheet7"/>
      <sheetName val="6_이토처리시간7"/>
      <sheetName val="GRADE별_투입원단위7"/>
      <sheetName val="한일자야(감액손실)_(2)7"/>
      <sheetName val="Q2_Actual7"/>
      <sheetName val="Q3_actuals7"/>
      <sheetName val="산업은행_경영지표7"/>
      <sheetName val="인건비_내역서7"/>
      <sheetName val="방수공사_집계표4"/>
      <sheetName val="AIR_SHOWER(3인용)14"/>
      <sheetName val="ESH_평가_Sheet13"/>
      <sheetName val="정비활동_수선비_절감11"/>
      <sheetName val="All_report_110"/>
      <sheetName val="118_세금과공과11"/>
      <sheetName val="1_취수장11"/>
      <sheetName val="준검_내역서11"/>
      <sheetName val="상여_(2)11"/>
      <sheetName val="1__Svc_Sales11"/>
      <sheetName val="2__Portfolio11"/>
      <sheetName val="3__SVC_Price(Avg)11"/>
      <sheetName val="4___Net_Gain11"/>
      <sheetName val="5_1Q_SVC(callback)11"/>
      <sheetName val="5_2_Q_SVC(Response)11"/>
      <sheetName val="5_3_Q_SVC(all)11"/>
      <sheetName val="2008년판매현황_(조정)11"/>
      <sheetName val="Executive_Summary10"/>
      <sheetName val="STROKE별_단가10"/>
      <sheetName val="Initial_Input_Variable11"/>
      <sheetName val="경영비율_11"/>
      <sheetName val="그래프_(2)13"/>
      <sheetName val="2_대상자13"/>
      <sheetName val="9903말_현재13"/>
      <sheetName val="Control_Sheet13"/>
      <sheetName val="2012년_하반기_승진안_및_상신양식_디자인_파트_x10"/>
      <sheetName val="SQL_Statement11"/>
      <sheetName val="주소_작성11"/>
      <sheetName val="2__2012년_실행계획_수립_및_대상선정용_SHEE10"/>
      <sheetName val="타계정에서_명세서(PL상)10"/>
      <sheetName val="별첨3_실패원팀10"/>
      <sheetName val="24_보증금(전신전화가입권)10"/>
      <sheetName val="04년_투자전망10"/>
      <sheetName val="배합비(2,3_4분기)10"/>
      <sheetName val="가중평균_보통주식0210"/>
      <sheetName val="가중평균_보통주식0110"/>
      <sheetName val="완성차_미수금10"/>
      <sheetName val="AC_List10"/>
      <sheetName val="2__Financial_Performance9"/>
      <sheetName val="BS_Prior10"/>
      <sheetName val="97년_추정9"/>
      <sheetName val="이자율별_차입금_적수9"/>
      <sheetName val="Sheet1_(2)9"/>
      <sheetName val="0_0ControlSheet9"/>
      <sheetName val="0_1keyAssumption9"/>
      <sheetName val="Data_Sheet9"/>
      <sheetName val="6_이토처리시간9"/>
      <sheetName val="GRADE별_투입원단위9"/>
      <sheetName val="한일자야(감액손실)_(2)9"/>
      <sheetName val="Q2_Actual9"/>
      <sheetName val="Q3_actuals9"/>
      <sheetName val="산업은행_경영지표9"/>
      <sheetName val="인건비_내역서9"/>
      <sheetName val="방수공사_집계표6"/>
      <sheetName val="AIR_SHOWER(3인용)15"/>
      <sheetName val="ESH_평가_Sheet14"/>
      <sheetName val="정비활동_수선비_절감12"/>
      <sheetName val="All_report_111"/>
      <sheetName val="118_세금과공과12"/>
      <sheetName val="1_취수장12"/>
      <sheetName val="준검_내역서12"/>
      <sheetName val="상여_(2)12"/>
      <sheetName val="1__Svc_Sales12"/>
      <sheetName val="2__Portfolio12"/>
      <sheetName val="3__SVC_Price(Avg)12"/>
      <sheetName val="4___Net_Gain12"/>
      <sheetName val="5_1Q_SVC(callback)12"/>
      <sheetName val="5_2_Q_SVC(Response)12"/>
      <sheetName val="5_3_Q_SVC(all)12"/>
      <sheetName val="2008년판매현황_(조정)12"/>
      <sheetName val="Executive_Summary11"/>
      <sheetName val="STROKE별_단가11"/>
      <sheetName val="Initial_Input_Variable12"/>
      <sheetName val="경영비율_12"/>
      <sheetName val="그래프_(2)14"/>
      <sheetName val="2_대상자14"/>
      <sheetName val="9903말_현재14"/>
      <sheetName val="Control_Sheet14"/>
      <sheetName val="2012년_하반기_승진안_및_상신양식_디자인_파트_x11"/>
      <sheetName val="SQL_Statement12"/>
      <sheetName val="주소_작성12"/>
      <sheetName val="2__2012년_실행계획_수립_및_대상선정용_SHEE11"/>
      <sheetName val="타계정에서_명세서(PL상)11"/>
      <sheetName val="별첨3_실패원팀11"/>
      <sheetName val="24_보증금(전신전화가입권)11"/>
      <sheetName val="04년_투자전망11"/>
      <sheetName val="배합비(2,3_4분기)11"/>
      <sheetName val="가중평균_보통주식0211"/>
      <sheetName val="가중평균_보통주식0111"/>
      <sheetName val="완성차_미수금11"/>
      <sheetName val="AC_List11"/>
      <sheetName val="2__Financial_Performance10"/>
      <sheetName val="BS_Prior11"/>
      <sheetName val="97년_추정10"/>
      <sheetName val="이자율별_차입금_적수10"/>
      <sheetName val="Sheet1_(2)10"/>
      <sheetName val="0_0ControlSheet10"/>
      <sheetName val="0_1keyAssumption10"/>
      <sheetName val="Data_Sheet10"/>
      <sheetName val="6_이토처리시간10"/>
      <sheetName val="GRADE별_투입원단위10"/>
      <sheetName val="한일자야(감액손실)_(2)10"/>
      <sheetName val="Q2_Actual10"/>
      <sheetName val="Q3_actuals10"/>
      <sheetName val="산업은행_경영지표10"/>
      <sheetName val="인건비_내역서10"/>
      <sheetName val="방수공사_집계표7"/>
      <sheetName val="AIR_SHOWER(3인용)16"/>
      <sheetName val="ESH_평가_Sheet15"/>
      <sheetName val="정비활동_수선비_절감13"/>
      <sheetName val="All_report_112"/>
      <sheetName val="118_세금과공과13"/>
      <sheetName val="1_취수장13"/>
      <sheetName val="준검_내역서13"/>
      <sheetName val="상여_(2)13"/>
      <sheetName val="1__Svc_Sales13"/>
      <sheetName val="2__Portfolio13"/>
      <sheetName val="3__SVC_Price(Avg)13"/>
      <sheetName val="4___Net_Gain13"/>
      <sheetName val="5_1Q_SVC(callback)13"/>
      <sheetName val="5_2_Q_SVC(Response)13"/>
      <sheetName val="5_3_Q_SVC(all)13"/>
      <sheetName val="2008년판매현황_(조정)13"/>
      <sheetName val="Executive_Summary12"/>
      <sheetName val="STROKE별_단가12"/>
      <sheetName val="Initial_Input_Variable13"/>
      <sheetName val="경영비율_13"/>
      <sheetName val="그래프_(2)15"/>
      <sheetName val="2_대상자15"/>
      <sheetName val="9903말_현재15"/>
      <sheetName val="Control_Sheet15"/>
      <sheetName val="2012년_하반기_승진안_및_상신양식_디자인_파트_x12"/>
      <sheetName val="SQL_Statement13"/>
      <sheetName val="주소_작성13"/>
      <sheetName val="2__2012년_실행계획_수립_및_대상선정용_SHEE12"/>
      <sheetName val="타계정에서_명세서(PL상)12"/>
      <sheetName val="별첨3_실패원팀12"/>
      <sheetName val="24_보증금(전신전화가입권)12"/>
      <sheetName val="04년_투자전망12"/>
      <sheetName val="배합비(2,3_4분기)12"/>
      <sheetName val="가중평균_보통주식0212"/>
      <sheetName val="가중평균_보통주식0112"/>
      <sheetName val="완성차_미수금12"/>
      <sheetName val="AC_List12"/>
      <sheetName val="2__Financial_Performance11"/>
      <sheetName val="BS_Prior12"/>
      <sheetName val="97년_추정11"/>
      <sheetName val="이자율별_차입금_적수11"/>
      <sheetName val="Sheet1_(2)11"/>
      <sheetName val="0_0ControlSheet11"/>
      <sheetName val="0_1keyAssumption11"/>
      <sheetName val="Data_Sheet11"/>
      <sheetName val="6_이토처리시간11"/>
      <sheetName val="GRADE별_투입원단위11"/>
      <sheetName val="한일자야(감액손실)_(2)11"/>
      <sheetName val="Q2_Actual11"/>
      <sheetName val="Q3_actuals11"/>
      <sheetName val="산업은행_경영지표11"/>
      <sheetName val="인건비_내역서11"/>
      <sheetName val="방수공사_집계표8"/>
      <sheetName val="AIR_SHOWER(3인용)17"/>
      <sheetName val="ESH_평가_Sheet16"/>
      <sheetName val="정비활동_수선비_절감14"/>
      <sheetName val="All_report_113"/>
      <sheetName val="118_세금과공과14"/>
      <sheetName val="1_취수장14"/>
      <sheetName val="준검_내역서14"/>
      <sheetName val="상여_(2)14"/>
      <sheetName val="1__Svc_Sales14"/>
      <sheetName val="2__Portfolio14"/>
      <sheetName val="3__SVC_Price(Avg)14"/>
      <sheetName val="4___Net_Gain14"/>
      <sheetName val="5_1Q_SVC(callback)14"/>
      <sheetName val="5_2_Q_SVC(Response)14"/>
      <sheetName val="5_3_Q_SVC(all)14"/>
      <sheetName val="2008년판매현황_(조정)14"/>
      <sheetName val="Executive_Summary13"/>
      <sheetName val="STROKE별_단가13"/>
      <sheetName val="Initial_Input_Variable14"/>
      <sheetName val="경영비율_14"/>
      <sheetName val="그래프_(2)16"/>
      <sheetName val="2_대상자16"/>
      <sheetName val="9903말_현재16"/>
      <sheetName val="Control_Sheet16"/>
      <sheetName val="2012년_하반기_승진안_및_상신양식_디자인_파트_x13"/>
      <sheetName val="SQL_Statement14"/>
      <sheetName val="주소_작성14"/>
      <sheetName val="2__2012년_실행계획_수립_및_대상선정용_SHEE13"/>
      <sheetName val="타계정에서_명세서(PL상)13"/>
      <sheetName val="별첨3_실패원팀13"/>
      <sheetName val="24_보증금(전신전화가입권)13"/>
      <sheetName val="04년_투자전망13"/>
      <sheetName val="배합비(2,3_4분기)13"/>
      <sheetName val="가중평균_보통주식0213"/>
      <sheetName val="가중평균_보통주식0113"/>
      <sheetName val="완성차_미수금13"/>
      <sheetName val="AC_List13"/>
      <sheetName val="2__Financial_Performance12"/>
      <sheetName val="BS_Prior13"/>
      <sheetName val="97년_추정12"/>
      <sheetName val="이자율별_차입금_적수12"/>
      <sheetName val="Sheet1_(2)12"/>
      <sheetName val="0_0ControlSheet12"/>
      <sheetName val="0_1keyAssumption12"/>
      <sheetName val="Data_Sheet12"/>
      <sheetName val="6_이토처리시간12"/>
      <sheetName val="GRADE별_투입원단위12"/>
      <sheetName val="한일자야(감액손실)_(2)12"/>
      <sheetName val="Q2_Actual12"/>
      <sheetName val="Q3_actuals12"/>
      <sheetName val="산업은행_경영지표12"/>
      <sheetName val="인건비_내역서12"/>
      <sheetName val="방수공사_집계표9"/>
      <sheetName val="AIR_SHOWER(3인용)18"/>
      <sheetName val="ESH_평가_Sheet17"/>
      <sheetName val="정비활동_수선비_절감15"/>
      <sheetName val="All_report_114"/>
      <sheetName val="118_세금과공과15"/>
      <sheetName val="1_취수장15"/>
      <sheetName val="준검_내역서15"/>
      <sheetName val="상여_(2)15"/>
      <sheetName val="1__Svc_Sales15"/>
      <sheetName val="2__Portfolio15"/>
      <sheetName val="3__SVC_Price(Avg)15"/>
      <sheetName val="4___Net_Gain15"/>
      <sheetName val="5_1Q_SVC(callback)15"/>
      <sheetName val="5_2_Q_SVC(Response)15"/>
      <sheetName val="5_3_Q_SVC(all)15"/>
      <sheetName val="2008년판매현황_(조정)15"/>
      <sheetName val="Executive_Summary14"/>
      <sheetName val="STROKE별_단가14"/>
      <sheetName val="Initial_Input_Variable15"/>
      <sheetName val="경영비율_15"/>
      <sheetName val="그래프_(2)17"/>
      <sheetName val="2_대상자17"/>
      <sheetName val="9903말_현재17"/>
      <sheetName val="Control_Sheet17"/>
      <sheetName val="2012년_하반기_승진안_및_상신양식_디자인_파트_x14"/>
      <sheetName val="SQL_Statement15"/>
      <sheetName val="주소_작성15"/>
      <sheetName val="2__2012년_실행계획_수립_및_대상선정용_SHEE14"/>
      <sheetName val="타계정에서_명세서(PL상)14"/>
      <sheetName val="별첨3_실패원팀14"/>
      <sheetName val="24_보증금(전신전화가입권)14"/>
      <sheetName val="04년_투자전망14"/>
      <sheetName val="배합비(2,3_4분기)14"/>
      <sheetName val="가중평균_보통주식0214"/>
      <sheetName val="가중평균_보통주식0114"/>
      <sheetName val="완성차_미수금14"/>
      <sheetName val="AC_List14"/>
      <sheetName val="2__Financial_Performance13"/>
      <sheetName val="BS_Prior14"/>
      <sheetName val="97년_추정13"/>
      <sheetName val="이자율별_차입금_적수13"/>
      <sheetName val="Sheet1_(2)13"/>
      <sheetName val="0_0ControlSheet13"/>
      <sheetName val="0_1keyAssumption13"/>
      <sheetName val="Data_Sheet13"/>
      <sheetName val="6_이토처리시간13"/>
      <sheetName val="GRADE별_투입원단위13"/>
      <sheetName val="한일자야(감액손실)_(2)13"/>
      <sheetName val="Q2_Actual13"/>
      <sheetName val="Q3_actuals13"/>
      <sheetName val="산업은행_경영지표13"/>
      <sheetName val="인건비_내역서13"/>
      <sheetName val="방수공사_집계표10"/>
      <sheetName val="AIR_SHOWER(3인용)19"/>
      <sheetName val="ESH_평가_Sheet18"/>
      <sheetName val="정비활동_수선비_절감16"/>
      <sheetName val="All_report_115"/>
      <sheetName val="118_세금과공과16"/>
      <sheetName val="1_취수장16"/>
      <sheetName val="준검_내역서16"/>
      <sheetName val="상여_(2)16"/>
      <sheetName val="1__Svc_Sales16"/>
      <sheetName val="2__Portfolio16"/>
      <sheetName val="3__SVC_Price(Avg)16"/>
      <sheetName val="4___Net_Gain16"/>
      <sheetName val="5_1Q_SVC(callback)16"/>
      <sheetName val="5_2_Q_SVC(Response)16"/>
      <sheetName val="5_3_Q_SVC(all)16"/>
      <sheetName val="2008년판매현황_(조정)16"/>
      <sheetName val="Executive_Summary15"/>
      <sheetName val="STROKE별_단가15"/>
      <sheetName val="Initial_Input_Variable16"/>
      <sheetName val="경영비율_16"/>
      <sheetName val="그래프_(2)18"/>
      <sheetName val="2_대상자18"/>
      <sheetName val="9903말_현재18"/>
      <sheetName val="Control_Sheet18"/>
      <sheetName val="2012년_하반기_승진안_및_상신양식_디자인_파트_x15"/>
      <sheetName val="SQL_Statement16"/>
      <sheetName val="주소_작성16"/>
      <sheetName val="2__2012년_실행계획_수립_및_대상선정용_SHEE15"/>
      <sheetName val="타계정에서_명세서(PL상)15"/>
      <sheetName val="별첨3_실패원팀15"/>
      <sheetName val="24_보증금(전신전화가입권)15"/>
      <sheetName val="04년_투자전망15"/>
      <sheetName val="배합비(2,3_4분기)15"/>
      <sheetName val="가중평균_보통주식0215"/>
      <sheetName val="가중평균_보통주식0115"/>
      <sheetName val="완성차_미수금15"/>
      <sheetName val="AC_List15"/>
      <sheetName val="2__Financial_Performance14"/>
      <sheetName val="BS_Prior15"/>
      <sheetName val="97년_추정14"/>
      <sheetName val="이자율별_차입금_적수14"/>
      <sheetName val="Sheet1_(2)14"/>
      <sheetName val="0_0ControlSheet14"/>
      <sheetName val="0_1keyAssumption14"/>
      <sheetName val="Data_Sheet14"/>
      <sheetName val="6_이토처리시간14"/>
      <sheetName val="GRADE별_투입원단위14"/>
      <sheetName val="한일자야(감액손실)_(2)14"/>
      <sheetName val="Q2_Actual14"/>
      <sheetName val="Q3_actuals14"/>
      <sheetName val="산업은행_경영지표14"/>
      <sheetName val="인건비_내역서14"/>
      <sheetName val="방수공사_집계표11"/>
      <sheetName val="AIR_SHOWER(3인용)20"/>
      <sheetName val="ESH_평가_Sheet19"/>
      <sheetName val="정비활동_수선비_절감17"/>
      <sheetName val="All_report_116"/>
      <sheetName val="118_세금과공과17"/>
      <sheetName val="1_취수장17"/>
      <sheetName val="준검_내역서17"/>
      <sheetName val="상여_(2)17"/>
      <sheetName val="1__Svc_Sales17"/>
      <sheetName val="2__Portfolio17"/>
      <sheetName val="3__SVC_Price(Avg)17"/>
      <sheetName val="4___Net_Gain17"/>
      <sheetName val="5_1Q_SVC(callback)17"/>
      <sheetName val="5_2_Q_SVC(Response)17"/>
      <sheetName val="5_3_Q_SVC(all)17"/>
      <sheetName val="2008년판매현황_(조정)17"/>
      <sheetName val="Executive_Summary16"/>
      <sheetName val="STROKE별_단가16"/>
      <sheetName val="Initial_Input_Variable17"/>
      <sheetName val="경영비율_17"/>
      <sheetName val="그래프_(2)19"/>
      <sheetName val="2_대상자19"/>
      <sheetName val="9903말_현재19"/>
      <sheetName val="Control_Sheet19"/>
      <sheetName val="2012년_하반기_승진안_및_상신양식_디자인_파트_x16"/>
      <sheetName val="SQL_Statement17"/>
      <sheetName val="주소_작성17"/>
      <sheetName val="2__2012년_실행계획_수립_및_대상선정용_SHEE16"/>
      <sheetName val="타계정에서_명세서(PL상)16"/>
      <sheetName val="별첨3_실패원팀16"/>
      <sheetName val="24_보증금(전신전화가입권)16"/>
      <sheetName val="04년_투자전망16"/>
      <sheetName val="배합비(2,3_4분기)16"/>
      <sheetName val="가중평균_보통주식0216"/>
      <sheetName val="가중평균_보통주식0116"/>
      <sheetName val="완성차_미수금16"/>
      <sheetName val="AC_List16"/>
      <sheetName val="2__Financial_Performance15"/>
      <sheetName val="BS_Prior16"/>
      <sheetName val="97년_추정15"/>
      <sheetName val="이자율별_차입금_적수15"/>
      <sheetName val="Sheet1_(2)15"/>
      <sheetName val="0_0ControlSheet15"/>
      <sheetName val="0_1keyAssumption15"/>
      <sheetName val="Data_Sheet15"/>
      <sheetName val="6_이토처리시간15"/>
      <sheetName val="GRADE별_투입원단위15"/>
      <sheetName val="한일자야(감액손실)_(2)15"/>
      <sheetName val="Q2_Actual15"/>
      <sheetName val="Q3_actuals15"/>
      <sheetName val="산업은행_경영지표15"/>
      <sheetName val="인건비_내역서15"/>
      <sheetName val="방수공사_집계표12"/>
      <sheetName val="AIR_SHOWER(3인용)21"/>
      <sheetName val="ESH_평가_Sheet20"/>
      <sheetName val="정비활동_수선비_절감18"/>
      <sheetName val="All_report_117"/>
      <sheetName val="118_세금과공과18"/>
      <sheetName val="1_취수장18"/>
      <sheetName val="준검_내역서18"/>
      <sheetName val="상여_(2)18"/>
      <sheetName val="1__Svc_Sales18"/>
      <sheetName val="2__Portfolio18"/>
      <sheetName val="3__SVC_Price(Avg)18"/>
      <sheetName val="4___Net_Gain18"/>
      <sheetName val="5_1Q_SVC(callback)18"/>
      <sheetName val="5_2_Q_SVC(Response)18"/>
      <sheetName val="5_3_Q_SVC(all)18"/>
      <sheetName val="2008년판매현황_(조정)18"/>
      <sheetName val="Executive_Summary17"/>
      <sheetName val="STROKE별_단가17"/>
      <sheetName val="Initial_Input_Variable18"/>
      <sheetName val="경영비율_18"/>
      <sheetName val="그래프_(2)20"/>
      <sheetName val="2_대상자20"/>
      <sheetName val="9903말_현재20"/>
      <sheetName val="Control_Sheet20"/>
      <sheetName val="2012년_하반기_승진안_및_상신양식_디자인_파트_x17"/>
      <sheetName val="SQL_Statement18"/>
      <sheetName val="주소_작성18"/>
      <sheetName val="2__2012년_실행계획_수립_및_대상선정용_SHEE17"/>
      <sheetName val="타계정에서_명세서(PL상)17"/>
      <sheetName val="별첨3_실패원팀17"/>
      <sheetName val="24_보증금(전신전화가입권)17"/>
      <sheetName val="04년_투자전망17"/>
      <sheetName val="배합비(2,3_4분기)17"/>
      <sheetName val="가중평균_보통주식0217"/>
      <sheetName val="가중평균_보통주식0117"/>
      <sheetName val="완성차_미수금17"/>
      <sheetName val="AC_List17"/>
      <sheetName val="2__Financial_Performance16"/>
      <sheetName val="BS_Prior17"/>
      <sheetName val="97년_추정16"/>
      <sheetName val="이자율별_차입금_적수16"/>
      <sheetName val="Sheet1_(2)16"/>
      <sheetName val="0_0ControlSheet16"/>
      <sheetName val="0_1keyAssumption16"/>
      <sheetName val="Data_Sheet16"/>
      <sheetName val="6_이토처리시간16"/>
      <sheetName val="GRADE별_투입원단위16"/>
      <sheetName val="한일자야(감액손실)_(2)16"/>
      <sheetName val="Q2_Actual16"/>
      <sheetName val="Q3_actuals16"/>
      <sheetName val="산업은행_경영지표16"/>
      <sheetName val="인건비_내역서16"/>
      <sheetName val="방수공사_집계표13"/>
      <sheetName val="AC__x0000__x0000__x0005__x0000_"/>
      <sheetName val="2__2012__________________SHEE_3"/>
      <sheetName val="1-1평균터파기고(1)"/>
      <sheetName val="200"/>
      <sheetName val="정렬"/>
      <sheetName val="BID"/>
      <sheetName val="플랜트 설치"/>
      <sheetName val="대구은행"/>
      <sheetName val="건축개요_"/>
      <sheetName val="6-G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refreshError="1"/>
      <sheetData sheetId="347" refreshError="1"/>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sheetData sheetId="403"/>
      <sheetData sheetId="404"/>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efreshError="1"/>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efreshError="1"/>
      <sheetData sheetId="563" refreshError="1"/>
      <sheetData sheetId="564" refreshError="1"/>
      <sheetData sheetId="565"/>
      <sheetData sheetId="566"/>
      <sheetData sheetId="567"/>
      <sheetData sheetId="568"/>
      <sheetData sheetId="569"/>
      <sheetData sheetId="570"/>
      <sheetData sheetId="571"/>
      <sheetData sheetId="572"/>
      <sheetData sheetId="573"/>
      <sheetData sheetId="574"/>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refreshError="1"/>
      <sheetData sheetId="702" refreshError="1"/>
      <sheetData sheetId="703" refreshError="1"/>
      <sheetData sheetId="704" refreshError="1"/>
      <sheetData sheetId="705" refreshError="1"/>
      <sheetData sheetId="706" refreshError="1"/>
      <sheetData sheetId="707" refreshError="1"/>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갑지"/>
      <sheetName val="을지"/>
      <sheetName val="통관비용"/>
      <sheetName val="spare"/>
      <sheetName val="투자비상환"/>
      <sheetName val="Project Brief"/>
      <sheetName val="거제도"/>
      <sheetName val="COVER"/>
      <sheetName val="검토기준"/>
      <sheetName val="산출근거_성능값"/>
      <sheetName val="계산근거"/>
      <sheetName val="요약"/>
      <sheetName val="분석_CASE1"/>
      <sheetName val="분석_CASE2"/>
      <sheetName val="분석_CASE3"/>
      <sheetName val="분석_CASE4"/>
      <sheetName val="外周区 "/>
      <sheetName val="손익"/>
      <sheetName val="BMC009"/>
      <sheetName val="식대견적"/>
      <sheetName val="13.Op. Activities"/>
      <sheetName val="노무비"/>
      <sheetName val="Prices"/>
      <sheetName val="1Month+Sheet2!"/>
      <sheetName val="Facility Information"/>
      <sheetName val="General"/>
      <sheetName val="Instructions"/>
      <sheetName val="People"/>
      <sheetName val="Quality"/>
      <sheetName val="Risk"/>
      <sheetName val="Training"/>
      <sheetName val="Assumption"/>
      <sheetName val="2 카드채권(대출포함)"/>
      <sheetName val="의왕F사"/>
      <sheetName val="가공사"/>
      <sheetName val="의령"/>
      <sheetName val="대구"/>
      <sheetName val="안성"/>
      <sheetName val="118.세금과공과"/>
      <sheetName val="108.수선비"/>
      <sheetName val="재무가정"/>
      <sheetName val="Project_Brief"/>
      <sheetName val="外周区_"/>
      <sheetName val="13_Op__Activities"/>
      <sheetName val="Facility_Information"/>
      <sheetName val="2_카드채권(대출포함)"/>
      <sheetName val="Operational Activities"/>
      <sheetName val="'94자산"/>
      <sheetName val="근무변경검토"/>
      <sheetName val="표지"/>
      <sheetName val="CM 1"/>
      <sheetName val="입찰안"/>
      <sheetName val="일위대가(가설)"/>
      <sheetName val="CAL1"/>
      <sheetName val="단가비교"/>
      <sheetName val="입찰품의서"/>
      <sheetName val="체계"/>
      <sheetName val="하조서"/>
      <sheetName val="효율표"/>
      <sheetName val="공사설계서"/>
      <sheetName val="17.채용자명단"/>
      <sheetName val="1ST"/>
      <sheetName val="절감계산"/>
      <sheetName val="항목"/>
      <sheetName val="COA-17"/>
      <sheetName val="C-18"/>
      <sheetName val="할증 "/>
      <sheetName val="vlookup"/>
      <sheetName val="Scope Functional Categories"/>
      <sheetName val="GL Codes"/>
      <sheetName val="15.Op. Activities"/>
      <sheetName val="인근점포"/>
      <sheetName val="단가산출"/>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충주"/>
      <sheetName val="기본사항"/>
      <sheetName val="실행(1)"/>
      <sheetName val="CTEMCOST"/>
      <sheetName val="예산작성기준(전기)"/>
      <sheetName val="95삼성급(본사)"/>
      <sheetName val="#REF"/>
      <sheetName val="Utility Cost Trend"/>
      <sheetName val="영업.일1"/>
      <sheetName val="18"/>
      <sheetName val="목표세부명세"/>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Sheet1"/>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POOM_MOTO"/>
      <sheetName val="POOM_MOTO2"/>
      <sheetName val="Utility Usage엠닷컴 26"/>
      <sheetName val="직공비"/>
      <sheetName val="점수계산1-2"/>
      <sheetName val="신규투자종합"/>
      <sheetName val="직노"/>
      <sheetName val="dV&amp;Cl"/>
      <sheetName val="CAP"/>
      <sheetName val="변수"/>
      <sheetName val="전압하강"/>
      <sheetName val="F-T Voltage"/>
      <sheetName val="Var."/>
      <sheetName val="1월"/>
      <sheetName val="납부서"/>
      <sheetName val="산출내역서집계표"/>
      <sheetName val="목록"/>
      <sheetName val="マスタ"/>
      <sheetName val="Drop-down"/>
      <sheetName val="工완성공사율"/>
      <sheetName val="Voreinstellungen"/>
      <sheetName val="Eingabe"/>
      <sheetName val="B053_(990701)공정실적PP%계산2"/>
      <sheetName val="B053_(990701)공정능력PC%계산2"/>
      <sheetName val="CC_Down_load_07162"/>
      <sheetName val="2_카드채권(대출포함)2"/>
      <sheetName val="진행_DATA_(2)2"/>
      <sheetName val="二_POSITION_XLS1"/>
      <sheetName val="Project_Brief2"/>
      <sheetName val="外周区_2"/>
      <sheetName val="13_Op__Activities2"/>
      <sheetName val="Facility_Information2"/>
      <sheetName val="Operational_Activities1"/>
      <sheetName val="17_채용자명단1"/>
      <sheetName val="118_세금과공과1"/>
      <sheetName val="108_수선비1"/>
      <sheetName val="CM_11"/>
      <sheetName val="Scope_Functional_Categories1"/>
      <sheetName val="GL_Codes1"/>
      <sheetName val="할증_1"/>
      <sheetName val="MP2006_data1"/>
      <sheetName val="B053_(990701)공정실적PP%계산1"/>
      <sheetName val="B053_(990701)공정능력PC%계산1"/>
      <sheetName val="CC_Down_load_07161"/>
      <sheetName val="진행_DATA_(2)1"/>
      <sheetName val="二_POSITION_XLS"/>
      <sheetName val="CM_1"/>
      <sheetName val="Scope_Functional_Categories"/>
      <sheetName val="GL_Codes"/>
      <sheetName val="할증_"/>
      <sheetName val="MP2006_data"/>
      <sheetName val="B053_(990701)공정실적PP%계산4"/>
      <sheetName val="B053_(990701)공정능력PC%계산4"/>
      <sheetName val="CC_Down_load_07164"/>
      <sheetName val="2_카드채권(대출포함)4"/>
      <sheetName val="진행_DATA_(2)4"/>
      <sheetName val="二_POSITION_XLS3"/>
      <sheetName val="Project_Brief4"/>
      <sheetName val="外周区_4"/>
      <sheetName val="13_Op__Activities4"/>
      <sheetName val="Facility_Information4"/>
      <sheetName val="Operational_Activities3"/>
      <sheetName val="17_채용자명단3"/>
      <sheetName val="118_세금과공과3"/>
      <sheetName val="108_수선비3"/>
      <sheetName val="CM_13"/>
      <sheetName val="Scope_Functional_Categories3"/>
      <sheetName val="GL_Codes3"/>
      <sheetName val="할증_3"/>
      <sheetName val="MP2006_data3"/>
      <sheetName val="B053_(990701)공정실적PP%계산3"/>
      <sheetName val="B053_(990701)공정능력PC%계산3"/>
      <sheetName val="CC_Down_load_07163"/>
      <sheetName val="2_카드채권(대출포함)3"/>
      <sheetName val="진행_DATA_(2)3"/>
      <sheetName val="二_POSITION_XLS2"/>
      <sheetName val="Project_Brief3"/>
      <sheetName val="外周区_3"/>
      <sheetName val="13_Op__Activities3"/>
      <sheetName val="Facility_Information3"/>
      <sheetName val="Operational_Activities2"/>
      <sheetName val="17_채용자명단2"/>
      <sheetName val="118_세금과공과2"/>
      <sheetName val="108_수선비2"/>
      <sheetName val="CM_12"/>
      <sheetName val="Scope_Functional_Categories2"/>
      <sheetName val="GL_Codes2"/>
      <sheetName val="할증_2"/>
      <sheetName val="MP2006_data2"/>
      <sheetName val="IP EXP RE TTL"/>
      <sheetName val="3.2(a)- OD Pairs Direct Supp"/>
      <sheetName val="5_2_04MRSupp"/>
      <sheetName val="5_2PARTDETAIL"/>
      <sheetName val="1. KPI"/>
      <sheetName val="교통대책내역"/>
      <sheetName val="조명율표"/>
      <sheetName val="sw1"/>
      <sheetName val="갑지1"/>
      <sheetName val="배명(단가)"/>
      <sheetName val="토목주소"/>
      <sheetName val="프랜트면허"/>
      <sheetName val="0226"/>
      <sheetName val="터널조도"/>
      <sheetName val="전기실-1"/>
      <sheetName val="EJ"/>
      <sheetName val="실행(ALT1)"/>
      <sheetName val="설계내역서"/>
      <sheetName val="Office"/>
      <sheetName val="Retail"/>
      <sheetName val="200"/>
      <sheetName val="공정"/>
      <sheetName val="대정예"/>
      <sheetName val="여흥"/>
      <sheetName val="건축원가"/>
      <sheetName val="일위대가"/>
      <sheetName val="연돌일위집계"/>
      <sheetName val="평당자료"/>
      <sheetName val="현황"/>
      <sheetName val="0216직장별인원"/>
      <sheetName val="국내 pilot sample"/>
      <sheetName val="MH_??"/>
      <sheetName val="WEIGHT"/>
      <sheetName val="CF"/>
      <sheetName val="손익계산서"/>
      <sheetName val="Sheet2"/>
      <sheetName val="입력방법 설명서"/>
      <sheetName val="적용률"/>
      <sheetName val="상하차비용(기계상차)"/>
      <sheetName val="운반비"/>
      <sheetName val="총괄표 (조정2)"/>
      <sheetName val="공사내역"/>
      <sheetName val="17.수도광열비"/>
      <sheetName val="EQT-ESTN"/>
      <sheetName val="주차(현행)"/>
      <sheetName val="경비(현행)"/>
      <sheetName val="안내도우미(현행)"/>
      <sheetName val="시설(현행)"/>
      <sheetName val="판매시설"/>
      <sheetName val="금융비용"/>
      <sheetName val="잡철물"/>
      <sheetName val="TOTAL"/>
      <sheetName val="집계표"/>
      <sheetName val="내역"/>
      <sheetName val="내역서 "/>
      <sheetName val="일위대가(계측기설치)"/>
      <sheetName val="도급"/>
      <sheetName val="C-301E~305E"/>
      <sheetName val="Main"/>
      <sheetName val="CD-실적"/>
      <sheetName val="_94자산"/>
      <sheetName val="●MC계"/>
      <sheetName val="코드생성기"/>
      <sheetName val=""/>
      <sheetName val="Graph"/>
      <sheetName val="B053_(990701)공정실적PP%계산5"/>
      <sheetName val="B053_(990701)공정능력PC%계산5"/>
      <sheetName val="CC_Down_load_07165"/>
      <sheetName val="2_카드채권(대출포함)5"/>
      <sheetName val="二_POSITION_XLS4"/>
      <sheetName val="진행_DATA_(2)5"/>
      <sheetName val="Project_Brief5"/>
      <sheetName val="外周区_5"/>
      <sheetName val="13_Op__Activities5"/>
      <sheetName val="Facility_Information5"/>
      <sheetName val="Operational_Activities4"/>
      <sheetName val="17_채용자명단4"/>
      <sheetName val="118_세금과공과4"/>
      <sheetName val="108_수선비4"/>
      <sheetName val="CM_14"/>
      <sheetName val="Scope_Functional_Categories4"/>
      <sheetName val="GL_Codes4"/>
      <sheetName val="할증_4"/>
      <sheetName val="MP2006_data4"/>
      <sheetName val="IP_EXP_RE_TTL"/>
      <sheetName val="3_2(a)-_OD_Pairs_Direct_Supp"/>
      <sheetName val="1__KPI"/>
      <sheetName val="인사자료총집계"/>
      <sheetName val="플랜트 설치"/>
      <sheetName val="평가데이터"/>
      <sheetName val="2.2)기계배관철골-R2"/>
      <sheetName val="VAV단가조사"/>
      <sheetName val="9902"/>
      <sheetName val="PIPING"/>
      <sheetName val="단기차입금(200006)"/>
      <sheetName val="D-경비1"/>
      <sheetName val="제조원가"/>
      <sheetName val="조명시설"/>
      <sheetName val="15_Op__Activities"/>
      <sheetName val="Utility_Cost_Trend"/>
      <sheetName val="영업_일1"/>
      <sheetName val="Utility_Usage엠닷컴_26"/>
      <sheetName val="F-T_Voltage"/>
      <sheetName val="Var_"/>
      <sheetName val="재료비_산출표"/>
      <sheetName val="VXXXXXXXXXXXXXXXXXXXXXXXX"/>
      <sheetName val="참고"/>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일위(PN)"/>
      <sheetName val="남양구조시험동"/>
      <sheetName val="J直材4"/>
      <sheetName val="기숙사(파주)_프로에스콤"/>
      <sheetName val="운동장 (2)"/>
      <sheetName val="장비당단가_(1)"/>
      <sheetName val="간_지1"/>
      <sheetName val="2_대외공문"/>
      <sheetName val="부진점(10.09)"/>
      <sheetName val="데이타"/>
      <sheetName val="K(비품-사무용1)"/>
      <sheetName val="FC-101"/>
      <sheetName val="소일위대가코드표"/>
      <sheetName val="업무용유지비실적"/>
      <sheetName val="PILOT품"/>
      <sheetName val="M96현황-동아"/>
      <sheetName val="p2-1"/>
      <sheetName val="유림골조"/>
      <sheetName val="적격"/>
      <sheetName val="예상"/>
      <sheetName val="공통부대비"/>
      <sheetName val="JUCKEYK"/>
      <sheetName val="우수"/>
      <sheetName val="공량산출서"/>
      <sheetName val="역T형"/>
      <sheetName val="안정검토"/>
      <sheetName val="ELECTRIC"/>
      <sheetName val="일명"/>
      <sheetName val="일명95"/>
      <sheetName val="일비"/>
      <sheetName val="일비95"/>
      <sheetName val="경명"/>
      <sheetName val="경명95"/>
      <sheetName val="경배"/>
      <sheetName val="경배95"/>
      <sheetName val="임율"/>
      <sheetName val="임율95"/>
      <sheetName val="간노비"/>
      <sheetName val="간노비95"/>
      <sheetName val="원가계산"/>
      <sheetName val="수정내역"/>
      <sheetName val="일위대가표"/>
      <sheetName val="XXXXXX"/>
      <sheetName val="VXXX"/>
      <sheetName val="진짜내역"/>
      <sheetName val="전시원"/>
      <sheetName val="전시내"/>
      <sheetName val="Sheet3"/>
      <sheetName val="표"/>
      <sheetName val="목"/>
      <sheetName val="설 (3)"/>
      <sheetName val="설 (2)"/>
      <sheetName val="설"/>
      <sheetName val="일"/>
      <sheetName val="일집표"/>
      <sheetName val="일위표"/>
      <sheetName val="수표"/>
      <sheetName val="총집"/>
      <sheetName val="원가"/>
      <sheetName val="제작총집계표"/>
      <sheetName val="총경기장별내역서(10-11)"/>
      <sheetName val="경기장별내역서(12-107)"/>
      <sheetName val="단가산출서"/>
      <sheetName val="중기사용료"/>
      <sheetName val="재료단가"/>
      <sheetName val="노임단가"/>
      <sheetName val="기본일위"/>
      <sheetName val="I一般比"/>
      <sheetName val="재료"/>
      <sheetName val="기본단가표"/>
      <sheetName val="현장"/>
      <sheetName val="단가조사"/>
      <sheetName val="식재인부"/>
      <sheetName val="예산M11A"/>
      <sheetName val="건축내역"/>
      <sheetName val="101동"/>
      <sheetName val="2000년1차"/>
      <sheetName val="2000전체분"/>
      <sheetName val="MAIN_TABLE"/>
      <sheetName val="백암비스타내역"/>
      <sheetName val="출자한도"/>
      <sheetName val="KKK"/>
      <sheetName val="골재산출"/>
      <sheetName val="5공철탑검토표"/>
      <sheetName val="4공철탑검토"/>
      <sheetName val="기초자료"/>
      <sheetName val="공사비총괄표"/>
      <sheetName val="3BL공동구 수량"/>
      <sheetName val="일대-1"/>
      <sheetName val="공사개요(서광주)"/>
      <sheetName val="매출채권"/>
      <sheetName val="제안실적sum조회"/>
      <sheetName val="경산"/>
      <sheetName val="산근"/>
      <sheetName val="철탑공사"/>
      <sheetName val="산출근거"/>
      <sheetName val="토공(우물통,기타) "/>
      <sheetName val="차수공개요"/>
      <sheetName val="스포회원매출"/>
      <sheetName val="총괄표"/>
      <sheetName val="대공종"/>
      <sheetName val="단중표"/>
      <sheetName val="지하"/>
      <sheetName val="산출내역서"/>
      <sheetName val="당초"/>
      <sheetName val="교각별철근수량집계표"/>
      <sheetName val="Customer Databas"/>
      <sheetName val="자료"/>
      <sheetName val="노임"/>
      <sheetName val="본체"/>
      <sheetName val="실행"/>
      <sheetName val="지질조사"/>
      <sheetName val="코드표"/>
      <sheetName val="적용토목"/>
      <sheetName val="NYS"/>
      <sheetName val="N賃率-職"/>
      <sheetName val="설직재-1"/>
      <sheetName val="영창26"/>
      <sheetName val="요율"/>
      <sheetName val="본공사"/>
      <sheetName val="기초내역서"/>
      <sheetName val="수량산출"/>
      <sheetName val="대가목록표"/>
      <sheetName val="일위대가목차"/>
      <sheetName val="조경일람"/>
      <sheetName val="물가자료"/>
      <sheetName val="중기"/>
      <sheetName val="식생블럭단위수량"/>
      <sheetName val="LF자재단가"/>
      <sheetName val="노임,재료비"/>
      <sheetName val="갑지(추정)"/>
      <sheetName val="AIR SHOWER(3인용)"/>
      <sheetName val="예산"/>
      <sheetName val="Sheet5"/>
      <sheetName val="6PILE  (돌출)"/>
      <sheetName val="asd"/>
      <sheetName val="수주추정"/>
      <sheetName val="토공 total"/>
      <sheetName val="기술부대조건"/>
      <sheetName val="재료비노무비"/>
      <sheetName val="위생설비"/>
      <sheetName val="내역서(중수)"/>
      <sheetName val="CAT_5"/>
      <sheetName val="단가비교표_공통1"/>
      <sheetName val="48전력선로일위"/>
      <sheetName val="단가표"/>
      <sheetName val="도급기성"/>
      <sheetName val="설비단가표"/>
      <sheetName val="LEGEND"/>
      <sheetName val="오수공수량집계표"/>
      <sheetName val="공정율"/>
      <sheetName val="pldt"/>
      <sheetName val="건집"/>
      <sheetName val="건축"/>
      <sheetName val="기설집"/>
      <sheetName val="설집"/>
      <sheetName val="식재수량표"/>
      <sheetName val="총괄"/>
      <sheetName val="집계"/>
      <sheetName val="공량집"/>
      <sheetName val="단가"/>
      <sheetName val="배부율"/>
      <sheetName val="완성1"/>
      <sheetName val="완성2"/>
      <sheetName val="산재비율"/>
      <sheetName val="안전비율"/>
      <sheetName val="일반비율"/>
      <sheetName val="공량"/>
      <sheetName val="VXXXXX"/>
      <sheetName val="적용대가"/>
      <sheetName val="지수내역"/>
      <sheetName val="노(97.1,97.9,98.1)"/>
      <sheetName val="자재단가"/>
      <sheetName val="Sheet6"/>
      <sheetName val="원가 (2)"/>
      <sheetName val="연부97-1"/>
      <sheetName val="조건표"/>
      <sheetName val="자갈,시멘트,모래산출"/>
      <sheetName val="교수설계"/>
      <sheetName val="시설물기초"/>
      <sheetName val="공사직종별노임"/>
      <sheetName val=" 냉각수펌프"/>
      <sheetName val="AHU집계"/>
      <sheetName val="1.설계조건"/>
      <sheetName val="CIVIL4"/>
      <sheetName val="지급자재"/>
      <sheetName val=" HIT-&gt;HMC 견적(3900)"/>
      <sheetName val="RE9604"/>
      <sheetName val="내역서2안"/>
      <sheetName val="ELEC"/>
      <sheetName val="9GNG운반"/>
      <sheetName val="율촌법률사무소2내역"/>
      <sheetName val="공조기휀"/>
      <sheetName val="시멘트"/>
      <sheetName val="N賃率_職"/>
      <sheetName val="102역사"/>
      <sheetName val="특외대"/>
      <sheetName val="6호기"/>
      <sheetName val="금액집계"/>
      <sheetName val="96정변2"/>
      <sheetName val="내역(원안-대안)"/>
      <sheetName val="전기일위목록"/>
      <sheetName val="노무,재료"/>
      <sheetName val="견적"/>
      <sheetName val="철거산출근거"/>
      <sheetName val="사다리"/>
      <sheetName val="아파트건축"/>
      <sheetName val="당진1,2호기전선관설치및접지4차공사내역서-을지"/>
      <sheetName val="제-노임"/>
      <sheetName val="제직재"/>
      <sheetName val="데리네이타현황"/>
      <sheetName val="기계경비(시간당)"/>
      <sheetName val="일위대가1"/>
      <sheetName val="공통가설공사"/>
      <sheetName val="계약서"/>
      <sheetName val="DATE"/>
      <sheetName val="산출-설비"/>
      <sheetName val="원가계산서"/>
      <sheetName val="견적서"/>
      <sheetName val="Sheet7(ㅅ)"/>
      <sheetName val="본체철근표"/>
      <sheetName val="제작비추산총괄표"/>
      <sheetName val="갑"/>
      <sheetName val="일위"/>
      <sheetName val="3.2제조설비"/>
      <sheetName val="적용건축"/>
      <sheetName val="역공종"/>
      <sheetName val="대치판정"/>
      <sheetName val="원가서"/>
      <sheetName val="001"/>
      <sheetName val="단위내역서"/>
      <sheetName val="주beam"/>
      <sheetName val="도급견적가"/>
      <sheetName val="guard(mac)"/>
      <sheetName val="부대공Ⅱ"/>
      <sheetName val="공사개요"/>
      <sheetName val="간접1"/>
      <sheetName val="장비가동"/>
      <sheetName val="내역관리1"/>
      <sheetName val="설_(3)"/>
      <sheetName val="설_(2)"/>
      <sheetName val="3BL공동구_수량"/>
      <sheetName val="전선 및 전선관"/>
      <sheetName val="공통가설"/>
      <sheetName val="저"/>
      <sheetName val="내역(설계)"/>
      <sheetName val="총수량집계표"/>
      <sheetName val="백룡교차로"/>
      <sheetName val="산정교차로"/>
      <sheetName val="신영교차로"/>
      <sheetName val="물량입력"/>
      <sheetName val="일위(철거)"/>
      <sheetName val="E총15"/>
      <sheetName val="약품공급2"/>
      <sheetName val="카메라"/>
      <sheetName val="내역서(기성청구)"/>
      <sheetName val="입력변수"/>
      <sheetName val="별표 "/>
      <sheetName val="부대"/>
      <sheetName val="일위CODE"/>
      <sheetName val="gyun"/>
      <sheetName val="노 무 비"/>
      <sheetName val="예가표"/>
      <sheetName val="첨부1"/>
      <sheetName val="물량표"/>
      <sheetName val="부하자료"/>
      <sheetName val="국내"/>
      <sheetName val="Baby일위대가"/>
      <sheetName val="내역서 제출"/>
      <sheetName val="기계공사비집계(원안)"/>
      <sheetName val="2000년 공정표"/>
      <sheetName val="단"/>
      <sheetName val="토공집계표"/>
      <sheetName val="Inst."/>
      <sheetName val="01상노임"/>
      <sheetName val="하도급원가계산총괄표(식재)"/>
      <sheetName val="청주(철골발주의뢰서)"/>
      <sheetName val="토공"/>
      <sheetName val="터파기및재료"/>
      <sheetName val="2공구산출내역"/>
      <sheetName val="sub"/>
      <sheetName val="반포2차"/>
      <sheetName val="공사착공계"/>
      <sheetName val="찍기"/>
      <sheetName val="특별땅고르기"/>
      <sheetName val="단위단가"/>
      <sheetName val="연결관암거"/>
      <sheetName val="소비자가"/>
      <sheetName val="일위대가목록"/>
      <sheetName val="일위_파일"/>
      <sheetName val="일위(PANEL)"/>
      <sheetName val="효성CB 1P기초"/>
      <sheetName val="계수시트"/>
      <sheetName val="램머"/>
      <sheetName val="경영상태"/>
      <sheetName val="노무비 근거"/>
      <sheetName val="상가분양"/>
      <sheetName val="INPUT"/>
      <sheetName val="직접공사비"/>
      <sheetName val="내역표지"/>
      <sheetName val="#3_일위대가목록"/>
      <sheetName val="AIR_SHOWER(3인용)"/>
      <sheetName val="Customer_Databas"/>
      <sheetName val="토공(우물통,기타)_"/>
      <sheetName val="원가_(2)"/>
      <sheetName val="_HIT-&gt;HMC_견적(3900)"/>
      <sheetName val="별표"/>
      <sheetName val="기초일위"/>
      <sheetName val="설계조건"/>
      <sheetName val="배수내역"/>
      <sheetName val="기흥하도용"/>
      <sheetName val="차액보증"/>
      <sheetName val="도급예산내역서봉투"/>
      <sheetName val="공사원가계산서"/>
      <sheetName val="설계산출표지"/>
      <sheetName val="도급예산내역서총괄표"/>
      <sheetName val="을부담운반비"/>
      <sheetName val="설계산출기초"/>
      <sheetName val="운반비산출"/>
      <sheetName val="내역서1"/>
      <sheetName val="1공구산출내역서"/>
      <sheetName val="노무비단가"/>
      <sheetName val="지점장"/>
      <sheetName val="유기공정"/>
      <sheetName val="유림콘도"/>
      <sheetName val="ITEM"/>
      <sheetName val="원본"/>
      <sheetName val="암거단위"/>
      <sheetName val="단가대비표 (3)"/>
      <sheetName val="손익분석"/>
      <sheetName val="원가총괄"/>
      <sheetName val="수량산출(생반)"/>
      <sheetName val="일반전기C"/>
      <sheetName val="청곡지선입력"/>
      <sheetName val="토공_total"/>
      <sheetName val="노(97_1,97_9,98_1)"/>
      <sheetName val="6PILE__(돌출)"/>
      <sheetName val="적용단위길이"/>
      <sheetName val="피벗테이블데이터분석"/>
      <sheetName val="COST"/>
      <sheetName val="부대내역"/>
      <sheetName val="세골재  T2 변경 현황"/>
      <sheetName val="직재"/>
      <sheetName val="통합집계표"/>
      <sheetName val="3본사"/>
      <sheetName val="단가일람"/>
      <sheetName val="갑지.을지"/>
      <sheetName val="BID"/>
      <sheetName val="일위대가(1)"/>
      <sheetName val="기타 정보통신공사"/>
      <sheetName val="재집"/>
      <sheetName val="Sheet1 (2)"/>
      <sheetName val="조명율"/>
      <sheetName val="(1)본선수량집계"/>
      <sheetName val="Macro1"/>
      <sheetName val="1000 DB구축 부표"/>
      <sheetName val="CT "/>
      <sheetName val="발신정보"/>
      <sheetName val="기초대가"/>
      <sheetName val="조도계산서 (도서)"/>
      <sheetName val="명세서"/>
      <sheetName val="구리토평1전기"/>
      <sheetName val="C.전기공사"/>
      <sheetName val="J-EQ"/>
      <sheetName val="총괄내역"/>
      <sheetName val="하이테콤직원"/>
      <sheetName val="맨홀수량산출"/>
      <sheetName val="개요"/>
      <sheetName val="노임단가(08.01)"/>
      <sheetName val="현장관리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봉방동근생"/>
      <sheetName val="민감도"/>
      <sheetName val="세부내역서(전기)"/>
      <sheetName val="품셈"/>
      <sheetName val="변경내역(전체)"/>
      <sheetName val="참조자료"/>
      <sheetName val="날개벽수량표"/>
      <sheetName val="신우"/>
      <sheetName val="전기내역"/>
      <sheetName val="자재표"/>
      <sheetName val="을"/>
      <sheetName val="98지급계획"/>
      <sheetName val="20관리비율"/>
      <sheetName val="연습"/>
      <sheetName val="직접노무"/>
      <sheetName val="직접재료"/>
      <sheetName val="내역서중"/>
      <sheetName val="접지수량"/>
      <sheetName val="교각계산"/>
      <sheetName val="계측기"/>
      <sheetName val="전기2005"/>
      <sheetName val="통신2005"/>
      <sheetName val="총괄집계표"/>
      <sheetName val="자료입력"/>
      <sheetName val="철콘"/>
      <sheetName val="표  지"/>
      <sheetName val="패널"/>
      <sheetName val="간접비계산"/>
      <sheetName val="그림"/>
      <sheetName val="그림2"/>
      <sheetName val="분전반"/>
      <sheetName val="내역서적용수량"/>
      <sheetName val="가도공"/>
      <sheetName val="유림총괄"/>
      <sheetName val="현장관리비참조"/>
      <sheetName val="작성"/>
      <sheetName val="출력은 금물"/>
      <sheetName val="일위대가(건축)"/>
      <sheetName val="간접비"/>
      <sheetName val="청도공장"/>
      <sheetName val="간접(90)"/>
      <sheetName val="입상내역"/>
      <sheetName val="품셈총괄"/>
      <sheetName val="교각1"/>
      <sheetName val="표층포설및다짐"/>
      <sheetName val="전기"/>
      <sheetName val="인적사항"/>
      <sheetName val="단재적표"/>
      <sheetName val="설계"/>
      <sheetName val="투찰가"/>
      <sheetName val="공문"/>
      <sheetName val="수목표준대가"/>
      <sheetName val="예산총괄"/>
      <sheetName val="옥외계측"/>
      <sheetName val="CODE"/>
      <sheetName val="전체"/>
      <sheetName val="인공"/>
      <sheetName val="도급자재"/>
      <sheetName val="일위목록"/>
      <sheetName val="설_(3)1"/>
      <sheetName val="설_(2)1"/>
      <sheetName val="3BL공동구_수량1"/>
      <sheetName val="1_설계조건"/>
      <sheetName val="_냉각수펌프"/>
      <sheetName val="2000년_공정표"/>
      <sheetName val="노무비_근거"/>
      <sheetName val="전선_및_전선관"/>
      <sheetName val="효성CB_1P기초"/>
      <sheetName val="내역서_제출"/>
      <sheetName val="중기일위대가"/>
      <sheetName val="0Title"/>
      <sheetName val="추가예산"/>
      <sheetName val="오동"/>
      <sheetName val="대조"/>
      <sheetName val="나한"/>
      <sheetName val="물가시세"/>
      <sheetName val="부하"/>
      <sheetName val="단가 "/>
      <sheetName val="ESCO개보수공사"/>
      <sheetName val="수량총괄"/>
      <sheetName val="빌딩 안내"/>
      <sheetName val="화재 탐지 설비"/>
      <sheetName val="DATA테이블1 (2)"/>
      <sheetName val="건축기계설비표선정수장"/>
      <sheetName val="DB"/>
      <sheetName val="공연,전시"/>
      <sheetName val="A 견적"/>
      <sheetName val="s.v"/>
      <sheetName val="공사입찰정보입력"/>
      <sheetName val="국내조달(통합-1)"/>
      <sheetName val="보증수수료산출"/>
      <sheetName val="도담구내 개소별 명세"/>
      <sheetName val="철근중량"/>
      <sheetName val="ABUT수량-A1"/>
      <sheetName val="工관리비율"/>
      <sheetName val="정거장 설계조건"/>
      <sheetName val="주요기준"/>
      <sheetName val="제경비율"/>
      <sheetName val="기본가정"/>
      <sheetName val="자재단가비교표"/>
      <sheetName val="단가대비표"/>
      <sheetName val="b_balju"/>
      <sheetName val="인공산출"/>
      <sheetName val="노무단가산정"/>
      <sheetName val="산출0"/>
      <sheetName val="담장산출"/>
      <sheetName val="처리단락"/>
      <sheetName val="건축부하"/>
      <sheetName val="약전닥트"/>
      <sheetName val="일지-H"/>
      <sheetName val="김포IO"/>
      <sheetName val="LD"/>
      <sheetName val="FA설치명세"/>
      <sheetName val="콘크리트"/>
      <sheetName val="건설기계사용료목록"/>
      <sheetName val="단가조사서"/>
      <sheetName val="집"/>
      <sheetName val="간선계산"/>
      <sheetName val="계화배수"/>
      <sheetName val="99년하반기"/>
      <sheetName val="말뚝지지력산정"/>
      <sheetName val="철근집계"/>
      <sheetName val="COPING"/>
      <sheetName val="기성내역서표지"/>
      <sheetName val="포승중환경개선공사(변경)"/>
      <sheetName val="공정코드"/>
      <sheetName val="2000.05"/>
      <sheetName val="구의33고"/>
      <sheetName val="구성1"/>
      <sheetName val="구성2"/>
      <sheetName val="구성3"/>
      <sheetName val="구성4"/>
      <sheetName val="도급내역서(재노경)"/>
      <sheetName val="16-1"/>
      <sheetName val="와동수량"/>
      <sheetName val="직원현황"/>
      <sheetName val="품셈TABLE"/>
      <sheetName val="예비용"/>
      <sheetName val="상행-교대(A1-A2)"/>
      <sheetName val="전기설계변경"/>
      <sheetName val="기초목록"/>
      <sheetName val="단가(자재)"/>
      <sheetName val="공사추진현황"/>
      <sheetName val="입력"/>
      <sheetName val="&lt;--"/>
      <sheetName val="Data Sheet('21.03)"/>
      <sheetName val="G95"/>
      <sheetName val="G59"/>
      <sheetName val="플랜트_설치"/>
      <sheetName val="10.월간주차수입현황"/>
      <sheetName val="IT-BAT"/>
      <sheetName val="리스료"/>
      <sheetName val="환율"/>
      <sheetName val="Bellinfo"/>
      <sheetName val="mm10"/>
      <sheetName val="견적대비표"/>
      <sheetName val="기술기획검토"/>
      <sheetName val="01"/>
      <sheetName val="Project_Brief6"/>
      <sheetName val="外周区_6"/>
      <sheetName val="13_Op__Activities6"/>
      <sheetName val="Facility_Information6"/>
      <sheetName val="2_카드채권(대출포함)6"/>
      <sheetName val="Operational_Activities5"/>
      <sheetName val="17_채용자명단5"/>
      <sheetName val="118_세금과공과5"/>
      <sheetName val="108_수선비5"/>
      <sheetName val="CM_15"/>
      <sheetName val="Scope_Functional_Categories5"/>
      <sheetName val="GL_Codes5"/>
      <sheetName val="할증_5"/>
      <sheetName val="15_Op__Activities1"/>
      <sheetName val="Utility_Cost_Trend1"/>
      <sheetName val="영업_일11"/>
      <sheetName val="B053_(990701)공정실적PP%계산6"/>
      <sheetName val="B053_(990701)공정능력PC%계산6"/>
      <sheetName val="CC_Down_load_07166"/>
      <sheetName val="二_POSITION_XLS5"/>
      <sheetName val="진행_DATA_(2)6"/>
      <sheetName val="MP2006_data5"/>
      <sheetName val="IP_EXP_RE_TTL1"/>
      <sheetName val="3_2(a)-_OD_Pairs_Direct_Supp1"/>
      <sheetName val="1__KPI1"/>
      <sheetName val="F-T_Voltage1"/>
      <sheetName val="Var_1"/>
      <sheetName val="Utility_Usage엠닷컴_261"/>
      <sheetName val="재료비_산출표1"/>
      <sheetName val="국내_pilot_sample"/>
      <sheetName val="입력방법_설명서"/>
      <sheetName val="내역서_"/>
      <sheetName val="17_수도광열비"/>
      <sheetName val="총괄표_(조정2)"/>
      <sheetName val="플랜트_설치1"/>
      <sheetName val="2_2)기계배관철골-R2"/>
      <sheetName val="장비당단가_(1)1"/>
      <sheetName val="간_지11"/>
      <sheetName val="2_대외공문1"/>
      <sheetName val="운동장_(2)"/>
      <sheetName val="부진점(10_09)"/>
      <sheetName val="설_(3)2"/>
      <sheetName val="설_(2)2"/>
      <sheetName val="3BL공동구_수량2"/>
      <sheetName val="토공(우물통,기타)_1"/>
      <sheetName val="Customer_Databas1"/>
      <sheetName val="AIR_SHOWER(3인용)1"/>
      <sheetName val="6PILE__(돌출)1"/>
      <sheetName val="토공_total1"/>
      <sheetName val="노(97_1,97_9,98_1)1"/>
      <sheetName val="원가_(2)1"/>
      <sheetName val="_냉각수펌프1"/>
      <sheetName val="1_설계조건1"/>
      <sheetName val="_HIT-&gt;HMC_견적(3900)1"/>
      <sheetName val="3_2제조설비"/>
      <sheetName val="전선_및_전선관1"/>
      <sheetName val="별표_"/>
      <sheetName val="노_무_비"/>
      <sheetName val="내역서_제출1"/>
      <sheetName val="2000년_공정표1"/>
      <sheetName val="Inst_"/>
      <sheetName val="효성CB_1P기초1"/>
      <sheetName val="노무비_근거1"/>
      <sheetName val="단가대비표_(3)"/>
      <sheetName val="세골재__T2_변경_현황"/>
      <sheetName val="갑지_을지"/>
      <sheetName val="기타_정보통신공사"/>
      <sheetName val="Sheet1_(2)"/>
      <sheetName val="1000_DB구축_부표"/>
      <sheetName val="CT_"/>
      <sheetName val="조도계산서_(도서)"/>
      <sheetName val="C_전기공사"/>
      <sheetName val="노임단가(08_01)"/>
      <sheetName val="일위대가56-1_"/>
      <sheetName val="일위대가71-1_"/>
      <sheetName val="일위대가74-1_"/>
      <sheetName val="일위대가76-1_"/>
      <sheetName val="일위대가77-1_"/>
      <sheetName val="일위대가78-1_"/>
      <sheetName val="표__지"/>
      <sheetName val="출력은_금물"/>
      <sheetName val="단가_"/>
      <sheetName val="빌딩_안내"/>
      <sheetName val="화재_탐지_설비"/>
      <sheetName val="DATA테이블1_(2)"/>
      <sheetName val="A_견적"/>
      <sheetName val="s_v"/>
      <sheetName val="도담구내_개소별_명세"/>
      <sheetName val="정거장_설계조건"/>
      <sheetName val="2000_05"/>
      <sheetName val="Data_Sheet('21_03)"/>
      <sheetName val="10_월간주차수입현황"/>
      <sheetName val="6.임대계약 만료현황"/>
      <sheetName val="cctv"/>
      <sheetName val="A-100전제"/>
      <sheetName val="법인세신고자료"/>
      <sheetName val="모델표준"/>
      <sheetName val="MH__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sheetData sheetId="43" refreshError="1"/>
      <sheetData sheetId="44" refreshError="1"/>
      <sheetData sheetId="45" refreshError="1"/>
      <sheetData sheetId="46" refreshError="1"/>
      <sheetData sheetId="47" refreshError="1"/>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sheetData sheetId="76"/>
      <sheetData sheetId="77"/>
      <sheetData sheetId="78"/>
      <sheetData sheetId="79"/>
      <sheetData sheetId="80"/>
      <sheetData sheetId="81"/>
      <sheetData sheetId="82" refreshError="1"/>
      <sheetData sheetId="83" refreshError="1"/>
      <sheetData sheetId="84" refreshError="1"/>
      <sheetData sheetId="85"/>
      <sheetData sheetId="86"/>
      <sheetData sheetId="87"/>
      <sheetData sheetId="88" refreshError="1"/>
      <sheetData sheetId="89" refreshError="1"/>
      <sheetData sheetId="90" refreshError="1"/>
      <sheetData sheetId="91" refreshError="1"/>
      <sheetData sheetId="92" refreshError="1"/>
      <sheetData sheetId="93"/>
      <sheetData sheetId="94" refreshError="1"/>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refreshError="1"/>
      <sheetData sheetId="379" refreshError="1"/>
      <sheetData sheetId="380" refreshError="1"/>
      <sheetData sheetId="381"/>
      <sheetData sheetId="382"/>
      <sheetData sheetId="383"/>
      <sheetData sheetId="384" refreshError="1"/>
      <sheetData sheetId="385" refreshError="1"/>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refreshError="1"/>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refreshError="1"/>
      <sheetData sheetId="1045" refreshError="1"/>
      <sheetData sheetId="1046" refreshError="1"/>
      <sheetData sheetId="1047" refreshError="1"/>
      <sheetData sheetId="1048" refreshError="1"/>
      <sheetData sheetId="104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D260E-E46E-40F7-B690-57960A64349E}">
  <sheetPr codeName="Sheet4">
    <pageSetUpPr fitToPage="1"/>
  </sheetPr>
  <dimension ref="A1:AA54"/>
  <sheetViews>
    <sheetView showGridLines="0" zoomScale="85" zoomScaleNormal="85" workbookViewId="0">
      <pane xSplit="2" ySplit="2" topLeftCell="G3" activePane="bottomRight" state="frozen"/>
      <selection pane="topRight" activeCell="C1" sqref="C1"/>
      <selection pane="bottomLeft" activeCell="A6" sqref="A6"/>
      <selection pane="bottomRight" activeCell="O23" sqref="O23"/>
    </sheetView>
  </sheetViews>
  <sheetFormatPr defaultRowHeight="16.5"/>
  <cols>
    <col min="1" max="1" width="4.25" style="83" customWidth="1"/>
    <col min="2" max="2" width="9" style="41"/>
    <col min="3" max="8" width="15.75" style="41" customWidth="1"/>
    <col min="9" max="9" width="15.75" style="42" customWidth="1"/>
    <col min="10" max="27" width="15.75" style="41" customWidth="1"/>
    <col min="28" max="16384" width="9" style="41"/>
  </cols>
  <sheetData>
    <row r="1" spans="2:27">
      <c r="B1" s="43"/>
      <c r="C1" s="96" t="s">
        <v>67</v>
      </c>
      <c r="D1" s="97"/>
      <c r="E1" s="98"/>
      <c r="F1" s="96" t="s">
        <v>68</v>
      </c>
      <c r="G1" s="97"/>
      <c r="H1" s="97"/>
      <c r="I1" s="97"/>
      <c r="J1" s="99" t="s">
        <v>69</v>
      </c>
      <c r="K1" s="100"/>
      <c r="L1" s="100"/>
      <c r="M1" s="101" t="s">
        <v>70</v>
      </c>
      <c r="N1" s="100"/>
      <c r="O1" s="100"/>
      <c r="P1" s="102"/>
      <c r="Q1" s="96" t="s">
        <v>71</v>
      </c>
      <c r="R1" s="97"/>
      <c r="S1" s="98"/>
      <c r="T1" s="96" t="s">
        <v>72</v>
      </c>
      <c r="U1" s="97"/>
      <c r="V1" s="97"/>
      <c r="W1" s="98"/>
      <c r="X1" s="96" t="s">
        <v>73</v>
      </c>
      <c r="Y1" s="97"/>
      <c r="Z1" s="97"/>
      <c r="AA1" s="98"/>
    </row>
    <row r="2" spans="2:27" s="55" customFormat="1">
      <c r="B2" s="44" t="s">
        <v>74</v>
      </c>
      <c r="C2" s="45" t="s">
        <v>75</v>
      </c>
      <c r="D2" s="45" t="s">
        <v>76</v>
      </c>
      <c r="E2" s="46" t="s">
        <v>77</v>
      </c>
      <c r="F2" s="47" t="s">
        <v>78</v>
      </c>
      <c r="G2" s="48" t="s">
        <v>79</v>
      </c>
      <c r="H2" s="45" t="s">
        <v>80</v>
      </c>
      <c r="I2" s="49" t="s">
        <v>77</v>
      </c>
      <c r="J2" s="50" t="s">
        <v>121</v>
      </c>
      <c r="K2" s="51" t="s">
        <v>122</v>
      </c>
      <c r="L2" s="51" t="s">
        <v>123</v>
      </c>
      <c r="M2" s="52" t="s">
        <v>121</v>
      </c>
      <c r="N2" s="51" t="s">
        <v>124</v>
      </c>
      <c r="O2" s="51" t="s">
        <v>122</v>
      </c>
      <c r="P2" s="53" t="s">
        <v>123</v>
      </c>
      <c r="Q2" s="47" t="s">
        <v>75</v>
      </c>
      <c r="R2" s="45" t="s">
        <v>76</v>
      </c>
      <c r="S2" s="46" t="s">
        <v>77</v>
      </c>
      <c r="T2" s="54" t="s">
        <v>78</v>
      </c>
      <c r="U2" s="48" t="s">
        <v>79</v>
      </c>
      <c r="V2" s="45" t="s">
        <v>80</v>
      </c>
      <c r="W2" s="46" t="s">
        <v>77</v>
      </c>
      <c r="X2" s="47" t="s">
        <v>78</v>
      </c>
      <c r="Y2" s="48" t="s">
        <v>79</v>
      </c>
      <c r="Z2" s="45" t="s">
        <v>80</v>
      </c>
      <c r="AA2" s="46" t="s">
        <v>77</v>
      </c>
    </row>
    <row r="3" spans="2:27">
      <c r="B3" s="56">
        <v>1</v>
      </c>
      <c r="C3" s="57">
        <v>18600000</v>
      </c>
      <c r="D3" s="57">
        <v>15000000</v>
      </c>
      <c r="E3" s="58">
        <v>15000000</v>
      </c>
      <c r="F3" s="59">
        <v>100000</v>
      </c>
      <c r="G3" s="57">
        <v>100000</v>
      </c>
      <c r="H3" s="57">
        <v>80000</v>
      </c>
      <c r="I3" s="57">
        <v>80000</v>
      </c>
      <c r="J3" s="59">
        <v>19800000</v>
      </c>
      <c r="K3" s="57">
        <v>24500000</v>
      </c>
      <c r="L3" s="57">
        <v>29800000</v>
      </c>
      <c r="M3" s="60">
        <v>3541000</v>
      </c>
      <c r="N3" s="57">
        <v>3800000</v>
      </c>
      <c r="O3" s="57">
        <v>3930000</v>
      </c>
      <c r="P3" s="58">
        <v>4510000</v>
      </c>
      <c r="Q3" s="59">
        <v>3541200</v>
      </c>
      <c r="R3" s="57">
        <v>2951000</v>
      </c>
      <c r="S3" s="58">
        <v>2951000</v>
      </c>
      <c r="T3" s="59">
        <v>18400</v>
      </c>
      <c r="U3" s="57">
        <v>20000</v>
      </c>
      <c r="V3" s="57">
        <v>15300</v>
      </c>
      <c r="W3" s="58">
        <v>15300</v>
      </c>
      <c r="X3" s="59">
        <v>200000</v>
      </c>
      <c r="Y3" s="57">
        <v>200000</v>
      </c>
      <c r="Z3" s="57">
        <v>166800</v>
      </c>
      <c r="AA3" s="58">
        <v>166800</v>
      </c>
    </row>
    <row r="4" spans="2:27">
      <c r="B4" s="61">
        <v>2</v>
      </c>
      <c r="C4" s="62">
        <v>25500000</v>
      </c>
      <c r="D4" s="62">
        <v>20400000</v>
      </c>
      <c r="E4" s="63">
        <v>10200000</v>
      </c>
      <c r="F4" s="64">
        <v>100000</v>
      </c>
      <c r="G4" s="62">
        <v>50000</v>
      </c>
      <c r="H4" s="62">
        <v>80000</v>
      </c>
      <c r="I4" s="62">
        <v>40000</v>
      </c>
      <c r="J4" s="64">
        <v>13500000</v>
      </c>
      <c r="K4" s="62">
        <v>16000000</v>
      </c>
      <c r="L4" s="62">
        <v>19500000</v>
      </c>
      <c r="M4" s="65">
        <v>2000000</v>
      </c>
      <c r="N4" s="62">
        <v>2140000</v>
      </c>
      <c r="O4" s="62">
        <v>2220000</v>
      </c>
      <c r="P4" s="63">
        <v>2540000</v>
      </c>
      <c r="Q4" s="64">
        <v>3863200</v>
      </c>
      <c r="R4" s="62">
        <v>3219333.3333333335</v>
      </c>
      <c r="S4" s="63">
        <v>1378000</v>
      </c>
      <c r="T4" s="64">
        <v>23100</v>
      </c>
      <c r="U4" s="62">
        <v>20000</v>
      </c>
      <c r="V4" s="62">
        <v>19300</v>
      </c>
      <c r="W4" s="63">
        <v>8500</v>
      </c>
      <c r="X4" s="64">
        <v>200000</v>
      </c>
      <c r="Y4" s="62">
        <v>80000</v>
      </c>
      <c r="Z4" s="62">
        <v>166800</v>
      </c>
      <c r="AA4" s="66">
        <v>66700</v>
      </c>
    </row>
    <row r="5" spans="2:27">
      <c r="B5" s="67">
        <v>3</v>
      </c>
      <c r="C5" s="68">
        <v>32400000</v>
      </c>
      <c r="D5" s="68">
        <v>25700000</v>
      </c>
      <c r="E5" s="69">
        <v>8566000</v>
      </c>
      <c r="F5" s="70">
        <v>100000</v>
      </c>
      <c r="G5" s="68">
        <v>50000</v>
      </c>
      <c r="H5" s="68">
        <v>80000</v>
      </c>
      <c r="I5" s="68">
        <v>26600</v>
      </c>
      <c r="J5" s="70">
        <v>13500000</v>
      </c>
      <c r="K5" s="68">
        <v>16000000</v>
      </c>
      <c r="L5" s="68">
        <v>19500000</v>
      </c>
      <c r="M5" s="71">
        <v>2000000</v>
      </c>
      <c r="N5" s="68">
        <v>2140000</v>
      </c>
      <c r="O5" s="68">
        <v>2220000</v>
      </c>
      <c r="P5" s="69">
        <v>2540000</v>
      </c>
      <c r="Q5" s="70">
        <v>4406400</v>
      </c>
      <c r="R5" s="68">
        <v>3672000</v>
      </c>
      <c r="S5" s="69">
        <v>1378000</v>
      </c>
      <c r="T5" s="70">
        <v>27800</v>
      </c>
      <c r="U5" s="68">
        <v>20000</v>
      </c>
      <c r="V5" s="68">
        <v>23200</v>
      </c>
      <c r="W5" s="69">
        <v>8500</v>
      </c>
      <c r="X5" s="70">
        <v>200000</v>
      </c>
      <c r="Y5" s="68">
        <v>80000</v>
      </c>
      <c r="Z5" s="68">
        <v>166800</v>
      </c>
      <c r="AA5" s="72">
        <v>66700</v>
      </c>
    </row>
    <row r="6" spans="2:27">
      <c r="B6" s="61">
        <v>4</v>
      </c>
      <c r="C6" s="62">
        <v>40000000</v>
      </c>
      <c r="D6" s="62">
        <v>31600000</v>
      </c>
      <c r="E6" s="63">
        <v>7393000</v>
      </c>
      <c r="F6" s="64">
        <v>100000</v>
      </c>
      <c r="G6" s="62">
        <v>20000</v>
      </c>
      <c r="H6" s="62">
        <v>80000</v>
      </c>
      <c r="I6" s="62">
        <v>16000</v>
      </c>
      <c r="J6" s="64">
        <v>10000000</v>
      </c>
      <c r="K6" s="62">
        <v>11500000</v>
      </c>
      <c r="L6" s="62">
        <v>13500000</v>
      </c>
      <c r="M6" s="65">
        <v>1400000</v>
      </c>
      <c r="N6" s="62">
        <v>1500000</v>
      </c>
      <c r="O6" s="62">
        <v>1550000</v>
      </c>
      <c r="P6" s="63">
        <v>1780000</v>
      </c>
      <c r="Q6" s="64">
        <v>5456400</v>
      </c>
      <c r="R6" s="62">
        <v>4547000</v>
      </c>
      <c r="S6" s="63">
        <v>1099000</v>
      </c>
      <c r="T6" s="64">
        <v>32500</v>
      </c>
      <c r="U6" s="62">
        <v>10000</v>
      </c>
      <c r="V6" s="62">
        <v>27100</v>
      </c>
      <c r="W6" s="63">
        <v>6200</v>
      </c>
      <c r="X6" s="64">
        <v>200000</v>
      </c>
      <c r="Y6" s="62">
        <v>40000</v>
      </c>
      <c r="Z6" s="62">
        <v>166800</v>
      </c>
      <c r="AA6" s="66">
        <v>33300</v>
      </c>
    </row>
    <row r="7" spans="2:27">
      <c r="B7" s="73">
        <v>5</v>
      </c>
      <c r="C7" s="74">
        <v>46900000</v>
      </c>
      <c r="D7" s="74">
        <v>37000000</v>
      </c>
      <c r="E7" s="75">
        <v>7393000</v>
      </c>
      <c r="F7" s="76">
        <v>100000</v>
      </c>
      <c r="G7" s="74">
        <v>20000</v>
      </c>
      <c r="H7" s="74">
        <v>80000</v>
      </c>
      <c r="I7" s="74">
        <v>16000</v>
      </c>
      <c r="J7" s="77">
        <v>10000000</v>
      </c>
      <c r="K7" s="74">
        <v>11500000</v>
      </c>
      <c r="L7" s="74">
        <v>13500000</v>
      </c>
      <c r="M7" s="78">
        <v>1400000</v>
      </c>
      <c r="N7" s="74">
        <v>1500000</v>
      </c>
      <c r="O7" s="74">
        <v>1550000</v>
      </c>
      <c r="P7" s="75">
        <v>1780000</v>
      </c>
      <c r="Q7" s="77">
        <v>6946800</v>
      </c>
      <c r="R7" s="74">
        <v>5789000</v>
      </c>
      <c r="S7" s="75">
        <v>1099000</v>
      </c>
      <c r="T7" s="77">
        <v>37200</v>
      </c>
      <c r="U7" s="74">
        <v>10000</v>
      </c>
      <c r="V7" s="74">
        <v>31000</v>
      </c>
      <c r="W7" s="75">
        <v>6200</v>
      </c>
      <c r="X7" s="77">
        <v>200000</v>
      </c>
      <c r="Y7" s="74">
        <v>40000</v>
      </c>
      <c r="Z7" s="79">
        <v>166800</v>
      </c>
      <c r="AA7" s="80">
        <v>33300</v>
      </c>
    </row>
    <row r="8" spans="2:27">
      <c r="B8" s="67">
        <v>6</v>
      </c>
      <c r="C8" s="68">
        <v>53800000</v>
      </c>
      <c r="D8" s="68">
        <v>42300000</v>
      </c>
      <c r="E8" s="69">
        <v>7393000</v>
      </c>
      <c r="F8" s="81">
        <v>100000</v>
      </c>
      <c r="G8" s="82">
        <v>20000</v>
      </c>
      <c r="H8" s="68">
        <v>80000</v>
      </c>
      <c r="I8" s="68">
        <v>16000</v>
      </c>
      <c r="J8" s="70">
        <v>10000000</v>
      </c>
      <c r="K8" s="68">
        <v>11500000</v>
      </c>
      <c r="L8" s="68">
        <v>13500000</v>
      </c>
      <c r="M8" s="71">
        <v>1400000</v>
      </c>
      <c r="N8" s="68">
        <v>1500000</v>
      </c>
      <c r="O8" s="68">
        <v>1550000</v>
      </c>
      <c r="P8" s="69">
        <v>1780000</v>
      </c>
      <c r="Q8" s="70">
        <v>7380000</v>
      </c>
      <c r="R8" s="68">
        <v>6150000</v>
      </c>
      <c r="S8" s="69">
        <v>1099000</v>
      </c>
      <c r="T8" s="70">
        <v>41900</v>
      </c>
      <c r="U8" s="68">
        <v>10000</v>
      </c>
      <c r="V8" s="68">
        <v>34900</v>
      </c>
      <c r="W8" s="69">
        <v>6200</v>
      </c>
      <c r="X8" s="70">
        <v>200000</v>
      </c>
      <c r="Y8" s="82">
        <v>40000</v>
      </c>
      <c r="Z8" s="82">
        <v>166800</v>
      </c>
      <c r="AA8" s="72">
        <v>33300</v>
      </c>
    </row>
    <row r="9" spans="2:27">
      <c r="B9" s="61">
        <v>7</v>
      </c>
      <c r="C9" s="62">
        <v>61400000</v>
      </c>
      <c r="D9" s="62">
        <v>48200000</v>
      </c>
      <c r="E9" s="63">
        <v>6800000</v>
      </c>
      <c r="F9" s="64">
        <v>100000</v>
      </c>
      <c r="G9" s="62">
        <v>11000</v>
      </c>
      <c r="H9" s="62">
        <v>80000</v>
      </c>
      <c r="I9" s="62">
        <v>8900</v>
      </c>
      <c r="J9" s="64">
        <v>9000000</v>
      </c>
      <c r="K9" s="62">
        <v>11000000</v>
      </c>
      <c r="L9" s="62">
        <v>12000000</v>
      </c>
      <c r="M9" s="65">
        <v>1100000</v>
      </c>
      <c r="N9" s="62">
        <v>1180000</v>
      </c>
      <c r="O9" s="62">
        <v>1220000</v>
      </c>
      <c r="P9" s="63">
        <v>1400000</v>
      </c>
      <c r="Q9" s="64">
        <v>8430000</v>
      </c>
      <c r="R9" s="62">
        <v>7025000</v>
      </c>
      <c r="S9" s="63">
        <v>898000</v>
      </c>
      <c r="T9" s="64">
        <v>46600</v>
      </c>
      <c r="U9" s="62">
        <v>6000</v>
      </c>
      <c r="V9" s="62">
        <v>38800</v>
      </c>
      <c r="W9" s="63">
        <v>4300</v>
      </c>
      <c r="X9" s="64">
        <v>200000</v>
      </c>
      <c r="Y9" s="62">
        <v>19000</v>
      </c>
      <c r="Z9" s="62">
        <v>166800</v>
      </c>
      <c r="AA9" s="66">
        <v>14400</v>
      </c>
    </row>
    <row r="10" spans="2:27">
      <c r="B10" s="73">
        <v>8</v>
      </c>
      <c r="C10" s="74">
        <v>68300000</v>
      </c>
      <c r="D10" s="74">
        <v>53500000</v>
      </c>
      <c r="E10" s="75">
        <v>6800000</v>
      </c>
      <c r="F10" s="77">
        <v>100000</v>
      </c>
      <c r="G10" s="74">
        <v>11000</v>
      </c>
      <c r="H10" s="74">
        <v>80000</v>
      </c>
      <c r="I10" s="74">
        <v>8900</v>
      </c>
      <c r="J10" s="77">
        <v>9000000</v>
      </c>
      <c r="K10" s="74">
        <v>11000000</v>
      </c>
      <c r="L10" s="74">
        <v>12000000</v>
      </c>
      <c r="M10" s="78">
        <v>1100000</v>
      </c>
      <c r="N10" s="74">
        <v>1180000</v>
      </c>
      <c r="O10" s="74">
        <v>1220000</v>
      </c>
      <c r="P10" s="75">
        <v>1400000</v>
      </c>
      <c r="Q10" s="77">
        <v>8862000</v>
      </c>
      <c r="R10" s="74">
        <v>7385000</v>
      </c>
      <c r="S10" s="75">
        <v>898000</v>
      </c>
      <c r="T10" s="77">
        <v>51300</v>
      </c>
      <c r="U10" s="74">
        <v>6000</v>
      </c>
      <c r="V10" s="74">
        <v>42800</v>
      </c>
      <c r="W10" s="75">
        <v>4300</v>
      </c>
      <c r="X10" s="77">
        <v>200000</v>
      </c>
      <c r="Y10" s="74">
        <v>19000</v>
      </c>
      <c r="Z10" s="74">
        <v>166800</v>
      </c>
      <c r="AA10" s="75">
        <v>14400</v>
      </c>
    </row>
    <row r="11" spans="2:27">
      <c r="B11" s="73">
        <v>9</v>
      </c>
      <c r="C11" s="74">
        <v>79500000</v>
      </c>
      <c r="D11" s="74">
        <v>62400000</v>
      </c>
      <c r="E11" s="75">
        <v>6800000</v>
      </c>
      <c r="F11" s="77">
        <v>100000</v>
      </c>
      <c r="G11" s="74">
        <v>11000</v>
      </c>
      <c r="H11" s="74">
        <v>80000</v>
      </c>
      <c r="I11" s="74">
        <v>8900</v>
      </c>
      <c r="J11" s="77">
        <v>9000000</v>
      </c>
      <c r="K11" s="74">
        <v>11000000</v>
      </c>
      <c r="L11" s="74">
        <v>12000000</v>
      </c>
      <c r="M11" s="78">
        <v>1100000</v>
      </c>
      <c r="N11" s="74">
        <v>1180000</v>
      </c>
      <c r="O11" s="74">
        <v>1220000</v>
      </c>
      <c r="P11" s="75">
        <v>1400000</v>
      </c>
      <c r="Q11" s="77">
        <v>9295200</v>
      </c>
      <c r="R11" s="74">
        <v>7746000</v>
      </c>
      <c r="S11" s="75">
        <v>898000</v>
      </c>
      <c r="T11" s="77">
        <v>56000</v>
      </c>
      <c r="U11" s="74">
        <v>6000</v>
      </c>
      <c r="V11" s="74">
        <v>46700</v>
      </c>
      <c r="W11" s="75">
        <v>4300</v>
      </c>
      <c r="X11" s="77">
        <v>200000</v>
      </c>
      <c r="Y11" s="74">
        <v>19000</v>
      </c>
      <c r="Z11" s="74">
        <v>166800</v>
      </c>
      <c r="AA11" s="75">
        <v>14400</v>
      </c>
    </row>
    <row r="12" spans="2:27">
      <c r="B12" s="73">
        <v>10</v>
      </c>
      <c r="C12" s="74">
        <v>87400000</v>
      </c>
      <c r="D12" s="74">
        <v>68600000</v>
      </c>
      <c r="E12" s="75">
        <v>6800000</v>
      </c>
      <c r="F12" s="77">
        <v>100000</v>
      </c>
      <c r="G12" s="74">
        <v>11000</v>
      </c>
      <c r="H12" s="74">
        <v>80000</v>
      </c>
      <c r="I12" s="74">
        <v>8900</v>
      </c>
      <c r="J12" s="77">
        <v>9000000</v>
      </c>
      <c r="K12" s="74">
        <v>11000000</v>
      </c>
      <c r="L12" s="74">
        <v>12000000</v>
      </c>
      <c r="M12" s="78">
        <v>1100000</v>
      </c>
      <c r="N12" s="74">
        <v>1180000</v>
      </c>
      <c r="O12" s="74">
        <v>1220000</v>
      </c>
      <c r="P12" s="75">
        <v>1400000</v>
      </c>
      <c r="Q12" s="77">
        <v>12836400</v>
      </c>
      <c r="R12" s="74">
        <v>10697000</v>
      </c>
      <c r="S12" s="75">
        <v>898000</v>
      </c>
      <c r="T12" s="77">
        <v>60700</v>
      </c>
      <c r="U12" s="74">
        <v>6000</v>
      </c>
      <c r="V12" s="74">
        <v>50600</v>
      </c>
      <c r="W12" s="75">
        <v>4300</v>
      </c>
      <c r="X12" s="77">
        <v>200000</v>
      </c>
      <c r="Y12" s="74">
        <v>19000</v>
      </c>
      <c r="Z12" s="74">
        <v>166800</v>
      </c>
      <c r="AA12" s="75">
        <v>14400</v>
      </c>
    </row>
    <row r="13" spans="2:27">
      <c r="B13" s="73">
        <v>11</v>
      </c>
      <c r="C13" s="74">
        <v>94500000</v>
      </c>
      <c r="D13" s="74">
        <v>74100000</v>
      </c>
      <c r="E13" s="75">
        <v>6800000</v>
      </c>
      <c r="F13" s="77">
        <v>100000</v>
      </c>
      <c r="G13" s="74">
        <v>11000</v>
      </c>
      <c r="H13" s="74">
        <v>80000</v>
      </c>
      <c r="I13" s="74">
        <v>8900</v>
      </c>
      <c r="J13" s="77">
        <v>9000000</v>
      </c>
      <c r="K13" s="74">
        <v>11000000</v>
      </c>
      <c r="L13" s="74">
        <v>12000000</v>
      </c>
      <c r="M13" s="78">
        <v>1100000</v>
      </c>
      <c r="N13" s="74">
        <v>1180000</v>
      </c>
      <c r="O13" s="74">
        <v>1220000</v>
      </c>
      <c r="P13" s="75">
        <v>1400000</v>
      </c>
      <c r="Q13" s="77">
        <v>13158400</v>
      </c>
      <c r="R13" s="74">
        <v>10965333.333333334</v>
      </c>
      <c r="S13" s="75">
        <v>898000</v>
      </c>
      <c r="T13" s="77">
        <v>65400</v>
      </c>
      <c r="U13" s="74">
        <v>6000</v>
      </c>
      <c r="V13" s="74">
        <v>54500</v>
      </c>
      <c r="W13" s="75">
        <v>4300</v>
      </c>
      <c r="X13" s="77">
        <v>200000</v>
      </c>
      <c r="Y13" s="74">
        <v>19000</v>
      </c>
      <c r="Z13" s="74">
        <v>166800</v>
      </c>
      <c r="AA13" s="75">
        <v>14400</v>
      </c>
    </row>
    <row r="14" spans="2:27">
      <c r="B14" s="73">
        <v>12</v>
      </c>
      <c r="C14" s="74">
        <v>101700000</v>
      </c>
      <c r="D14" s="74">
        <v>79700000</v>
      </c>
      <c r="E14" s="75">
        <v>6800000</v>
      </c>
      <c r="F14" s="77">
        <v>100000</v>
      </c>
      <c r="G14" s="74">
        <v>11000</v>
      </c>
      <c r="H14" s="74">
        <v>80000</v>
      </c>
      <c r="I14" s="74">
        <v>8900</v>
      </c>
      <c r="J14" s="77">
        <v>9000000</v>
      </c>
      <c r="K14" s="74">
        <v>11000000</v>
      </c>
      <c r="L14" s="74">
        <v>12000000</v>
      </c>
      <c r="M14" s="78">
        <v>1100000</v>
      </c>
      <c r="N14" s="74">
        <v>1180000</v>
      </c>
      <c r="O14" s="74">
        <v>1220000</v>
      </c>
      <c r="P14" s="75">
        <v>1400000</v>
      </c>
      <c r="Q14" s="77">
        <v>13701600</v>
      </c>
      <c r="R14" s="74">
        <v>11418000</v>
      </c>
      <c r="S14" s="75">
        <v>898000</v>
      </c>
      <c r="T14" s="77">
        <v>70100</v>
      </c>
      <c r="U14" s="74">
        <v>6000</v>
      </c>
      <c r="V14" s="74">
        <v>58400</v>
      </c>
      <c r="W14" s="75">
        <v>4300</v>
      </c>
      <c r="X14" s="77">
        <v>200000</v>
      </c>
      <c r="Y14" s="74">
        <v>19000</v>
      </c>
      <c r="Z14" s="74">
        <v>166800</v>
      </c>
      <c r="AA14" s="75">
        <v>14400</v>
      </c>
    </row>
    <row r="15" spans="2:27">
      <c r="B15" s="73">
        <v>13</v>
      </c>
      <c r="C15" s="74">
        <v>109600000</v>
      </c>
      <c r="D15" s="74">
        <v>85800000</v>
      </c>
      <c r="E15" s="75">
        <v>6800000</v>
      </c>
      <c r="F15" s="77">
        <v>150000</v>
      </c>
      <c r="G15" s="74">
        <v>11000</v>
      </c>
      <c r="H15" s="74">
        <v>130000</v>
      </c>
      <c r="I15" s="74">
        <v>8900</v>
      </c>
      <c r="J15" s="77">
        <v>9000000</v>
      </c>
      <c r="K15" s="74">
        <v>11000000</v>
      </c>
      <c r="L15" s="74">
        <v>12000000</v>
      </c>
      <c r="M15" s="78">
        <v>1100000</v>
      </c>
      <c r="N15" s="74">
        <v>1180000</v>
      </c>
      <c r="O15" s="74">
        <v>1220000</v>
      </c>
      <c r="P15" s="75">
        <v>1400000</v>
      </c>
      <c r="Q15" s="77">
        <v>14751600</v>
      </c>
      <c r="R15" s="74">
        <v>12293000</v>
      </c>
      <c r="S15" s="75">
        <v>898000</v>
      </c>
      <c r="T15" s="77">
        <v>74800</v>
      </c>
      <c r="U15" s="74">
        <v>6000</v>
      </c>
      <c r="V15" s="74">
        <v>62300</v>
      </c>
      <c r="W15" s="75">
        <v>4300</v>
      </c>
      <c r="X15" s="77">
        <v>250000</v>
      </c>
      <c r="Y15" s="74">
        <v>19000</v>
      </c>
      <c r="Z15" s="74">
        <v>208500</v>
      </c>
      <c r="AA15" s="75">
        <v>14400</v>
      </c>
    </row>
    <row r="16" spans="2:27">
      <c r="B16" s="73">
        <v>14</v>
      </c>
      <c r="C16" s="74">
        <v>116700000</v>
      </c>
      <c r="D16" s="74">
        <v>91300000</v>
      </c>
      <c r="E16" s="75">
        <v>6800000</v>
      </c>
      <c r="F16" s="77">
        <v>150000</v>
      </c>
      <c r="G16" s="74">
        <v>11000</v>
      </c>
      <c r="H16" s="74">
        <v>130000</v>
      </c>
      <c r="I16" s="74">
        <v>8900</v>
      </c>
      <c r="J16" s="77">
        <v>9000000</v>
      </c>
      <c r="K16" s="74">
        <v>11000000</v>
      </c>
      <c r="L16" s="74">
        <v>12000000</v>
      </c>
      <c r="M16" s="78">
        <v>1100000</v>
      </c>
      <c r="N16" s="74">
        <v>1180000</v>
      </c>
      <c r="O16" s="74">
        <v>1220000</v>
      </c>
      <c r="P16" s="75">
        <v>1400000</v>
      </c>
      <c r="Q16" s="77">
        <v>16242000</v>
      </c>
      <c r="R16" s="74">
        <v>13535000</v>
      </c>
      <c r="S16" s="75">
        <v>898000</v>
      </c>
      <c r="T16" s="77">
        <v>79500</v>
      </c>
      <c r="U16" s="74">
        <v>6000</v>
      </c>
      <c r="V16" s="74">
        <v>66300</v>
      </c>
      <c r="W16" s="75">
        <v>4300</v>
      </c>
      <c r="X16" s="77">
        <v>250000</v>
      </c>
      <c r="Y16" s="74">
        <v>19000</v>
      </c>
      <c r="Z16" s="74">
        <v>208500</v>
      </c>
      <c r="AA16" s="75">
        <v>14400</v>
      </c>
    </row>
    <row r="17" spans="2:27">
      <c r="B17" s="73">
        <v>15</v>
      </c>
      <c r="C17" s="74">
        <v>123900000</v>
      </c>
      <c r="D17" s="74">
        <v>96900000</v>
      </c>
      <c r="E17" s="75">
        <v>6800000</v>
      </c>
      <c r="F17" s="77">
        <v>150000</v>
      </c>
      <c r="G17" s="74">
        <v>11000</v>
      </c>
      <c r="H17" s="74">
        <v>130000</v>
      </c>
      <c r="I17" s="74">
        <v>8900</v>
      </c>
      <c r="J17" s="77">
        <v>9000000</v>
      </c>
      <c r="K17" s="74">
        <v>11000000</v>
      </c>
      <c r="L17" s="74">
        <v>12000000</v>
      </c>
      <c r="M17" s="78">
        <v>1100000</v>
      </c>
      <c r="N17" s="74">
        <v>1180000</v>
      </c>
      <c r="O17" s="74">
        <v>1220000</v>
      </c>
      <c r="P17" s="75">
        <v>1400000</v>
      </c>
      <c r="Q17" s="77">
        <v>16675200</v>
      </c>
      <c r="R17" s="74">
        <v>13896000</v>
      </c>
      <c r="S17" s="75">
        <v>898000</v>
      </c>
      <c r="T17" s="77">
        <v>84200</v>
      </c>
      <c r="U17" s="74">
        <v>6000</v>
      </c>
      <c r="V17" s="74">
        <v>70200</v>
      </c>
      <c r="W17" s="75">
        <v>4300</v>
      </c>
      <c r="X17" s="77">
        <v>250000</v>
      </c>
      <c r="Y17" s="74">
        <v>19000</v>
      </c>
      <c r="Z17" s="74">
        <v>208500</v>
      </c>
      <c r="AA17" s="75">
        <v>14400</v>
      </c>
    </row>
    <row r="18" spans="2:27">
      <c r="B18" s="73">
        <v>16</v>
      </c>
      <c r="C18" s="74">
        <v>131700000</v>
      </c>
      <c r="D18" s="74">
        <v>103000000</v>
      </c>
      <c r="E18" s="75">
        <v>6800000</v>
      </c>
      <c r="F18" s="77">
        <v>180000</v>
      </c>
      <c r="G18" s="74">
        <v>11000</v>
      </c>
      <c r="H18" s="74">
        <v>156000</v>
      </c>
      <c r="I18" s="74">
        <v>8900</v>
      </c>
      <c r="J18" s="77">
        <v>9000000</v>
      </c>
      <c r="K18" s="74">
        <v>11000000</v>
      </c>
      <c r="L18" s="74">
        <v>12000000</v>
      </c>
      <c r="M18" s="78">
        <v>1100000</v>
      </c>
      <c r="N18" s="74">
        <v>1180000</v>
      </c>
      <c r="O18" s="74">
        <v>1220000</v>
      </c>
      <c r="P18" s="75">
        <v>1400000</v>
      </c>
      <c r="Q18" s="77">
        <v>17725200</v>
      </c>
      <c r="R18" s="74">
        <v>14771000</v>
      </c>
      <c r="S18" s="75">
        <v>898000</v>
      </c>
      <c r="T18" s="77">
        <v>88900</v>
      </c>
      <c r="U18" s="74">
        <v>6000</v>
      </c>
      <c r="V18" s="74">
        <v>74100</v>
      </c>
      <c r="W18" s="75">
        <v>4300</v>
      </c>
      <c r="X18" s="77">
        <v>300000</v>
      </c>
      <c r="Y18" s="74">
        <v>19000</v>
      </c>
      <c r="Z18" s="74">
        <v>250200</v>
      </c>
      <c r="AA18" s="75">
        <v>14400</v>
      </c>
    </row>
    <row r="19" spans="2:27">
      <c r="B19" s="73">
        <v>17</v>
      </c>
      <c r="C19" s="74">
        <v>145200000</v>
      </c>
      <c r="D19" s="74">
        <v>113700000</v>
      </c>
      <c r="E19" s="75">
        <v>6800000</v>
      </c>
      <c r="F19" s="77">
        <v>180000</v>
      </c>
      <c r="G19" s="74">
        <v>11000</v>
      </c>
      <c r="H19" s="74">
        <v>156000</v>
      </c>
      <c r="I19" s="74">
        <v>8900</v>
      </c>
      <c r="J19" s="77">
        <v>9000000</v>
      </c>
      <c r="K19" s="74">
        <v>11000000</v>
      </c>
      <c r="L19" s="74">
        <v>12000000</v>
      </c>
      <c r="M19" s="78">
        <v>1100000</v>
      </c>
      <c r="N19" s="74">
        <v>1180000</v>
      </c>
      <c r="O19" s="74">
        <v>1220000</v>
      </c>
      <c r="P19" s="75">
        <v>1400000</v>
      </c>
      <c r="Q19" s="77">
        <v>18157200</v>
      </c>
      <c r="R19" s="74">
        <v>15131000</v>
      </c>
      <c r="S19" s="75">
        <v>898000</v>
      </c>
      <c r="T19" s="77">
        <v>93600</v>
      </c>
      <c r="U19" s="74">
        <v>6000</v>
      </c>
      <c r="V19" s="74">
        <v>78000</v>
      </c>
      <c r="W19" s="75">
        <v>4300</v>
      </c>
      <c r="X19" s="77">
        <v>300000</v>
      </c>
      <c r="Y19" s="74">
        <v>19000</v>
      </c>
      <c r="Z19" s="74">
        <v>250200</v>
      </c>
      <c r="AA19" s="75">
        <v>14400</v>
      </c>
    </row>
    <row r="20" spans="2:27">
      <c r="B20" s="73">
        <v>18</v>
      </c>
      <c r="C20" s="74">
        <v>152600000</v>
      </c>
      <c r="D20" s="74">
        <v>119500000</v>
      </c>
      <c r="E20" s="75">
        <v>6800000</v>
      </c>
      <c r="F20" s="77">
        <v>180000</v>
      </c>
      <c r="G20" s="74">
        <v>11000</v>
      </c>
      <c r="H20" s="74">
        <v>156000</v>
      </c>
      <c r="I20" s="74">
        <v>8900</v>
      </c>
      <c r="J20" s="77">
        <v>9000000</v>
      </c>
      <c r="K20" s="74">
        <v>11000000</v>
      </c>
      <c r="L20" s="74">
        <v>12000000</v>
      </c>
      <c r="M20" s="78">
        <v>1100000</v>
      </c>
      <c r="N20" s="74">
        <v>1180000</v>
      </c>
      <c r="O20" s="74">
        <v>1220000</v>
      </c>
      <c r="P20" s="75">
        <v>1400000</v>
      </c>
      <c r="Q20" s="77">
        <v>18590400</v>
      </c>
      <c r="R20" s="74">
        <v>15492000</v>
      </c>
      <c r="S20" s="75">
        <v>898000</v>
      </c>
      <c r="T20" s="77">
        <v>98300</v>
      </c>
      <c r="U20" s="74">
        <v>6000</v>
      </c>
      <c r="V20" s="74">
        <v>81900</v>
      </c>
      <c r="W20" s="75">
        <v>4300</v>
      </c>
      <c r="X20" s="77">
        <v>300000</v>
      </c>
      <c r="Y20" s="74">
        <v>19000</v>
      </c>
      <c r="Z20" s="74">
        <v>250200</v>
      </c>
      <c r="AA20" s="75">
        <v>14400</v>
      </c>
    </row>
    <row r="21" spans="2:27">
      <c r="B21" s="73">
        <v>19</v>
      </c>
      <c r="C21" s="74">
        <v>160700000</v>
      </c>
      <c r="D21" s="74">
        <v>125800000</v>
      </c>
      <c r="E21" s="75">
        <v>6800000</v>
      </c>
      <c r="F21" s="77">
        <v>210000</v>
      </c>
      <c r="G21" s="74">
        <v>11000</v>
      </c>
      <c r="H21" s="74">
        <v>182000</v>
      </c>
      <c r="I21" s="74">
        <v>8900</v>
      </c>
      <c r="J21" s="77">
        <v>9000000</v>
      </c>
      <c r="K21" s="74">
        <v>11000000</v>
      </c>
      <c r="L21" s="74">
        <v>12000000</v>
      </c>
      <c r="M21" s="78">
        <v>1100000</v>
      </c>
      <c r="N21" s="74">
        <v>1180000</v>
      </c>
      <c r="O21" s="74">
        <v>1220000</v>
      </c>
      <c r="P21" s="75">
        <v>1400000</v>
      </c>
      <c r="Q21" s="77">
        <v>22131600</v>
      </c>
      <c r="R21" s="74">
        <v>18443000</v>
      </c>
      <c r="S21" s="75">
        <v>898000</v>
      </c>
      <c r="T21" s="77">
        <v>103000</v>
      </c>
      <c r="U21" s="74">
        <v>6000</v>
      </c>
      <c r="V21" s="74">
        <v>85800</v>
      </c>
      <c r="W21" s="75">
        <v>4300</v>
      </c>
      <c r="X21" s="77">
        <v>350000</v>
      </c>
      <c r="Y21" s="74">
        <v>19000</v>
      </c>
      <c r="Z21" s="74">
        <v>291900</v>
      </c>
      <c r="AA21" s="75">
        <v>14400</v>
      </c>
    </row>
    <row r="22" spans="2:27">
      <c r="B22" s="73">
        <v>20</v>
      </c>
      <c r="C22" s="74">
        <v>168100000</v>
      </c>
      <c r="D22" s="74">
        <v>131600000</v>
      </c>
      <c r="E22" s="75">
        <v>6800000</v>
      </c>
      <c r="F22" s="77">
        <v>210000</v>
      </c>
      <c r="G22" s="74">
        <v>11000</v>
      </c>
      <c r="H22" s="74">
        <v>182000</v>
      </c>
      <c r="I22" s="74">
        <v>8900</v>
      </c>
      <c r="J22" s="77">
        <v>9000000</v>
      </c>
      <c r="K22" s="74">
        <v>11000000</v>
      </c>
      <c r="L22" s="74">
        <v>12000000</v>
      </c>
      <c r="M22" s="78">
        <v>1100000</v>
      </c>
      <c r="N22" s="74">
        <v>1180000</v>
      </c>
      <c r="O22" s="74">
        <v>1220000</v>
      </c>
      <c r="P22" s="75">
        <v>1400000</v>
      </c>
      <c r="Q22" s="77">
        <v>22453600</v>
      </c>
      <c r="R22" s="74">
        <v>18711333.333333336</v>
      </c>
      <c r="S22" s="75">
        <v>898000</v>
      </c>
      <c r="T22" s="77">
        <v>107700</v>
      </c>
      <c r="U22" s="74">
        <v>6000</v>
      </c>
      <c r="V22" s="74">
        <v>89800</v>
      </c>
      <c r="W22" s="75">
        <v>4300</v>
      </c>
      <c r="X22" s="77">
        <v>350000</v>
      </c>
      <c r="Y22" s="74">
        <v>19000</v>
      </c>
      <c r="Z22" s="74">
        <v>291900</v>
      </c>
      <c r="AA22" s="75">
        <v>14400</v>
      </c>
    </row>
    <row r="23" spans="2:27">
      <c r="B23" s="73">
        <v>21</v>
      </c>
      <c r="C23" s="74">
        <v>175500000</v>
      </c>
      <c r="D23" s="74">
        <v>137300000</v>
      </c>
      <c r="E23" s="75">
        <v>6800000</v>
      </c>
      <c r="F23" s="77">
        <v>210000</v>
      </c>
      <c r="G23" s="74">
        <v>11000</v>
      </c>
      <c r="H23" s="74">
        <v>182000</v>
      </c>
      <c r="I23" s="74">
        <v>8900</v>
      </c>
      <c r="J23" s="77">
        <v>9000000</v>
      </c>
      <c r="K23" s="74">
        <v>11000000</v>
      </c>
      <c r="L23" s="74">
        <v>12000000</v>
      </c>
      <c r="M23" s="78">
        <v>1100000</v>
      </c>
      <c r="N23" s="74">
        <v>1180000</v>
      </c>
      <c r="O23" s="74">
        <v>1220000</v>
      </c>
      <c r="P23" s="75">
        <v>1400000</v>
      </c>
      <c r="Q23" s="77">
        <v>22996800</v>
      </c>
      <c r="R23" s="74">
        <v>19164000</v>
      </c>
      <c r="S23" s="75">
        <v>898000</v>
      </c>
      <c r="T23" s="77">
        <v>112400</v>
      </c>
      <c r="U23" s="74">
        <v>6000</v>
      </c>
      <c r="V23" s="74">
        <v>93700</v>
      </c>
      <c r="W23" s="75">
        <v>4300</v>
      </c>
      <c r="X23" s="77">
        <v>350000</v>
      </c>
      <c r="Y23" s="74">
        <v>19000</v>
      </c>
      <c r="Z23" s="74">
        <v>291900</v>
      </c>
      <c r="AA23" s="75">
        <v>14400</v>
      </c>
    </row>
    <row r="24" spans="2:27">
      <c r="B24" s="73">
        <v>22</v>
      </c>
      <c r="C24" s="74">
        <v>183600000</v>
      </c>
      <c r="D24" s="74">
        <v>143700000</v>
      </c>
      <c r="E24" s="75">
        <v>6800000</v>
      </c>
      <c r="F24" s="77">
        <v>240000</v>
      </c>
      <c r="G24" s="74">
        <v>11000</v>
      </c>
      <c r="H24" s="74">
        <v>208000</v>
      </c>
      <c r="I24" s="74">
        <v>8900</v>
      </c>
      <c r="J24" s="77">
        <v>9000000</v>
      </c>
      <c r="K24" s="74">
        <v>11000000</v>
      </c>
      <c r="L24" s="74">
        <v>12000000</v>
      </c>
      <c r="M24" s="78">
        <v>1100000</v>
      </c>
      <c r="N24" s="74">
        <v>1180000</v>
      </c>
      <c r="O24" s="74">
        <v>1220000</v>
      </c>
      <c r="P24" s="75">
        <v>1400000</v>
      </c>
      <c r="Q24" s="77">
        <v>24046800</v>
      </c>
      <c r="R24" s="74">
        <v>20039000</v>
      </c>
      <c r="S24" s="75">
        <v>898000</v>
      </c>
      <c r="T24" s="77">
        <v>117100</v>
      </c>
      <c r="U24" s="74">
        <v>6000</v>
      </c>
      <c r="V24" s="74">
        <v>97600</v>
      </c>
      <c r="W24" s="75">
        <v>4300</v>
      </c>
      <c r="X24" s="77">
        <v>400000</v>
      </c>
      <c r="Y24" s="74">
        <v>19000</v>
      </c>
      <c r="Z24" s="74">
        <v>333600</v>
      </c>
      <c r="AA24" s="75">
        <v>14400</v>
      </c>
    </row>
    <row r="25" spans="2:27">
      <c r="B25" s="73">
        <v>23</v>
      </c>
      <c r="C25" s="74">
        <v>191000000</v>
      </c>
      <c r="D25" s="74">
        <v>149400000</v>
      </c>
      <c r="E25" s="75">
        <v>6800000</v>
      </c>
      <c r="F25" s="77">
        <v>240000</v>
      </c>
      <c r="G25" s="74">
        <v>11000</v>
      </c>
      <c r="H25" s="74">
        <v>208000</v>
      </c>
      <c r="I25" s="74">
        <v>8900</v>
      </c>
      <c r="J25" s="77">
        <v>9000000</v>
      </c>
      <c r="K25" s="74">
        <v>11000000</v>
      </c>
      <c r="L25" s="74">
        <v>12000000</v>
      </c>
      <c r="M25" s="78">
        <v>1100000</v>
      </c>
      <c r="N25" s="74">
        <v>1180000</v>
      </c>
      <c r="O25" s="74">
        <v>1220000</v>
      </c>
      <c r="P25" s="75">
        <v>1400000</v>
      </c>
      <c r="Q25" s="77">
        <v>25537200</v>
      </c>
      <c r="R25" s="74">
        <v>21281000</v>
      </c>
      <c r="S25" s="75">
        <v>898000</v>
      </c>
      <c r="T25" s="77">
        <v>121800</v>
      </c>
      <c r="U25" s="74">
        <v>6000</v>
      </c>
      <c r="V25" s="74">
        <v>101500</v>
      </c>
      <c r="W25" s="75">
        <v>4300</v>
      </c>
      <c r="X25" s="77">
        <v>400000</v>
      </c>
      <c r="Y25" s="74">
        <v>19000</v>
      </c>
      <c r="Z25" s="74">
        <v>333600</v>
      </c>
      <c r="AA25" s="75">
        <v>14400</v>
      </c>
    </row>
    <row r="26" spans="2:27">
      <c r="B26" s="73">
        <v>24</v>
      </c>
      <c r="C26" s="74">
        <v>198400000</v>
      </c>
      <c r="D26" s="74">
        <v>155100000</v>
      </c>
      <c r="E26" s="75">
        <v>6800000</v>
      </c>
      <c r="F26" s="77">
        <v>240000</v>
      </c>
      <c r="G26" s="74">
        <v>11000</v>
      </c>
      <c r="H26" s="74">
        <v>208000</v>
      </c>
      <c r="I26" s="74">
        <v>8900</v>
      </c>
      <c r="J26" s="77">
        <v>9000000</v>
      </c>
      <c r="K26" s="74">
        <v>11000000</v>
      </c>
      <c r="L26" s="74">
        <v>12000000</v>
      </c>
      <c r="M26" s="78">
        <v>1100000</v>
      </c>
      <c r="N26" s="74">
        <v>1180000</v>
      </c>
      <c r="O26" s="74">
        <v>1220000</v>
      </c>
      <c r="P26" s="75">
        <v>1400000</v>
      </c>
      <c r="Q26" s="77">
        <v>25970400</v>
      </c>
      <c r="R26" s="74">
        <v>21642000</v>
      </c>
      <c r="S26" s="75">
        <v>898000</v>
      </c>
      <c r="T26" s="77">
        <v>126500</v>
      </c>
      <c r="U26" s="74">
        <v>6000</v>
      </c>
      <c r="V26" s="74">
        <v>105400</v>
      </c>
      <c r="W26" s="75">
        <v>4300</v>
      </c>
      <c r="X26" s="77">
        <v>400000</v>
      </c>
      <c r="Y26" s="74">
        <v>19000</v>
      </c>
      <c r="Z26" s="74">
        <v>333600</v>
      </c>
      <c r="AA26" s="75">
        <v>14400</v>
      </c>
    </row>
    <row r="27" spans="2:27">
      <c r="B27" s="73">
        <v>25</v>
      </c>
      <c r="C27" s="74">
        <v>214800000</v>
      </c>
      <c r="D27" s="74">
        <v>168300000</v>
      </c>
      <c r="E27" s="75">
        <v>6800000</v>
      </c>
      <c r="F27" s="77">
        <v>270000</v>
      </c>
      <c r="G27" s="74">
        <v>11000</v>
      </c>
      <c r="H27" s="74">
        <v>234000</v>
      </c>
      <c r="I27" s="74">
        <v>8900</v>
      </c>
      <c r="J27" s="77">
        <v>9000000</v>
      </c>
      <c r="K27" s="74">
        <v>11000000</v>
      </c>
      <c r="L27" s="74">
        <v>12000000</v>
      </c>
      <c r="M27" s="78">
        <v>1100000</v>
      </c>
      <c r="N27" s="74">
        <v>1180000</v>
      </c>
      <c r="O27" s="74">
        <v>1220000</v>
      </c>
      <c r="P27" s="75">
        <v>1400000</v>
      </c>
      <c r="Q27" s="77">
        <v>27020400</v>
      </c>
      <c r="R27" s="74">
        <v>22517000</v>
      </c>
      <c r="S27" s="75">
        <v>898000</v>
      </c>
      <c r="T27" s="77">
        <v>131200</v>
      </c>
      <c r="U27" s="74">
        <v>6000</v>
      </c>
      <c r="V27" s="74">
        <v>109300</v>
      </c>
      <c r="W27" s="75">
        <v>4300</v>
      </c>
      <c r="X27" s="77">
        <v>450000</v>
      </c>
      <c r="Y27" s="74">
        <v>19000</v>
      </c>
      <c r="Z27" s="74">
        <v>375300</v>
      </c>
      <c r="AA27" s="75">
        <v>14400</v>
      </c>
    </row>
    <row r="28" spans="2:27">
      <c r="B28" s="73">
        <v>26</v>
      </c>
      <c r="C28" s="74">
        <v>222400000</v>
      </c>
      <c r="D28" s="74">
        <v>174300000</v>
      </c>
      <c r="E28" s="75">
        <v>6800000</v>
      </c>
      <c r="F28" s="77">
        <v>270000</v>
      </c>
      <c r="G28" s="74">
        <v>11000</v>
      </c>
      <c r="H28" s="74">
        <v>234000</v>
      </c>
      <c r="I28" s="74">
        <v>8900</v>
      </c>
      <c r="J28" s="77">
        <v>9000000</v>
      </c>
      <c r="K28" s="74">
        <v>11000000</v>
      </c>
      <c r="L28" s="74">
        <v>12000000</v>
      </c>
      <c r="M28" s="78">
        <v>1100000</v>
      </c>
      <c r="N28" s="74">
        <v>1180000</v>
      </c>
      <c r="O28" s="74">
        <v>1220000</v>
      </c>
      <c r="P28" s="75">
        <v>1400000</v>
      </c>
      <c r="Q28" s="77">
        <v>27452400</v>
      </c>
      <c r="R28" s="74">
        <v>22877000</v>
      </c>
      <c r="S28" s="75">
        <v>898000</v>
      </c>
      <c r="T28" s="77">
        <v>135900</v>
      </c>
      <c r="U28" s="74">
        <v>6000</v>
      </c>
      <c r="V28" s="74">
        <v>113300</v>
      </c>
      <c r="W28" s="75">
        <v>4300</v>
      </c>
      <c r="X28" s="77">
        <v>450000</v>
      </c>
      <c r="Y28" s="74">
        <v>19000</v>
      </c>
      <c r="Z28" s="74">
        <v>375300</v>
      </c>
      <c r="AA28" s="75">
        <v>14400</v>
      </c>
    </row>
    <row r="29" spans="2:27">
      <c r="B29" s="73">
        <v>27</v>
      </c>
      <c r="C29" s="74">
        <v>230000000</v>
      </c>
      <c r="D29" s="74">
        <v>180200000</v>
      </c>
      <c r="E29" s="75">
        <v>6800000</v>
      </c>
      <c r="F29" s="77">
        <v>270000</v>
      </c>
      <c r="G29" s="74">
        <v>11000</v>
      </c>
      <c r="H29" s="74">
        <v>234000</v>
      </c>
      <c r="I29" s="74">
        <v>8900</v>
      </c>
      <c r="J29" s="77">
        <v>9000000</v>
      </c>
      <c r="K29" s="74">
        <v>11000000</v>
      </c>
      <c r="L29" s="74">
        <v>12000000</v>
      </c>
      <c r="M29" s="78">
        <v>1100000</v>
      </c>
      <c r="N29" s="74">
        <v>1180000</v>
      </c>
      <c r="O29" s="74">
        <v>1220000</v>
      </c>
      <c r="P29" s="75">
        <v>1400000</v>
      </c>
      <c r="Q29" s="77">
        <v>27885600</v>
      </c>
      <c r="R29" s="74">
        <v>23238000</v>
      </c>
      <c r="S29" s="75">
        <v>898000</v>
      </c>
      <c r="T29" s="77">
        <v>140600</v>
      </c>
      <c r="U29" s="74">
        <v>6000</v>
      </c>
      <c r="V29" s="74">
        <v>117200</v>
      </c>
      <c r="W29" s="75">
        <v>4300</v>
      </c>
      <c r="X29" s="77">
        <v>450000</v>
      </c>
      <c r="Y29" s="74">
        <v>19000</v>
      </c>
      <c r="Z29" s="74">
        <v>375300</v>
      </c>
      <c r="AA29" s="75">
        <v>14400</v>
      </c>
    </row>
    <row r="30" spans="2:27">
      <c r="B30" s="73">
        <v>28</v>
      </c>
      <c r="C30" s="74">
        <v>238400000</v>
      </c>
      <c r="D30" s="74">
        <v>186800000</v>
      </c>
      <c r="E30" s="75">
        <v>6800000</v>
      </c>
      <c r="F30" s="77">
        <v>300000</v>
      </c>
      <c r="G30" s="74">
        <v>11000</v>
      </c>
      <c r="H30" s="74">
        <v>260000</v>
      </c>
      <c r="I30" s="74">
        <v>8900</v>
      </c>
      <c r="J30" s="77">
        <v>9000000</v>
      </c>
      <c r="K30" s="74">
        <v>11000000</v>
      </c>
      <c r="L30" s="74">
        <v>12000000</v>
      </c>
      <c r="M30" s="78">
        <v>1100000</v>
      </c>
      <c r="N30" s="74">
        <v>1180000</v>
      </c>
      <c r="O30" s="74">
        <v>1220000</v>
      </c>
      <c r="P30" s="75">
        <v>1400000</v>
      </c>
      <c r="Q30" s="77">
        <v>31426800</v>
      </c>
      <c r="R30" s="74">
        <v>26189000</v>
      </c>
      <c r="S30" s="75">
        <v>898000</v>
      </c>
      <c r="T30" s="77">
        <v>145300</v>
      </c>
      <c r="U30" s="74">
        <v>6000</v>
      </c>
      <c r="V30" s="74">
        <v>121100</v>
      </c>
      <c r="W30" s="75">
        <v>4300</v>
      </c>
      <c r="X30" s="77">
        <v>500000</v>
      </c>
      <c r="Y30" s="74">
        <v>19000</v>
      </c>
      <c r="Z30" s="74">
        <v>417000</v>
      </c>
      <c r="AA30" s="75">
        <v>14400</v>
      </c>
    </row>
    <row r="31" spans="2:27">
      <c r="B31" s="73">
        <v>29</v>
      </c>
      <c r="C31" s="74">
        <v>246100000</v>
      </c>
      <c r="D31" s="74">
        <v>192700000</v>
      </c>
      <c r="E31" s="75">
        <v>6800000</v>
      </c>
      <c r="F31" s="77">
        <v>300000</v>
      </c>
      <c r="G31" s="74">
        <v>11000</v>
      </c>
      <c r="H31" s="74">
        <v>260000</v>
      </c>
      <c r="I31" s="74">
        <v>8900</v>
      </c>
      <c r="J31" s="77">
        <v>9000000</v>
      </c>
      <c r="K31" s="74">
        <v>11000000</v>
      </c>
      <c r="L31" s="74">
        <v>12000000</v>
      </c>
      <c r="M31" s="78">
        <v>1100000</v>
      </c>
      <c r="N31" s="74">
        <v>1180000</v>
      </c>
      <c r="O31" s="74">
        <v>1220000</v>
      </c>
      <c r="P31" s="75">
        <v>1400000</v>
      </c>
      <c r="Q31" s="77">
        <v>31748800</v>
      </c>
      <c r="R31" s="74">
        <v>26457333.333333336</v>
      </c>
      <c r="S31" s="75">
        <v>898000</v>
      </c>
      <c r="T31" s="77">
        <v>150000</v>
      </c>
      <c r="U31" s="74">
        <v>6000</v>
      </c>
      <c r="V31" s="74">
        <v>125000</v>
      </c>
      <c r="W31" s="75">
        <v>4300</v>
      </c>
      <c r="X31" s="77">
        <v>500000</v>
      </c>
      <c r="Y31" s="74">
        <v>19000</v>
      </c>
      <c r="Z31" s="74">
        <v>417000</v>
      </c>
      <c r="AA31" s="75">
        <v>14400</v>
      </c>
    </row>
    <row r="32" spans="2:27">
      <c r="B32" s="73">
        <v>30</v>
      </c>
      <c r="C32" s="74">
        <v>253700000</v>
      </c>
      <c r="D32" s="74">
        <v>198700000</v>
      </c>
      <c r="E32" s="75">
        <v>6800000</v>
      </c>
      <c r="F32" s="77">
        <v>300000</v>
      </c>
      <c r="G32" s="74">
        <v>11000</v>
      </c>
      <c r="H32" s="74">
        <v>260000</v>
      </c>
      <c r="I32" s="74">
        <v>8900</v>
      </c>
      <c r="J32" s="77">
        <v>9000000</v>
      </c>
      <c r="K32" s="74">
        <v>11000000</v>
      </c>
      <c r="L32" s="74">
        <v>12000000</v>
      </c>
      <c r="M32" s="78">
        <v>1100000</v>
      </c>
      <c r="N32" s="74">
        <v>1180000</v>
      </c>
      <c r="O32" s="74">
        <v>1220000</v>
      </c>
      <c r="P32" s="75">
        <v>1400000</v>
      </c>
      <c r="Q32" s="77">
        <v>32292000</v>
      </c>
      <c r="R32" s="74">
        <v>26910000</v>
      </c>
      <c r="S32" s="75">
        <v>898000</v>
      </c>
      <c r="T32" s="77">
        <v>154700</v>
      </c>
      <c r="U32" s="74">
        <v>6000</v>
      </c>
      <c r="V32" s="74">
        <v>128900</v>
      </c>
      <c r="W32" s="75">
        <v>4300</v>
      </c>
      <c r="X32" s="77">
        <v>500000</v>
      </c>
      <c r="Y32" s="74">
        <v>19000</v>
      </c>
      <c r="Z32" s="74">
        <v>417000</v>
      </c>
      <c r="AA32" s="75">
        <v>14400</v>
      </c>
    </row>
    <row r="33" spans="2:27">
      <c r="B33" s="73">
        <v>31</v>
      </c>
      <c r="C33" s="74">
        <v>262100000</v>
      </c>
      <c r="D33" s="74">
        <v>205200000</v>
      </c>
      <c r="E33" s="75">
        <v>6800000</v>
      </c>
      <c r="F33" s="77">
        <v>330000</v>
      </c>
      <c r="G33" s="74">
        <v>11000</v>
      </c>
      <c r="H33" s="74">
        <v>286000</v>
      </c>
      <c r="I33" s="74">
        <v>8900</v>
      </c>
      <c r="J33" s="77">
        <v>9000000</v>
      </c>
      <c r="K33" s="74">
        <v>11000000</v>
      </c>
      <c r="L33" s="74">
        <v>12000000</v>
      </c>
      <c r="M33" s="78">
        <v>1100000</v>
      </c>
      <c r="N33" s="74">
        <v>1180000</v>
      </c>
      <c r="O33" s="74">
        <v>1220000</v>
      </c>
      <c r="P33" s="75">
        <v>1400000</v>
      </c>
      <c r="Q33" s="77">
        <v>33342000</v>
      </c>
      <c r="R33" s="74">
        <v>27785000</v>
      </c>
      <c r="S33" s="75">
        <v>898000</v>
      </c>
      <c r="T33" s="77">
        <v>159400</v>
      </c>
      <c r="U33" s="74">
        <v>6000</v>
      </c>
      <c r="V33" s="74">
        <v>132800</v>
      </c>
      <c r="W33" s="75">
        <v>4300</v>
      </c>
      <c r="X33" s="77">
        <v>550000</v>
      </c>
      <c r="Y33" s="74">
        <v>19000</v>
      </c>
      <c r="Z33" s="74">
        <v>458700</v>
      </c>
      <c r="AA33" s="75">
        <v>14400</v>
      </c>
    </row>
    <row r="34" spans="2:27">
      <c r="B34" s="73">
        <v>32</v>
      </c>
      <c r="C34" s="74">
        <v>269700000</v>
      </c>
      <c r="D34" s="74">
        <v>211200000</v>
      </c>
      <c r="E34" s="75">
        <v>6800000</v>
      </c>
      <c r="F34" s="77">
        <v>330000</v>
      </c>
      <c r="G34" s="74">
        <v>11000</v>
      </c>
      <c r="H34" s="74">
        <v>286000</v>
      </c>
      <c r="I34" s="74">
        <v>8900</v>
      </c>
      <c r="J34" s="77">
        <v>9000000</v>
      </c>
      <c r="K34" s="74">
        <v>11000000</v>
      </c>
      <c r="L34" s="74">
        <v>12000000</v>
      </c>
      <c r="M34" s="78">
        <v>1100000</v>
      </c>
      <c r="N34" s="74">
        <v>1180000</v>
      </c>
      <c r="O34" s="74">
        <v>1220000</v>
      </c>
      <c r="P34" s="75">
        <v>1400000</v>
      </c>
      <c r="Q34" s="77">
        <v>34832400</v>
      </c>
      <c r="R34" s="74">
        <v>29027000</v>
      </c>
      <c r="S34" s="75">
        <v>898000</v>
      </c>
      <c r="T34" s="77">
        <v>164100</v>
      </c>
      <c r="U34" s="74">
        <v>6000</v>
      </c>
      <c r="V34" s="74">
        <v>136800</v>
      </c>
      <c r="W34" s="75">
        <v>4300</v>
      </c>
      <c r="X34" s="77">
        <v>550000</v>
      </c>
      <c r="Y34" s="74">
        <v>19000</v>
      </c>
      <c r="Z34" s="74">
        <v>458700</v>
      </c>
      <c r="AA34" s="75">
        <v>14400</v>
      </c>
    </row>
    <row r="35" spans="2:27">
      <c r="B35" s="73">
        <v>33</v>
      </c>
      <c r="C35" s="74">
        <v>287600000</v>
      </c>
      <c r="D35" s="74">
        <v>225600000</v>
      </c>
      <c r="E35" s="75">
        <v>6800000</v>
      </c>
      <c r="F35" s="77">
        <v>330000</v>
      </c>
      <c r="G35" s="74">
        <v>11000</v>
      </c>
      <c r="H35" s="74">
        <v>286000</v>
      </c>
      <c r="I35" s="74">
        <v>8900</v>
      </c>
      <c r="J35" s="77">
        <v>9000000</v>
      </c>
      <c r="K35" s="74">
        <v>11000000</v>
      </c>
      <c r="L35" s="74">
        <v>12000000</v>
      </c>
      <c r="M35" s="78">
        <v>1100000</v>
      </c>
      <c r="N35" s="74">
        <v>1180000</v>
      </c>
      <c r="O35" s="74">
        <v>1220000</v>
      </c>
      <c r="P35" s="75">
        <v>1400000</v>
      </c>
      <c r="Q35" s="77">
        <v>35265600</v>
      </c>
      <c r="R35" s="74">
        <v>29388000</v>
      </c>
      <c r="S35" s="75">
        <v>898000</v>
      </c>
      <c r="T35" s="77">
        <v>168800</v>
      </c>
      <c r="U35" s="74">
        <v>6000</v>
      </c>
      <c r="V35" s="74">
        <v>140700</v>
      </c>
      <c r="W35" s="75">
        <v>4300</v>
      </c>
      <c r="X35" s="77">
        <v>550000</v>
      </c>
      <c r="Y35" s="74">
        <v>19000</v>
      </c>
      <c r="Z35" s="74">
        <v>458700</v>
      </c>
      <c r="AA35" s="75">
        <v>14400</v>
      </c>
    </row>
    <row r="36" spans="2:27">
      <c r="B36" s="73">
        <v>34</v>
      </c>
      <c r="C36" s="74">
        <v>296200000</v>
      </c>
      <c r="D36" s="74">
        <v>232400000</v>
      </c>
      <c r="E36" s="75">
        <v>6800000</v>
      </c>
      <c r="F36" s="77">
        <v>360000</v>
      </c>
      <c r="G36" s="74">
        <v>11000</v>
      </c>
      <c r="H36" s="74">
        <v>312000</v>
      </c>
      <c r="I36" s="74">
        <v>8900</v>
      </c>
      <c r="J36" s="77">
        <v>9000000</v>
      </c>
      <c r="K36" s="74">
        <v>11000000</v>
      </c>
      <c r="L36" s="74">
        <v>12000000</v>
      </c>
      <c r="M36" s="78">
        <v>1100000</v>
      </c>
      <c r="N36" s="74">
        <v>1180000</v>
      </c>
      <c r="O36" s="74">
        <v>1220000</v>
      </c>
      <c r="P36" s="75">
        <v>1400000</v>
      </c>
      <c r="Q36" s="77">
        <v>36315600</v>
      </c>
      <c r="R36" s="74">
        <v>30263000</v>
      </c>
      <c r="S36" s="75">
        <v>898000</v>
      </c>
      <c r="T36" s="77">
        <v>173500</v>
      </c>
      <c r="U36" s="74">
        <v>6000</v>
      </c>
      <c r="V36" s="74">
        <v>144600</v>
      </c>
      <c r="W36" s="75">
        <v>4300</v>
      </c>
      <c r="X36" s="77">
        <v>600000</v>
      </c>
      <c r="Y36" s="74">
        <v>19000</v>
      </c>
      <c r="Z36" s="74">
        <v>500400</v>
      </c>
      <c r="AA36" s="75">
        <v>14400</v>
      </c>
    </row>
    <row r="37" spans="2:27">
      <c r="B37" s="73">
        <v>35</v>
      </c>
      <c r="C37" s="74">
        <v>304100000</v>
      </c>
      <c r="D37" s="74">
        <v>238500000</v>
      </c>
      <c r="E37" s="75">
        <v>6800000</v>
      </c>
      <c r="F37" s="77">
        <v>360000</v>
      </c>
      <c r="G37" s="74">
        <v>11000</v>
      </c>
      <c r="H37" s="74">
        <v>312000</v>
      </c>
      <c r="I37" s="74">
        <v>8900</v>
      </c>
      <c r="J37" s="77">
        <v>9000000</v>
      </c>
      <c r="K37" s="74">
        <v>11000000</v>
      </c>
      <c r="L37" s="74">
        <v>12000000</v>
      </c>
      <c r="M37" s="78">
        <v>1100000</v>
      </c>
      <c r="N37" s="74">
        <v>1180000</v>
      </c>
      <c r="O37" s="74">
        <v>1220000</v>
      </c>
      <c r="P37" s="75">
        <v>1400000</v>
      </c>
      <c r="Q37" s="77">
        <v>36747600</v>
      </c>
      <c r="R37" s="74">
        <v>30623000</v>
      </c>
      <c r="S37" s="75">
        <v>898000</v>
      </c>
      <c r="T37" s="77">
        <v>178200</v>
      </c>
      <c r="U37" s="74">
        <v>6000</v>
      </c>
      <c r="V37" s="74">
        <v>148500</v>
      </c>
      <c r="W37" s="75">
        <v>4300</v>
      </c>
      <c r="X37" s="77">
        <v>600000</v>
      </c>
      <c r="Y37" s="74">
        <v>19000</v>
      </c>
      <c r="Z37" s="74">
        <v>500400</v>
      </c>
      <c r="AA37" s="75">
        <v>14400</v>
      </c>
    </row>
    <row r="38" spans="2:27">
      <c r="B38" s="73">
        <v>36</v>
      </c>
      <c r="C38" s="74">
        <v>312000000</v>
      </c>
      <c r="D38" s="74">
        <v>244700000</v>
      </c>
      <c r="E38" s="75">
        <v>6800000</v>
      </c>
      <c r="F38" s="77">
        <v>360000</v>
      </c>
      <c r="G38" s="74">
        <v>11000</v>
      </c>
      <c r="H38" s="74">
        <v>312000</v>
      </c>
      <c r="I38" s="74">
        <v>8900</v>
      </c>
      <c r="J38" s="77">
        <v>9000000</v>
      </c>
      <c r="K38" s="74">
        <v>11000000</v>
      </c>
      <c r="L38" s="74">
        <v>12000000</v>
      </c>
      <c r="M38" s="78">
        <v>1100000</v>
      </c>
      <c r="N38" s="74">
        <v>1180000</v>
      </c>
      <c r="O38" s="74">
        <v>1220000</v>
      </c>
      <c r="P38" s="75">
        <v>1400000</v>
      </c>
      <c r="Q38" s="77">
        <v>37180800</v>
      </c>
      <c r="R38" s="74">
        <v>30984000</v>
      </c>
      <c r="S38" s="75">
        <v>898000</v>
      </c>
      <c r="T38" s="77">
        <v>182900</v>
      </c>
      <c r="U38" s="74">
        <v>6000</v>
      </c>
      <c r="V38" s="74">
        <v>152400</v>
      </c>
      <c r="W38" s="75">
        <v>4300</v>
      </c>
      <c r="X38" s="77">
        <v>600000</v>
      </c>
      <c r="Y38" s="74">
        <v>19000</v>
      </c>
      <c r="Z38" s="74">
        <v>500400</v>
      </c>
      <c r="AA38" s="75">
        <v>14400</v>
      </c>
    </row>
    <row r="39" spans="2:27">
      <c r="B39" s="73">
        <v>37</v>
      </c>
      <c r="C39" s="74">
        <v>320600000</v>
      </c>
      <c r="D39" s="74">
        <v>251400000</v>
      </c>
      <c r="E39" s="75">
        <v>6800000</v>
      </c>
      <c r="F39" s="77">
        <v>390000</v>
      </c>
      <c r="G39" s="74">
        <v>11000</v>
      </c>
      <c r="H39" s="74">
        <v>338000</v>
      </c>
      <c r="I39" s="74">
        <v>8900</v>
      </c>
      <c r="J39" s="77">
        <v>9000000</v>
      </c>
      <c r="K39" s="74">
        <v>11000000</v>
      </c>
      <c r="L39" s="74">
        <v>12000000</v>
      </c>
      <c r="M39" s="78">
        <v>1100000</v>
      </c>
      <c r="N39" s="74">
        <v>1180000</v>
      </c>
      <c r="O39" s="74">
        <v>1220000</v>
      </c>
      <c r="P39" s="75">
        <v>1400000</v>
      </c>
      <c r="Q39" s="77">
        <v>40722000</v>
      </c>
      <c r="R39" s="74">
        <v>33935000</v>
      </c>
      <c r="S39" s="75">
        <v>898000</v>
      </c>
      <c r="T39" s="77">
        <v>187600</v>
      </c>
      <c r="U39" s="74">
        <v>6000</v>
      </c>
      <c r="V39" s="74">
        <v>156300</v>
      </c>
      <c r="W39" s="75">
        <v>4300</v>
      </c>
      <c r="X39" s="77">
        <v>650000</v>
      </c>
      <c r="Y39" s="74">
        <v>19000</v>
      </c>
      <c r="Z39" s="74">
        <v>542100</v>
      </c>
      <c r="AA39" s="75">
        <v>14400</v>
      </c>
    </row>
    <row r="40" spans="2:27">
      <c r="B40" s="73">
        <v>38</v>
      </c>
      <c r="C40" s="74">
        <v>328500000</v>
      </c>
      <c r="D40" s="74">
        <v>257600000</v>
      </c>
      <c r="E40" s="75">
        <v>6800000</v>
      </c>
      <c r="F40" s="77">
        <v>390000</v>
      </c>
      <c r="G40" s="74">
        <v>11000</v>
      </c>
      <c r="H40" s="74">
        <v>338000</v>
      </c>
      <c r="I40" s="74">
        <v>8900</v>
      </c>
      <c r="J40" s="77">
        <v>9000000</v>
      </c>
      <c r="K40" s="74">
        <v>11000000</v>
      </c>
      <c r="L40" s="74">
        <v>12000000</v>
      </c>
      <c r="M40" s="78">
        <v>1100000</v>
      </c>
      <c r="N40" s="74">
        <v>1180000</v>
      </c>
      <c r="O40" s="74">
        <v>1220000</v>
      </c>
      <c r="P40" s="75">
        <v>1400000</v>
      </c>
      <c r="Q40" s="77">
        <v>41044000</v>
      </c>
      <c r="R40" s="74">
        <v>34203333.333333336</v>
      </c>
      <c r="S40" s="75">
        <v>898000</v>
      </c>
      <c r="T40" s="77">
        <v>192300</v>
      </c>
      <c r="U40" s="74">
        <v>6000</v>
      </c>
      <c r="V40" s="74">
        <v>160300</v>
      </c>
      <c r="W40" s="75">
        <v>4300</v>
      </c>
      <c r="X40" s="77">
        <v>650000</v>
      </c>
      <c r="Y40" s="74">
        <v>19000</v>
      </c>
      <c r="Z40" s="74">
        <v>542100</v>
      </c>
      <c r="AA40" s="75">
        <v>14400</v>
      </c>
    </row>
    <row r="41" spans="2:27">
      <c r="B41" s="73">
        <v>39</v>
      </c>
      <c r="C41" s="74">
        <v>336400000</v>
      </c>
      <c r="D41" s="74">
        <v>263700000</v>
      </c>
      <c r="E41" s="75">
        <v>6800000</v>
      </c>
      <c r="F41" s="77">
        <v>390000</v>
      </c>
      <c r="G41" s="74">
        <v>11000</v>
      </c>
      <c r="H41" s="74">
        <v>338000</v>
      </c>
      <c r="I41" s="74">
        <v>8900</v>
      </c>
      <c r="J41" s="77">
        <v>9000000</v>
      </c>
      <c r="K41" s="74">
        <v>11000000</v>
      </c>
      <c r="L41" s="74">
        <v>12000000</v>
      </c>
      <c r="M41" s="78">
        <v>1100000</v>
      </c>
      <c r="N41" s="74">
        <v>1180000</v>
      </c>
      <c r="O41" s="74">
        <v>1220000</v>
      </c>
      <c r="P41" s="75">
        <v>1400000</v>
      </c>
      <c r="Q41" s="77">
        <v>41587200</v>
      </c>
      <c r="R41" s="74">
        <v>34656000</v>
      </c>
      <c r="S41" s="75">
        <v>898000</v>
      </c>
      <c r="T41" s="77">
        <v>197000</v>
      </c>
      <c r="U41" s="74">
        <v>6000</v>
      </c>
      <c r="V41" s="74">
        <v>164200</v>
      </c>
      <c r="W41" s="75">
        <v>4300</v>
      </c>
      <c r="X41" s="77">
        <v>650000</v>
      </c>
      <c r="Y41" s="74">
        <v>19000</v>
      </c>
      <c r="Z41" s="74">
        <v>542100</v>
      </c>
      <c r="AA41" s="75">
        <v>14400</v>
      </c>
    </row>
    <row r="42" spans="2:27">
      <c r="B42" s="73">
        <v>40</v>
      </c>
      <c r="C42" s="74">
        <v>345000000</v>
      </c>
      <c r="D42" s="74">
        <v>270500000</v>
      </c>
      <c r="E42" s="75">
        <v>6800000</v>
      </c>
      <c r="F42" s="77">
        <v>420000</v>
      </c>
      <c r="G42" s="74">
        <v>11000</v>
      </c>
      <c r="H42" s="74">
        <v>364000</v>
      </c>
      <c r="I42" s="74">
        <v>8900</v>
      </c>
      <c r="J42" s="77">
        <v>9000000</v>
      </c>
      <c r="K42" s="74">
        <v>11000000</v>
      </c>
      <c r="L42" s="74">
        <v>12000000</v>
      </c>
      <c r="M42" s="78">
        <v>1100000</v>
      </c>
      <c r="N42" s="74">
        <v>1180000</v>
      </c>
      <c r="O42" s="74">
        <v>1220000</v>
      </c>
      <c r="P42" s="75">
        <v>1400000</v>
      </c>
      <c r="Q42" s="77">
        <v>42637200</v>
      </c>
      <c r="R42" s="74">
        <v>35531000</v>
      </c>
      <c r="S42" s="75">
        <v>898000</v>
      </c>
      <c r="T42" s="77">
        <v>201700</v>
      </c>
      <c r="U42" s="74">
        <v>6000</v>
      </c>
      <c r="V42" s="74">
        <v>168100</v>
      </c>
      <c r="W42" s="75">
        <v>4300</v>
      </c>
      <c r="X42" s="77">
        <v>700000</v>
      </c>
      <c r="Y42" s="74">
        <v>19000</v>
      </c>
      <c r="Z42" s="74">
        <v>583800</v>
      </c>
      <c r="AA42" s="75">
        <v>14400</v>
      </c>
    </row>
    <row r="43" spans="2:27">
      <c r="B43" s="73">
        <v>41</v>
      </c>
      <c r="C43" s="74">
        <v>365100000</v>
      </c>
      <c r="D43" s="74">
        <v>286800000</v>
      </c>
      <c r="E43" s="75">
        <v>6800000</v>
      </c>
      <c r="F43" s="77">
        <v>420000</v>
      </c>
      <c r="G43" s="74">
        <v>11000</v>
      </c>
      <c r="H43" s="74">
        <v>364000</v>
      </c>
      <c r="I43" s="74">
        <v>8900</v>
      </c>
      <c r="J43" s="77">
        <v>9000000</v>
      </c>
      <c r="K43" s="74">
        <v>11000000</v>
      </c>
      <c r="L43" s="74">
        <v>12000000</v>
      </c>
      <c r="M43" s="78">
        <v>1100000</v>
      </c>
      <c r="N43" s="74">
        <v>1180000</v>
      </c>
      <c r="O43" s="74">
        <v>1220000</v>
      </c>
      <c r="P43" s="75">
        <v>1400000</v>
      </c>
      <c r="Q43" s="77">
        <v>44127600</v>
      </c>
      <c r="R43" s="74">
        <v>36773000</v>
      </c>
      <c r="S43" s="75">
        <v>898000</v>
      </c>
      <c r="T43" s="77">
        <v>206400</v>
      </c>
      <c r="U43" s="74">
        <v>6000</v>
      </c>
      <c r="V43" s="74">
        <v>172000</v>
      </c>
      <c r="W43" s="75">
        <v>4300</v>
      </c>
      <c r="X43" s="77">
        <v>700000</v>
      </c>
      <c r="Y43" s="74">
        <v>19000</v>
      </c>
      <c r="Z43" s="74">
        <v>583800</v>
      </c>
      <c r="AA43" s="75">
        <v>14400</v>
      </c>
    </row>
    <row r="44" spans="2:27">
      <c r="B44" s="73">
        <v>42</v>
      </c>
      <c r="C44" s="74">
        <v>373200000</v>
      </c>
      <c r="D44" s="74">
        <v>293200000</v>
      </c>
      <c r="E44" s="75">
        <v>6800000</v>
      </c>
      <c r="F44" s="77">
        <v>420000</v>
      </c>
      <c r="G44" s="74">
        <v>11000</v>
      </c>
      <c r="H44" s="74">
        <v>364000</v>
      </c>
      <c r="I44" s="74">
        <v>8900</v>
      </c>
      <c r="J44" s="77">
        <v>9000000</v>
      </c>
      <c r="K44" s="74">
        <v>11000000</v>
      </c>
      <c r="L44" s="74">
        <v>12000000</v>
      </c>
      <c r="M44" s="78">
        <v>1100000</v>
      </c>
      <c r="N44" s="74">
        <v>1180000</v>
      </c>
      <c r="O44" s="74">
        <v>1220000</v>
      </c>
      <c r="P44" s="75">
        <v>1400000</v>
      </c>
      <c r="Q44" s="77">
        <v>44560800</v>
      </c>
      <c r="R44" s="74">
        <v>37134000</v>
      </c>
      <c r="S44" s="75">
        <v>898000</v>
      </c>
      <c r="T44" s="77">
        <v>211100</v>
      </c>
      <c r="U44" s="74">
        <v>6000</v>
      </c>
      <c r="V44" s="74">
        <v>175900</v>
      </c>
      <c r="W44" s="75">
        <v>4300</v>
      </c>
      <c r="X44" s="77">
        <v>700000</v>
      </c>
      <c r="Y44" s="74">
        <v>19000</v>
      </c>
      <c r="Z44" s="74">
        <v>583800</v>
      </c>
      <c r="AA44" s="75">
        <v>14400</v>
      </c>
    </row>
    <row r="45" spans="2:27">
      <c r="B45" s="73">
        <v>43</v>
      </c>
      <c r="C45" s="74">
        <v>382100000</v>
      </c>
      <c r="D45" s="74">
        <v>300100000</v>
      </c>
      <c r="E45" s="75">
        <v>6800000</v>
      </c>
      <c r="F45" s="77">
        <v>450000</v>
      </c>
      <c r="G45" s="74">
        <v>11000</v>
      </c>
      <c r="H45" s="74">
        <v>390000</v>
      </c>
      <c r="I45" s="74">
        <v>8900</v>
      </c>
      <c r="J45" s="77">
        <v>9000000</v>
      </c>
      <c r="K45" s="74">
        <v>11000000</v>
      </c>
      <c r="L45" s="74">
        <v>12000000</v>
      </c>
      <c r="M45" s="78">
        <v>1100000</v>
      </c>
      <c r="N45" s="74">
        <v>1180000</v>
      </c>
      <c r="O45" s="74">
        <v>1220000</v>
      </c>
      <c r="P45" s="75">
        <v>1400000</v>
      </c>
      <c r="Q45" s="77">
        <v>45610800</v>
      </c>
      <c r="R45" s="74">
        <v>38009000</v>
      </c>
      <c r="S45" s="75">
        <v>898000</v>
      </c>
      <c r="T45" s="77">
        <v>215800</v>
      </c>
      <c r="U45" s="74">
        <v>6000</v>
      </c>
      <c r="V45" s="74">
        <v>179800</v>
      </c>
      <c r="W45" s="75">
        <v>4300</v>
      </c>
      <c r="X45" s="77">
        <v>750000</v>
      </c>
      <c r="Y45" s="74">
        <v>19000</v>
      </c>
      <c r="Z45" s="74">
        <v>625500</v>
      </c>
      <c r="AA45" s="75">
        <v>14400</v>
      </c>
    </row>
    <row r="46" spans="2:27">
      <c r="B46" s="73">
        <v>44</v>
      </c>
      <c r="C46" s="74">
        <v>390200000</v>
      </c>
      <c r="D46" s="74">
        <v>306500000</v>
      </c>
      <c r="E46" s="75">
        <v>6800000</v>
      </c>
      <c r="F46" s="77">
        <v>450000</v>
      </c>
      <c r="G46" s="74">
        <v>11000</v>
      </c>
      <c r="H46" s="74">
        <v>390000</v>
      </c>
      <c r="I46" s="74">
        <v>8900</v>
      </c>
      <c r="J46" s="77">
        <v>9000000</v>
      </c>
      <c r="K46" s="74">
        <v>11000000</v>
      </c>
      <c r="L46" s="74">
        <v>12000000</v>
      </c>
      <c r="M46" s="78">
        <v>1100000</v>
      </c>
      <c r="N46" s="74">
        <v>1180000</v>
      </c>
      <c r="O46" s="74">
        <v>1220000</v>
      </c>
      <c r="P46" s="75">
        <v>1400000</v>
      </c>
      <c r="Q46" s="77">
        <v>46042800</v>
      </c>
      <c r="R46" s="74">
        <v>38369000</v>
      </c>
      <c r="S46" s="75">
        <v>898000</v>
      </c>
      <c r="T46" s="77">
        <v>220500</v>
      </c>
      <c r="U46" s="74">
        <v>6000</v>
      </c>
      <c r="V46" s="74">
        <v>183800</v>
      </c>
      <c r="W46" s="75">
        <v>4300</v>
      </c>
      <c r="X46" s="77">
        <v>750000</v>
      </c>
      <c r="Y46" s="74">
        <v>19000</v>
      </c>
      <c r="Z46" s="74">
        <v>625500</v>
      </c>
      <c r="AA46" s="75">
        <v>14400</v>
      </c>
    </row>
    <row r="47" spans="2:27">
      <c r="B47" s="73">
        <v>45</v>
      </c>
      <c r="C47" s="74">
        <v>398400000</v>
      </c>
      <c r="D47" s="74">
        <v>312800000</v>
      </c>
      <c r="E47" s="75">
        <v>6800000</v>
      </c>
      <c r="F47" s="77">
        <v>450000</v>
      </c>
      <c r="G47" s="74">
        <v>11000</v>
      </c>
      <c r="H47" s="74">
        <v>390000</v>
      </c>
      <c r="I47" s="74">
        <v>8900</v>
      </c>
      <c r="J47" s="77">
        <v>9000000</v>
      </c>
      <c r="K47" s="74">
        <v>11000000</v>
      </c>
      <c r="L47" s="74">
        <v>12000000</v>
      </c>
      <c r="M47" s="78">
        <v>1100000</v>
      </c>
      <c r="N47" s="74">
        <v>1180000</v>
      </c>
      <c r="O47" s="74">
        <v>1220000</v>
      </c>
      <c r="P47" s="75">
        <v>1400000</v>
      </c>
      <c r="Q47" s="77">
        <v>46476000</v>
      </c>
      <c r="R47" s="74">
        <v>38730000</v>
      </c>
      <c r="S47" s="75">
        <v>898000</v>
      </c>
      <c r="T47" s="77">
        <v>225200</v>
      </c>
      <c r="U47" s="74">
        <v>6000</v>
      </c>
      <c r="V47" s="74">
        <v>187700</v>
      </c>
      <c r="W47" s="75">
        <v>4300</v>
      </c>
      <c r="X47" s="77">
        <v>750000</v>
      </c>
      <c r="Y47" s="74">
        <v>19000</v>
      </c>
      <c r="Z47" s="74">
        <v>625500</v>
      </c>
      <c r="AA47" s="75">
        <v>14400</v>
      </c>
    </row>
    <row r="48" spans="2:27">
      <c r="B48" s="73">
        <v>46</v>
      </c>
      <c r="C48" s="74">
        <v>407200000</v>
      </c>
      <c r="D48" s="74">
        <v>319800000</v>
      </c>
      <c r="E48" s="75">
        <v>6800000</v>
      </c>
      <c r="F48" s="77">
        <v>480000</v>
      </c>
      <c r="G48" s="74">
        <v>11000</v>
      </c>
      <c r="H48" s="74">
        <v>416000</v>
      </c>
      <c r="I48" s="74">
        <v>8900</v>
      </c>
      <c r="J48" s="77">
        <v>9000000</v>
      </c>
      <c r="K48" s="74">
        <v>11000000</v>
      </c>
      <c r="L48" s="74">
        <v>12000000</v>
      </c>
      <c r="M48" s="78">
        <v>1100000</v>
      </c>
      <c r="N48" s="74">
        <v>1180000</v>
      </c>
      <c r="O48" s="74">
        <v>1220000</v>
      </c>
      <c r="P48" s="75">
        <v>1400000</v>
      </c>
      <c r="Q48" s="77">
        <v>50017200</v>
      </c>
      <c r="R48" s="74">
        <v>41681000</v>
      </c>
      <c r="S48" s="75">
        <v>898000</v>
      </c>
      <c r="T48" s="77">
        <v>229900</v>
      </c>
      <c r="U48" s="74">
        <v>6000</v>
      </c>
      <c r="V48" s="74">
        <v>191600</v>
      </c>
      <c r="W48" s="75">
        <v>4300</v>
      </c>
      <c r="X48" s="77">
        <v>800000</v>
      </c>
      <c r="Y48" s="74">
        <v>19000</v>
      </c>
      <c r="Z48" s="74">
        <v>667200</v>
      </c>
      <c r="AA48" s="75">
        <v>14400</v>
      </c>
    </row>
    <row r="49" spans="1:27">
      <c r="B49" s="73">
        <v>47</v>
      </c>
      <c r="C49" s="74">
        <v>415400000</v>
      </c>
      <c r="D49" s="74">
        <v>326200000</v>
      </c>
      <c r="E49" s="75">
        <v>6800000</v>
      </c>
      <c r="F49" s="77">
        <v>480000</v>
      </c>
      <c r="G49" s="74">
        <v>11000</v>
      </c>
      <c r="H49" s="74">
        <v>416000</v>
      </c>
      <c r="I49" s="74">
        <v>8900</v>
      </c>
      <c r="J49" s="77">
        <v>9000000</v>
      </c>
      <c r="K49" s="74">
        <v>11000000</v>
      </c>
      <c r="L49" s="74">
        <v>12000000</v>
      </c>
      <c r="M49" s="78">
        <v>1100000</v>
      </c>
      <c r="N49" s="74">
        <v>1180000</v>
      </c>
      <c r="O49" s="74">
        <v>1220000</v>
      </c>
      <c r="P49" s="75">
        <v>1400000</v>
      </c>
      <c r="Q49" s="77">
        <v>50339200</v>
      </c>
      <c r="R49" s="74">
        <v>41949333.333333336</v>
      </c>
      <c r="S49" s="75">
        <v>898000</v>
      </c>
      <c r="T49" s="77">
        <v>234600</v>
      </c>
      <c r="U49" s="74">
        <v>6000</v>
      </c>
      <c r="V49" s="74">
        <v>195500</v>
      </c>
      <c r="W49" s="75">
        <v>4300</v>
      </c>
      <c r="X49" s="77">
        <v>800000</v>
      </c>
      <c r="Y49" s="74">
        <v>19000</v>
      </c>
      <c r="Z49" s="74">
        <v>667200</v>
      </c>
      <c r="AA49" s="75">
        <v>14400</v>
      </c>
    </row>
    <row r="50" spans="1:27">
      <c r="A50" s="84"/>
      <c r="B50" s="73">
        <v>48</v>
      </c>
      <c r="C50" s="74">
        <v>423500000</v>
      </c>
      <c r="D50" s="74">
        <v>332500000</v>
      </c>
      <c r="E50" s="75">
        <v>6800000</v>
      </c>
      <c r="F50" s="77">
        <v>480000</v>
      </c>
      <c r="G50" s="74">
        <v>11000</v>
      </c>
      <c r="H50" s="74">
        <v>416000</v>
      </c>
      <c r="I50" s="74">
        <v>8900</v>
      </c>
      <c r="J50" s="77">
        <v>9000000</v>
      </c>
      <c r="K50" s="74">
        <v>11000000</v>
      </c>
      <c r="L50" s="74">
        <v>12000000</v>
      </c>
      <c r="M50" s="78">
        <v>1100000</v>
      </c>
      <c r="N50" s="74">
        <v>1180000</v>
      </c>
      <c r="O50" s="74">
        <v>1220000</v>
      </c>
      <c r="P50" s="75">
        <v>1400000</v>
      </c>
      <c r="Q50" s="77">
        <v>50882400</v>
      </c>
      <c r="R50" s="74">
        <v>42402000</v>
      </c>
      <c r="S50" s="75">
        <v>898000</v>
      </c>
      <c r="T50" s="77">
        <v>239300</v>
      </c>
      <c r="U50" s="74">
        <v>6000</v>
      </c>
      <c r="V50" s="74">
        <v>199400</v>
      </c>
      <c r="W50" s="75">
        <v>4300</v>
      </c>
      <c r="X50" s="77">
        <v>800000</v>
      </c>
      <c r="Y50" s="74">
        <v>19000</v>
      </c>
      <c r="Z50" s="74">
        <v>667200</v>
      </c>
      <c r="AA50" s="75">
        <v>14400</v>
      </c>
    </row>
    <row r="51" spans="1:27" s="86" customFormat="1">
      <c r="A51" s="85"/>
      <c r="B51" s="73">
        <v>49</v>
      </c>
      <c r="C51" s="74">
        <v>446500000</v>
      </c>
      <c r="D51" s="74">
        <v>351300000</v>
      </c>
      <c r="E51" s="75">
        <v>6800000</v>
      </c>
      <c r="F51" s="77">
        <v>510000</v>
      </c>
      <c r="G51" s="74">
        <v>11000</v>
      </c>
      <c r="H51" s="74">
        <v>442000</v>
      </c>
      <c r="I51" s="74">
        <v>8900</v>
      </c>
      <c r="J51" s="77">
        <v>9000000</v>
      </c>
      <c r="K51" s="74">
        <v>11000000</v>
      </c>
      <c r="L51" s="74">
        <v>12000000</v>
      </c>
      <c r="M51" s="78">
        <v>1100000</v>
      </c>
      <c r="N51" s="74">
        <v>1180000</v>
      </c>
      <c r="O51" s="74">
        <v>1220000</v>
      </c>
      <c r="P51" s="75">
        <v>1400000</v>
      </c>
      <c r="Q51" s="77">
        <v>51932400</v>
      </c>
      <c r="R51" s="74">
        <v>43277000</v>
      </c>
      <c r="S51" s="75">
        <v>898000</v>
      </c>
      <c r="T51" s="77">
        <v>244000</v>
      </c>
      <c r="U51" s="74">
        <v>6000</v>
      </c>
      <c r="V51" s="74">
        <v>203300</v>
      </c>
      <c r="W51" s="75">
        <v>4300</v>
      </c>
      <c r="X51" s="77">
        <v>850000</v>
      </c>
      <c r="Y51" s="74">
        <v>19000</v>
      </c>
      <c r="Z51" s="74">
        <v>708900</v>
      </c>
      <c r="AA51" s="75">
        <v>14400</v>
      </c>
    </row>
    <row r="52" spans="1:27">
      <c r="A52" s="84"/>
      <c r="B52" s="67">
        <v>50</v>
      </c>
      <c r="C52" s="68">
        <v>454900000</v>
      </c>
      <c r="D52" s="68">
        <v>357800000</v>
      </c>
      <c r="E52" s="69">
        <v>6800000</v>
      </c>
      <c r="F52" s="70">
        <v>510000</v>
      </c>
      <c r="G52" s="68">
        <v>11000</v>
      </c>
      <c r="H52" s="68">
        <v>442000</v>
      </c>
      <c r="I52" s="68">
        <v>8900</v>
      </c>
      <c r="J52" s="70">
        <v>9000000</v>
      </c>
      <c r="K52" s="68">
        <v>11000000</v>
      </c>
      <c r="L52" s="68">
        <v>12000000</v>
      </c>
      <c r="M52" s="71">
        <v>1100000</v>
      </c>
      <c r="N52" s="68">
        <v>1180000</v>
      </c>
      <c r="O52" s="68">
        <v>1220000</v>
      </c>
      <c r="P52" s="69">
        <v>1400000</v>
      </c>
      <c r="Q52" s="70">
        <v>53422800</v>
      </c>
      <c r="R52" s="68">
        <v>44519000</v>
      </c>
      <c r="S52" s="69">
        <v>898000</v>
      </c>
      <c r="T52" s="70">
        <v>248700</v>
      </c>
      <c r="U52" s="68">
        <v>6000</v>
      </c>
      <c r="V52" s="68">
        <v>207300</v>
      </c>
      <c r="W52" s="69">
        <v>4300</v>
      </c>
      <c r="X52" s="70">
        <v>850000</v>
      </c>
      <c r="Y52" s="68">
        <v>19000</v>
      </c>
      <c r="Z52" s="68">
        <v>708900</v>
      </c>
      <c r="AA52" s="69">
        <v>14400</v>
      </c>
    </row>
    <row r="53" spans="1:27">
      <c r="A53" s="84"/>
    </row>
    <row r="54" spans="1:27">
      <c r="A54" s="84"/>
    </row>
  </sheetData>
  <mergeCells count="7">
    <mergeCell ref="X1:AA1"/>
    <mergeCell ref="C1:E1"/>
    <mergeCell ref="F1:I1"/>
    <mergeCell ref="J1:L1"/>
    <mergeCell ref="M1:P1"/>
    <mergeCell ref="Q1:S1"/>
    <mergeCell ref="T1:W1"/>
  </mergeCells>
  <phoneticPr fontId="2" type="noConversion"/>
  <pageMargins left="0.26" right="0.23" top="0.75" bottom="0.75" header="0.3" footer="0.3"/>
  <pageSetup paperSize="8" scale="4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E703A-A098-4CD9-B52C-9393ACC22728}">
  <sheetPr codeName="Sheet2">
    <pageSetUpPr fitToPage="1"/>
  </sheetPr>
  <dimension ref="A1:G26"/>
  <sheetViews>
    <sheetView showGridLines="0" topLeftCell="A4" zoomScale="90" zoomScaleNormal="90" zoomScaleSheetLayoutView="115" workbookViewId="0">
      <selection activeCell="N10" sqref="N10"/>
    </sheetView>
  </sheetViews>
  <sheetFormatPr defaultColWidth="9.125" defaultRowHeight="15"/>
  <cols>
    <col min="1" max="1" width="10.625" style="5" customWidth="1"/>
    <col min="2" max="2" width="16.75" style="5" customWidth="1"/>
    <col min="3" max="4" width="12.625" style="5" customWidth="1"/>
    <col min="5" max="5" width="12.125" style="5" customWidth="1"/>
    <col min="6" max="6" width="16.625" style="5" customWidth="1"/>
    <col min="7" max="7" width="13.5" style="5" customWidth="1"/>
    <col min="8" max="16384" width="9.125" style="5"/>
  </cols>
  <sheetData>
    <row r="1" spans="1:7" ht="54.75" customHeight="1">
      <c r="A1" s="87" t="s">
        <v>4</v>
      </c>
      <c r="B1" s="87"/>
      <c r="C1" s="87"/>
      <c r="D1" s="87"/>
      <c r="E1" s="87"/>
      <c r="F1" s="87"/>
      <c r="G1" s="87"/>
    </row>
    <row r="2" spans="1:7" ht="30.75" customHeight="1">
      <c r="A2" s="88"/>
      <c r="B2" s="88"/>
      <c r="C2" s="21" t="s">
        <v>5</v>
      </c>
      <c r="D2" s="6"/>
      <c r="E2" s="7" t="s">
        <v>6</v>
      </c>
      <c r="F2" s="7"/>
      <c r="G2" s="7"/>
    </row>
    <row r="3" spans="1:7" ht="30.75" customHeight="1">
      <c r="A3" s="8" t="s">
        <v>7</v>
      </c>
      <c r="B3" s="164">
        <f>F21</f>
        <v>96800000</v>
      </c>
      <c r="C3" s="164"/>
      <c r="D3" s="6"/>
      <c r="E3" s="10" t="s">
        <v>8</v>
      </c>
      <c r="F3" s="10"/>
      <c r="G3" s="10"/>
    </row>
    <row r="4" spans="1:7" ht="30.75" customHeight="1">
      <c r="A4" s="9" t="s">
        <v>9</v>
      </c>
      <c r="B4" s="89"/>
      <c r="C4" s="89"/>
      <c r="D4" s="6"/>
      <c r="E4" s="10" t="s">
        <v>10</v>
      </c>
      <c r="F4" s="10"/>
      <c r="G4" s="10"/>
    </row>
    <row r="5" spans="1:7" ht="30.75" customHeight="1">
      <c r="A5" s="9" t="s">
        <v>11</v>
      </c>
      <c r="B5" s="11" t="s">
        <v>12</v>
      </c>
      <c r="C5" s="9"/>
      <c r="D5" s="6"/>
      <c r="E5" s="10" t="s">
        <v>13</v>
      </c>
      <c r="F5" s="10"/>
      <c r="G5" s="10"/>
    </row>
    <row r="6" spans="1:7" ht="39" customHeight="1">
      <c r="A6" s="12"/>
      <c r="B6" s="12"/>
      <c r="C6" s="12"/>
      <c r="D6" s="13"/>
      <c r="E6" s="13"/>
      <c r="F6" s="13"/>
      <c r="G6" s="13"/>
    </row>
    <row r="7" spans="1:7" ht="15.75">
      <c r="A7" s="14"/>
      <c r="B7" s="15"/>
      <c r="C7" s="16"/>
      <c r="D7" s="16"/>
      <c r="E7" s="163" t="s">
        <v>90</v>
      </c>
      <c r="F7" s="163"/>
      <c r="G7" s="163"/>
    </row>
    <row r="8" spans="1:7" ht="27.75" customHeight="1">
      <c r="A8" s="131" t="s">
        <v>19</v>
      </c>
      <c r="B8" s="131"/>
      <c r="C8" s="132" t="s">
        <v>99</v>
      </c>
      <c r="D8" s="133" t="s">
        <v>96</v>
      </c>
      <c r="E8" s="134" t="s">
        <v>15</v>
      </c>
      <c r="F8" s="134" t="s">
        <v>16</v>
      </c>
      <c r="G8" s="134" t="s">
        <v>14</v>
      </c>
    </row>
    <row r="9" spans="1:7" ht="24.95" customHeight="1">
      <c r="A9" s="135" t="str">
        <f>견적시뮬레이터!J5</f>
        <v>1. 전기차 진화 시스템 구축비</v>
      </c>
      <c r="B9" s="136"/>
      <c r="C9" s="121" t="str">
        <f>견적시뮬레이터!K5</f>
        <v>무약정</v>
      </c>
      <c r="D9" s="113">
        <f>견적시뮬레이터!L5</f>
        <v>7</v>
      </c>
      <c r="E9" s="108"/>
      <c r="F9" s="108">
        <f>견적시뮬레이터!N5</f>
        <v>77000000</v>
      </c>
      <c r="G9" s="122"/>
    </row>
    <row r="10" spans="1:7" ht="24.95" customHeight="1">
      <c r="A10" s="145"/>
      <c r="B10" s="146"/>
      <c r="C10" s="159" t="str">
        <f>견적시뮬레이터!K6</f>
        <v>B1F</v>
      </c>
      <c r="D10" s="147">
        <f>견적시뮬레이터!L6</f>
        <v>2</v>
      </c>
      <c r="E10" s="148">
        <f>견적시뮬레이터!M6</f>
        <v>13500000</v>
      </c>
      <c r="F10" s="148">
        <f>견적시뮬레이터!N6</f>
        <v>27000000</v>
      </c>
      <c r="G10" s="166"/>
    </row>
    <row r="11" spans="1:7" ht="24.95" customHeight="1">
      <c r="A11" s="145"/>
      <c r="B11" s="146"/>
      <c r="C11" s="160" t="str">
        <f>견적시뮬레이터!K7</f>
        <v>B3F</v>
      </c>
      <c r="D11" s="149">
        <f>견적시뮬레이터!L7</f>
        <v>5</v>
      </c>
      <c r="E11" s="150">
        <f>견적시뮬레이터!M7</f>
        <v>10000000</v>
      </c>
      <c r="F11" s="150">
        <f>견적시뮬레이터!N7</f>
        <v>50000000</v>
      </c>
      <c r="G11" s="167"/>
    </row>
    <row r="12" spans="1:7" ht="24.95" customHeight="1">
      <c r="A12" s="151"/>
      <c r="B12" s="152"/>
      <c r="C12" s="161" t="str">
        <f>견적시뮬레이터!K8</f>
        <v/>
      </c>
      <c r="D12" s="153" t="str">
        <f>견적시뮬레이터!L8</f>
        <v/>
      </c>
      <c r="E12" s="154">
        <f>견적시뮬레이터!M8</f>
        <v>0</v>
      </c>
      <c r="F12" s="154">
        <f>견적시뮬레이터!N8</f>
        <v>0</v>
      </c>
      <c r="G12" s="168"/>
    </row>
    <row r="13" spans="1:7" ht="24.95" customHeight="1">
      <c r="A13" s="135" t="str">
        <f>견적시뮬레이터!J9</f>
        <v>2. 원격 관제 시스템 구축비</v>
      </c>
      <c r="B13" s="136"/>
      <c r="C13" s="121" t="str">
        <f>견적시뮬레이터!K9</f>
        <v>무약정</v>
      </c>
      <c r="D13" s="113">
        <f>견적시뮬레이터!L9</f>
        <v>7</v>
      </c>
      <c r="E13" s="108"/>
      <c r="F13" s="108">
        <f>견적시뮬레이터!N9</f>
        <v>11000000</v>
      </c>
      <c r="G13" s="122"/>
    </row>
    <row r="14" spans="1:7" ht="24.95" customHeight="1">
      <c r="A14" s="145"/>
      <c r="B14" s="146"/>
      <c r="C14" s="159" t="str">
        <f>견적시뮬레이터!K10</f>
        <v>B1F</v>
      </c>
      <c r="D14" s="147">
        <f>견적시뮬레이터!L10</f>
        <v>2</v>
      </c>
      <c r="E14" s="148">
        <f>견적시뮬레이터!M10</f>
        <v>2000000</v>
      </c>
      <c r="F14" s="148">
        <f>견적시뮬레이터!N10</f>
        <v>4000000</v>
      </c>
      <c r="G14" s="166"/>
    </row>
    <row r="15" spans="1:7" ht="24.95" customHeight="1">
      <c r="A15" s="145"/>
      <c r="B15" s="146"/>
      <c r="C15" s="160" t="str">
        <f>견적시뮬레이터!K11</f>
        <v>B3F</v>
      </c>
      <c r="D15" s="149">
        <f>견적시뮬레이터!L11</f>
        <v>5</v>
      </c>
      <c r="E15" s="150">
        <f>견적시뮬레이터!M11</f>
        <v>1400000</v>
      </c>
      <c r="F15" s="150">
        <f>견적시뮬레이터!N11</f>
        <v>7000000</v>
      </c>
      <c r="G15" s="167"/>
    </row>
    <row r="16" spans="1:7" ht="24.95" customHeight="1">
      <c r="A16" s="151"/>
      <c r="B16" s="152"/>
      <c r="C16" s="161" t="str">
        <f>견적시뮬레이터!K12</f>
        <v/>
      </c>
      <c r="D16" s="153" t="str">
        <f>견적시뮬레이터!L12</f>
        <v/>
      </c>
      <c r="E16" s="154">
        <f>견적시뮬레이터!M12</f>
        <v>0</v>
      </c>
      <c r="F16" s="154">
        <f>견적시뮬레이터!N12</f>
        <v>0</v>
      </c>
      <c r="G16" s="168"/>
    </row>
    <row r="17" spans="1:7" ht="24.95" customHeight="1">
      <c r="A17" s="137" t="str">
        <f>견적시뮬레이터!J13</f>
        <v>3. 원격관제시스템 월 운영서비스료</v>
      </c>
      <c r="B17" s="138"/>
      <c r="C17" s="121" t="str">
        <f>견적시뮬레이터!K13</f>
        <v>미선택</v>
      </c>
      <c r="D17" s="107">
        <f>견적시뮬레이터!L13</f>
        <v>7</v>
      </c>
      <c r="E17" s="108"/>
      <c r="F17" s="108">
        <f>견적시뮬레이터!N13</f>
        <v>0</v>
      </c>
      <c r="G17" s="122"/>
    </row>
    <row r="18" spans="1:7" ht="24.95" customHeight="1" thickBot="1">
      <c r="A18" s="155"/>
      <c r="B18" s="156"/>
      <c r="C18" s="162" t="str">
        <f>견적시뮬레이터!K14</f>
        <v/>
      </c>
      <c r="D18" s="157">
        <f>견적시뮬레이터!L14</f>
        <v>7</v>
      </c>
      <c r="E18" s="158">
        <f>견적시뮬레이터!M14</f>
        <v>25000</v>
      </c>
      <c r="F18" s="158">
        <f>견적시뮬레이터!N14</f>
        <v>0</v>
      </c>
      <c r="G18" s="169"/>
    </row>
    <row r="19" spans="1:7" ht="24.95" customHeight="1" thickBot="1">
      <c r="A19" s="139" t="s">
        <v>94</v>
      </c>
      <c r="B19" s="140"/>
      <c r="C19" s="125"/>
      <c r="D19" s="109">
        <f>견적시뮬레이터!L15</f>
        <v>7</v>
      </c>
      <c r="E19" s="110"/>
      <c r="F19" s="110">
        <f>견적시뮬레이터!N15</f>
        <v>88000000</v>
      </c>
      <c r="G19" s="126"/>
    </row>
    <row r="20" spans="1:7" ht="24.95" customHeight="1">
      <c r="A20" s="141" t="s">
        <v>92</v>
      </c>
      <c r="B20" s="142"/>
      <c r="C20" s="127"/>
      <c r="D20" s="129"/>
      <c r="E20" s="165">
        <v>0.1</v>
      </c>
      <c r="F20" s="130">
        <f>F19*E20</f>
        <v>8800000</v>
      </c>
      <c r="G20" s="127"/>
    </row>
    <row r="21" spans="1:7" ht="24.95" customHeight="1">
      <c r="A21" s="143" t="s">
        <v>95</v>
      </c>
      <c r="B21" s="144"/>
      <c r="C21" s="128"/>
      <c r="D21" s="129"/>
      <c r="E21" s="130"/>
      <c r="F21" s="130">
        <f>F19+F20</f>
        <v>96800000</v>
      </c>
      <c r="G21" s="127"/>
    </row>
    <row r="22" spans="1:7" ht="106.5" customHeight="1">
      <c r="A22" s="20" t="s">
        <v>97</v>
      </c>
      <c r="B22" s="170" t="s">
        <v>100</v>
      </c>
      <c r="C22" s="171"/>
      <c r="D22" s="171"/>
      <c r="E22" s="171"/>
      <c r="F22" s="171"/>
      <c r="G22" s="172"/>
    </row>
    <row r="23" spans="1:7" ht="50.25" customHeight="1">
      <c r="A23" s="20" t="s">
        <v>91</v>
      </c>
      <c r="B23" s="90"/>
      <c r="C23" s="91"/>
      <c r="D23" s="91"/>
      <c r="E23" s="91"/>
      <c r="F23" s="91"/>
      <c r="G23" s="92"/>
    </row>
    <row r="24" spans="1:7" ht="28.5" customHeight="1">
      <c r="A24" s="19"/>
      <c r="B24" s="19"/>
      <c r="C24" s="19"/>
      <c r="D24" s="19"/>
      <c r="E24" s="19"/>
      <c r="F24" s="93"/>
      <c r="G24" s="93"/>
    </row>
    <row r="25" spans="1:7" ht="20.100000000000001" customHeight="1">
      <c r="A25" s="19"/>
      <c r="B25" s="19"/>
      <c r="C25" s="19"/>
      <c r="D25" s="19"/>
      <c r="E25" s="19"/>
      <c r="F25" s="19"/>
      <c r="G25" s="19"/>
    </row>
    <row r="26" spans="1:7" ht="20.100000000000001" customHeight="1"/>
  </sheetData>
  <mergeCells count="22">
    <mergeCell ref="A20:B20"/>
    <mergeCell ref="A17:B17"/>
    <mergeCell ref="A18:B18"/>
    <mergeCell ref="A13:B13"/>
    <mergeCell ref="A14:B14"/>
    <mergeCell ref="A15:B15"/>
    <mergeCell ref="A16:B16"/>
    <mergeCell ref="B23:G23"/>
    <mergeCell ref="F24:G24"/>
    <mergeCell ref="A21:B21"/>
    <mergeCell ref="A19:B19"/>
    <mergeCell ref="B22:G22"/>
    <mergeCell ref="A10:B10"/>
    <mergeCell ref="A9:B9"/>
    <mergeCell ref="A1:G1"/>
    <mergeCell ref="A2:B2"/>
    <mergeCell ref="B4:C4"/>
    <mergeCell ref="E7:G7"/>
    <mergeCell ref="A8:B8"/>
    <mergeCell ref="B3:C3"/>
    <mergeCell ref="A11:B11"/>
    <mergeCell ref="A12:B12"/>
  </mergeCells>
  <phoneticPr fontId="10" type="noConversion"/>
  <printOptions horizontalCentered="1"/>
  <pageMargins left="0.39370078740157483" right="0.39370078740157483" top="0.59055118110236227" bottom="0.39370078740157483" header="0.31496062992125984" footer="0.31496062992125984"/>
  <pageSetup paperSize="9" scale="92" fitToHeight="0"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3EC35-F8C9-43AC-9604-C57756297551}">
  <sheetPr codeName="Sheet1"/>
  <dimension ref="B2:T32"/>
  <sheetViews>
    <sheetView showGridLines="0" zoomScale="90" zoomScaleNormal="90" workbookViewId="0">
      <selection activeCell="G20" sqref="G20"/>
    </sheetView>
  </sheetViews>
  <sheetFormatPr defaultRowHeight="18.75" customHeight="1"/>
  <cols>
    <col min="1" max="2" width="3.125" style="24" customWidth="1"/>
    <col min="3" max="3" width="28.875" style="25" customWidth="1"/>
    <col min="4" max="4" width="1.5" style="25" customWidth="1"/>
    <col min="5" max="5" width="28.875" style="25" customWidth="1"/>
    <col min="6" max="6" width="1.25" style="25" customWidth="1"/>
    <col min="7" max="8" width="35.5" style="24" customWidth="1"/>
    <col min="9" max="9" width="9" style="24" customWidth="1"/>
    <col min="10" max="10" width="25.5" style="115" customWidth="1"/>
    <col min="11" max="11" width="12.25" style="115" customWidth="1"/>
    <col min="12" max="12" width="9.5" style="115" customWidth="1"/>
    <col min="13" max="13" width="17" style="115" customWidth="1"/>
    <col min="14" max="14" width="19.5" style="115" customWidth="1"/>
    <col min="15" max="15" width="9" style="24" customWidth="1"/>
    <col min="16" max="16" width="7.125" style="24" customWidth="1"/>
    <col min="17" max="17" width="3" style="24" customWidth="1"/>
    <col min="18" max="18" width="8" style="24" customWidth="1"/>
    <col min="19" max="19" width="3" style="24" customWidth="1"/>
    <col min="20" max="20" width="7.25" style="24" customWidth="1"/>
    <col min="21" max="16384" width="9" style="24"/>
  </cols>
  <sheetData>
    <row r="2" spans="2:20" ht="18.75" customHeight="1">
      <c r="B2" s="114" t="s">
        <v>102</v>
      </c>
      <c r="G2" s="27"/>
      <c r="J2" s="114" t="s">
        <v>101</v>
      </c>
    </row>
    <row r="3" spans="2:20" ht="18.75" customHeight="1">
      <c r="B3" s="26"/>
      <c r="C3" s="27"/>
      <c r="D3" s="27"/>
      <c r="E3" s="27"/>
      <c r="F3" s="27"/>
      <c r="G3" s="26"/>
      <c r="H3" s="26"/>
      <c r="I3" s="26"/>
      <c r="N3" s="186" t="s">
        <v>89</v>
      </c>
      <c r="P3" s="34">
        <v>1</v>
      </c>
      <c r="R3" s="33" t="s">
        <v>21</v>
      </c>
      <c r="T3" s="33">
        <v>0</v>
      </c>
    </row>
    <row r="4" spans="2:20" ht="25.5" customHeight="1">
      <c r="B4" s="26"/>
      <c r="C4" s="27" t="s">
        <v>81</v>
      </c>
      <c r="D4" s="27"/>
      <c r="E4" s="27" t="s">
        <v>82</v>
      </c>
      <c r="F4" s="27"/>
      <c r="G4" s="27" t="s">
        <v>85</v>
      </c>
      <c r="H4" s="26"/>
      <c r="I4" s="28"/>
      <c r="J4" s="32" t="s">
        <v>20</v>
      </c>
      <c r="K4" s="112" t="s">
        <v>98</v>
      </c>
      <c r="L4" s="30" t="s">
        <v>96</v>
      </c>
      <c r="M4" s="32" t="s">
        <v>15</v>
      </c>
      <c r="N4" s="32" t="s">
        <v>16</v>
      </c>
      <c r="P4" s="33">
        <v>1</v>
      </c>
      <c r="R4" s="33" t="s">
        <v>22</v>
      </c>
      <c r="T4" s="33">
        <v>2</v>
      </c>
    </row>
    <row r="5" spans="2:20" ht="27.75" customHeight="1">
      <c r="B5" s="26"/>
      <c r="C5" s="103" t="s">
        <v>83</v>
      </c>
      <c r="D5" s="27"/>
      <c r="E5" s="103" t="s">
        <v>84</v>
      </c>
      <c r="G5" s="105" t="s">
        <v>86</v>
      </c>
      <c r="H5" s="104" t="s">
        <v>87</v>
      </c>
      <c r="I5" s="26"/>
      <c r="J5" s="173" t="s">
        <v>114</v>
      </c>
      <c r="K5" s="174" t="str">
        <f>_xlfn.IFS($P$3=1,"무약정",$P$3=2,"36개월",$P$3=3,"60개월")</f>
        <v>무약정</v>
      </c>
      <c r="L5" s="22">
        <f>SUM($L$6:$L$8)</f>
        <v>7</v>
      </c>
      <c r="M5" s="17"/>
      <c r="N5" s="17">
        <f>SUM($N$6:$N$8)</f>
        <v>77000000</v>
      </c>
      <c r="R5" s="33" t="s">
        <v>23</v>
      </c>
      <c r="T5" s="33">
        <v>3</v>
      </c>
    </row>
    <row r="6" spans="2:20" ht="25.5" customHeight="1">
      <c r="B6" s="26"/>
      <c r="C6" s="190"/>
      <c r="D6" s="27"/>
      <c r="E6" s="189"/>
      <c r="G6" s="187" t="s">
        <v>66</v>
      </c>
      <c r="H6" s="187">
        <v>2</v>
      </c>
      <c r="I6" s="26"/>
      <c r="J6" s="175"/>
      <c r="K6" s="176" t="str">
        <f>IF($H$6=0,"",$G$6)</f>
        <v>B1F</v>
      </c>
      <c r="L6" s="177">
        <f>IF($H$6=0,"",$H$6)</f>
        <v>2</v>
      </c>
      <c r="M6" s="178">
        <f>IF($L$6="",0,_xlfn.IFS($P$3=1,VLOOKUP($L$6,가격테이블!$B$4:$AA$52,9,0),$P$3=2,VLOOKUP($L$6,가격테이블!$B$4:$AA$52,10,0),$P$3=3,VLOOKUP($L$6,가격테이블!$B$4:$AA$52,11,0)))</f>
        <v>13500000</v>
      </c>
      <c r="N6" s="178">
        <f>IF($L$6="",0,$L$6*$M$6)</f>
        <v>27000000</v>
      </c>
      <c r="R6" s="33" t="s">
        <v>24</v>
      </c>
      <c r="T6" s="33">
        <v>4</v>
      </c>
    </row>
    <row r="7" spans="2:20" ht="25.5" customHeight="1">
      <c r="B7" s="26"/>
      <c r="C7" s="189"/>
      <c r="E7" s="189"/>
      <c r="G7" s="188" t="s">
        <v>23</v>
      </c>
      <c r="H7" s="188">
        <v>5</v>
      </c>
      <c r="I7" s="26"/>
      <c r="J7" s="175"/>
      <c r="K7" s="179" t="str">
        <f>IF($H$7=0,"",$G$7)</f>
        <v>B3F</v>
      </c>
      <c r="L7" s="149">
        <f>IF($H$7=0,"",$H$7)</f>
        <v>5</v>
      </c>
      <c r="M7" s="150">
        <f>IF($L$7="",0,_xlfn.IFS($P$3=1,VLOOKUP($L$7,가격테이블!$B$4:$AA$52,9,0),$P$3=2,VLOOKUP($L$7,가격테이블!$B$4:$AA$52,10,0),$P$3=3,VLOOKUP($L$7,가격테이블!$B$4:$AA$52,11,0)))</f>
        <v>10000000</v>
      </c>
      <c r="N7" s="150">
        <f>IF($L$7="",0,$L$7*$M$7)</f>
        <v>50000000</v>
      </c>
      <c r="R7" s="33" t="s">
        <v>25</v>
      </c>
      <c r="T7" s="33">
        <v>5</v>
      </c>
    </row>
    <row r="8" spans="2:20" ht="25.5" customHeight="1">
      <c r="B8" s="26"/>
      <c r="C8" s="190"/>
      <c r="D8" s="27"/>
      <c r="E8" s="189"/>
      <c r="G8" s="187" t="s">
        <v>25</v>
      </c>
      <c r="H8" s="187">
        <v>0</v>
      </c>
      <c r="I8" s="26"/>
      <c r="J8" s="123"/>
      <c r="K8" s="180" t="str">
        <f>IF($H$8=0,"",$G$8)</f>
        <v/>
      </c>
      <c r="L8" s="153" t="str">
        <f>IF($H$8=0,"",$H$8)</f>
        <v/>
      </c>
      <c r="M8" s="154">
        <f>IF($L$8="",0,_xlfn.IFS($P$3=1,VLOOKUP($L$8,가격테이블!$B$4:$AA$52,9,0),$P$3=2,VLOOKUP($L$8,가격테이블!$B$4:$AA$52,10,0),$P$3=3,VLOOKUP($L$8,가격테이블!$B$4:$AA$52,11,0)))</f>
        <v>0</v>
      </c>
      <c r="N8" s="154">
        <f>IF($L$8="",0,$L$8*$M$8)</f>
        <v>0</v>
      </c>
      <c r="R8" s="33" t="s">
        <v>26</v>
      </c>
      <c r="T8" s="33">
        <v>6</v>
      </c>
    </row>
    <row r="9" spans="2:20" ht="25.5" customHeight="1">
      <c r="B9" s="26"/>
      <c r="C9" s="190"/>
      <c r="D9" s="27"/>
      <c r="E9" s="189"/>
      <c r="G9" s="106" t="s">
        <v>88</v>
      </c>
      <c r="H9" s="116"/>
      <c r="I9" s="26"/>
      <c r="J9" s="181" t="s">
        <v>115</v>
      </c>
      <c r="K9" s="182" t="str">
        <f>_xlfn.IFS($P$4=1,"무약정",$P$4=2,"36개월",$P$4=3,"60개월",$P$4=4,"미선택",$P$4=5,"24개월")</f>
        <v>무약정</v>
      </c>
      <c r="L9" s="31">
        <f>SUM($L$10:$L$12)</f>
        <v>7</v>
      </c>
      <c r="M9" s="17"/>
      <c r="N9" s="17">
        <f>SUM($N$10:$N$12)</f>
        <v>11000000</v>
      </c>
      <c r="R9" s="33" t="s">
        <v>27</v>
      </c>
      <c r="T9" s="33">
        <v>7</v>
      </c>
    </row>
    <row r="10" spans="2:20" ht="25.5" customHeight="1">
      <c r="B10" s="26"/>
      <c r="C10" s="189"/>
      <c r="E10" s="190"/>
      <c r="F10" s="27"/>
      <c r="G10" s="117"/>
      <c r="H10" s="118"/>
      <c r="I10" s="29"/>
      <c r="J10" s="175"/>
      <c r="K10" s="176" t="str">
        <f>IF($H$6=0,"",$G$6)</f>
        <v>B1F</v>
      </c>
      <c r="L10" s="177">
        <f>IF($H$6=0,"",$H$6)</f>
        <v>2</v>
      </c>
      <c r="M10" s="178">
        <f>IF($L$10="",0,_xlfn.IFS($P$4=1,VLOOKUP($L$10,가격테이블!$B$4:$AA$52,12,0),$P$4=2,VLOOKUP($L$10,가격테이블!$B$4:$AA$52,14,0),$P$4=3,VLOOKUP($L$10,가격테이블!$B$4:$AA$52,15,0),$P$4=4,0,$P$4=5,VLOOKUP($L$10,가격테이블!$B$4:$AA$52,13,0)))</f>
        <v>2000000</v>
      </c>
      <c r="N10" s="178">
        <f>IF($L$10="",0,$L$10*$M$10)</f>
        <v>4000000</v>
      </c>
      <c r="R10" s="33" t="s">
        <v>28</v>
      </c>
      <c r="T10" s="33">
        <v>8</v>
      </c>
    </row>
    <row r="11" spans="2:20" ht="25.5" customHeight="1">
      <c r="B11" s="26"/>
      <c r="C11" s="189"/>
      <c r="E11" s="189"/>
      <c r="G11" s="117"/>
      <c r="H11" s="118"/>
      <c r="J11" s="175"/>
      <c r="K11" s="179" t="str">
        <f>IF($H$7=0,"",$G$7)</f>
        <v>B3F</v>
      </c>
      <c r="L11" s="149">
        <f>IF($H$7=0,"",$H$7)</f>
        <v>5</v>
      </c>
      <c r="M11" s="150">
        <f>IF($L$11="",0,_xlfn.IFS($P$4=1,VLOOKUP($L$11,가격테이블!$B$4:$AA$52,12,0),$P$4=2,VLOOKUP($L$11,가격테이블!$B$4:$AA$52,14,0),$P$4=3,VLOOKUP($L$11,가격테이블!$B$4:$AA$52,15,0),$P$4=4,0,$P$4=5,VLOOKUP($L$11,가격테이블!$B$4:$AA$52,13,0)))</f>
        <v>1400000</v>
      </c>
      <c r="N11" s="150">
        <f>IF($L$11="",0,$L$11*$M$11)</f>
        <v>7000000</v>
      </c>
      <c r="T11" s="33">
        <v>9</v>
      </c>
    </row>
    <row r="12" spans="2:20" ht="25.5" customHeight="1">
      <c r="B12" s="26"/>
      <c r="C12" s="189"/>
      <c r="E12" s="189"/>
      <c r="G12" s="119"/>
      <c r="H12" s="120"/>
      <c r="J12" s="123"/>
      <c r="K12" s="180" t="str">
        <f>IF($H$8=0,"",$G$8)</f>
        <v/>
      </c>
      <c r="L12" s="183" t="str">
        <f>IF($H$8=0,"",$H$8)</f>
        <v/>
      </c>
      <c r="M12" s="154">
        <f>IF($L$12="",0,_xlfn.IFS($P$4=1,VLOOKUP($L$12,가격테이블!$B$4:$AA$52,12,0),$P$4=2,VLOOKUP($L$12,가격테이블!$B$4:$AA$52,14,0),$P$4=3,VLOOKUP($L$12,가격테이블!$B$4:$AA$52,15,0),$P$4=4,0,$P$4=5,VLOOKUP($L$12,가격테이블!$B$4:$AA$52,13,0)))</f>
        <v>0</v>
      </c>
      <c r="N12" s="154">
        <f>IF($L$12="",0,$L$12*$M$12)</f>
        <v>0</v>
      </c>
      <c r="T12" s="33">
        <v>10</v>
      </c>
    </row>
    <row r="13" spans="2:20" ht="25.5" customHeight="1">
      <c r="G13" s="26"/>
      <c r="J13" s="181" t="s">
        <v>113</v>
      </c>
      <c r="K13" s="182" t="str">
        <f>IF(K9="무약정","미선택",$K$9)</f>
        <v>미선택</v>
      </c>
      <c r="L13" s="107">
        <f>$L$14</f>
        <v>7</v>
      </c>
      <c r="M13" s="108"/>
      <c r="N13" s="108">
        <f>IF($N$14="",0,$N$14)</f>
        <v>0</v>
      </c>
      <c r="T13" s="33">
        <v>11</v>
      </c>
    </row>
    <row r="14" spans="2:20" ht="25.5" customHeight="1" thickBot="1">
      <c r="C14" s="26"/>
      <c r="D14" s="26"/>
      <c r="J14" s="175"/>
      <c r="K14" s="184" t="str">
        <f>IF(SUM($L$10:$L$12)=0,"",_xlfn.IFS($P$4=1,"",$P$4=5,24,$P$4=2,36,$P$4=3,60,$P$4=4,""))</f>
        <v/>
      </c>
      <c r="L14" s="177">
        <f>IF(SUM($L$10:$L$12)=0,"",SUM($L$10:$L$12))</f>
        <v>7</v>
      </c>
      <c r="M14" s="178">
        <f>IF($L$14="",0,VLOOKUP($L$14,가격테이블!$B$4:$AA$52,20,0)+VLOOKUP($L$14,가격테이블!$B$4:$AA$52,24,0))</f>
        <v>25000</v>
      </c>
      <c r="N14" s="178">
        <f>IF($K$14="",0,$K$14*$L$14*$M$14)</f>
        <v>0</v>
      </c>
      <c r="T14" s="33">
        <v>12</v>
      </c>
    </row>
    <row r="15" spans="2:20" ht="25.5" customHeight="1" thickBot="1">
      <c r="J15" s="124" t="s">
        <v>93</v>
      </c>
      <c r="K15" s="185"/>
      <c r="L15" s="109">
        <f>$L$5</f>
        <v>7</v>
      </c>
      <c r="M15" s="110"/>
      <c r="N15" s="111">
        <f>$N$5+$N$9+$N$13</f>
        <v>88000000</v>
      </c>
      <c r="T15" s="33">
        <v>13</v>
      </c>
    </row>
    <row r="16" spans="2:20" ht="25.5" customHeight="1">
      <c r="T16" s="33">
        <v>14</v>
      </c>
    </row>
    <row r="17" spans="10:20" ht="25.5" customHeight="1">
      <c r="J17" s="32" t="s">
        <v>20</v>
      </c>
      <c r="K17" s="112" t="s">
        <v>98</v>
      </c>
      <c r="L17" s="30" t="s">
        <v>96</v>
      </c>
      <c r="M17" s="32" t="s">
        <v>125</v>
      </c>
      <c r="N17" s="32" t="s">
        <v>16</v>
      </c>
      <c r="T17" s="33">
        <v>15</v>
      </c>
    </row>
    <row r="18" spans="10:20" ht="25.5" customHeight="1">
      <c r="J18" s="173" t="s">
        <v>114</v>
      </c>
      <c r="K18" s="174" t="str">
        <f>_xlfn.IFS($P$3=1,"무약정",$P$3=2,"36개월",$P$3=3,"60개월")</f>
        <v>무약정</v>
      </c>
      <c r="L18" s="22">
        <f>SUM(L19:L21)</f>
        <v>7</v>
      </c>
      <c r="M18" s="17"/>
      <c r="N18" s="17">
        <f>SUM(N19:N21)</f>
        <v>57400000</v>
      </c>
      <c r="T18" s="33">
        <v>16</v>
      </c>
    </row>
    <row r="19" spans="10:20" ht="25.5" customHeight="1">
      <c r="J19" s="175"/>
      <c r="K19" s="176" t="str">
        <f>IF($H$6=0,"",$G$6)</f>
        <v>B1F</v>
      </c>
      <c r="L19" s="177">
        <f>IF($H$6=0,"",$H$6)</f>
        <v>2</v>
      </c>
      <c r="M19" s="178"/>
      <c r="N19" s="178">
        <f>IF($L$19="",0,VLOOKUP(L19,가격테이블!$B$4:$AA$52,3,0))</f>
        <v>20400000</v>
      </c>
      <c r="T19" s="33">
        <v>17</v>
      </c>
    </row>
    <row r="20" spans="10:20" ht="25.5" customHeight="1">
      <c r="J20" s="175"/>
      <c r="K20" s="179" t="str">
        <f>IF($H$7=0,"",$G$7)</f>
        <v>B3F</v>
      </c>
      <c r="L20" s="149">
        <f>IF($H$7=0,"",$H$7)</f>
        <v>5</v>
      </c>
      <c r="M20" s="150"/>
      <c r="N20" s="150">
        <f>IF($L$20="",0,VLOOKUP(L20,가격테이블!$B$4:$AA$52,3,0))</f>
        <v>37000000</v>
      </c>
      <c r="T20" s="33">
        <v>18</v>
      </c>
    </row>
    <row r="21" spans="10:20" ht="25.5" customHeight="1">
      <c r="J21" s="123"/>
      <c r="K21" s="180" t="str">
        <f>IF($H$8=0,"",$G$8)</f>
        <v/>
      </c>
      <c r="L21" s="153" t="str">
        <f>IF($H$8=0,"",$H$8)</f>
        <v/>
      </c>
      <c r="M21" s="154"/>
      <c r="N21" s="154">
        <f>IF($L$21="",0,VLOOKUP(L21,가격테이블!$B$4:$AA$52,3,0))</f>
        <v>0</v>
      </c>
      <c r="T21" s="33">
        <v>19</v>
      </c>
    </row>
    <row r="22" spans="10:20" ht="25.5" customHeight="1">
      <c r="J22" s="181" t="s">
        <v>115</v>
      </c>
      <c r="K22" s="182" t="str">
        <f>_xlfn.IFS($P$4=1,"무약정",$P$4=2,"36개월",$P$4=3,"60개월",$P$4=4,"미선택",$P$4=5,"24개월")</f>
        <v>무약정</v>
      </c>
      <c r="L22" s="31">
        <f>SUM(L23:L25)</f>
        <v>7</v>
      </c>
      <c r="M22" s="17"/>
      <c r="N22" s="17">
        <f>SUM(N23:N25)</f>
        <v>9008333.333333334</v>
      </c>
      <c r="T22" s="33">
        <v>20</v>
      </c>
    </row>
    <row r="23" spans="10:20" ht="25.5" customHeight="1">
      <c r="J23" s="175"/>
      <c r="K23" s="176" t="str">
        <f>IF($H$6=0,"",$G$6)</f>
        <v>B1F</v>
      </c>
      <c r="L23" s="177">
        <f>IF($H$6=0,"",$H$6)</f>
        <v>2</v>
      </c>
      <c r="M23" s="178"/>
      <c r="N23" s="178">
        <f>IF($L$23="",0,IF(P4=4,0,VLOOKUP(L23,가격테이블!$B$4:$AA$52,17,0)))</f>
        <v>3219333.3333333335</v>
      </c>
      <c r="T23" s="33">
        <v>21</v>
      </c>
    </row>
    <row r="24" spans="10:20" ht="25.5" customHeight="1">
      <c r="J24" s="175"/>
      <c r="K24" s="179" t="str">
        <f>IF($H$7=0,"",$G$7)</f>
        <v>B3F</v>
      </c>
      <c r="L24" s="149">
        <f>IF($H$7=0,"",$H$7)</f>
        <v>5</v>
      </c>
      <c r="M24" s="150"/>
      <c r="N24" s="150">
        <f>IF($L$24="",0,IF(P4=4,0,VLOOKUP(L24,가격테이블!$B$4:$AA$52,17,0)))</f>
        <v>5789000</v>
      </c>
      <c r="T24" s="33">
        <v>22</v>
      </c>
    </row>
    <row r="25" spans="10:20" ht="25.5" customHeight="1">
      <c r="J25" s="123"/>
      <c r="K25" s="180" t="str">
        <f>IF($H$8=0,"",$G$8)</f>
        <v/>
      </c>
      <c r="L25" s="183" t="str">
        <f>IF($H$8=0,"",$H$8)</f>
        <v/>
      </c>
      <c r="M25" s="154"/>
      <c r="N25" s="154">
        <f>IF($L$25="",0,IF(P4=4,0,VLOOKUP(L25,가격테이블!$B$4:$AA$52,17,0)))</f>
        <v>0</v>
      </c>
      <c r="T25" s="33">
        <v>23</v>
      </c>
    </row>
    <row r="26" spans="10:20" ht="25.5" customHeight="1">
      <c r="J26" s="181" t="s">
        <v>113</v>
      </c>
      <c r="K26" s="182" t="str">
        <f>IF(K22="무약정","미선택",$K$22)</f>
        <v>미선택</v>
      </c>
      <c r="L26" s="107">
        <f>L27</f>
        <v>7</v>
      </c>
      <c r="M26" s="108"/>
      <c r="N26" s="108">
        <f>N27</f>
        <v>0</v>
      </c>
      <c r="T26" s="33">
        <v>24</v>
      </c>
    </row>
    <row r="27" spans="10:20" ht="25.5" customHeight="1">
      <c r="J27" s="175"/>
      <c r="K27" s="197" t="str">
        <f>IF(SUM($L$10:$L$12)=0,"",_xlfn.IFS($P$4=1,"",$P$4=5,24,$P$4=2,36,$P$4=3,60,$P$4=4,""))</f>
        <v/>
      </c>
      <c r="L27" s="177">
        <f>IF(SUM($L$10:$L$12)=0,"",SUM($L$10:$L$12))</f>
        <v>7</v>
      </c>
      <c r="M27" s="178"/>
      <c r="N27" s="178">
        <f>IF($K$27="",0,(VLOOKUP(L27,가격테이블!$B$4:$AA$52,21,0)+VLOOKUP(L27,가격테이블!$B$4:$AA$52,25,0))*K27)</f>
        <v>0</v>
      </c>
      <c r="T27" s="33">
        <v>25</v>
      </c>
    </row>
    <row r="28" spans="10:20" ht="25.5" customHeight="1">
      <c r="J28" s="94" t="s">
        <v>126</v>
      </c>
      <c r="K28" s="95"/>
      <c r="L28" s="23">
        <f>$L$5</f>
        <v>7</v>
      </c>
      <c r="M28" s="18"/>
      <c r="N28" s="18">
        <f>N18+N22+N26</f>
        <v>66408333.333333336</v>
      </c>
      <c r="T28" s="33">
        <v>26</v>
      </c>
    </row>
    <row r="29" spans="10:20" ht="25.5" customHeight="1">
      <c r="J29" s="94" t="s">
        <v>127</v>
      </c>
      <c r="K29" s="95"/>
      <c r="L29" s="23"/>
      <c r="M29" s="198">
        <f>N29/N15</f>
        <v>0.24535984848484846</v>
      </c>
      <c r="N29" s="18">
        <f>N15-N28</f>
        <v>21591666.666666664</v>
      </c>
      <c r="T29" s="33">
        <v>27</v>
      </c>
    </row>
    <row r="30" spans="10:20" ht="25.5" customHeight="1">
      <c r="T30" s="33">
        <v>28</v>
      </c>
    </row>
    <row r="31" spans="10:20" ht="18.75" customHeight="1">
      <c r="T31" s="33">
        <v>29</v>
      </c>
    </row>
    <row r="32" spans="10:20" ht="18.75" customHeight="1">
      <c r="T32" s="33">
        <v>30</v>
      </c>
    </row>
  </sheetData>
  <mergeCells count="4">
    <mergeCell ref="J28:K28"/>
    <mergeCell ref="J29:K29"/>
    <mergeCell ref="J15:K15"/>
    <mergeCell ref="G9:H12"/>
  </mergeCells>
  <phoneticPr fontId="2" type="noConversion"/>
  <dataValidations count="2">
    <dataValidation type="list" allowBlank="1" showInputMessage="1" showErrorMessage="1" sqref="H6:H8" xr:uid="{E18AF27E-DFCB-47A8-9DB1-0A7777CF76F1}">
      <formula1>$T$3:$T$32</formula1>
    </dataValidation>
    <dataValidation type="list" allowBlank="1" showInputMessage="1" showErrorMessage="1" sqref="G6:G8" xr:uid="{1ADC6B04-26E0-4FFB-8ACE-D34D434D797F}">
      <formula1>$R$3:$R$10</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5" r:id="rId4" name="Option Button 3">
              <controlPr defaultSize="0" autoFill="0" autoLine="0" autoPict="0">
                <anchor>
                  <from>
                    <xdr:col>2</xdr:col>
                    <xdr:colOff>438150</xdr:colOff>
                    <xdr:row>5</xdr:row>
                    <xdr:rowOff>276225</xdr:rowOff>
                  </from>
                  <to>
                    <xdr:col>2</xdr:col>
                    <xdr:colOff>1590675</xdr:colOff>
                    <xdr:row>6</xdr:row>
                    <xdr:rowOff>209550</xdr:rowOff>
                  </to>
                </anchor>
              </controlPr>
            </control>
          </mc:Choice>
        </mc:AlternateContent>
        <mc:AlternateContent xmlns:mc="http://schemas.openxmlformats.org/markup-compatibility/2006">
          <mc:Choice Requires="x14">
            <control shapeId="3076" r:id="rId5" name="Option Button 4">
              <controlPr defaultSize="0" autoFill="0" autoLine="0" autoPict="0">
                <anchor>
                  <from>
                    <xdr:col>2</xdr:col>
                    <xdr:colOff>438150</xdr:colOff>
                    <xdr:row>7</xdr:row>
                    <xdr:rowOff>114300</xdr:rowOff>
                  </from>
                  <to>
                    <xdr:col>2</xdr:col>
                    <xdr:colOff>1790700</xdr:colOff>
                    <xdr:row>8</xdr:row>
                    <xdr:rowOff>38100</xdr:rowOff>
                  </to>
                </anchor>
              </controlPr>
            </control>
          </mc:Choice>
        </mc:AlternateContent>
        <mc:AlternateContent xmlns:mc="http://schemas.openxmlformats.org/markup-compatibility/2006">
          <mc:Choice Requires="x14">
            <control shapeId="3077" r:id="rId6" name="Option Button 5">
              <controlPr defaultSize="0" autoFill="0" autoLine="0" autoPict="0">
                <anchor>
                  <from>
                    <xdr:col>2</xdr:col>
                    <xdr:colOff>438150</xdr:colOff>
                    <xdr:row>8</xdr:row>
                    <xdr:rowOff>276225</xdr:rowOff>
                  </from>
                  <to>
                    <xdr:col>2</xdr:col>
                    <xdr:colOff>1866900</xdr:colOff>
                    <xdr:row>9</xdr:row>
                    <xdr:rowOff>171450</xdr:rowOff>
                  </to>
                </anchor>
              </controlPr>
            </control>
          </mc:Choice>
        </mc:AlternateContent>
        <mc:AlternateContent xmlns:mc="http://schemas.openxmlformats.org/markup-compatibility/2006">
          <mc:Choice Requires="x14">
            <control shapeId="3080" r:id="rId7" name="Option Button 8">
              <controlPr defaultSize="0" autoFill="0" autoLine="0" autoPict="0">
                <anchor>
                  <from>
                    <xdr:col>4</xdr:col>
                    <xdr:colOff>447675</xdr:colOff>
                    <xdr:row>5</xdr:row>
                    <xdr:rowOff>247650</xdr:rowOff>
                  </from>
                  <to>
                    <xdr:col>4</xdr:col>
                    <xdr:colOff>1609725</xdr:colOff>
                    <xdr:row>6</xdr:row>
                    <xdr:rowOff>161925</xdr:rowOff>
                  </to>
                </anchor>
              </controlPr>
            </control>
          </mc:Choice>
        </mc:AlternateContent>
        <mc:AlternateContent xmlns:mc="http://schemas.openxmlformats.org/markup-compatibility/2006">
          <mc:Choice Requires="x14">
            <control shapeId="3081" r:id="rId8" name="Option Button 9">
              <controlPr defaultSize="0" autoFill="0" autoLine="0" autoPict="0">
                <anchor>
                  <from>
                    <xdr:col>4</xdr:col>
                    <xdr:colOff>447675</xdr:colOff>
                    <xdr:row>8</xdr:row>
                    <xdr:rowOff>38100</xdr:rowOff>
                  </from>
                  <to>
                    <xdr:col>4</xdr:col>
                    <xdr:colOff>1800225</xdr:colOff>
                    <xdr:row>8</xdr:row>
                    <xdr:rowOff>295275</xdr:rowOff>
                  </to>
                </anchor>
              </controlPr>
            </control>
          </mc:Choice>
        </mc:AlternateContent>
        <mc:AlternateContent xmlns:mc="http://schemas.openxmlformats.org/markup-compatibility/2006">
          <mc:Choice Requires="x14">
            <control shapeId="3082" r:id="rId9" name="Option Button 10">
              <controlPr defaultSize="0" autoFill="0" autoLine="0" autoPict="0">
                <anchor>
                  <from>
                    <xdr:col>4</xdr:col>
                    <xdr:colOff>447675</xdr:colOff>
                    <xdr:row>9</xdr:row>
                    <xdr:rowOff>123825</xdr:rowOff>
                  </from>
                  <to>
                    <xdr:col>4</xdr:col>
                    <xdr:colOff>1895475</xdr:colOff>
                    <xdr:row>10</xdr:row>
                    <xdr:rowOff>0</xdr:rowOff>
                  </to>
                </anchor>
              </controlPr>
            </control>
          </mc:Choice>
        </mc:AlternateContent>
        <mc:AlternateContent xmlns:mc="http://schemas.openxmlformats.org/markup-compatibility/2006">
          <mc:Choice Requires="x14">
            <control shapeId="3084" r:id="rId10" name="Option Button 12">
              <controlPr defaultSize="0" autoFill="0" autoLine="0" autoPict="0">
                <anchor>
                  <from>
                    <xdr:col>4</xdr:col>
                    <xdr:colOff>447675</xdr:colOff>
                    <xdr:row>10</xdr:row>
                    <xdr:rowOff>152400</xdr:rowOff>
                  </from>
                  <to>
                    <xdr:col>4</xdr:col>
                    <xdr:colOff>1371600</xdr:colOff>
                    <xdr:row>11</xdr:row>
                    <xdr:rowOff>66675</xdr:rowOff>
                  </to>
                </anchor>
              </controlPr>
            </control>
          </mc:Choice>
        </mc:AlternateContent>
        <mc:AlternateContent xmlns:mc="http://schemas.openxmlformats.org/markup-compatibility/2006">
          <mc:Choice Requires="x14">
            <control shapeId="3094" r:id="rId11" name="Option Button 22">
              <controlPr defaultSize="0" autoFill="0" autoLine="0" autoPict="0">
                <anchor>
                  <from>
                    <xdr:col>4</xdr:col>
                    <xdr:colOff>447675</xdr:colOff>
                    <xdr:row>6</xdr:row>
                    <xdr:rowOff>314325</xdr:rowOff>
                  </from>
                  <to>
                    <xdr:col>4</xdr:col>
                    <xdr:colOff>1885950</xdr:colOff>
                    <xdr:row>7</xdr:row>
                    <xdr:rowOff>209550</xdr:rowOff>
                  </to>
                </anchor>
              </controlPr>
            </control>
          </mc:Choice>
        </mc:AlternateContent>
        <mc:AlternateContent xmlns:mc="http://schemas.openxmlformats.org/markup-compatibility/2006">
          <mc:Choice Requires="x14">
            <control shapeId="3107" r:id="rId12" name="Group Box 35">
              <controlPr defaultSize="0" autoFill="0" autoPict="0">
                <anchor>
                  <from>
                    <xdr:col>2</xdr:col>
                    <xdr:colOff>0</xdr:colOff>
                    <xdr:row>5</xdr:row>
                    <xdr:rowOff>66675</xdr:rowOff>
                  </from>
                  <to>
                    <xdr:col>3</xdr:col>
                    <xdr:colOff>9525</xdr:colOff>
                    <xdr:row>11</xdr:row>
                    <xdr:rowOff>276225</xdr:rowOff>
                  </to>
                </anchor>
              </controlPr>
            </control>
          </mc:Choice>
        </mc:AlternateContent>
        <mc:AlternateContent xmlns:mc="http://schemas.openxmlformats.org/markup-compatibility/2006">
          <mc:Choice Requires="x14">
            <control shapeId="3111" r:id="rId13" name="Group Box 39">
              <controlPr defaultSize="0" autoFill="0" autoPict="0">
                <anchor>
                  <from>
                    <xdr:col>3</xdr:col>
                    <xdr:colOff>104775</xdr:colOff>
                    <xdr:row>5</xdr:row>
                    <xdr:rowOff>66675</xdr:rowOff>
                  </from>
                  <to>
                    <xdr:col>5</xdr:col>
                    <xdr:colOff>0</xdr:colOff>
                    <xdr:row>11</xdr:row>
                    <xdr:rowOff>285750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214AC-D538-43AC-9E2A-6DCC51FF2886}">
  <sheetPr codeName="Sheet6"/>
  <dimension ref="B2:F32"/>
  <sheetViews>
    <sheetView tabSelected="1" zoomScale="90" zoomScaleNormal="90" workbookViewId="0">
      <selection activeCell="J14" sqref="J14"/>
    </sheetView>
  </sheetViews>
  <sheetFormatPr defaultRowHeight="16.5"/>
  <cols>
    <col min="1" max="1" width="6.125" style="1" customWidth="1"/>
    <col min="2" max="6" width="24.5" style="1" customWidth="1"/>
    <col min="7" max="16384" width="9" style="1"/>
  </cols>
  <sheetData>
    <row r="2" spans="2:6" ht="26.25">
      <c r="B2" s="114" t="s">
        <v>119</v>
      </c>
    </row>
    <row r="5" spans="2:6" ht="20.25">
      <c r="B5" s="40" t="s">
        <v>42</v>
      </c>
    </row>
    <row r="6" spans="2:6">
      <c r="B6" s="35" t="s">
        <v>35</v>
      </c>
      <c r="C6" s="35" t="s">
        <v>104</v>
      </c>
      <c r="D6" s="35" t="s">
        <v>17</v>
      </c>
      <c r="E6" s="35" t="s">
        <v>18</v>
      </c>
      <c r="F6" s="35" t="s">
        <v>34</v>
      </c>
    </row>
    <row r="7" spans="2:6" ht="33">
      <c r="B7" s="36" t="s">
        <v>36</v>
      </c>
      <c r="C7" s="38" t="s">
        <v>44</v>
      </c>
      <c r="D7" s="38" t="s">
        <v>45</v>
      </c>
      <c r="E7" s="38" t="s">
        <v>46</v>
      </c>
      <c r="F7" s="39" t="s">
        <v>59</v>
      </c>
    </row>
    <row r="8" spans="2:6">
      <c r="B8" s="36" t="s">
        <v>33</v>
      </c>
      <c r="C8" s="37" t="s">
        <v>32</v>
      </c>
      <c r="D8" s="36" t="s">
        <v>50</v>
      </c>
      <c r="E8" s="36" t="s">
        <v>51</v>
      </c>
      <c r="F8" s="36" t="s">
        <v>3</v>
      </c>
    </row>
    <row r="9" spans="2:6">
      <c r="B9" s="36" t="s">
        <v>30</v>
      </c>
      <c r="C9" s="36" t="s">
        <v>58</v>
      </c>
      <c r="D9" s="36" t="s">
        <v>56</v>
      </c>
      <c r="E9" s="36" t="s">
        <v>57</v>
      </c>
      <c r="F9" s="36" t="s">
        <v>58</v>
      </c>
    </row>
    <row r="10" spans="2:6">
      <c r="B10" s="36" t="s">
        <v>31</v>
      </c>
      <c r="C10" s="36" t="s">
        <v>52</v>
      </c>
      <c r="D10" s="36" t="s">
        <v>53</v>
      </c>
      <c r="E10" s="36" t="s">
        <v>54</v>
      </c>
      <c r="F10" s="37" t="s">
        <v>55</v>
      </c>
    </row>
    <row r="12" spans="2:6" ht="20.25">
      <c r="B12" s="40" t="s">
        <v>41</v>
      </c>
    </row>
    <row r="13" spans="2:6">
      <c r="B13" s="35" t="s">
        <v>35</v>
      </c>
      <c r="C13" s="35" t="s">
        <v>104</v>
      </c>
      <c r="D13" s="35" t="s">
        <v>17</v>
      </c>
      <c r="E13" s="35" t="s">
        <v>18</v>
      </c>
      <c r="F13" s="35" t="s">
        <v>34</v>
      </c>
    </row>
    <row r="14" spans="2:6" ht="33">
      <c r="B14" s="36" t="s">
        <v>36</v>
      </c>
      <c r="C14" s="38" t="s">
        <v>47</v>
      </c>
      <c r="D14" s="38" t="s">
        <v>48</v>
      </c>
      <c r="E14" s="38" t="s">
        <v>49</v>
      </c>
      <c r="F14" s="39" t="s">
        <v>60</v>
      </c>
    </row>
    <row r="15" spans="2:6">
      <c r="B15" s="36" t="s">
        <v>33</v>
      </c>
      <c r="C15" s="37" t="s">
        <v>32</v>
      </c>
      <c r="D15" s="36" t="s">
        <v>50</v>
      </c>
      <c r="E15" s="36" t="s">
        <v>51</v>
      </c>
      <c r="F15" s="36" t="s">
        <v>3</v>
      </c>
    </row>
    <row r="16" spans="2:6">
      <c r="B16" s="36" t="s">
        <v>30</v>
      </c>
      <c r="C16" s="36" t="s">
        <v>58</v>
      </c>
      <c r="D16" s="36" t="s">
        <v>56</v>
      </c>
      <c r="E16" s="36" t="s">
        <v>57</v>
      </c>
      <c r="F16" s="36" t="s">
        <v>58</v>
      </c>
    </row>
    <row r="17" spans="2:6">
      <c r="B17" s="36" t="s">
        <v>31</v>
      </c>
      <c r="C17" s="36" t="s">
        <v>52</v>
      </c>
      <c r="D17" s="36" t="s">
        <v>53</v>
      </c>
      <c r="E17" s="36" t="s">
        <v>54</v>
      </c>
      <c r="F17" s="37" t="s">
        <v>55</v>
      </c>
    </row>
    <row r="19" spans="2:6" ht="20.25">
      <c r="B19" s="40" t="s">
        <v>43</v>
      </c>
    </row>
    <row r="20" spans="2:6">
      <c r="B20" s="35" t="s">
        <v>35</v>
      </c>
      <c r="C20" s="35" t="s">
        <v>104</v>
      </c>
      <c r="D20" s="35" t="s">
        <v>17</v>
      </c>
      <c r="E20" s="35" t="s">
        <v>18</v>
      </c>
      <c r="F20" s="35" t="s">
        <v>34</v>
      </c>
    </row>
    <row r="21" spans="2:6" ht="33">
      <c r="B21" s="36" t="s">
        <v>36</v>
      </c>
      <c r="C21" s="38" t="s">
        <v>40</v>
      </c>
      <c r="D21" s="38" t="s">
        <v>39</v>
      </c>
      <c r="E21" s="38" t="s">
        <v>38</v>
      </c>
      <c r="F21" s="39" t="s">
        <v>37</v>
      </c>
    </row>
    <row r="22" spans="2:6">
      <c r="B22" s="36" t="s">
        <v>33</v>
      </c>
      <c r="C22" s="37" t="s">
        <v>32</v>
      </c>
      <c r="D22" s="36" t="s">
        <v>50</v>
      </c>
      <c r="E22" s="36" t="s">
        <v>51</v>
      </c>
      <c r="F22" s="36" t="s">
        <v>3</v>
      </c>
    </row>
    <row r="23" spans="2:6">
      <c r="B23" s="36" t="s">
        <v>30</v>
      </c>
      <c r="C23" s="36" t="s">
        <v>58</v>
      </c>
      <c r="D23" s="36" t="s">
        <v>56</v>
      </c>
      <c r="E23" s="36" t="s">
        <v>57</v>
      </c>
      <c r="F23" s="36" t="s">
        <v>58</v>
      </c>
    </row>
    <row r="24" spans="2:6">
      <c r="B24" s="36" t="s">
        <v>31</v>
      </c>
      <c r="C24" s="36" t="s">
        <v>52</v>
      </c>
      <c r="D24" s="36" t="s">
        <v>53</v>
      </c>
      <c r="E24" s="36" t="s">
        <v>54</v>
      </c>
      <c r="F24" s="37" t="s">
        <v>55</v>
      </c>
    </row>
    <row r="26" spans="2:6">
      <c r="B26" s="1" t="s">
        <v>61</v>
      </c>
    </row>
    <row r="27" spans="2:6">
      <c r="B27" s="1" t="s">
        <v>64</v>
      </c>
    </row>
    <row r="28" spans="2:6">
      <c r="B28" s="1" t="s">
        <v>65</v>
      </c>
    </row>
    <row r="31" spans="2:6">
      <c r="B31" s="1" t="s">
        <v>62</v>
      </c>
    </row>
    <row r="32" spans="2:6">
      <c r="B32" s="1" t="s">
        <v>63</v>
      </c>
    </row>
  </sheetData>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33859-B5D4-45C6-9639-096F5726B12E}">
  <sheetPr codeName="Sheet7"/>
  <dimension ref="B2:E29"/>
  <sheetViews>
    <sheetView showGridLines="0" zoomScale="90" zoomScaleNormal="90" workbookViewId="0">
      <selection activeCell="I11" sqref="I11"/>
    </sheetView>
  </sheetViews>
  <sheetFormatPr defaultRowHeight="18.75" customHeight="1"/>
  <cols>
    <col min="1" max="1" width="6.125" style="1" customWidth="1"/>
    <col min="2" max="5" width="17" style="1" customWidth="1"/>
    <col min="6" max="16384" width="9" style="1"/>
  </cols>
  <sheetData>
    <row r="2" spans="2:5" ht="18.75" customHeight="1">
      <c r="B2" s="114" t="s">
        <v>119</v>
      </c>
    </row>
    <row r="3" spans="2:5" ht="18.75" customHeight="1">
      <c r="B3" s="114"/>
    </row>
    <row r="4" spans="2:5" ht="18.75" customHeight="1">
      <c r="B4" s="1" t="s">
        <v>103</v>
      </c>
    </row>
    <row r="5" spans="2:5" ht="18.75" customHeight="1">
      <c r="E5" s="1" t="s">
        <v>110</v>
      </c>
    </row>
    <row r="6" spans="2:5" ht="18.75" customHeight="1">
      <c r="B6" s="2"/>
      <c r="C6" s="4" t="s">
        <v>107</v>
      </c>
      <c r="D6" s="4" t="s">
        <v>108</v>
      </c>
      <c r="E6" s="4" t="s">
        <v>109</v>
      </c>
    </row>
    <row r="7" spans="2:5" ht="18.75" customHeight="1">
      <c r="B7" s="3" t="s">
        <v>104</v>
      </c>
      <c r="C7" s="3">
        <v>13500000</v>
      </c>
      <c r="D7" s="3">
        <v>10000000</v>
      </c>
      <c r="E7" s="3">
        <v>9000000</v>
      </c>
    </row>
    <row r="8" spans="2:5" ht="18.75" customHeight="1">
      <c r="B8" s="3" t="s">
        <v>105</v>
      </c>
      <c r="C8" s="3">
        <v>16000000</v>
      </c>
      <c r="D8" s="3">
        <v>11500000</v>
      </c>
      <c r="E8" s="3">
        <v>11000000</v>
      </c>
    </row>
    <row r="9" spans="2:5" ht="18.75" customHeight="1">
      <c r="B9" s="3" t="s">
        <v>106</v>
      </c>
      <c r="C9" s="3">
        <v>19500000</v>
      </c>
      <c r="D9" s="3">
        <v>13500000</v>
      </c>
      <c r="E9" s="3">
        <v>12000000</v>
      </c>
    </row>
    <row r="11" spans="2:5" ht="18.75" customHeight="1">
      <c r="B11" s="1" t="s">
        <v>112</v>
      </c>
    </row>
    <row r="12" spans="2:5" ht="18.75" customHeight="1">
      <c r="E12" s="1" t="s">
        <v>110</v>
      </c>
    </row>
    <row r="13" spans="2:5" ht="18.75" customHeight="1">
      <c r="B13" s="2"/>
      <c r="C13" s="4" t="s">
        <v>107</v>
      </c>
      <c r="D13" s="4" t="s">
        <v>108</v>
      </c>
      <c r="E13" s="4" t="s">
        <v>109</v>
      </c>
    </row>
    <row r="14" spans="2:5" ht="18.75" customHeight="1">
      <c r="B14" s="3" t="s">
        <v>104</v>
      </c>
      <c r="C14" s="3">
        <v>2000000</v>
      </c>
      <c r="D14" s="3">
        <v>1400000</v>
      </c>
      <c r="E14" s="3">
        <v>1100000</v>
      </c>
    </row>
    <row r="15" spans="2:5" ht="18.75" customHeight="1">
      <c r="B15" s="3" t="s">
        <v>29</v>
      </c>
      <c r="C15" s="3">
        <v>2140000</v>
      </c>
      <c r="D15" s="3">
        <v>1500000</v>
      </c>
      <c r="E15" s="3">
        <v>1180000</v>
      </c>
    </row>
    <row r="16" spans="2:5" ht="18.75" customHeight="1">
      <c r="B16" s="3" t="s">
        <v>17</v>
      </c>
      <c r="C16" s="3">
        <v>2220000</v>
      </c>
      <c r="D16" s="3">
        <v>1550000</v>
      </c>
      <c r="E16" s="3">
        <v>1220000</v>
      </c>
    </row>
    <row r="17" spans="2:5" ht="18.75" customHeight="1">
      <c r="B17" s="3" t="s">
        <v>18</v>
      </c>
      <c r="C17" s="3">
        <v>2540000</v>
      </c>
      <c r="D17" s="3">
        <v>1780000</v>
      </c>
      <c r="E17" s="3">
        <v>1400000</v>
      </c>
    </row>
    <row r="19" spans="2:5" ht="18.75" customHeight="1">
      <c r="B19" s="1" t="s">
        <v>111</v>
      </c>
    </row>
    <row r="20" spans="2:5" ht="18.75" customHeight="1">
      <c r="E20" s="1" t="s">
        <v>110</v>
      </c>
    </row>
    <row r="21" spans="2:5" ht="18.75" customHeight="1">
      <c r="B21" s="2"/>
      <c r="C21" s="4" t="s">
        <v>107</v>
      </c>
      <c r="D21" s="4" t="s">
        <v>108</v>
      </c>
      <c r="E21" s="4" t="s">
        <v>109</v>
      </c>
    </row>
    <row r="22" spans="2:5" ht="18.75" customHeight="1">
      <c r="B22" s="3" t="s">
        <v>3</v>
      </c>
      <c r="C22" s="3">
        <v>100000</v>
      </c>
      <c r="D22" s="3">
        <v>50000</v>
      </c>
      <c r="E22" s="3">
        <v>25000</v>
      </c>
    </row>
    <row r="24" spans="2:5" ht="18.75" customHeight="1">
      <c r="B24" s="1" t="s">
        <v>118</v>
      </c>
    </row>
    <row r="25" spans="2:5" ht="18.75" customHeight="1">
      <c r="E25" s="1" t="s">
        <v>110</v>
      </c>
    </row>
    <row r="26" spans="2:5" ht="18.75" customHeight="1">
      <c r="B26" s="2"/>
      <c r="C26" s="4" t="s">
        <v>1</v>
      </c>
      <c r="D26" s="4" t="s">
        <v>2</v>
      </c>
      <c r="E26" s="4" t="s">
        <v>0</v>
      </c>
    </row>
    <row r="27" spans="2:5" ht="18.75" customHeight="1">
      <c r="B27" s="3" t="s">
        <v>3</v>
      </c>
      <c r="C27" s="3">
        <v>50000</v>
      </c>
      <c r="D27" s="3">
        <v>20000</v>
      </c>
      <c r="E27" s="3">
        <v>11000</v>
      </c>
    </row>
    <row r="28" spans="2:5" ht="18.75" customHeight="1">
      <c r="B28" s="191" t="s">
        <v>116</v>
      </c>
      <c r="C28" s="192"/>
      <c r="D28" s="192"/>
      <c r="E28" s="193"/>
    </row>
    <row r="29" spans="2:5" ht="18.75" customHeight="1">
      <c r="B29" s="194" t="s">
        <v>117</v>
      </c>
      <c r="C29" s="195"/>
      <c r="D29" s="195"/>
      <c r="E29" s="196"/>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444F6-D6F9-4923-9661-3A68F1C0A407}">
  <sheetPr codeName="Sheet5"/>
  <dimension ref="B2:E29"/>
  <sheetViews>
    <sheetView showGridLines="0" zoomScale="90" zoomScaleNormal="90" workbookViewId="0">
      <selection activeCell="J32" sqref="J32"/>
    </sheetView>
  </sheetViews>
  <sheetFormatPr defaultRowHeight="18.75" customHeight="1"/>
  <cols>
    <col min="1" max="1" width="6.125" style="1" customWidth="1"/>
    <col min="2" max="5" width="17" style="1" customWidth="1"/>
    <col min="6" max="16384" width="9" style="1"/>
  </cols>
  <sheetData>
    <row r="2" spans="2:5" ht="18.75" customHeight="1">
      <c r="B2" s="114" t="s">
        <v>120</v>
      </c>
    </row>
    <row r="3" spans="2:5" ht="18.75" customHeight="1">
      <c r="B3" s="114"/>
    </row>
    <row r="4" spans="2:5" ht="18.75" customHeight="1">
      <c r="B4" s="1" t="s">
        <v>103</v>
      </c>
    </row>
    <row r="5" spans="2:5" ht="18.75" customHeight="1">
      <c r="E5" s="1" t="s">
        <v>110</v>
      </c>
    </row>
    <row r="6" spans="2:5" ht="18.75" customHeight="1">
      <c r="B6" s="2"/>
      <c r="C6" s="4" t="s">
        <v>107</v>
      </c>
      <c r="D6" s="4" t="s">
        <v>108</v>
      </c>
      <c r="E6" s="4" t="s">
        <v>109</v>
      </c>
    </row>
    <row r="7" spans="2:5" ht="18.75" customHeight="1">
      <c r="B7" s="3" t="s">
        <v>104</v>
      </c>
      <c r="C7" s="3">
        <v>16200000</v>
      </c>
      <c r="D7" s="3">
        <v>12000000</v>
      </c>
      <c r="E7" s="3">
        <v>10800000</v>
      </c>
    </row>
    <row r="8" spans="2:5" ht="18.75" customHeight="1">
      <c r="B8" s="3" t="s">
        <v>105</v>
      </c>
      <c r="C8" s="3">
        <v>19200000</v>
      </c>
      <c r="D8" s="3">
        <v>13800000</v>
      </c>
      <c r="E8" s="3">
        <v>13200000</v>
      </c>
    </row>
    <row r="9" spans="2:5" ht="18.75" customHeight="1">
      <c r="B9" s="3" t="s">
        <v>106</v>
      </c>
      <c r="C9" s="3">
        <v>23400000</v>
      </c>
      <c r="D9" s="3">
        <v>16200000</v>
      </c>
      <c r="E9" s="3">
        <v>14400000</v>
      </c>
    </row>
    <row r="11" spans="2:5" ht="18.75" customHeight="1">
      <c r="B11" s="1" t="s">
        <v>112</v>
      </c>
    </row>
    <row r="12" spans="2:5" ht="18.75" customHeight="1">
      <c r="E12" s="1" t="s">
        <v>110</v>
      </c>
    </row>
    <row r="13" spans="2:5" ht="18.75" customHeight="1">
      <c r="B13" s="2"/>
      <c r="C13" s="4" t="s">
        <v>107</v>
      </c>
      <c r="D13" s="4" t="s">
        <v>108</v>
      </c>
      <c r="E13" s="4" t="s">
        <v>109</v>
      </c>
    </row>
    <row r="14" spans="2:5" ht="18.75" customHeight="1">
      <c r="B14" s="3" t="s">
        <v>104</v>
      </c>
      <c r="C14" s="3">
        <v>2400000</v>
      </c>
      <c r="D14" s="3">
        <v>1680000</v>
      </c>
      <c r="E14" s="3">
        <v>1320000</v>
      </c>
    </row>
    <row r="15" spans="2:5" ht="18.75" customHeight="1">
      <c r="B15" s="3" t="s">
        <v>29</v>
      </c>
      <c r="C15" s="3">
        <v>2560000</v>
      </c>
      <c r="D15" s="3">
        <v>1800000</v>
      </c>
      <c r="E15" s="3">
        <v>1410000</v>
      </c>
    </row>
    <row r="16" spans="2:5" ht="18.75" customHeight="1">
      <c r="B16" s="3" t="s">
        <v>17</v>
      </c>
      <c r="C16" s="3">
        <v>2660000</v>
      </c>
      <c r="D16" s="3">
        <v>1800000</v>
      </c>
      <c r="E16" s="3">
        <v>1460000</v>
      </c>
    </row>
    <row r="17" spans="2:5" ht="18.75" customHeight="1">
      <c r="B17" s="3" t="s">
        <v>18</v>
      </c>
      <c r="C17" s="3">
        <v>3050000</v>
      </c>
      <c r="D17" s="3">
        <v>2130000</v>
      </c>
      <c r="E17" s="3">
        <v>1680000</v>
      </c>
    </row>
    <row r="19" spans="2:5" ht="18.75" customHeight="1">
      <c r="B19" s="1" t="s">
        <v>111</v>
      </c>
    </row>
    <row r="20" spans="2:5" ht="18.75" customHeight="1">
      <c r="E20" s="1" t="s">
        <v>110</v>
      </c>
    </row>
    <row r="21" spans="2:5" ht="18.75" customHeight="1">
      <c r="B21" s="2"/>
      <c r="C21" s="4" t="s">
        <v>107</v>
      </c>
      <c r="D21" s="4" t="s">
        <v>108</v>
      </c>
      <c r="E21" s="4" t="s">
        <v>109</v>
      </c>
    </row>
    <row r="22" spans="2:5" ht="18.75" customHeight="1">
      <c r="B22" s="3" t="s">
        <v>3</v>
      </c>
      <c r="C22" s="3">
        <v>120000</v>
      </c>
      <c r="D22" s="3">
        <v>60000</v>
      </c>
      <c r="E22" s="3">
        <v>30000</v>
      </c>
    </row>
    <row r="24" spans="2:5" ht="18.75" customHeight="1">
      <c r="B24" s="1" t="s">
        <v>118</v>
      </c>
    </row>
    <row r="25" spans="2:5" ht="18.75" customHeight="1">
      <c r="E25" s="1" t="s">
        <v>110</v>
      </c>
    </row>
    <row r="26" spans="2:5" ht="18.75" customHeight="1">
      <c r="B26" s="2"/>
      <c r="C26" s="4" t="s">
        <v>1</v>
      </c>
      <c r="D26" s="4" t="s">
        <v>2</v>
      </c>
      <c r="E26" s="4" t="s">
        <v>0</v>
      </c>
    </row>
    <row r="27" spans="2:5" ht="18.75" customHeight="1">
      <c r="B27" s="3" t="s">
        <v>3</v>
      </c>
      <c r="C27" s="3">
        <v>60000</v>
      </c>
      <c r="D27" s="3">
        <v>25000</v>
      </c>
      <c r="E27" s="3">
        <v>20000</v>
      </c>
    </row>
    <row r="28" spans="2:5" ht="18.75" customHeight="1">
      <c r="B28" s="191" t="s">
        <v>116</v>
      </c>
      <c r="C28" s="192"/>
      <c r="D28" s="192"/>
      <c r="E28" s="193"/>
    </row>
    <row r="29" spans="2:5" ht="18.75" customHeight="1">
      <c r="B29" s="194" t="s">
        <v>117</v>
      </c>
      <c r="C29" s="195"/>
      <c r="D29" s="195"/>
      <c r="E29" s="196"/>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1</vt:i4>
      </vt:variant>
    </vt:vector>
  </HeadingPairs>
  <TitlesOfParts>
    <vt:vector size="7" baseType="lpstr">
      <vt:lpstr>가격테이블</vt:lpstr>
      <vt:lpstr>견적서</vt:lpstr>
      <vt:lpstr>견적시뮬레이터</vt:lpstr>
      <vt:lpstr>직영및채널_판매가격(대외비)_비교</vt:lpstr>
      <vt:lpstr>직영및채널_판매가격(대외비)</vt:lpstr>
      <vt:lpstr>샌디몰_표준판매가격</vt:lpstr>
      <vt:lpstr>견적서!Print_Area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cp:lastPrinted>2024-11-13T04:33:40Z</cp:lastPrinted>
  <dcterms:created xsi:type="dcterms:W3CDTF">2024-11-11T04:47:04Z</dcterms:created>
  <dcterms:modified xsi:type="dcterms:W3CDTF">2024-11-13T06:22:22Z</dcterms:modified>
</cp:coreProperties>
</file>