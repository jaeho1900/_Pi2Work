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codeName="현재_통합_문서"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13_ncr:1_{D0551796-3641-4E85-8877-D1DC4AE448FE}" xr6:coauthVersionLast="36" xr6:coauthVersionMax="36" xr10:uidLastSave="{00000000-0000-0000-0000-000000000000}"/>
  <bookViews>
    <workbookView xWindow="0" yWindow="0" windowWidth="28800" windowHeight="12180" xr2:uid="{00000000-000D-0000-FFFF-FFFF00000000}"/>
  </bookViews>
  <sheets>
    <sheet name="수요시뮬레이션" sheetId="15" r:id="rId1"/>
    <sheet name="가격시뮬레이션" sheetId="18" r:id="rId2"/>
    <sheet name="참고&gt;&gt;" sheetId="19" r:id="rId3"/>
    <sheet name="가격테이블" sheetId="16" r:id="rId4"/>
    <sheet name="노즐공사갑지" sheetId="10" r:id="rId5"/>
    <sheet name="노즐공사매출" sheetId="4" r:id="rId6"/>
    <sheet name="노즐공사원가" sheetId="12" r:id="rId7"/>
    <sheet name="노즐공사가격테이블" sheetId="20"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s>
  <definedNames>
    <definedName name="_" localSheetId="1">#REF!</definedName>
    <definedName name="_" localSheetId="3">#REF!</definedName>
    <definedName name="_" localSheetId="7">#REF!</definedName>
    <definedName name="_" localSheetId="4">#REF!</definedName>
    <definedName name="_" localSheetId="6">#REF!</definedName>
    <definedName name="_">#REF!</definedName>
    <definedName name="____IRR2" hidden="1">[1]공정!$AH$25:$AH$37</definedName>
    <definedName name="____PL7" hidden="1">{#N/A,#N/A,TRUE,"대 차 대 조 표"}</definedName>
    <definedName name="___IRR2" hidden="1">[1]공정!$AH$25:$AH$37</definedName>
    <definedName name="___PL7" hidden="1">{#N/A,#N/A,TRUE,"대 차 대 조 표"}</definedName>
    <definedName name="___q45" hidden="1">{"'용역비'!$A$4:$C$8"}</definedName>
    <definedName name="__123Graph_A" localSheetId="1" hidden="1">[2]금융!#REF!</definedName>
    <definedName name="__123Graph_A" localSheetId="3" hidden="1">[2]금융!#REF!</definedName>
    <definedName name="__123Graph_A" localSheetId="7" hidden="1">[2]금융!#REF!</definedName>
    <definedName name="__123Graph_A" localSheetId="4" hidden="1">[2]금융!#REF!</definedName>
    <definedName name="__123Graph_A" localSheetId="6" hidden="1">[2]금융!#REF!</definedName>
    <definedName name="__123Graph_A" hidden="1">[2]금융!#REF!</definedName>
    <definedName name="__123Graph_B" localSheetId="1" hidden="1">[3]목표세부명세!#REF!</definedName>
    <definedName name="__123Graph_B" localSheetId="3" hidden="1">[3]목표세부명세!#REF!</definedName>
    <definedName name="__123Graph_B" localSheetId="7" hidden="1">[3]목표세부명세!#REF!</definedName>
    <definedName name="__123Graph_B" localSheetId="6" hidden="1">[3]목표세부명세!#REF!</definedName>
    <definedName name="__123Graph_B" hidden="1">[3]목표세부명세!#REF!</definedName>
    <definedName name="__123Graph_D" localSheetId="1" hidden="1">'[4]0226'!#REF!</definedName>
    <definedName name="__123Graph_D" localSheetId="3" hidden="1">'[4]0226'!#REF!</definedName>
    <definedName name="__123Graph_D" localSheetId="7" hidden="1">'[4]0226'!#REF!</definedName>
    <definedName name="__123Graph_D" localSheetId="4" hidden="1">'[4]0226'!#REF!</definedName>
    <definedName name="__123Graph_D" localSheetId="6" hidden="1">'[4]0226'!#REF!</definedName>
    <definedName name="__123Graph_D" hidden="1">'[4]0226'!#REF!</definedName>
    <definedName name="__123Graph_X" localSheetId="1" hidden="1">[2]금융!#REF!</definedName>
    <definedName name="__123Graph_X" localSheetId="3" hidden="1">[2]금융!#REF!</definedName>
    <definedName name="__123Graph_X" localSheetId="7" hidden="1">[2]금융!#REF!</definedName>
    <definedName name="__123Graph_X" localSheetId="4" hidden="1">[2]금융!#REF!</definedName>
    <definedName name="__123Graph_X" localSheetId="6" hidden="1">[2]금융!#REF!</definedName>
    <definedName name="__123Graph_X" hidden="1">[2]금융!#REF!</definedName>
    <definedName name="__IRR2" hidden="1">[1]공정!$AH$25:$AH$37</definedName>
    <definedName name="__PL7" hidden="1">{#N/A,#N/A,TRUE,"대 차 대 조 표"}</definedName>
    <definedName name="__q45" hidden="1">{"'용역비'!$A$4:$C$8"}</definedName>
    <definedName name="_1" localSheetId="1">'[5]1ST'!#REF!</definedName>
    <definedName name="_1" localSheetId="3">'[5]1ST'!#REF!</definedName>
    <definedName name="_1" localSheetId="7">'[5]1ST'!#REF!</definedName>
    <definedName name="_1" localSheetId="4">'[5]1ST'!#REF!</definedName>
    <definedName name="_1" localSheetId="6">'[5]1ST'!#REF!</definedName>
    <definedName name="_1">'[5]1ST'!#REF!</definedName>
    <definedName name="_15A">[6]금액내역서!$D$3:$D$10</definedName>
    <definedName name="_17q45_" hidden="1">{"'용역비'!$A$4:$C$8"}</definedName>
    <definedName name="_1차_94년">#N/A</definedName>
    <definedName name="_2_123Grap" localSheetId="1" hidden="1">[2]금융!#REF!</definedName>
    <definedName name="_2_123Grap" localSheetId="3" hidden="1">[2]금융!#REF!</definedName>
    <definedName name="_2_123Grap" localSheetId="7" hidden="1">[2]금융!#REF!</definedName>
    <definedName name="_2_123Grap" localSheetId="4" hidden="1">[2]금융!#REF!</definedName>
    <definedName name="_2_123Grap" localSheetId="6" hidden="1">[2]금융!#REF!</definedName>
    <definedName name="_2_123Grap" hidden="1">[2]금융!#REF!</definedName>
    <definedName name="_2q45_" hidden="1">{"'용역비'!$A$4:$C$8"}</definedName>
    <definedName name="_2차결제일">#N/A</definedName>
    <definedName name="_4_0__123Grap" localSheetId="1" hidden="1">[2]금융!#REF!</definedName>
    <definedName name="_4_0__123Grap" localSheetId="3" hidden="1">[2]금융!#REF!</definedName>
    <definedName name="_4_0__123Grap" localSheetId="7" hidden="1">[2]금융!#REF!</definedName>
    <definedName name="_4_0__123Grap" localSheetId="4" hidden="1">[2]금융!#REF!</definedName>
    <definedName name="_4_0__123Grap" localSheetId="6" hidden="1">[2]금융!#REF!</definedName>
    <definedName name="_4_0__123Grap" hidden="1">[2]금융!#REF!</definedName>
    <definedName name="_6q45_" hidden="1">{"'용역비'!$A$4:$C$8"}</definedName>
    <definedName name="_CVC2" localSheetId="1">[7]!StartSeller</definedName>
    <definedName name="_CVC2" localSheetId="3">[7]!StartSeller</definedName>
    <definedName name="_CVC2" localSheetId="7">[7]!StartSeller</definedName>
    <definedName name="_CVC2" localSheetId="4">[7]!StartSeller</definedName>
    <definedName name="_CVC2" localSheetId="6">[7]!StartSeller</definedName>
    <definedName name="_CVC2">[7]!StartSeller</definedName>
    <definedName name="_Fill" localSheetId="1" hidden="1">#REF!</definedName>
    <definedName name="_Fill" localSheetId="3" hidden="1">#REF!</definedName>
    <definedName name="_Fill" localSheetId="7" hidden="1">#REF!</definedName>
    <definedName name="_Fill" localSheetId="4" hidden="1">#REF!</definedName>
    <definedName name="_Fill" localSheetId="6" hidden="1">#REF!</definedName>
    <definedName name="_Fill" hidden="1">#REF!</definedName>
    <definedName name="_xlnm._FilterDatabase" localSheetId="3" hidden="1">가격테이블!$B$4:$AC$54</definedName>
    <definedName name="_xlnm._FilterDatabase" localSheetId="7" hidden="1">노즐공사가격테이블!$B$4:$S$54</definedName>
    <definedName name="_xlnm._FilterDatabase" localSheetId="5" hidden="1">노즐공사매출!$A$3:$L$61</definedName>
    <definedName name="_xlnm._FilterDatabase" localSheetId="6" hidden="1">노즐공사원가!$A$3:$L$61</definedName>
    <definedName name="_IRR2" hidden="1">[1]공정!$AH$25:$AH$37</definedName>
    <definedName name="_jak10" localSheetId="1">[7]!_xlbgnm.jak10</definedName>
    <definedName name="_jak10" localSheetId="3">[7]!_xlbgnm.jak10</definedName>
    <definedName name="_jak10" localSheetId="7">[7]!_xlbgnm.jak10</definedName>
    <definedName name="_jak10" localSheetId="4">[7]!_xlbgnm.jak10</definedName>
    <definedName name="_jak10" localSheetId="6">[7]!_xlbgnm.jak10</definedName>
    <definedName name="_jak10">[7]!_xlbgnm.jak10</definedName>
    <definedName name="_jak11" localSheetId="1">[7]!_xlbgnm.jak11</definedName>
    <definedName name="_jak11" localSheetId="3">[7]!_xlbgnm.jak11</definedName>
    <definedName name="_jak11" localSheetId="7">[7]!_xlbgnm.jak11</definedName>
    <definedName name="_jak11" localSheetId="4">[7]!_xlbgnm.jak11</definedName>
    <definedName name="_jak11" localSheetId="6">[7]!_xlbgnm.jak11</definedName>
    <definedName name="_jak11">[7]!_xlbgnm.jak11</definedName>
    <definedName name="_jak12" localSheetId="1">[7]!_xlbgnm.jak12</definedName>
    <definedName name="_jak12" localSheetId="3">[7]!_xlbgnm.jak12</definedName>
    <definedName name="_jak12" localSheetId="7">[7]!_xlbgnm.jak12</definedName>
    <definedName name="_jak12" localSheetId="4">[7]!_xlbgnm.jak12</definedName>
    <definedName name="_jak12" localSheetId="6">[7]!_xlbgnm.jak12</definedName>
    <definedName name="_jak12">[7]!_xlbgnm.jak12</definedName>
    <definedName name="_jak13" localSheetId="1">[7]!_xlbgnm.jak13</definedName>
    <definedName name="_jak13" localSheetId="3">[7]!_xlbgnm.jak13</definedName>
    <definedName name="_jak13" localSheetId="7">[7]!_xlbgnm.jak13</definedName>
    <definedName name="_jak13" localSheetId="4">[7]!_xlbgnm.jak13</definedName>
    <definedName name="_jak13" localSheetId="6">[7]!_xlbgnm.jak13</definedName>
    <definedName name="_jak13">[7]!_xlbgnm.jak13</definedName>
    <definedName name="_jak2" localSheetId="1">[7]!_xlbgnm.jak2</definedName>
    <definedName name="_jak2" localSheetId="3">[7]!_xlbgnm.jak2</definedName>
    <definedName name="_jak2" localSheetId="7">[7]!_xlbgnm.jak2</definedName>
    <definedName name="_jak2" localSheetId="4">[7]!_xlbgnm.jak2</definedName>
    <definedName name="_jak2" localSheetId="6">[7]!_xlbgnm.jak2</definedName>
    <definedName name="_jak2">[7]!_xlbgnm.jak2</definedName>
    <definedName name="_jak3" localSheetId="1">[7]!_xlbgnm.jak3</definedName>
    <definedName name="_jak3" localSheetId="3">[7]!_xlbgnm.jak3</definedName>
    <definedName name="_jak3" localSheetId="7">[7]!_xlbgnm.jak3</definedName>
    <definedName name="_jak3" localSheetId="4">[7]!_xlbgnm.jak3</definedName>
    <definedName name="_jak3" localSheetId="6">[7]!_xlbgnm.jak3</definedName>
    <definedName name="_jak3">[7]!_xlbgnm.jak3</definedName>
    <definedName name="_jak4" localSheetId="1">[7]!_xlbgnm.jak4</definedName>
    <definedName name="_jak4" localSheetId="3">[7]!_xlbgnm.jak4</definedName>
    <definedName name="_jak4" localSheetId="7">[7]!_xlbgnm.jak4</definedName>
    <definedName name="_jak4" localSheetId="4">[7]!_xlbgnm.jak4</definedName>
    <definedName name="_jak4" localSheetId="6">[7]!_xlbgnm.jak4</definedName>
    <definedName name="_jak4">[7]!_xlbgnm.jak4</definedName>
    <definedName name="_jak5" localSheetId="1">[7]!_xlbgnm.jak5</definedName>
    <definedName name="_jak5" localSheetId="3">[7]!_xlbgnm.jak5</definedName>
    <definedName name="_jak5" localSheetId="7">[7]!_xlbgnm.jak5</definedName>
    <definedName name="_jak5" localSheetId="4">[7]!_xlbgnm.jak5</definedName>
    <definedName name="_jak5" localSheetId="6">[7]!_xlbgnm.jak5</definedName>
    <definedName name="_jak5">[7]!_xlbgnm.jak5</definedName>
    <definedName name="_jak6" localSheetId="1">[7]!_xlbgnm.jak6</definedName>
    <definedName name="_jak6" localSheetId="3">[7]!_xlbgnm.jak6</definedName>
    <definedName name="_jak6" localSheetId="7">[7]!_xlbgnm.jak6</definedName>
    <definedName name="_jak6" localSheetId="4">[7]!_xlbgnm.jak6</definedName>
    <definedName name="_jak6" localSheetId="6">[7]!_xlbgnm.jak6</definedName>
    <definedName name="_jak6">[7]!_xlbgnm.jak6</definedName>
    <definedName name="_jak7" localSheetId="1">[7]!_xlbgnm.jak7</definedName>
    <definedName name="_jak7" localSheetId="3">[7]!_xlbgnm.jak7</definedName>
    <definedName name="_jak7" localSheetId="7">[7]!_xlbgnm.jak7</definedName>
    <definedName name="_jak7" localSheetId="4">[7]!_xlbgnm.jak7</definedName>
    <definedName name="_jak7" localSheetId="6">[7]!_xlbgnm.jak7</definedName>
    <definedName name="_jak7">[7]!_xlbgnm.jak7</definedName>
    <definedName name="_jak9" localSheetId="1">[7]!_xlbgnm.jak9</definedName>
    <definedName name="_jak9" localSheetId="3">[7]!_xlbgnm.jak9</definedName>
    <definedName name="_jak9" localSheetId="7">[7]!_xlbgnm.jak9</definedName>
    <definedName name="_jak9" localSheetId="4">[7]!_xlbgnm.jak9</definedName>
    <definedName name="_jak9" localSheetId="6">[7]!_xlbgnm.jak9</definedName>
    <definedName name="_jak9">[7]!_xlbgnm.jak9</definedName>
    <definedName name="_Key1" localSheetId="1" hidden="1">#REF!</definedName>
    <definedName name="_Key1" localSheetId="3" hidden="1">#REF!</definedName>
    <definedName name="_Key1" localSheetId="7" hidden="1">#REF!</definedName>
    <definedName name="_Key1" localSheetId="4" hidden="1">#REF!</definedName>
    <definedName name="_Key1" localSheetId="6" hidden="1">#REF!</definedName>
    <definedName name="_Key1" hidden="1">#REF!</definedName>
    <definedName name="_Key2" localSheetId="1" hidden="1">#REF!</definedName>
    <definedName name="_Key2" localSheetId="3" hidden="1">#REF!</definedName>
    <definedName name="_Key2" localSheetId="7" hidden="1">#REF!</definedName>
    <definedName name="_Key2" localSheetId="4" hidden="1">#REF!</definedName>
    <definedName name="_Key2" localSheetId="6" hidden="1">#REF!</definedName>
    <definedName name="_Key2" hidden="1">#REF!</definedName>
    <definedName name="_MatInverse_In" localSheetId="1" hidden="1">#REF!</definedName>
    <definedName name="_MatInverse_In" localSheetId="3" hidden="1">#REF!</definedName>
    <definedName name="_MatInverse_In" localSheetId="7" hidden="1">#REF!</definedName>
    <definedName name="_MatInverse_In" localSheetId="4" hidden="1">#REF!</definedName>
    <definedName name="_MatInverse_In" localSheetId="6" hidden="1">#REF!</definedName>
    <definedName name="_MatInverse_In" hidden="1">#REF!</definedName>
    <definedName name="_MatMult_A" localSheetId="1" hidden="1">#REF!</definedName>
    <definedName name="_MatMult_A" localSheetId="3" hidden="1">#REF!</definedName>
    <definedName name="_MatMult_A" localSheetId="7" hidden="1">#REF!</definedName>
    <definedName name="_MatMult_A" localSheetId="4" hidden="1">#REF!</definedName>
    <definedName name="_MatMult_A" localSheetId="6" hidden="1">#REF!</definedName>
    <definedName name="_MatMult_A" hidden="1">#REF!</definedName>
    <definedName name="_MatMult_AxB" localSheetId="1" hidden="1">#REF!</definedName>
    <definedName name="_MatMult_AxB" localSheetId="3" hidden="1">#REF!</definedName>
    <definedName name="_MatMult_AxB" localSheetId="7" hidden="1">#REF!</definedName>
    <definedName name="_MatMult_AxB" localSheetId="4" hidden="1">#REF!</definedName>
    <definedName name="_MatMult_AxB" localSheetId="6" hidden="1">#REF!</definedName>
    <definedName name="_MatMult_AxB" hidden="1">#REF!</definedName>
    <definedName name="_MatMult_B" localSheetId="1" hidden="1">#REF!</definedName>
    <definedName name="_MatMult_B" localSheetId="3" hidden="1">#REF!</definedName>
    <definedName name="_MatMult_B" localSheetId="7" hidden="1">#REF!</definedName>
    <definedName name="_MatMult_B" localSheetId="4" hidden="1">#REF!</definedName>
    <definedName name="_MatMult_B" localSheetId="6" hidden="1">#REF!</definedName>
    <definedName name="_MatMult_B" hidden="1">#REF!</definedName>
    <definedName name="_Order1" hidden="1">0</definedName>
    <definedName name="_Order2" hidden="1">1</definedName>
    <definedName name="_PL7" hidden="1">{#N/A,#N/A,TRUE,"대 차 대 조 표"}</definedName>
    <definedName name="_Regression_Int" hidden="1">1</definedName>
    <definedName name="_RPT1" localSheetId="1">#REF!</definedName>
    <definedName name="_RPT1" localSheetId="3">#REF!</definedName>
    <definedName name="_RPT1" localSheetId="7">#REF!</definedName>
    <definedName name="_RPT1" localSheetId="4">#REF!</definedName>
    <definedName name="_RPT1" localSheetId="6">#REF!</definedName>
    <definedName name="_RPT1">#REF!</definedName>
    <definedName name="_RPT2" localSheetId="1">#REF!</definedName>
    <definedName name="_RPT2" localSheetId="3">#REF!</definedName>
    <definedName name="_RPT2" localSheetId="7">#REF!</definedName>
    <definedName name="_RPT2" localSheetId="4">#REF!</definedName>
    <definedName name="_RPT2" localSheetId="6">#REF!</definedName>
    <definedName name="_RPT2">#REF!</definedName>
    <definedName name="_Sort" localSheetId="1" hidden="1">#REF!</definedName>
    <definedName name="_Sort" localSheetId="3" hidden="1">#REF!</definedName>
    <definedName name="_Sort" localSheetId="7" hidden="1">#REF!</definedName>
    <definedName name="_Sort" localSheetId="4" hidden="1">#REF!</definedName>
    <definedName name="_Sort" localSheetId="6" hidden="1">#REF!</definedName>
    <definedName name="_Sort" hidden="1">#REF!</definedName>
    <definedName name="\\O" localSheetId="1">[8]기기리스트!#REF!</definedName>
    <definedName name="\\O" localSheetId="3">[8]기기리스트!#REF!</definedName>
    <definedName name="\\O" localSheetId="7">[8]기기리스트!#REF!</definedName>
    <definedName name="\\O" localSheetId="4">[8]기기리스트!#REF!</definedName>
    <definedName name="\\O" localSheetId="6">[8]기기리스트!#REF!</definedName>
    <definedName name="\\O">[8]기기리스트!#REF!</definedName>
    <definedName name="\a" localSheetId="1">[9]약품공급2!#REF!</definedName>
    <definedName name="\a" localSheetId="3">[9]약품공급2!#REF!</definedName>
    <definedName name="\a" localSheetId="7">[9]약품공급2!#REF!</definedName>
    <definedName name="\a" localSheetId="4">[9]약품공급2!#REF!</definedName>
    <definedName name="\a" localSheetId="6">[9]약품공급2!#REF!</definedName>
    <definedName name="\a">[9]약품공급2!#REF!</definedName>
    <definedName name="\b" localSheetId="1">[9]약품공급2!#REF!</definedName>
    <definedName name="\b" localSheetId="3">[9]약품공급2!#REF!</definedName>
    <definedName name="\b" localSheetId="7">[9]약품공급2!#REF!</definedName>
    <definedName name="\b" localSheetId="4">[9]약품공급2!#REF!</definedName>
    <definedName name="\b" localSheetId="6">[9]약품공급2!#REF!</definedName>
    <definedName name="\b">[9]약품공급2!#REF!</definedName>
    <definedName name="\c" localSheetId="1">[8]기기리스트!#REF!</definedName>
    <definedName name="\c" localSheetId="3">[8]기기리스트!#REF!</definedName>
    <definedName name="\c" localSheetId="7">[8]기기리스트!#REF!</definedName>
    <definedName name="\c" localSheetId="4">[8]기기리스트!#REF!</definedName>
    <definedName name="\c" localSheetId="6">[8]기기리스트!#REF!</definedName>
    <definedName name="\c">[8]기기리스트!#REF!</definedName>
    <definedName name="\d" localSheetId="1">[8]기기리스트!#REF!</definedName>
    <definedName name="\d" localSheetId="3">[8]기기리스트!#REF!</definedName>
    <definedName name="\d" localSheetId="7">[8]기기리스트!#REF!</definedName>
    <definedName name="\d" localSheetId="4">[8]기기리스트!#REF!</definedName>
    <definedName name="\d" localSheetId="6">[8]기기리스트!#REF!</definedName>
    <definedName name="\d">[8]기기리스트!#REF!</definedName>
    <definedName name="\e" localSheetId="1">[10]약품설비!#REF!</definedName>
    <definedName name="\e" localSheetId="3">[10]약품설비!#REF!</definedName>
    <definedName name="\e" localSheetId="7">[10]약품설비!#REF!</definedName>
    <definedName name="\e" localSheetId="4">[10]약품설비!#REF!</definedName>
    <definedName name="\e" localSheetId="6">[10]약품설비!#REF!</definedName>
    <definedName name="\e">[10]약품설비!#REF!</definedName>
    <definedName name="\f" localSheetId="1">[8]기기리스트!#REF!</definedName>
    <definedName name="\f" localSheetId="3">[8]기기리스트!#REF!</definedName>
    <definedName name="\f" localSheetId="7">[8]기기리스트!#REF!</definedName>
    <definedName name="\f" localSheetId="4">[8]기기리스트!#REF!</definedName>
    <definedName name="\f" localSheetId="6">[8]기기리스트!#REF!</definedName>
    <definedName name="\f">[8]기기리스트!#REF!</definedName>
    <definedName name="\h" localSheetId="1">[9]약품공급2!#REF!</definedName>
    <definedName name="\h" localSheetId="3">[9]약품공급2!#REF!</definedName>
    <definedName name="\h" localSheetId="7">[9]약품공급2!#REF!</definedName>
    <definedName name="\h" localSheetId="4">[9]약품공급2!#REF!</definedName>
    <definedName name="\h" localSheetId="6">[9]약품공급2!#REF!</definedName>
    <definedName name="\h">[9]약품공급2!#REF!</definedName>
    <definedName name="\i" localSheetId="1">[8]기기리스트!#REF!</definedName>
    <definedName name="\i" localSheetId="3">[8]기기리스트!#REF!</definedName>
    <definedName name="\i" localSheetId="7">[8]기기리스트!#REF!</definedName>
    <definedName name="\i" localSheetId="4">[8]기기리스트!#REF!</definedName>
    <definedName name="\i" localSheetId="6">[8]기기리스트!#REF!</definedName>
    <definedName name="\i">[8]기기리스트!#REF!</definedName>
    <definedName name="\j" localSheetId="1">[10]약품설비!#REF!</definedName>
    <definedName name="\j" localSheetId="3">[10]약품설비!#REF!</definedName>
    <definedName name="\j" localSheetId="7">[10]약품설비!#REF!</definedName>
    <definedName name="\j" localSheetId="4">[10]약품설비!#REF!</definedName>
    <definedName name="\j" localSheetId="6">[10]약품설비!#REF!</definedName>
    <definedName name="\j">[10]약품설비!#REF!</definedName>
    <definedName name="\k" localSheetId="1">[9]약품공급2!#REF!</definedName>
    <definedName name="\k" localSheetId="3">[9]약품공급2!#REF!</definedName>
    <definedName name="\k" localSheetId="7">[9]약품공급2!#REF!</definedName>
    <definedName name="\k" localSheetId="4">[9]약품공급2!#REF!</definedName>
    <definedName name="\k" localSheetId="6">[9]약품공급2!#REF!</definedName>
    <definedName name="\k">[9]약품공급2!#REF!</definedName>
    <definedName name="\l" localSheetId="1">[9]약품공급2!#REF!</definedName>
    <definedName name="\l" localSheetId="3">[9]약품공급2!#REF!</definedName>
    <definedName name="\l" localSheetId="7">[9]약품공급2!#REF!</definedName>
    <definedName name="\l" localSheetId="4">[9]약품공급2!#REF!</definedName>
    <definedName name="\l" localSheetId="6">[9]약품공급2!#REF!</definedName>
    <definedName name="\l">[9]약품공급2!#REF!</definedName>
    <definedName name="\m" localSheetId="1">[8]기기리스트!#REF!</definedName>
    <definedName name="\m" localSheetId="3">[8]기기리스트!#REF!</definedName>
    <definedName name="\m" localSheetId="7">[8]기기리스트!#REF!</definedName>
    <definedName name="\m" localSheetId="4">[8]기기리스트!#REF!</definedName>
    <definedName name="\m" localSheetId="6">[8]기기리스트!#REF!</definedName>
    <definedName name="\m">[8]기기리스트!#REF!</definedName>
    <definedName name="\n" localSheetId="1">[10]약품설비!#REF!</definedName>
    <definedName name="\n" localSheetId="3">[10]약품설비!#REF!</definedName>
    <definedName name="\n" localSheetId="7">[10]약품설비!#REF!</definedName>
    <definedName name="\n" localSheetId="4">[10]약품설비!#REF!</definedName>
    <definedName name="\n" localSheetId="6">[10]약품설비!#REF!</definedName>
    <definedName name="\n">[10]약품설비!#REF!</definedName>
    <definedName name="\o" localSheetId="1">[8]기기리스트!#REF!</definedName>
    <definedName name="\o" localSheetId="3">[8]기기리스트!#REF!</definedName>
    <definedName name="\o" localSheetId="7">[8]기기리스트!#REF!</definedName>
    <definedName name="\o" localSheetId="4">[8]기기리스트!#REF!</definedName>
    <definedName name="\o" localSheetId="6">[8]기기리스트!#REF!</definedName>
    <definedName name="\o">[8]기기리스트!#REF!</definedName>
    <definedName name="\p" localSheetId="1">[8]기기리스트!#REF!</definedName>
    <definedName name="\p" localSheetId="3">[8]기기리스트!#REF!</definedName>
    <definedName name="\p" localSheetId="7">[8]기기리스트!#REF!</definedName>
    <definedName name="\p" localSheetId="4">[8]기기리스트!#REF!</definedName>
    <definedName name="\p" localSheetId="6">[8]기기리스트!#REF!</definedName>
    <definedName name="\p">[8]기기리스트!#REF!</definedName>
    <definedName name="\q" localSheetId="1">[8]기기리스트!#REF!</definedName>
    <definedName name="\q" localSheetId="3">[8]기기리스트!#REF!</definedName>
    <definedName name="\q" localSheetId="7">[8]기기리스트!#REF!</definedName>
    <definedName name="\q" localSheetId="4">[8]기기리스트!#REF!</definedName>
    <definedName name="\q" localSheetId="6">[8]기기리스트!#REF!</definedName>
    <definedName name="\q">[8]기기리스트!#REF!</definedName>
    <definedName name="\r" localSheetId="1">[9]약품공급2!#REF!</definedName>
    <definedName name="\r" localSheetId="3">[9]약품공급2!#REF!</definedName>
    <definedName name="\r" localSheetId="7">[9]약품공급2!#REF!</definedName>
    <definedName name="\r" localSheetId="4">[9]약품공급2!#REF!</definedName>
    <definedName name="\r" localSheetId="6">[9]약품공급2!#REF!</definedName>
    <definedName name="\r">[9]약품공급2!#REF!</definedName>
    <definedName name="\s">#N/A</definedName>
    <definedName name="\t">#N/A</definedName>
    <definedName name="\u" localSheetId="1">[10]약품설비!#REF!</definedName>
    <definedName name="\u" localSheetId="3">[10]약품설비!#REF!</definedName>
    <definedName name="\u" localSheetId="7">[10]약품설비!#REF!</definedName>
    <definedName name="\u" localSheetId="4">[10]약품설비!#REF!</definedName>
    <definedName name="\u" localSheetId="6">[10]약품설비!#REF!</definedName>
    <definedName name="\u">[10]약품설비!#REF!</definedName>
    <definedName name="\v" localSheetId="1">[8]기기리스트!#REF!</definedName>
    <definedName name="\v" localSheetId="3">[8]기기리스트!#REF!</definedName>
    <definedName name="\v" localSheetId="7">[8]기기리스트!#REF!</definedName>
    <definedName name="\v" localSheetId="4">[8]기기리스트!#REF!</definedName>
    <definedName name="\v" localSheetId="6">[8]기기리스트!#REF!</definedName>
    <definedName name="\v">[8]기기리스트!#REF!</definedName>
    <definedName name="\w" localSheetId="1">[8]기기리스트!#REF!</definedName>
    <definedName name="\w" localSheetId="3">[8]기기리스트!#REF!</definedName>
    <definedName name="\w" localSheetId="7">[8]기기리스트!#REF!</definedName>
    <definedName name="\w" localSheetId="4">[8]기기리스트!#REF!</definedName>
    <definedName name="\w" localSheetId="6">[8]기기리스트!#REF!</definedName>
    <definedName name="\w">[8]기기리스트!#REF!</definedName>
    <definedName name="\x" localSheetId="1">[8]기기리스트!#REF!</definedName>
    <definedName name="\x" localSheetId="3">[8]기기리스트!#REF!</definedName>
    <definedName name="\x" localSheetId="7">[8]기기리스트!#REF!</definedName>
    <definedName name="\x" localSheetId="4">[8]기기리스트!#REF!</definedName>
    <definedName name="\x" localSheetId="6">[8]기기리스트!#REF!</definedName>
    <definedName name="\x">[8]기기리스트!#REF!</definedName>
    <definedName name="\y" localSheetId="1">[10]약품설비!#REF!</definedName>
    <definedName name="\y" localSheetId="3">[10]약품설비!#REF!</definedName>
    <definedName name="\y" localSheetId="7">[10]약품설비!#REF!</definedName>
    <definedName name="\y" localSheetId="4">[10]약품설비!#REF!</definedName>
    <definedName name="\y" localSheetId="6">[10]약품설비!#REF!</definedName>
    <definedName name="\y">[10]약품설비!#REF!</definedName>
    <definedName name="\z" localSheetId="1">[9]약품공급2!#REF!</definedName>
    <definedName name="\z" localSheetId="3">[9]약품공급2!#REF!</definedName>
    <definedName name="\z" localSheetId="7">[9]약품공급2!#REF!</definedName>
    <definedName name="\z" localSheetId="4">[9]약품공급2!#REF!</definedName>
    <definedName name="\z" localSheetId="6">[9]약품공급2!#REF!</definedName>
    <definedName name="\z">[9]약품공급2!#REF!</definedName>
    <definedName name="A" localSheetId="1">#REF!</definedName>
    <definedName name="A" localSheetId="3">#REF!</definedName>
    <definedName name="A" localSheetId="7">#REF!</definedName>
    <definedName name="A" localSheetId="4">#REF!</definedName>
    <definedName name="A" localSheetId="6">#REF!</definedName>
    <definedName name="A">#REF!</definedName>
    <definedName name="a\" hidden="1">{#N/A,#N/A,TRUE,"자재관리";#N/A,#N/A,TRUE,"품질"}</definedName>
    <definedName name="A8.36" localSheetId="1">#REF!</definedName>
    <definedName name="A8.36" localSheetId="3">#REF!</definedName>
    <definedName name="A8.36" localSheetId="7">#REF!</definedName>
    <definedName name="A8.36" localSheetId="4">#REF!</definedName>
    <definedName name="A8.36" localSheetId="6">#REF!</definedName>
    <definedName name="A8.36">#REF!</definedName>
    <definedName name="aa" localSheetId="1">#REF!</definedName>
    <definedName name="aa" localSheetId="3">#REF!</definedName>
    <definedName name="aa" localSheetId="7">#REF!</definedName>
    <definedName name="aa" localSheetId="4">#REF!</definedName>
    <definedName name="aa" localSheetId="6">#REF!</definedName>
    <definedName name="aa">#REF!</definedName>
    <definedName name="AAA" localSheetId="1">[7]!AAA</definedName>
    <definedName name="AAA" localSheetId="3">[7]!AAA</definedName>
    <definedName name="AAA" localSheetId="7">[7]!AAA</definedName>
    <definedName name="AAA" localSheetId="4">[7]!AAA</definedName>
    <definedName name="AAA" localSheetId="6">[7]!AAA</definedName>
    <definedName name="AAA">[7]!AAA</definedName>
    <definedName name="ABC">'[11]FURNITURE-01'!$A$3:$H$3</definedName>
    <definedName name="Access_Button" hidden="1">"종합사번1999년_99년02월_퇴사__List"</definedName>
    <definedName name="AccessDatabase" hidden="1">"D:\공무jaje\98년품의-수불\98146.mdb"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nscount" hidden="1">2</definedName>
    <definedName name="app.3.2.2" hidden="1">{#N/A,#N/A,FALSE,"동부"}</definedName>
    <definedName name="App3.2.2" hidden="1">{#N/A,#N/A,TRUE,"대 차 대 조 표"}</definedName>
    <definedName name="asd" localSheetId="1">#REF!</definedName>
    <definedName name="asd" localSheetId="3">#REF!</definedName>
    <definedName name="asd" localSheetId="7">#REF!</definedName>
    <definedName name="asd" localSheetId="4">#REF!</definedName>
    <definedName name="asd" localSheetId="6">#REF!</definedName>
    <definedName name="asd">#REF!</definedName>
    <definedName name="B" localSheetId="1">#REF!</definedName>
    <definedName name="B" localSheetId="3">#REF!</definedName>
    <definedName name="B" localSheetId="7">#REF!</definedName>
    <definedName name="B" localSheetId="4">#REF!</definedName>
    <definedName name="B" localSheetId="6">#REF!</definedName>
    <definedName name="B">#REF!</definedName>
    <definedName name="BadLink" localSheetId="1" hidden="1">#REF!</definedName>
    <definedName name="BadLink" localSheetId="3" hidden="1">#REF!</definedName>
    <definedName name="BadLink" localSheetId="7" hidden="1">#REF!</definedName>
    <definedName name="BadLink" localSheetId="6" hidden="1">#REF!</definedName>
    <definedName name="BadLink" hidden="1">#REF!</definedName>
    <definedName name="BM" localSheetId="1" hidden="1">#REF!</definedName>
    <definedName name="BM" localSheetId="3" hidden="1">#REF!</definedName>
    <definedName name="BM" localSheetId="7" hidden="1">#REF!</definedName>
    <definedName name="BM" localSheetId="6" hidden="1">#REF!</definedName>
    <definedName name="BM" hidden="1">#REF!</definedName>
    <definedName name="BringUserToAboutSheet" localSheetId="1">[12]!BringUserToAboutSheet</definedName>
    <definedName name="BringUserToAboutSheet" localSheetId="3">[12]!BringUserToAboutSheet</definedName>
    <definedName name="BringUserToAboutSheet" localSheetId="7">[12]!BringUserToAboutSheet</definedName>
    <definedName name="BringUserToAboutSheet" localSheetId="4">[12]!BringUserToAboutSheet</definedName>
    <definedName name="BringUserToAboutSheet" localSheetId="6">[12]!BringUserToAboutSheet</definedName>
    <definedName name="BringUserToAboutSheet">[12]!BringUserToAboutSheet</definedName>
    <definedName name="BringUserToCode" localSheetId="1">[12]!BringUserToCode</definedName>
    <definedName name="BringUserToCode" localSheetId="3">[12]!BringUserToCode</definedName>
    <definedName name="BringUserToCode" localSheetId="7">[12]!BringUserToCode</definedName>
    <definedName name="BringUserToCode" localSheetId="4">[12]!BringUserToCode</definedName>
    <definedName name="BringUserToCode" localSheetId="6">[12]!BringUserToCode</definedName>
    <definedName name="BringUserToCode">[12]!BringUserToCode</definedName>
    <definedName name="BUSH" hidden="1">{"'Sheet1'!$E$23","'Sheet1'!$A$3:$H$19","'Sheet1'!$A$1:$H$19"}</definedName>
    <definedName name="BU별" hidden="1">{#N/A,#N/A,FALSE,"동부"}</definedName>
    <definedName name="C_">#N/A</definedName>
    <definedName name="cgmh" hidden="1">{"'용역비'!$A$4:$C$8"}</definedName>
    <definedName name="CLOSER" localSheetId="1">[7]!CLOSER</definedName>
    <definedName name="CLOSER" localSheetId="3">[7]!CLOSER</definedName>
    <definedName name="CLOSER" localSheetId="7">[7]!CLOSER</definedName>
    <definedName name="CLOSER" localSheetId="4">[7]!CLOSER</definedName>
    <definedName name="CLOSER" localSheetId="6">[7]!CLOSER</definedName>
    <definedName name="CLOSER">[7]!CLOSER</definedName>
    <definedName name="code" localSheetId="1">#REF!</definedName>
    <definedName name="code" localSheetId="3">#REF!</definedName>
    <definedName name="code" localSheetId="7">#REF!</definedName>
    <definedName name="code" localSheetId="4">#REF!</definedName>
    <definedName name="code" localSheetId="6">#REF!</definedName>
    <definedName name="code">#REF!</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_xlnm.Criteria" localSheetId="1">#REF!</definedName>
    <definedName name="_xlnm.Criteria" localSheetId="3">#REF!</definedName>
    <definedName name="_xlnm.Criteria" localSheetId="7">#REF!</definedName>
    <definedName name="_xlnm.Criteria" localSheetId="4">#REF!</definedName>
    <definedName name="_xlnm.Criteria" localSheetId="6">#REF!</definedName>
    <definedName name="_xlnm.Criteria">#REF!</definedName>
    <definedName name="CY2007년" hidden="1">{#N/A,#N/A,FALSE,"97년 투자계획 세부내역 "}</definedName>
    <definedName name="D" localSheetId="1">#REF!</definedName>
    <definedName name="D" localSheetId="3">#REF!</definedName>
    <definedName name="D" localSheetId="7">#REF!</definedName>
    <definedName name="D" localSheetId="4">#REF!</definedName>
    <definedName name="D" localSheetId="6">#REF!</definedName>
    <definedName name="D">#REF!</definedName>
    <definedName name="DAT" localSheetId="1">#REF!</definedName>
    <definedName name="DAT" localSheetId="3">#REF!</definedName>
    <definedName name="DAT" localSheetId="7">#REF!</definedName>
    <definedName name="DAT" localSheetId="4">#REF!</definedName>
    <definedName name="DAT" localSheetId="6">#REF!</definedName>
    <definedName name="DAT">#REF!</definedName>
    <definedName name="_xlnm.Database" localSheetId="1">#REF!</definedName>
    <definedName name="_xlnm.Database" localSheetId="3">#REF!</definedName>
    <definedName name="_xlnm.Database" localSheetId="7">#REF!</definedName>
    <definedName name="_xlnm.Database" localSheetId="4">#REF!</definedName>
    <definedName name="_xlnm.Database" localSheetId="6">#REF!</definedName>
    <definedName name="_xlnm.Database">#REF!</definedName>
    <definedName name="ddddd" localSheetId="1" hidden="1">#REF!</definedName>
    <definedName name="ddddd" localSheetId="3" hidden="1">#REF!</definedName>
    <definedName name="ddddd" localSheetId="7" hidden="1">#REF!</definedName>
    <definedName name="ddddd" localSheetId="6" hidden="1">#REF!</definedName>
    <definedName name="ddddd" hidden="1">#REF!</definedName>
    <definedName name="dhj" hidden="1">{"'용역비'!$A$4:$C$8"}</definedName>
    <definedName name="DIV" hidden="1">{#N/A,#N/A,FALSE,"97년 투자계획 세부내역 "}</definedName>
    <definedName name="DJQAN" hidden="1">{#N/A,#N/A,TRUE,"대 차 대 조 표"}</definedName>
    <definedName name="dkd" hidden="1">{#N/A,#N/A,FALSE,"자재관리";#N/A,#N/A,FALSE,"자재관리";#N/A,#N/A,FALSE,"자재관리"}</definedName>
    <definedName name="DKFDK" hidden="1">{#N/A,#N/A,FALSE,"전력간선"}</definedName>
    <definedName name="dldyddn" hidden="1">{"'별표'!$N$220"}</definedName>
    <definedName name="DNFL" hidden="1">{#N/A,#N/A,FALSE,"동부"}</definedName>
    <definedName name="DROW">#N/A</definedName>
    <definedName name="DW" hidden="1">{"'용역비'!$A$4:$C$8"}</definedName>
    <definedName name="E" localSheetId="1">#REF!</definedName>
    <definedName name="E" localSheetId="3">#REF!</definedName>
    <definedName name="E" localSheetId="7">#REF!</definedName>
    <definedName name="E" localSheetId="4">#REF!</definedName>
    <definedName name="E" localSheetId="6">#REF!</definedName>
    <definedName name="E">#REF!</definedName>
    <definedName name="EEWE" localSheetId="1">[7]!StartSeller</definedName>
    <definedName name="EEWE" localSheetId="3">[7]!StartSeller</definedName>
    <definedName name="EEWE" localSheetId="7">[7]!StartSeller</definedName>
    <definedName name="EEWE" localSheetId="4">[7]!StartSeller</definedName>
    <definedName name="EEWE" localSheetId="6">[7]!StartSeller</definedName>
    <definedName name="EEWE">[7]!StartSeller</definedName>
    <definedName name="EFG" hidden="1">{"'용역비'!$A$4:$C$8"}</definedName>
    <definedName name="EGE" hidden="1">{"'용역비'!$A$4:$C$8"}</definedName>
    <definedName name="EJ">[13]소비자가!$I$46:$J$1593</definedName>
    <definedName name="ertyertye" hidden="1">{"'용역비'!$A$4:$C$8"}</definedName>
    <definedName name="ETYETY" hidden="1">{"'용역비'!$A$4:$C$8"}</definedName>
    <definedName name="etyj" hidden="1">{"'용역비'!$A$4:$C$8"}</definedName>
    <definedName name="etyjj" hidden="1">{"'용역비'!$A$4:$C$8"}</definedName>
    <definedName name="ETYJTYJ" hidden="1">{"'용역비'!$A$4:$C$8"}</definedName>
    <definedName name="F" localSheetId="1">#REF!</definedName>
    <definedName name="F" localSheetId="3">#REF!</definedName>
    <definedName name="F" localSheetId="7">#REF!</definedName>
    <definedName name="F" localSheetId="4">#REF!</definedName>
    <definedName name="F" localSheetId="6">#REF!</definedName>
    <definedName name="F">#REF!</definedName>
    <definedName name="ff" hidden="1">{#N/A,#N/A,FALSE,"동부"}</definedName>
    <definedName name="FFF" hidden="1">{#N/A,#N/A,FALSE,"교리2"}</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g" localSheetId="1">[7]!fg</definedName>
    <definedName name="fg" localSheetId="3">[7]!fg</definedName>
    <definedName name="fg" localSheetId="7">[7]!fg</definedName>
    <definedName name="fg" localSheetId="4">[7]!fg</definedName>
    <definedName name="fg" localSheetId="6">[7]!fg</definedName>
    <definedName name="fg">[7]!fg</definedName>
    <definedName name="FGRKRKRKRKRKRKRKRKRKRKRKRKRKRKR" localSheetId="1">#REF!</definedName>
    <definedName name="FGRKRKRKRKRKRKRKRKRKRKRKRKRKRKR" localSheetId="3">#REF!</definedName>
    <definedName name="FGRKRKRKRKRKRKRKRKRKRKRKRKRKRKR" localSheetId="7">#REF!</definedName>
    <definedName name="FGRKRKRKRKRKRKRKRKRKRKRKRKRKRKR" localSheetId="4">#REF!</definedName>
    <definedName name="FGRKRKRKRKRKRKRKRKRKRKRKRKRKRKR" localSheetId="6">#REF!</definedName>
    <definedName name="FGRKRKRKRKRKRKRKRKRKRKRKRKRKRKR">#REF!</definedName>
    <definedName name="FGrkrkrkrkrkrkrktbtbsptbrt" localSheetId="1">[14]TEL!#REF!</definedName>
    <definedName name="FGrkrkrkrkrkrkrktbtbsptbrt" localSheetId="3">[14]TEL!#REF!</definedName>
    <definedName name="FGrkrkrkrkrkrkrktbtbsptbrt" localSheetId="7">[14]TEL!#REF!</definedName>
    <definedName name="FGrkrkrkrkrkrkrktbtbsptbrt" localSheetId="4">[14]TEL!#REF!</definedName>
    <definedName name="FGrkrkrkrkrkrkrktbtbsptbrt" localSheetId="6">[14]TEL!#REF!</definedName>
    <definedName name="FGrkrkrkrkrkrkrktbtbsptbrt">[14]TEL!#REF!</definedName>
    <definedName name="First_Rec" localSheetId="1">'[15]Customer Databas'!#REF!</definedName>
    <definedName name="First_Rec" localSheetId="3">'[15]Customer Databas'!#REF!</definedName>
    <definedName name="First_Rec" localSheetId="7">'[15]Customer Databas'!#REF!</definedName>
    <definedName name="First_Rec" localSheetId="4">'[15]Customer Databas'!#REF!</definedName>
    <definedName name="First_Rec" localSheetId="6">'[15]Customer Databas'!#REF!</definedName>
    <definedName name="First_Rec">'[15]Customer Databas'!#REF!</definedName>
    <definedName name="FK" hidden="1">{"'용역비'!$A$4:$C$8"}</definedName>
    <definedName name="FM계약일할" hidden="1">{#N/A,#N/A,TRUE,"대 차 대 조 표"}</definedName>
    <definedName name="G" localSheetId="1">#REF!</definedName>
    <definedName name="G" localSheetId="3">#REF!</definedName>
    <definedName name="G" localSheetId="7">#REF!</definedName>
    <definedName name="G" localSheetId="4">#REF!</definedName>
    <definedName name="G" localSheetId="6">#REF!</definedName>
    <definedName name="G">#REF!</definedName>
    <definedName name="GONGJONG" localSheetId="1">#REF!</definedName>
    <definedName name="GONGJONG" localSheetId="3">#REF!</definedName>
    <definedName name="GONGJONG" localSheetId="7">#REF!</definedName>
    <definedName name="GONGJONG" localSheetId="4">#REF!</definedName>
    <definedName name="GONGJONG" localSheetId="6">#REF!</definedName>
    <definedName name="GONGJONG">#REF!</definedName>
    <definedName name="GUSTLS" localSheetId="1" hidden="1">#REF!</definedName>
    <definedName name="GUSTLS" localSheetId="3" hidden="1">#REF!</definedName>
    <definedName name="GUSTLS" localSheetId="7" hidden="1">#REF!</definedName>
    <definedName name="GUSTLS" localSheetId="6" hidden="1">#REF!</definedName>
    <definedName name="GUSTLS" hidden="1">#REF!</definedName>
    <definedName name="H" localSheetId="1">#REF!</definedName>
    <definedName name="H" localSheetId="3">#REF!</definedName>
    <definedName name="H" localSheetId="7">#REF!</definedName>
    <definedName name="H" localSheetId="4">#REF!</definedName>
    <definedName name="H" localSheetId="6">#REF!</definedName>
    <definedName name="H">#REF!</definedName>
    <definedName name="HELP" localSheetId="1">[16]예산서!#REF!</definedName>
    <definedName name="HELP" localSheetId="3">[16]예산서!#REF!</definedName>
    <definedName name="HELP" localSheetId="7">[16]예산서!#REF!</definedName>
    <definedName name="HELP" localSheetId="4">[16]예산서!#REF!</definedName>
    <definedName name="HELP" localSheetId="6">[16]예산서!#REF!</definedName>
    <definedName name="HELP">[16]예산서!#REF!</definedName>
    <definedName name="hgc" hidden="1">{#N/A,#N/A,TRUE,"대 차 대 조 표"}</definedName>
    <definedName name="HHHHH" hidden="1">{#N/A,#N/A,FALSE,"자재관리";#N/A,#N/A,FALSE,"자재관리";#N/A,#N/A,FALSE,"자재관리"}</definedName>
    <definedName name="HHHHHH" hidden="1">{#N/A,#N/A,FALSE,"자재관리";#N/A,#N/A,FALSE,"자재관리";#N/A,#N/A,FALSE,"자재관리"}</definedName>
    <definedName name="HSR" hidden="1">{"'용역비'!$A$4:$C$8"}</definedName>
    <definedName name="HTML_CodePage" hidden="1">949</definedName>
    <definedName name="HTML_Control" hidden="1">{"'별표'!$N$220"}</definedName>
    <definedName name="HTML_Description" hidden="1">""</definedName>
    <definedName name="HTML_Email" hidden="1">""</definedName>
    <definedName name="HTML_Header" hidden="1">"별표"</definedName>
    <definedName name="HTML_LastUpdate" hidden="1">"98-03-12"</definedName>
    <definedName name="HTML_LineAfter" hidden="1">FALSE</definedName>
    <definedName name="HTML_LineBefore" hidden="1">FALSE</definedName>
    <definedName name="HTML_Name" hidden="1">"나승온"</definedName>
    <definedName name="HTML_OBDlg2" hidden="1">TRUE</definedName>
    <definedName name="HTML_OBDlg3" hidden="1">TRUE</definedName>
    <definedName name="HTML_OBDlg4" hidden="1">TRUE</definedName>
    <definedName name="HTML_OS" hidden="1">0</definedName>
    <definedName name="HTML_PathFile" hidden="1">"C:\WINDOWS\Favorites\MyHTML.htm"</definedName>
    <definedName name="HTML_PathTemplate" hidden="1">"C:\개발일반\U-PJT\HTMLTemp.htm"</definedName>
    <definedName name="HTML_Title" hidden="1">"한전감포"</definedName>
    <definedName name="I" localSheetId="1">#REF!</definedName>
    <definedName name="I" localSheetId="3">#REF!</definedName>
    <definedName name="I" localSheetId="7">#REF!</definedName>
    <definedName name="I" localSheetId="4">#REF!</definedName>
    <definedName name="I" localSheetId="6">#REF!</definedName>
    <definedName name="I">#REF!</definedName>
    <definedName name="IIII" hidden="1">{"'용역비'!$A$4:$C$8"}</definedName>
    <definedName name="IIIII" hidden="1">{"'용역비'!$A$4:$C$8"}</definedName>
    <definedName name="intervest공정표" localSheetId="1">#REF!</definedName>
    <definedName name="intervest공정표" localSheetId="3">#REF!</definedName>
    <definedName name="intervest공정표" localSheetId="7">#REF!</definedName>
    <definedName name="intervest공정표" localSheetId="4">#REF!</definedName>
    <definedName name="intervest공정표" localSheetId="6">#REF!</definedName>
    <definedName name="intervest공정표">#REF!</definedName>
    <definedName name="IOI" hidden="1">{"'용역비'!$A$4:$C$8"}</definedName>
    <definedName name="ISL공정표" localSheetId="1">[12]!BringUserToCode</definedName>
    <definedName name="ISL공정표" localSheetId="3">[12]!BringUserToCode</definedName>
    <definedName name="ISL공정표" localSheetId="7">[12]!BringUserToCode</definedName>
    <definedName name="ISL공정표" localSheetId="4">[12]!BringUserToCode</definedName>
    <definedName name="ISL공정표" localSheetId="6">[12]!BringUserToCode</definedName>
    <definedName name="ISL공정표">[12]!BringUserToCode</definedName>
    <definedName name="J" localSheetId="1">#REF!</definedName>
    <definedName name="J" localSheetId="3">#REF!</definedName>
    <definedName name="J" localSheetId="7">#REF!</definedName>
    <definedName name="J" localSheetId="4">#REF!</definedName>
    <definedName name="J" localSheetId="6">#REF!</definedName>
    <definedName name="J">#REF!</definedName>
    <definedName name="JJJJ" hidden="1">{#N/A,#N/A,FALSE,"자재관리";#N/A,#N/A,FALSE,"자재관리";#N/A,#N/A,FALSE,"자재관리"}</definedName>
    <definedName name="jkljk" hidden="1">{#N/A,#N/A,FALSE,"이력서&amp;자기소개서"}</definedName>
    <definedName name="K" localSheetId="1">#REF!</definedName>
    <definedName name="K" localSheetId="3">#REF!</definedName>
    <definedName name="K" localSheetId="7">#REF!</definedName>
    <definedName name="K" localSheetId="4">#REF!</definedName>
    <definedName name="K" localSheetId="6">#REF!</definedName>
    <definedName name="K">#REF!</definedName>
    <definedName name="kkkkk" hidden="1">{#N/A,#N/A,FALSE,"자재관리";#N/A,#N/A,FALSE,"자재관리";#N/A,#N/A,FALSE,"자재관리"}</definedName>
    <definedName name="knauf" hidden="1">{#N/A,#N/A,FALSE,"자재관리";#N/A,#N/A,FALSE,"자재관리";#N/A,#N/A,FALSE,"자재관리"}</definedName>
    <definedName name="KSJ_25" hidden="1">{#N/A,#N/A,FALSE,"동부"}</definedName>
    <definedName name="L" localSheetId="1">#REF!</definedName>
    <definedName name="L" localSheetId="3">#REF!</definedName>
    <definedName name="L" localSheetId="7">#REF!</definedName>
    <definedName name="L" localSheetId="4">#REF!</definedName>
    <definedName name="L" localSheetId="6">#REF!</definedName>
    <definedName name="L">#REF!</definedName>
    <definedName name="li" hidden="1">{"'용역비'!$A$4:$C$8"}</definedName>
    <definedName name="Main" localSheetId="1">#REF!</definedName>
    <definedName name="Main" localSheetId="3">#REF!</definedName>
    <definedName name="Main" localSheetId="7">#REF!</definedName>
    <definedName name="Main" localSheetId="4">#REF!</definedName>
    <definedName name="Main" localSheetId="6">#REF!</definedName>
    <definedName name="Main">#REF!</definedName>
    <definedName name="MAINPART" localSheetId="1">#REF!</definedName>
    <definedName name="MAINPART" localSheetId="3">#REF!</definedName>
    <definedName name="MAINPART" localSheetId="7">#REF!</definedName>
    <definedName name="MAINPART" localSheetId="4">#REF!</definedName>
    <definedName name="MAINPART" localSheetId="6">#REF!</definedName>
    <definedName name="MAINPART">#REF!</definedName>
    <definedName name="MC" hidden="1">{#N/A,#N/A,FALSE,"자재관리";#N/A,#N/A,FALSE,"자재관리";#N/A,#N/A,FALSE,"자재관리"}</definedName>
    <definedName name="ME" localSheetId="1">[7]!StartSeller</definedName>
    <definedName name="ME" localSheetId="3">[7]!StartSeller</definedName>
    <definedName name="ME" localSheetId="7">[7]!StartSeller</definedName>
    <definedName name="ME" localSheetId="4">[7]!StartSeller</definedName>
    <definedName name="ME" localSheetId="6">[7]!StartSeller</definedName>
    <definedName name="ME">[7]!StartSeller</definedName>
    <definedName name="Neotech" hidden="1">{#N/A,#N/A,FALSE,"자재관리";#N/A,#N/A,FALSE,"자재관리";#N/A,#N/A,FALSE,"자재관리"}</definedName>
    <definedName name="NEWNAME" hidden="1">{#N/A,#N/A,FALSE,"CCTV"}</definedName>
    <definedName name="OIL" hidden="1">{"'용역비'!$A$4:$C$8"}</definedName>
    <definedName name="OOOOOO" hidden="1">{#N/A,#N/A,FALSE,"자재관리";#N/A,#N/A,FALSE,"자재관리";#N/A,#N/A,FALSE,"자재관리"}</definedName>
    <definedName name="P" localSheetId="1">[17]내역!#REF!</definedName>
    <definedName name="P" localSheetId="3">[17]내역!#REF!</definedName>
    <definedName name="P" localSheetId="7">[17]내역!#REF!</definedName>
    <definedName name="P" localSheetId="4">[17]내역!#REF!</definedName>
    <definedName name="P" localSheetId="6">[17]내역!#REF!</definedName>
    <definedName name="P">[17]내역!#REF!</definedName>
    <definedName name="PITCH" localSheetId="1">#REF!</definedName>
    <definedName name="PITCH" localSheetId="3">#REF!</definedName>
    <definedName name="PITCH" localSheetId="7">#REF!</definedName>
    <definedName name="PITCH" localSheetId="4">#REF!</definedName>
    <definedName name="PITCH" localSheetId="6">#REF!</definedName>
    <definedName name="PITCH">#REF!</definedName>
    <definedName name="ppp" localSheetId="1" hidden="1">#REF!</definedName>
    <definedName name="ppp" localSheetId="3" hidden="1">#REF!</definedName>
    <definedName name="ppp" localSheetId="7" hidden="1">#REF!</definedName>
    <definedName name="ppp" localSheetId="6" hidden="1">#REF!</definedName>
    <definedName name="ppp" hidden="1">#REF!</definedName>
    <definedName name="pppppp" localSheetId="1">'[18]98지급계획'!#REF!</definedName>
    <definedName name="pppppp" localSheetId="3">'[18]98지급계획'!#REF!</definedName>
    <definedName name="pppppp" localSheetId="7">'[18]98지급계획'!#REF!</definedName>
    <definedName name="pppppp" localSheetId="4">'[18]98지급계획'!#REF!</definedName>
    <definedName name="pppppp" localSheetId="6">'[18]98지급계획'!#REF!</definedName>
    <definedName name="pppppp">'[18]98지급계획'!#REF!</definedName>
    <definedName name="PRESS" hidden="1">{"'Sheet1'!$E$23","'Sheet1'!$A$3:$H$19","'Sheet1'!$A$1:$H$19"}</definedName>
    <definedName name="press1" hidden="1">{"'Sheet1'!$E$23","'Sheet1'!$A$3:$H$19","'Sheet1'!$A$1:$H$19"}</definedName>
    <definedName name="_xlnm.Print_Area" localSheetId="1">#REF!</definedName>
    <definedName name="_xlnm.Print_Area" localSheetId="4">노즐공사갑지!$A$1:$G$27</definedName>
    <definedName name="_xlnm.Print_Area" localSheetId="5">노즐공사매출!$A$1:$L$61</definedName>
    <definedName name="_xlnm.Print_Area" localSheetId="6">노즐공사원가!$A$1:$L$61</definedName>
    <definedName name="_xlnm.Print_Area">#REF!</definedName>
    <definedName name="Print_Area_MI" localSheetId="1">#REF!</definedName>
    <definedName name="Print_Area_MI" localSheetId="3">#REF!</definedName>
    <definedName name="Print_Area_MI" localSheetId="7">#REF!</definedName>
    <definedName name="Print_Area_MI" localSheetId="4">#REF!</definedName>
    <definedName name="Print_Area_MI" localSheetId="6">#REF!</definedName>
    <definedName name="Print_Area_MI">#REF!</definedName>
    <definedName name="PRINT_AREA_MI1" localSheetId="1">#REF!</definedName>
    <definedName name="PRINT_AREA_MI1" localSheetId="3">#REF!</definedName>
    <definedName name="PRINT_AREA_MI1" localSheetId="7">#REF!</definedName>
    <definedName name="PRINT_AREA_MI1" localSheetId="4">#REF!</definedName>
    <definedName name="PRINT_AREA_MI1" localSheetId="6">#REF!</definedName>
    <definedName name="PRINT_AREA_MI1">#REF!</definedName>
    <definedName name="PRINT_TITLE" localSheetId="1">'[19]화재 탐지 설비'!#REF!</definedName>
    <definedName name="PRINT_TITLE" localSheetId="3">'[19]화재 탐지 설비'!#REF!</definedName>
    <definedName name="PRINT_TITLE" localSheetId="7">'[19]화재 탐지 설비'!#REF!</definedName>
    <definedName name="PRINT_TITLE" localSheetId="4">'[19]화재 탐지 설비'!#REF!</definedName>
    <definedName name="PRINT_TITLE" localSheetId="6">'[19]화재 탐지 설비'!#REF!</definedName>
    <definedName name="PRINT_TITLE">'[19]화재 탐지 설비'!#REF!</definedName>
    <definedName name="_xlnm.Print_Titles" localSheetId="1">#REF!</definedName>
    <definedName name="_xlnm.Print_Titles" localSheetId="5">노즐공사매출!$1:$4</definedName>
    <definedName name="_xlnm.Print_Titles" localSheetId="6">노즐공사원가!$1:$4</definedName>
    <definedName name="_xlnm.Print_Titles">#REF!</definedName>
    <definedName name="PRINT_TITLES_MI" localSheetId="1">[20]예산서!#REF!</definedName>
    <definedName name="PRINT_TITLES_MI" localSheetId="3">[20]예산서!#REF!</definedName>
    <definedName name="PRINT_TITLES_MI" localSheetId="7">[20]예산서!#REF!</definedName>
    <definedName name="PRINT_TITLES_MI" localSheetId="4">[20]예산서!#REF!</definedName>
    <definedName name="PRINT_TITLES_MI" localSheetId="6">[20]예산서!#REF!</definedName>
    <definedName name="PRINT_TITLES_MI">[20]예산서!#REF!</definedName>
    <definedName name="Printed_Titles" localSheetId="1">#REF!</definedName>
    <definedName name="Printed_Titles" localSheetId="3">#REF!</definedName>
    <definedName name="Printed_Titles" localSheetId="7">#REF!</definedName>
    <definedName name="Printed_Titles" localSheetId="4">#REF!</definedName>
    <definedName name="Printed_Titles" localSheetId="6">#REF!</definedName>
    <definedName name="Printed_Titles">#REF!</definedName>
    <definedName name="Q" hidden="1">{#N/A,#N/A,FALSE,"자재관리";#N/A,#N/A,FALSE,"자재관리";#N/A,#N/A,FALSE,"자재관리"}</definedName>
    <definedName name="q234562456" hidden="1">{"'용역비'!$A$4:$C$8"}</definedName>
    <definedName name="QA" hidden="1">{"'용역비'!$A$4:$C$8"}</definedName>
    <definedName name="qq" hidden="1">{#N/A,#N/A,FALSE,"손익표지";#N/A,#N/A,FALSE,"손익계산";#N/A,#N/A,FALSE,"일반관리비";#N/A,#N/A,FALSE,"영업외수익";#N/A,#N/A,FALSE,"영업외비용";#N/A,#N/A,FALSE,"매출액";#N/A,#N/A,FALSE,"요약손익";#N/A,#N/A,FALSE,"요약대차";#N/A,#N/A,FALSE,"매출채권현황";#N/A,#N/A,FALSE,"매출채권명세"}</definedName>
    <definedName name="qqq" hidden="1">{#N/A,#N/A,FALSE,"손익표지";#N/A,#N/A,FALSE,"손익계산";#N/A,#N/A,FALSE,"일반관리비";#N/A,#N/A,FALSE,"영업외수익";#N/A,#N/A,FALSE,"영업외비용";#N/A,#N/A,FALSE,"매출액";#N/A,#N/A,FALSE,"요약손익";#N/A,#N/A,FALSE,"요약대차";#N/A,#N/A,FALSE,"매출채권현황";#N/A,#N/A,FALSE,"매출채권명세"}</definedName>
    <definedName name="QQQW" hidden="1">{#N/A,#N/A,FALSE,"전력간선"}</definedName>
    <definedName name="qyk" hidden="1">{"'용역비'!$A$4:$C$8"}</definedName>
    <definedName name="rent" hidden="1">{#N/A,#N/A,FALSE,"동부"}</definedName>
    <definedName name="ret" hidden="1">{#N/A,#N/A,FALSE,"전력간선"}</definedName>
    <definedName name="rewr" hidden="1">{#N/A,#N/A,FALSE,"이력서&amp;자기소개서"}</definedName>
    <definedName name="RH" hidden="1">{"'용역비'!$A$4:$C$8"}</definedName>
    <definedName name="RIRI" hidden="1">{#N/A,#N/A,FALSE,"전력간선"}</definedName>
    <definedName name="RT" localSheetId="1">[7]!StartSeller</definedName>
    <definedName name="RT" localSheetId="3">[7]!StartSeller</definedName>
    <definedName name="RT" localSheetId="7">[7]!StartSeller</definedName>
    <definedName name="RT" localSheetId="4">[7]!StartSeller</definedName>
    <definedName name="RT" localSheetId="6">[7]!StartSeller</definedName>
    <definedName name="RT">[7]!StartSeller</definedName>
    <definedName name="RTGH" hidden="1">{"'용역비'!$A$4:$C$8"}</definedName>
    <definedName name="rth" hidden="1">{"'용역비'!$A$4:$C$8"}</definedName>
    <definedName name="rthyetyuety" hidden="1">{#N/A,#N/A,TRUE,"자재관리";#N/A,#N/A,TRUE,"품질"}</definedName>
    <definedName name="RYUIRYU" hidden="1">{"'용역비'!$A$4:$C$8"}</definedName>
    <definedName name="ryuk" hidden="1">{"'용역비'!$A$4:$C$8"}</definedName>
    <definedName name="SAPBEXrevision" hidden="1">5</definedName>
    <definedName name="SAPBEXsysID" hidden="1">"PBW"</definedName>
    <definedName name="SAPBEXwbID" hidden="1">"461MV176AFZ8EMO9X5CXOB1LL"</definedName>
    <definedName name="SD" hidden="1">{#N/A,#N/A,FALSE,"자재관리";#N/A,#N/A,FALSE,"자재관리";#N/A,#N/A,FALSE,"자재관리"}</definedName>
    <definedName name="sdryhj" hidden="1">{"'용역비'!$A$4:$C$8"}</definedName>
    <definedName name="SE" hidden="1">{"'용역비'!$A$4:$C$8"}</definedName>
    <definedName name="sencount" hidden="1">1</definedName>
    <definedName name="solver_cvg" hidden="1">0.001</definedName>
    <definedName name="solver_drv" hidden="1">1</definedName>
    <definedName name="solver_est" hidden="1">1</definedName>
    <definedName name="solver_itr" hidden="1">100</definedName>
    <definedName name="solver_lhs1" localSheetId="1" hidden="1">#REF!</definedName>
    <definedName name="solver_lhs1" localSheetId="3" hidden="1">#REF!</definedName>
    <definedName name="solver_lhs1" localSheetId="7" hidden="1">#REF!</definedName>
    <definedName name="solver_lhs1" localSheetId="6" hidden="1">#REF!</definedName>
    <definedName name="solver_lhs1" hidden="1">#REF!</definedName>
    <definedName name="solver_lin" hidden="1">2</definedName>
    <definedName name="solver_neg" hidden="1">2</definedName>
    <definedName name="solver_num" hidden="1">0</definedName>
    <definedName name="solver_nwt" hidden="1">1</definedName>
    <definedName name="solver_pre" hidden="1">0.000001</definedName>
    <definedName name="solver_rel1" hidden="1">1</definedName>
    <definedName name="solver_rhs1" localSheetId="1" hidden="1">#REF!*1.5</definedName>
    <definedName name="solver_rhs1" localSheetId="3" hidden="1">#REF!*1.5</definedName>
    <definedName name="solver_rhs1" localSheetId="7" hidden="1">#REF!*1.5</definedName>
    <definedName name="solver_rhs1" localSheetId="6" hidden="1">#REF!*1.5</definedName>
    <definedName name="solver_rhs1" hidden="1">#REF!*1.5</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rth" hidden="1">{"'용역비'!$A$4:$C$8"}</definedName>
    <definedName name="sss" hidden="1">{#N/A,#N/A,FALSE,"전력간선"}</definedName>
    <definedName name="StartChart" localSheetId="1">[12]!StartChart</definedName>
    <definedName name="StartChart" localSheetId="3">[12]!StartChart</definedName>
    <definedName name="StartChart" localSheetId="7">[12]!StartChart</definedName>
    <definedName name="StartChart" localSheetId="4">[12]!StartChart</definedName>
    <definedName name="StartChart" localSheetId="6">[12]!StartChart</definedName>
    <definedName name="StartChart">[12]!StartChart</definedName>
    <definedName name="StartSeller" localSheetId="1">[12]!StartSeller</definedName>
    <definedName name="StartSeller" localSheetId="3">[12]!StartSeller</definedName>
    <definedName name="StartSeller" localSheetId="7">[12]!StartSeller</definedName>
    <definedName name="StartSeller" localSheetId="4">[12]!StartSeller</definedName>
    <definedName name="StartSeller" localSheetId="6">[12]!StartSeller</definedName>
    <definedName name="StartSeller">[12]!StartSeller</definedName>
    <definedName name="STS" hidden="1">{"'용역비'!$A$4:$C$8"}</definedName>
    <definedName name="SubDic" localSheetId="1">#REF!</definedName>
    <definedName name="SubDic" localSheetId="3">#REF!</definedName>
    <definedName name="SubDic" localSheetId="7">#REF!</definedName>
    <definedName name="SubDic" localSheetId="4">#REF!</definedName>
    <definedName name="SubDic" localSheetId="6">#REF!</definedName>
    <definedName name="SubDic">#REF!</definedName>
    <definedName name="S행" localSheetId="1">'[21]2.대외공문'!#REF!</definedName>
    <definedName name="S행" localSheetId="3">'[21]2.대외공문'!#REF!</definedName>
    <definedName name="S행" localSheetId="7">'[21]2.대외공문'!#REF!</definedName>
    <definedName name="S행" localSheetId="4">'[21]2.대외공문'!#REF!</definedName>
    <definedName name="S행" localSheetId="6">'[21]2.대외공문'!#REF!</definedName>
    <definedName name="S행">'[21]2.대외공문'!#REF!</definedName>
    <definedName name="t" hidden="1">{#N/A,#N/A,TRUE,"자재관리";#N/A,#N/A,TRUE,"품질"}</definedName>
    <definedName name="temp" localSheetId="1">#REF!</definedName>
    <definedName name="temp" localSheetId="3">#REF!</definedName>
    <definedName name="temp" localSheetId="7">#REF!</definedName>
    <definedName name="temp" localSheetId="4">#REF!</definedName>
    <definedName name="temp" localSheetId="6">#REF!</definedName>
    <definedName name="temp">#REF!</definedName>
    <definedName name="TEYJ" hidden="1">{"'용역비'!$A$4:$C$8"}</definedName>
    <definedName name="TFUI" hidden="1">{"'용역비'!$A$4:$C$8"}</definedName>
    <definedName name="TITLE" localSheetId="1">#REF!</definedName>
    <definedName name="TITLE" localSheetId="3">#REF!</definedName>
    <definedName name="TITLE" localSheetId="7">#REF!</definedName>
    <definedName name="TITLE" localSheetId="4">#REF!</definedName>
    <definedName name="TITLE" localSheetId="6">#REF!</definedName>
    <definedName name="TITLE">#REF!</definedName>
    <definedName name="tlf" localSheetId="1" hidden="1">#REF!</definedName>
    <definedName name="tlf" localSheetId="3" hidden="1">#REF!</definedName>
    <definedName name="tlf" localSheetId="7" hidden="1">#REF!</definedName>
    <definedName name="tlf" localSheetId="6" hidden="1">#REF!</definedName>
    <definedName name="tlf" hidden="1">#REF!</definedName>
    <definedName name="TOPMENU" localSheetId="1">#REF!</definedName>
    <definedName name="TOPMENU" localSheetId="3">#REF!</definedName>
    <definedName name="TOPMENU" localSheetId="7">#REF!</definedName>
    <definedName name="TOPMENU" localSheetId="4">#REF!</definedName>
    <definedName name="TOPMENU" localSheetId="6">#REF!</definedName>
    <definedName name="TOPMENU">#REF!</definedName>
    <definedName name="trunc" localSheetId="1">#REF!</definedName>
    <definedName name="trunc" localSheetId="3">#REF!</definedName>
    <definedName name="trunc" localSheetId="7">#REF!</definedName>
    <definedName name="trunc" localSheetId="4">#REF!</definedName>
    <definedName name="trunc" localSheetId="6">#REF!</definedName>
    <definedName name="trunc">#REF!</definedName>
    <definedName name="tu" hidden="1">{"'용역비'!$A$4:$C$8"}</definedName>
    <definedName name="tuilol" hidden="1">{"'용역비'!$A$4:$C$8"}</definedName>
    <definedName name="TUIO" hidden="1">{"'용역비'!$A$4:$C$8"}</definedName>
    <definedName name="TUIO.L" hidden="1">{"'용역비'!$A$4:$C$8"}</definedName>
    <definedName name="TUIOTUI" hidden="1">{"'용역비'!$A$4:$C$8"}</definedName>
    <definedName name="tyje" hidden="1">{"'용역비'!$A$4:$C$8"}</definedName>
    <definedName name="tyjet" hidden="1">{"'용역비'!$A$4:$C$8"}</definedName>
    <definedName name="U" hidden="1">{"'용역비'!$A$4:$C$8"}</definedName>
    <definedName name="ulo" hidden="1">{"'용역비'!$A$4:$C$8"}</definedName>
    <definedName name="UTI" hidden="1">{"'용역비'!$A$4:$C$8"}</definedName>
    <definedName name="UTIOL" hidden="1">{"'용역비'!$A$4:$C$8"}</definedName>
    <definedName name="uwehdiueih" hidden="1">{#N/A,#N/A,FALSE,"자재관리";#N/A,#N/A,FALSE,"자재관리";#N/A,#N/A,FALSE,"자재관리"}</definedName>
    <definedName name="U행" localSheetId="1">'[21]2.대외공문'!#REF!</definedName>
    <definedName name="U행" localSheetId="3">'[21]2.대외공문'!#REF!</definedName>
    <definedName name="U행" localSheetId="7">'[21]2.대외공문'!#REF!</definedName>
    <definedName name="U행" localSheetId="4">'[21]2.대외공문'!#REF!</definedName>
    <definedName name="U행" localSheetId="6">'[21]2.대외공문'!#REF!</definedName>
    <definedName name="U행">'[21]2.대외공문'!#REF!</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97년._.9월._.임차현황." hidden="1">{#N/A,#N/A,FALSE,"동부"}</definedName>
    <definedName name="wrn.97년._.투자계획." hidden="1">{#N/A,#N/A,FALSE,"97년 투자계획 세부내역 "}</definedName>
    <definedName name="wrn.aa." hidden="1">{#N/A,#N/A,FALSE,"UNIT";#N/A,#N/A,FALSE,"UNIT";#N/A,#N/A,FALSE,"계정"}</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CAPA." hidden="1">{#N/A,#N/A,FALSE,"상재GS";#N/A,#N/A,FALSE,"상재GM";#N/A,#N/A,FALSE,"건재";#N/A,#N/A,FALSE,"SBR";#N/A,#N/A,FALSE,"부품";#N/A,#N/A,FALSE,"기능자재";#N/A,#N/A,FALSE,"특수"}</definedName>
    <definedName name="wrn.CAPA2." hidden="1">{#N/A,#N/A,FALSE,"보고";#N/A,#N/A,FALSE,"유첨"}</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견적."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wrn.고희석." hidden="1">{#N/A,#N/A,FALSE,"교리2"}</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대차._.대조표." hidden="1">{#N/A,#N/A,TRUE,"대 차 대 조 표"}</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외주기성." hidden="1">{#N/A,#N/A,FALSE,"신청통보";#N/A,#N/A,FALSE,"기성확인서";#N/A,#N/A,FALSE,"기성내역서"}</definedName>
    <definedName name="wrn.월보." hidden="1">{#N/A,#N/A,FALSE,"표지";#N/A,#N/A,FALSE,"생산현황";#N/A,#N/A,FALSE,"중량수율";#N/A,#N/A,FALSE,"길이수율";#N/A,#N/A,FALSE,"노동";#N/A,#N/A,FALSE,"기기";#N/A,#N/A,FALSE,"기기가동(누계)";#N/A,#N/A,FALSE,"자소원료"}</definedName>
    <definedName name="wrn.이력서._.자기소개서." hidden="1">{#N/A,#N/A,FALSE,"이력서&amp;자기소개서"}</definedName>
    <definedName name="wrty" hidden="1">{"'용역비'!$A$4:$C$8"}</definedName>
    <definedName name="wrtyrtyrt" hidden="1">{"'용역비'!$A$4:$C$8"}</definedName>
    <definedName name="wrtywrtywr" hidden="1">{"'용역비'!$A$4:$C$8"}</definedName>
    <definedName name="wuy" hidden="1">{"'용역비'!$A$4:$C$8"}</definedName>
    <definedName name="wwww" hidden="1">{#N/A,#N/A,FALSE,"손익표지";#N/A,#N/A,FALSE,"손익계산";#N/A,#N/A,FALSE,"일반관리비";#N/A,#N/A,FALSE,"영업외수익";#N/A,#N/A,FALSE,"영업외비용";#N/A,#N/A,FALSE,"매출액";#N/A,#N/A,FALSE,"요약손익";#N/A,#N/A,FALSE,"요약대차";#N/A,#N/A,FALSE,"매출채권현황";#N/A,#N/A,FALSE,"매출채권명세"}</definedName>
    <definedName name="W행" localSheetId="1">#REF!</definedName>
    <definedName name="W행" localSheetId="3">#REF!</definedName>
    <definedName name="W행" localSheetId="7">#REF!</definedName>
    <definedName name="W행" localSheetId="4">#REF!</definedName>
    <definedName name="W행" localSheetId="6">#REF!</definedName>
    <definedName name="W행">#REF!</definedName>
    <definedName name="X" hidden="1">{#N/A,#N/A,TRUE,"자재관리";#N/A,#N/A,TRUE,"품질"}</definedName>
    <definedName name="y" hidden="1">{"'용역비'!$A$4:$C$8"}</definedName>
    <definedName name="YA" localSheetId="1">[22]약품공급2!#REF!</definedName>
    <definedName name="YA" localSheetId="3">[22]약품공급2!#REF!</definedName>
    <definedName name="YA" localSheetId="7">[22]약품공급2!#REF!</definedName>
    <definedName name="YA" localSheetId="4">[22]약품공급2!#REF!</definedName>
    <definedName name="YA" localSheetId="6">[22]약품공급2!#REF!</definedName>
    <definedName name="YA">[22]약품공급2!#REF!</definedName>
    <definedName name="YFU" hidden="1">{"'용역비'!$A$4:$C$8"}</definedName>
    <definedName name="YL" hidden="1">{"'용역비'!$A$4:$C$8"}</definedName>
    <definedName name="yu" hidden="1">{"'용역비'!$A$4:$C$8"}</definedName>
    <definedName name="YUK" hidden="1">{"'용역비'!$A$4:$C$8"}</definedName>
    <definedName name="YUKOI" hidden="1">{"'용역비'!$A$4:$C$8"}</definedName>
    <definedName name="Z_18B7B7A5_CB81_11D4_B8D9_00D0B79CFA38_.wvu.FilterData" localSheetId="1" hidden="1">#REF!</definedName>
    <definedName name="Z_18B7B7A5_CB81_11D4_B8D9_00D0B79CFA38_.wvu.FilterData" localSheetId="3" hidden="1">#REF!</definedName>
    <definedName name="Z_18B7B7A5_CB81_11D4_B8D9_00D0B79CFA38_.wvu.FilterData" localSheetId="7" hidden="1">#REF!</definedName>
    <definedName name="Z_18B7B7A5_CB81_11D4_B8D9_00D0B79CFA38_.wvu.FilterData" localSheetId="6" hidden="1">#REF!</definedName>
    <definedName name="Z_18B7B7A5_CB81_11D4_B8D9_00D0B79CFA38_.wvu.FilterData" hidden="1">#REF!</definedName>
    <definedName name="Z_1E68EE86_CB81_11D4_8D98_0008C73BAB8A_.wvu.FilterData" localSheetId="1" hidden="1">#REF!</definedName>
    <definedName name="Z_1E68EE86_CB81_11D4_8D98_0008C73BAB8A_.wvu.FilterData" localSheetId="3" hidden="1">#REF!</definedName>
    <definedName name="Z_1E68EE86_CB81_11D4_8D98_0008C73BAB8A_.wvu.FilterData" localSheetId="7" hidden="1">#REF!</definedName>
    <definedName name="Z_1E68EE86_CB81_11D4_8D98_0008C73BAB8A_.wvu.FilterData" localSheetId="6" hidden="1">#REF!</definedName>
    <definedName name="Z_1E68EE86_CB81_11D4_8D98_0008C73BAB8A_.wvu.FilterData" hidden="1">#REF!</definedName>
    <definedName name="Z_6C188702_CB61_11D4_8F58_00508BF61DE6_.wvu.FilterData" localSheetId="1" hidden="1">#REF!</definedName>
    <definedName name="Z_6C188702_CB61_11D4_8F58_00508BF61DE6_.wvu.FilterData" localSheetId="3" hidden="1">#REF!</definedName>
    <definedName name="Z_6C188702_CB61_11D4_8F58_00508BF61DE6_.wvu.FilterData" localSheetId="7" hidden="1">#REF!</definedName>
    <definedName name="Z_6C188702_CB61_11D4_8F58_00508BF61DE6_.wvu.FilterData" localSheetId="6" hidden="1">#REF!</definedName>
    <definedName name="Z_6C188702_CB61_11D4_8F58_00508BF61DE6_.wvu.FilterData" hidden="1">#REF!</definedName>
    <definedName name="Z_A56863A1_CC32_11D4_8E20_00D0B79C982E_.wvu.FilterData" localSheetId="1" hidden="1">#REF!</definedName>
    <definedName name="Z_A56863A1_CC32_11D4_8E20_00D0B79C982E_.wvu.FilterData" localSheetId="3" hidden="1">#REF!</definedName>
    <definedName name="Z_A56863A1_CC32_11D4_8E20_00D0B79C982E_.wvu.FilterData" localSheetId="7" hidden="1">#REF!</definedName>
    <definedName name="Z_A56863A1_CC32_11D4_8E20_00D0B79C982E_.wvu.FilterData" localSheetId="6" hidden="1">#REF!</definedName>
    <definedName name="Z_A56863A1_CC32_11D4_8E20_00D0B79C982E_.wvu.FilterData" hidden="1">#REF!</definedName>
    <definedName name="zzz" hidden="1">{#N/A,#N/A,FALSE,"이력서&amp;자기소개서"}</definedName>
    <definedName name="ㄱㄱ" hidden="1">{"'용역비'!$A$4:$C$8"}</definedName>
    <definedName name="ㄱㄱㄱ" hidden="1">{"'용역비'!$A$4:$C$8"}</definedName>
    <definedName name="ㄱㄱㄱㄱㄱ" hidden="1">{#N/A,#N/A,FALSE,"교리2"}</definedName>
    <definedName name="ㄱㄱㄱㄱㄱㄱ" hidden="1">{"'용역비'!$A$4:$C$8"}</definedName>
    <definedName name="ㄱㅎ" hidden="1">{"'용역비'!$A$4:$C$8"}</definedName>
    <definedName name="가" localSheetId="1">#REF!</definedName>
    <definedName name="가" localSheetId="3">#REF!</definedName>
    <definedName name="가" localSheetId="7">#REF!</definedName>
    <definedName name="가" localSheetId="4">#REF!</definedName>
    <definedName name="가" localSheetId="6">#REF!</definedName>
    <definedName name="가">#REF!</definedName>
    <definedName name="가감금액비교표" localSheetId="1">[23]!StartSeller</definedName>
    <definedName name="가감금액비교표" localSheetId="3">[23]!StartSeller</definedName>
    <definedName name="가감금액비교표" localSheetId="7">[23]!StartSeller</definedName>
    <definedName name="가감금액비교표" localSheetId="4">[23]!StartSeller</definedName>
    <definedName name="가감금액비교표" localSheetId="6">[23]!StartSeller</definedName>
    <definedName name="가감금액비교표">[23]!StartSeller</definedName>
    <definedName name="간지3" hidden="1">{"'용역비'!$A$4:$C$8"}</definedName>
    <definedName name="감가" hidden="1">{"'2분기예산별'!$B$2:$O$38"}</definedName>
    <definedName name="감가3" hidden="1">{"'2분기예산별'!$B$2:$O$38"}</definedName>
    <definedName name="감가상각미화" hidden="1">{#N/A,#N/A,FALSE,"이력서&amp;자기소개서"}</definedName>
    <definedName name="감복만" hidden="1">{#N/A,#N/A,FALSE,"교리2"}</definedName>
    <definedName name="감승주" hidden="1">{#N/A,#N/A,FALSE,"교리2"}</definedName>
    <definedName name="갑지" localSheetId="1" hidden="1">[24]내역서!#REF!</definedName>
    <definedName name="갑지" localSheetId="3" hidden="1">[24]내역서!#REF!</definedName>
    <definedName name="갑지" localSheetId="7" hidden="1">[24]내역서!#REF!</definedName>
    <definedName name="갑지" localSheetId="6" hidden="1">[24]내역서!#REF!</definedName>
    <definedName name="갑지" hidden="1">[24]내역서!#REF!</definedName>
    <definedName name="강남" hidden="1">{#N/A,#N/A,FALSE,"97년 투자계획 세부내역 "}</definedName>
    <definedName name="강북" hidden="1">{#N/A,#N/A,FALSE,"97년 투자계획 세부내역 "}</definedName>
    <definedName name="강서" hidden="1">{#N/A,#N/A,FALSE,"97년 투자계획 세부내역 "}</definedName>
    <definedName name="개요_본사" hidden="1">{#N/A,#N/A,FALSE,"97년 투자계획 세부내역 "}</definedName>
    <definedName name="거" hidden="1">{#N/A,#N/A,FALSE,"97년 투자계획 세부내역 "}</definedName>
    <definedName name="건비" hidden="1">{"'2분기예산별'!$B$2:$O$38"}</definedName>
    <definedName name="겨격" localSheetId="1" hidden="1">#REF!</definedName>
    <definedName name="겨격" localSheetId="3" hidden="1">#REF!</definedName>
    <definedName name="겨격" localSheetId="7" hidden="1">#REF!</definedName>
    <definedName name="겨격" localSheetId="6" hidden="1">#REF!</definedName>
    <definedName name="겨격" hidden="1">#REF!</definedName>
    <definedName name="견적금액">#N/A</definedName>
    <definedName name="견적금액비교">[25]소비자가!$I$46:$J$1593</definedName>
    <definedName name="견적서" localSheetId="1">[7]!StartSeller</definedName>
    <definedName name="견적서" localSheetId="3">[7]!StartSeller</definedName>
    <definedName name="견적서" localSheetId="7">[7]!StartSeller</definedName>
    <definedName name="견적서" localSheetId="4">[7]!StartSeller</definedName>
    <definedName name="견적서" localSheetId="6">[7]!StartSeller</definedName>
    <definedName name="견적서">[7]!StartSeller</definedName>
    <definedName name="견적서2" localSheetId="1">[7]!견적서2</definedName>
    <definedName name="견적서2" localSheetId="3">[7]!견적서2</definedName>
    <definedName name="견적서2" localSheetId="7">[7]!견적서2</definedName>
    <definedName name="견적서2" localSheetId="4">[7]!견적서2</definedName>
    <definedName name="견적서2" localSheetId="6">[7]!견적서2</definedName>
    <definedName name="견적서2">[7]!견적서2</definedName>
    <definedName name="견적서B" localSheetId="1">[7]!StartSeller</definedName>
    <definedName name="견적서B" localSheetId="3">[7]!StartSeller</definedName>
    <definedName name="견적서B" localSheetId="7">[7]!StartSeller</definedName>
    <definedName name="견적서B" localSheetId="4">[7]!StartSeller</definedName>
    <definedName name="견적서B" localSheetId="6">[7]!StartSeller</definedName>
    <definedName name="견적서B">[7]!StartSeller</definedName>
    <definedName name="견적조건" hidden="1">{#N/A,#N/A,FALSE,"CCTV"}</definedName>
    <definedName name="견적조건8" hidden="1">{#N/A,#N/A,FALSE,"CCTV"}</definedName>
    <definedName name="결제">#N/A</definedName>
    <definedName name="결제금액">#N/A</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비집계" hidden="1">{"'용역비'!$A$4:$C$8"}</definedName>
    <definedName name="경산"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경쟁사동향" hidden="1">{#N/A,#N/A,FALSE,"97년 투자계획 세부내역 "}</definedName>
    <definedName name="고" hidden="1">{"'통신지'!$A$1:$J$41"}</definedName>
    <definedName name="고고" hidden="1">{"'통신지'!$A$1:$J$41"}</definedName>
    <definedName name="고재석" hidden="1">{#N/A,#N/A,FALSE,"97년 투자계획 세부내역 "}</definedName>
    <definedName name="공간" hidden="1">5</definedName>
    <definedName name="공량">[26]갑지!$I$2</definedName>
    <definedName name="공문" hidden="1">{#N/A,#N/A,FALSE,"자재관리";#N/A,#N/A,FALSE,"자재관리";#N/A,#N/A,FALSE,"자재관리"}</definedName>
    <definedName name="공문1" hidden="1">{#N/A,#N/A,FALSE,"자재관리";#N/A,#N/A,FALSE,"자재관리";#N/A,#N/A,FALSE,"자재관리"}</definedName>
    <definedName name="공사명__삼성본관_지하주차장_도장공사" localSheetId="1">#REF!</definedName>
    <definedName name="공사명__삼성본관_지하주차장_도장공사" localSheetId="3">#REF!</definedName>
    <definedName name="공사명__삼성본관_지하주차장_도장공사" localSheetId="7">#REF!</definedName>
    <definedName name="공사명__삼성본관_지하주차장_도장공사" localSheetId="4">#REF!</definedName>
    <definedName name="공사명__삼성본관_지하주차장_도장공사" localSheetId="6">#REF!</definedName>
    <definedName name="공사명__삼성본관_지하주차장_도장공사">#REF!</definedName>
    <definedName name="공사잔금">#N/A</definedName>
    <definedName name="공양식" hidden="1">{#N/A,#N/A,FALSE,"교리2"}</definedName>
    <definedName name="공정표" localSheetId="1">'[15]Customer Databas'!#REF!</definedName>
    <definedName name="공정표" localSheetId="3">'[15]Customer Databas'!#REF!</definedName>
    <definedName name="공정표" localSheetId="7">'[15]Customer Databas'!#REF!</definedName>
    <definedName name="공정표" localSheetId="4">'[15]Customer Databas'!#REF!</definedName>
    <definedName name="공정표" localSheetId="6">'[15]Customer Databas'!#REF!</definedName>
    <definedName name="공정표">'[15]Customer Databas'!#REF!</definedName>
    <definedName name="공종">#N/A</definedName>
    <definedName name="공주2" hidden="1">{#N/A,#N/A,FALSE,"동부"}</definedName>
    <definedName name="공지" localSheetId="1">#REF!</definedName>
    <definedName name="공지" localSheetId="3">#REF!</definedName>
    <definedName name="공지" localSheetId="7">#REF!</definedName>
    <definedName name="공지" localSheetId="4">#REF!</definedName>
    <definedName name="공지" localSheetId="6">#REF!</definedName>
    <definedName name="공지">#REF!</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자관" hidden="1">{#N/A,#N/A,FALSE,"신청통보";#N/A,#N/A,FALSE,"기성확인서";#N/A,#N/A,FALSE,"기성내역서"}</definedName>
    <definedName name="국기원" localSheetId="1">[7]!국기원</definedName>
    <definedName name="국기원" localSheetId="3">[7]!국기원</definedName>
    <definedName name="국기원" localSheetId="7">[7]!국기원</definedName>
    <definedName name="국기원" localSheetId="4">[7]!국기원</definedName>
    <definedName name="국기원" localSheetId="6">[7]!국기원</definedName>
    <definedName name="국기원">[7]!국기원</definedName>
    <definedName name="권대협" hidden="1">{#N/A,#N/A,FALSE,"CCTV"}</definedName>
    <definedName name="규격">#N/A</definedName>
    <definedName name="근무_부서" localSheetId="1">#REF!</definedName>
    <definedName name="근무_부서" localSheetId="3">#REF!</definedName>
    <definedName name="근무_부서" localSheetId="7">#REF!</definedName>
    <definedName name="근무_부서" localSheetId="4">#REF!</definedName>
    <definedName name="근무_부서" localSheetId="6">#REF!</definedName>
    <definedName name="근무_부서">#REF!</definedName>
    <definedName name="글쎄" hidden="1">{#N/A,#N/A,FALSE,"97년 투자계획 세부내역 "}</definedName>
    <definedName name="금액" localSheetId="1">#REF!</definedName>
    <definedName name="금액" localSheetId="3">#REF!</definedName>
    <definedName name="금액" localSheetId="7">#REF!</definedName>
    <definedName name="금액" localSheetId="4">#REF!</definedName>
    <definedName name="금액" localSheetId="6">#REF!</definedName>
    <definedName name="금액">#REF!</definedName>
    <definedName name="급여" localSheetId="1">#REF!</definedName>
    <definedName name="급여" localSheetId="3">#REF!</definedName>
    <definedName name="급여" localSheetId="7">#REF!</definedName>
    <definedName name="급여" localSheetId="4">#REF!</definedName>
    <definedName name="급여" localSheetId="6">#REF!</definedName>
    <definedName name="급여">#REF!</definedName>
    <definedName name="기" hidden="1">{#N/A,#N/A,TRUE,"자재관리";#N/A,#N/A,TRUE,"품질"}</definedName>
    <definedName name="기계단가1" hidden="1">{#N/A,#N/A,FALSE,"전력간선"}</definedName>
    <definedName name="기성2" localSheetId="1">#REF!</definedName>
    <definedName name="기성2" localSheetId="3">#REF!</definedName>
    <definedName name="기성2" localSheetId="7">#REF!</definedName>
    <definedName name="기성2" localSheetId="4">#REF!</definedName>
    <definedName name="기성2" localSheetId="6">#REF!</definedName>
    <definedName name="기성2">#REF!</definedName>
    <definedName name="기성3" hidden="1">{#N/A,#N/A,FALSE,"CCTV"}</definedName>
    <definedName name="기성갑" localSheetId="1" hidden="1">#REF!</definedName>
    <definedName name="기성갑" localSheetId="3" hidden="1">#REF!</definedName>
    <definedName name="기성갑" localSheetId="7" hidden="1">#REF!</definedName>
    <definedName name="기성갑" localSheetId="6" hidden="1">#REF!</definedName>
    <definedName name="기성갑" hidden="1">#REF!</definedName>
    <definedName name="기술료산출표" hidden="1">{"'용역비'!$A$4:$C$8"}</definedName>
    <definedName name="기안갑" localSheetId="1">#REF!</definedName>
    <definedName name="기안갑" localSheetId="3">#REF!</definedName>
    <definedName name="기안갑" localSheetId="7">#REF!</definedName>
    <definedName name="기안갑" localSheetId="4">#REF!</definedName>
    <definedName name="기안갑" localSheetId="6">#REF!</definedName>
    <definedName name="기안갑">#REF!</definedName>
    <definedName name="기안을" localSheetId="1">#REF!</definedName>
    <definedName name="기안을" localSheetId="3">#REF!</definedName>
    <definedName name="기안을" localSheetId="7">#REF!</definedName>
    <definedName name="기안을" localSheetId="4">#REF!</definedName>
    <definedName name="기안을" localSheetId="6">#REF!</definedName>
    <definedName name="기안을">#REF!</definedName>
    <definedName name="기전내역" localSheetId="1">[7]!StartSeller</definedName>
    <definedName name="기전내역" localSheetId="3">[7]!StartSeller</definedName>
    <definedName name="기전내역" localSheetId="7">[7]!StartSeller</definedName>
    <definedName name="기전내역" localSheetId="4">[7]!StartSeller</definedName>
    <definedName name="기전내역" localSheetId="6">[7]!StartSeller</definedName>
    <definedName name="기전내역">[7]!StartSeller</definedName>
    <definedName name="기타경비" hidden="1">{#N/A,#N/A,TRUE,"토적및재료집계";#N/A,#N/A,TRUE,"토적및재료집계";#N/A,#N/A,TRUE,"단위량"}</definedName>
    <definedName name="기타세" localSheetId="1">[27]납부서!#REF!</definedName>
    <definedName name="기타세" localSheetId="3">[27]납부서!#REF!</definedName>
    <definedName name="기타세" localSheetId="7">[27]납부서!#REF!</definedName>
    <definedName name="기타세" localSheetId="4">[27]납부서!#REF!</definedName>
    <definedName name="기타세" localSheetId="6">[27]납부서!#REF!</definedName>
    <definedName name="기타세">[27]납부서!#REF!</definedName>
    <definedName name="기타주민세" localSheetId="1">[27]납부서!#REF!</definedName>
    <definedName name="기타주민세" localSheetId="3">[27]납부서!#REF!</definedName>
    <definedName name="기타주민세" localSheetId="7">[27]납부서!#REF!</definedName>
    <definedName name="기타주민세" localSheetId="4">[27]납부서!#REF!</definedName>
    <definedName name="기타주민세" localSheetId="6">[27]납부서!#REF!</definedName>
    <definedName name="기타주민세">[27]납부서!#REF!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{#N/A,#N/A,FALSE,"97년 투자계획 세부내역 "}</definedName>
    <definedName name="김봉만" hidden="1">{#N/A,#N/A,FALSE,"교리2"}</definedName>
    <definedName name="김승주" hidden="1">{#N/A,#N/A,FALSE,"교리2"}</definedName>
    <definedName name="ㄳㄱ" hidden="1">{"'용역비'!$A$4:$C$8"}</definedName>
    <definedName name="ㄳㄳㄳㄳ" hidden="1">{"'용역비'!$A$4:$C$8"}</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1" hidden="1">[28]내역서!#REF!</definedName>
    <definedName name="ㄴㄴ" localSheetId="3" hidden="1">[28]내역서!#REF!</definedName>
    <definedName name="ㄴㄴ" localSheetId="7" hidden="1">[28]내역서!#REF!</definedName>
    <definedName name="ㄴㄴ" localSheetId="6" hidden="1">[28]내역서!#REF!</definedName>
    <definedName name="ㄴㄴ" hidden="1">[28]내역서!#REF!</definedName>
    <definedName name="ㄴㄴㄴ" hidden="1">{#N/A,#N/A,FALSE,"자재관리";#N/A,#N/A,FALSE,"자재관리";#N/A,#N/A,FALSE,"자재관리"}</definedName>
    <definedName name="ㄴㄴㄴㄴㄴ" hidden="1">{#N/A,#N/A,TRUE,"자재관리";#N/A,#N/A,TRUE,"품질"}</definedName>
    <definedName name="ㄴㅁㅁㅁ" hidden="1">{#N/A,#N/A,FALSE,"자재관리";#N/A,#N/A,FALSE,"자재관리";#N/A,#N/A,FALSE,"자재관리"}</definedName>
    <definedName name="ㄴㅇㄴ"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ㄴㅇㄹ" hidden="1">{"'용역비'!$A$4:$C$8"}</definedName>
    <definedName name="ㄴㅇㄹㅇㄴㄹㅇㄴㄹ" hidden="1">{"'용역비'!$A$4:$C$8"}</definedName>
    <definedName name="ㄴㅇㄻㄴㅇㄹ" hidden="1">{"'용역비'!$A$4:$C$8"}</definedName>
    <definedName name="ㄴ촘여ㅣㄷ" localSheetId="1">[7]!StartSeller</definedName>
    <definedName name="ㄴ촘여ㅣㄷ" localSheetId="3">[7]!StartSeller</definedName>
    <definedName name="ㄴ촘여ㅣㄷ" localSheetId="7">[7]!StartSeller</definedName>
    <definedName name="ㄴ촘여ㅣㄷ" localSheetId="4">[7]!StartSeller</definedName>
    <definedName name="ㄴ촘여ㅣㄷ" localSheetId="6">[7]!StartSeller</definedName>
    <definedName name="ㄴ촘여ㅣㄷ">[7]!StartSeller</definedName>
    <definedName name="ㄴㅌㄴㅌ" hidden="1">{#N/A,#N/A,FALSE,"CCTV"}</definedName>
    <definedName name="나" hidden="1">{#N/A,#N/A,FALSE,"교리2"}</definedName>
    <definedName name="나도">[29]내역!$AH$3</definedName>
    <definedName name="내역" localSheetId="1" hidden="1">[2]금융!#REF!</definedName>
    <definedName name="내역" localSheetId="3" hidden="1">[2]금융!#REF!</definedName>
    <definedName name="내역" localSheetId="7" hidden="1">[2]금융!#REF!</definedName>
    <definedName name="내역" localSheetId="4" hidden="1">[2]금융!#REF!</definedName>
    <definedName name="내역" localSheetId="6" hidden="1">[2]금융!#REF!</definedName>
    <definedName name="내역" hidden="1">[2]금융!#REF!</definedName>
    <definedName name="내역1228" localSheetId="1">[7]!StartSeller</definedName>
    <definedName name="내역1228" localSheetId="3">[7]!StartSeller</definedName>
    <definedName name="내역1228" localSheetId="7">[7]!StartSeller</definedName>
    <definedName name="내역1228" localSheetId="4">[7]!StartSeller</definedName>
    <definedName name="내역1228" localSheetId="6">[7]!StartSeller</definedName>
    <definedName name="내역1228">[7]!StartSeller</definedName>
    <definedName name="내역2" localSheetId="1">[7]!StartSeller</definedName>
    <definedName name="내역2" localSheetId="3">[7]!StartSeller</definedName>
    <definedName name="내역2" localSheetId="7">[7]!StartSeller</definedName>
    <definedName name="내역2" localSheetId="4">[7]!StartSeller</definedName>
    <definedName name="내역2" localSheetId="6">[7]!StartSeller</definedName>
    <definedName name="내역2">[7]!StartSeller</definedName>
    <definedName name="내역3" localSheetId="1">[7]!StartSeller</definedName>
    <definedName name="내역3" localSheetId="3">[7]!StartSeller</definedName>
    <definedName name="내역3" localSheetId="7">[7]!StartSeller</definedName>
    <definedName name="내역3" localSheetId="4">[7]!StartSeller</definedName>
    <definedName name="내역3" localSheetId="6">[7]!StartSeller</definedName>
    <definedName name="내역3">[7]!StartSeller</definedName>
    <definedName name="내역3개층" localSheetId="1">[7]!StartChart</definedName>
    <definedName name="내역3개층" localSheetId="3">[7]!StartChart</definedName>
    <definedName name="내역3개층" localSheetId="7">[7]!StartChart</definedName>
    <definedName name="내역3개층" localSheetId="4">[7]!StartChart</definedName>
    <definedName name="내역3개층" localSheetId="6">[7]!StartChart</definedName>
    <definedName name="내역3개층">[7]!StartChart</definedName>
    <definedName name="내역4" localSheetId="1">[7]!StartSeller</definedName>
    <definedName name="내역4" localSheetId="3">[7]!StartSeller</definedName>
    <definedName name="내역4" localSheetId="7">[7]!StartSeller</definedName>
    <definedName name="내역4" localSheetId="4">[7]!StartSeller</definedName>
    <definedName name="내역4" localSheetId="6">[7]!StartSeller</definedName>
    <definedName name="내역4">[7]!StartSeller</definedName>
    <definedName name="내역5" localSheetId="1">[7]!StartSeller</definedName>
    <definedName name="내역5" localSheetId="3">[7]!StartSeller</definedName>
    <definedName name="내역5" localSheetId="7">[7]!StartSeller</definedName>
    <definedName name="내역5" localSheetId="4">[7]!StartSeller</definedName>
    <definedName name="내역5" localSheetId="6">[7]!StartSeller</definedName>
    <definedName name="내역5">[7]!StartSeller</definedName>
    <definedName name="내역서" localSheetId="1">#REF!</definedName>
    <definedName name="내역서" localSheetId="3">#REF!</definedName>
    <definedName name="내역서" localSheetId="7">#REF!</definedName>
    <definedName name="내역서" localSheetId="4">#REF!</definedName>
    <definedName name="내역서" localSheetId="6">#REF!</definedName>
    <definedName name="내역서">#REF!</definedName>
    <definedName name="년간용역비비교" hidden="1">{"'용역비'!$A$4:$C$8"}</definedName>
    <definedName name="노무공량" localSheetId="1">#REF!</definedName>
    <definedName name="노무공량" localSheetId="3">#REF!</definedName>
    <definedName name="노무공량" localSheetId="7">#REF!</definedName>
    <definedName name="노무공량" localSheetId="4">#REF!</definedName>
    <definedName name="노무공량" localSheetId="6">#REF!</definedName>
    <definedName name="노무공량">#REF!</definedName>
    <definedName name="ㄷ" hidden="1">{#N/A,#N/A,TRUE,"토적및재료집계";#N/A,#N/A,TRUE,"토적및재료집계";#N/A,#N/A,TRUE,"단위량"}</definedName>
    <definedName name="ㄷ6ㅓ" hidden="1">{"'용역비'!$A$4:$C$8"}</definedName>
    <definedName name="ㄷㄱㄷㄱㄷㄱ" hidden="1">{"'용역비'!$A$4:$C$8"}</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ㄱㄱ" hidden="1">{"'용역비'!$A$4:$C$8"}</definedName>
    <definedName name="ㄷㄷㄷㄷㄷ" hidden="1">{#N/A,#N/A,FALSE,"동부"}</definedName>
    <definedName name="ㄷㄷㄷㄷㅈㅈㅈㅈ" hidden="1">{"'통신지'!$A$1:$J$41"}</definedName>
    <definedName name="ㄷㅍㅂ" hidden="1">{"'용역비'!$A$4:$C$8"}</definedName>
    <definedName name="단가산출서" hidden="1">{#N/A,#N/A,FALSE,"전력간선"}</definedName>
    <definedName name="단위">#N/A</definedName>
    <definedName name="대구" hidden="1">{#N/A,#N/A,TRUE,"대 차 대 조 표"}</definedName>
    <definedName name="대구200203빌딩별임차현황" hidden="1">{#N/A,#N/A,FALSE,"동부"}</definedName>
    <definedName name="대구200207" hidden="1">{#N/A,#N/A,FALSE,"동부"}</definedName>
    <definedName name="대구대구" hidden="1">{#N/A,#N/A,FALSE,"동부"}</definedName>
    <definedName name="대덕" hidden="1">{#N/A,#N/A,FALSE,"CCTV"}</definedName>
    <definedName name="대비" hidden="1">{#N/A,#N/A,FALSE,"CCTV"}</definedName>
    <definedName name="대흥" hidden="1">{#N/A,#N/A,TRUE,"대 차 대 조 표"}</definedName>
    <definedName name="돼지" hidden="1">{#N/A,#N/A,TRUE,"대 차 대 조 표"}</definedName>
    <definedName name="등급급여인상" localSheetId="1" hidden="1">#REF!</definedName>
    <definedName name="등급급여인상" localSheetId="3" hidden="1">#REF!</definedName>
    <definedName name="등급급여인상" localSheetId="7" hidden="1">#REF!</definedName>
    <definedName name="등급급여인상" localSheetId="6" hidden="1">#REF!</definedName>
    <definedName name="등급급여인상" hidden="1">#REF!</definedName>
    <definedName name="ㄹ" hidden="1">{#N/A,#N/A,TRUE,"토적및재료집계";#N/A,#N/A,TRUE,"토적및재료집계";#N/A,#N/A,TRUE,"단위량"}</definedName>
    <definedName name="ㄹ32" localSheetId="1" hidden="1">#REF!</definedName>
    <definedName name="ㄹ32" localSheetId="3" hidden="1">#REF!</definedName>
    <definedName name="ㄹ32" localSheetId="7" hidden="1">#REF!</definedName>
    <definedName name="ㄹ32" localSheetId="6" hidden="1">#REF!</definedName>
    <definedName name="ㄹ32" hidden="1">#REF!</definedName>
    <definedName name="ㄹㄹ" hidden="1">{"'용역비'!$A$4:$C$8"}</definedName>
    <definedName name="ㄹㄹㄷㄹ" hidden="1">{#N/A,#N/A,TRUE,"대 차 대 조 표"}</definedName>
    <definedName name="ㄹㄹㄹ" localSheetId="1" hidden="1">#REF!</definedName>
    <definedName name="ㄹㄹㄹ" localSheetId="3" hidden="1">#REF!</definedName>
    <definedName name="ㄹㄹㄹ" localSheetId="7" hidden="1">#REF!</definedName>
    <definedName name="ㄹㄹㄹ" localSheetId="4" hidden="1">#REF!</definedName>
    <definedName name="ㄹㄹㄹ" localSheetId="6" hidden="1">#REF!</definedName>
    <definedName name="ㄹㄹㄹ" hidden="1">#REF!</definedName>
    <definedName name="ㄹ하ㅓ" localSheetId="1">#REF!</definedName>
    <definedName name="ㄹ하ㅓ" localSheetId="3">#REF!</definedName>
    <definedName name="ㄹ하ㅓ" localSheetId="7">#REF!</definedName>
    <definedName name="ㄹ하ㅓ" localSheetId="4">#REF!</definedName>
    <definedName name="ㄹ하ㅓ" localSheetId="6">#REF!</definedName>
    <definedName name="ㄹ하ㅓ">#REF!</definedName>
    <definedName name="ㄹ혻" hidden="1">{"'용역비'!$A$4:$C$8"}</definedName>
    <definedName name="러헐" hidden="1">{#N/A,#N/A,FALSE,"도급대비시행율";#N/A,#N/A,FALSE,"결의서";#N/A,#N/A,FALSE,"내역서";#N/A,#N/A,FALSE,"도급예상"}</definedName>
    <definedName name="료" hidden="1">{"'용역비'!$A$4:$C$8"}</definedName>
    <definedName name="ㅀ" localSheetId="1" hidden="1">[30]내역서!#REF!</definedName>
    <definedName name="ㅀ" localSheetId="3" hidden="1">[30]내역서!#REF!</definedName>
    <definedName name="ㅀ" localSheetId="7" hidden="1">[30]내역서!#REF!</definedName>
    <definedName name="ㅀ" localSheetId="6" hidden="1">[30]내역서!#REF!</definedName>
    <definedName name="ㅀ" hidden="1">[30]내역서!#REF!</definedName>
    <definedName name="ㅀ허" hidden="1">{#N/A,#N/A,FALSE,"CCTV"}</definedName>
    <definedName name="ㅁ" hidden="1">{#N/A,#N/A,FALSE,"자재관리";#N/A,#N/A,FALSE,"자재관리";#N/A,#N/A,FALSE,"자재관리"}</definedName>
    <definedName name="ㅁ01" localSheetId="1">#REF!</definedName>
    <definedName name="ㅁ01" localSheetId="3">#REF!</definedName>
    <definedName name="ㅁ01" localSheetId="7">#REF!</definedName>
    <definedName name="ㅁ01" localSheetId="4">#REF!</definedName>
    <definedName name="ㅁ01" localSheetId="6">#REF!</definedName>
    <definedName name="ㅁ01">#REF!</definedName>
    <definedName name="ㅁㄱㄷ" hidden="1">{#N/A,#N/A,FALSE,"자재관리";#N/A,#N/A,FALSE,"자재관리";#N/A,#N/A,FALSE,"자재관리"}</definedName>
    <definedName name="ㅁㄴㅇㄻㄴㅇㄹㄴㅁㅎㄴㅇㅎ" hidden="1">{"'용역비'!$A$4:$C$8"}</definedName>
    <definedName name="ㅁㄴㅇㅁ" hidden="1">{"'용역비'!$A$4:$C$8"}</definedName>
    <definedName name="ㅁㅁ" hidden="1">{#N/A,#N/A,FALSE,"전력간선"}</definedName>
    <definedName name="ㅁㅁㅁ" localSheetId="1">[7]!ㅁㅁㅁ</definedName>
    <definedName name="ㅁㅁㅁ" localSheetId="3">[7]!ㅁㅁㅁ</definedName>
    <definedName name="ㅁㅁㅁ" localSheetId="7">[7]!ㅁㅁㅁ</definedName>
    <definedName name="ㅁㅁㅁ" localSheetId="4">[7]!ㅁㅁㅁ</definedName>
    <definedName name="ㅁㅁㅁ" localSheetId="6">[7]!ㅁㅁㅁ</definedName>
    <definedName name="ㅁㅁㅁ">[7]!ㅁㅁㅁ</definedName>
    <definedName name="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ㅁㅁㅁㅁㅁㅁㅁㅁ" hidden="1">{"'용역비'!$A$4:$C$8"}</definedName>
    <definedName name="ㅁㅁㅁㅂ" hidden="1">{"'용역비'!$A$4:$C$8"}</definedName>
    <definedName name="ㅁㅇ" hidden="1">{#N/A,#N/A,FALSE,"자재관리";#N/A,#N/A,FALSE,"자재관리";#N/A,#N/A,FALSE,"자재관리"}</definedName>
    <definedName name="ㅁㅇㅁㄴㅇ" hidden="1">{"'용역비'!$A$4:$C$8"}</definedName>
    <definedName name="만" localSheetId="1">[31]환산!#REF!</definedName>
    <definedName name="만" localSheetId="3">[31]환산!#REF!</definedName>
    <definedName name="만" localSheetId="7">[31]환산!#REF!</definedName>
    <definedName name="만" localSheetId="4">[31]환산!#REF!</definedName>
    <definedName name="만" localSheetId="6">[31]환산!#REF!</definedName>
    <definedName name="만">[31]환산!#REF!</definedName>
    <definedName name="매매일">[32]기본사항!$G$21</definedName>
    <definedName name="매매주식수">[32]기본사항!$G$18</definedName>
    <definedName name="멋저" localSheetId="1">[7]!멋저</definedName>
    <definedName name="멋저" localSheetId="3">[7]!멋저</definedName>
    <definedName name="멋저" localSheetId="7">[7]!멋저</definedName>
    <definedName name="멋저" localSheetId="4">[7]!멋저</definedName>
    <definedName name="멋저" localSheetId="6">[7]!멋저</definedName>
    <definedName name="멋저">[7]!멋저</definedName>
    <definedName name="메롱" hidden="1">{#N/A,#N/A,FALSE,"동부"}</definedName>
    <definedName name="명칭" localSheetId="1">[33]내역!#REF!</definedName>
    <definedName name="명칭" localSheetId="3">[33]내역!#REF!</definedName>
    <definedName name="명칭" localSheetId="7">[33]내역!#REF!</definedName>
    <definedName name="명칭" localSheetId="4">[33]내역!#REF!</definedName>
    <definedName name="명칭" localSheetId="6">[33]내역!#REF!</definedName>
    <definedName name="명칭">[33]내역!#REF!</definedName>
    <definedName name="모빌랙A" localSheetId="1">[7]!모빌랙A</definedName>
    <definedName name="모빌랙A" localSheetId="3">[7]!모빌랙A</definedName>
    <definedName name="모빌랙A" localSheetId="7">[7]!모빌랙A</definedName>
    <definedName name="모빌랙A" localSheetId="4">[7]!모빌랙A</definedName>
    <definedName name="모빌랙A" localSheetId="6">[7]!모빌랙A</definedName>
    <definedName name="모빌랙A">[7]!모빌랙A</definedName>
    <definedName name="목표" hidden="1">{#N/A,#N/A,FALSE,"자재관리";#N/A,#N/A,FALSE,"자재관리";#N/A,#N/A,FALSE,"자재관리"}</definedName>
    <definedName name="문자열" localSheetId="1">#REF!</definedName>
    <definedName name="문자열" localSheetId="3">#REF!</definedName>
    <definedName name="문자열" localSheetId="7">#REF!</definedName>
    <definedName name="문자열" localSheetId="4">#REF!</definedName>
    <definedName name="문자열" localSheetId="6">#REF!</definedName>
    <definedName name="문자열">#REF!</definedName>
    <definedName name="물가자료" localSheetId="1">#REF!</definedName>
    <definedName name="물가자료" localSheetId="3">#REF!</definedName>
    <definedName name="물가자료" localSheetId="7">#REF!</definedName>
    <definedName name="물가자료" localSheetId="4">#REF!</definedName>
    <definedName name="물가자료" localSheetId="6">#REF!</definedName>
    <definedName name="물가자료">#REF!</definedName>
    <definedName name="미화" hidden="1">{#N/A,#N/A,FALSE,"이력서&amp;자기소개서"}</definedName>
    <definedName name="미화2" hidden="1">{#N/A,#N/A,FALSE,"이력서&amp;자기소개서"}</definedName>
    <definedName name="미화원" hidden="1">{#N/A,#N/A,FALSE,"이력서&amp;자기소개서"}</definedName>
    <definedName name="ㅂㅁㅋ" hidden="1">{"'용역비'!$A$4:$C$8"}</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ㅂ" localSheetId="1">[34]집계!#REF!</definedName>
    <definedName name="ㅂㅂㅂ" localSheetId="3">[34]집계!#REF!</definedName>
    <definedName name="ㅂㅂㅂ" localSheetId="7">[34]집계!#REF!</definedName>
    <definedName name="ㅂㅂㅂ" localSheetId="4">[34]집계!#REF!</definedName>
    <definedName name="ㅂㅂㅂ" localSheetId="6">[34]집계!#REF!</definedName>
    <definedName name="ㅂㅂㅂ">[34]집계!#REF!</definedName>
    <definedName name="ㅂㅂㅂㅂㅂ" hidden="1">{"'별표'!$N$220"}</definedName>
    <definedName name="ㅂㅂㅂㅂㅂㅂ" hidden="1">{"'용역비'!$A$4:$C$8"}</definedName>
    <definedName name="ㅂㅋ" hidden="1">{"'용역비'!$A$4:$C$8"}</definedName>
    <definedName name="발주금액">#N/A</definedName>
    <definedName name="발행회사명">[32]기본사항!$G$16</definedName>
    <definedName name="방류펌프" localSheetId="1">#REF!</definedName>
    <definedName name="방류펌프" localSheetId="3">#REF!</definedName>
    <definedName name="방류펌프" localSheetId="7">#REF!</definedName>
    <definedName name="방류펌프" localSheetId="4">#REF!</definedName>
    <definedName name="방류펌프" localSheetId="6">#REF!</definedName>
    <definedName name="방류펌프">#REF!</definedName>
    <definedName name="배분전" hidden="1">{#N/A,#N/A,TRUE,"대 차 대 조 표"}</definedName>
    <definedName name="백" localSheetId="1">[31]환산!#REF!</definedName>
    <definedName name="백" localSheetId="3">[31]환산!#REF!</definedName>
    <definedName name="백" localSheetId="7">[31]환산!#REF!</definedName>
    <definedName name="백" localSheetId="4">[31]환산!#REF!</definedName>
    <definedName name="백" localSheetId="6">[31]환산!#REF!</definedName>
    <definedName name="백">[31]환산!#REF!</definedName>
    <definedName name="백만" localSheetId="1">[31]환산!#REF!</definedName>
    <definedName name="백만" localSheetId="3">[31]환산!#REF!</definedName>
    <definedName name="백만" localSheetId="7">[31]환산!#REF!</definedName>
    <definedName name="백만" localSheetId="4">[31]환산!#REF!</definedName>
    <definedName name="백만" localSheetId="6">[31]환산!#REF!</definedName>
    <definedName name="백만">[31]환산!#REF!</definedName>
    <definedName name="번호" localSheetId="1">#REF!</definedName>
    <definedName name="번호" localSheetId="3">#REF!</definedName>
    <definedName name="번호" localSheetId="7">#REF!</definedName>
    <definedName name="번호" localSheetId="4">#REF!</definedName>
    <definedName name="번호" localSheetId="6">#REF!</definedName>
    <definedName name="번호">#REF!</definedName>
    <definedName name="법인세" localSheetId="1">[27]납부서!#REF!</definedName>
    <definedName name="법인세" localSheetId="3">[27]납부서!#REF!</definedName>
    <definedName name="법인세" localSheetId="7">[27]납부서!#REF!</definedName>
    <definedName name="법인세" localSheetId="4">[27]납부서!#REF!</definedName>
    <definedName name="법인세" localSheetId="6">[27]납부서!#REF!</definedName>
    <definedName name="법인세">[27]납부서!#REF!</definedName>
    <definedName name="법인주민세" localSheetId="1">[27]납부서!#REF!</definedName>
    <definedName name="법인주민세" localSheetId="3">[27]납부서!#REF!</definedName>
    <definedName name="법인주민세" localSheetId="7">[27]납부서!#REF!</definedName>
    <definedName name="법인주민세" localSheetId="4">[27]납부서!#REF!</definedName>
    <definedName name="법인주민세" localSheetId="6">[27]납부서!#REF!</definedName>
    <definedName name="법인주민세">[27]납부서!#REF!</definedName>
    <definedName name="병" localSheetId="1">[7]!StartSeller</definedName>
    <definedName name="병" localSheetId="3">[7]!StartSeller</definedName>
    <definedName name="병" localSheetId="7">[7]!StartSeller</definedName>
    <definedName name="병" localSheetId="4">[7]!StartSeller</definedName>
    <definedName name="병" localSheetId="6">[7]!StartSeller</definedName>
    <definedName name="병">[7]!StartSeller</definedName>
    <definedName name="보수내역" localSheetId="1">[7]!StartChart</definedName>
    <definedName name="보수내역" localSheetId="3">[7]!StartChart</definedName>
    <definedName name="보수내역" localSheetId="7">[7]!StartChart</definedName>
    <definedName name="보수내역" localSheetId="4">[7]!StartChart</definedName>
    <definedName name="보수내역" localSheetId="6">[7]!StartChart</definedName>
    <definedName name="보수내역">[7]!StartChart</definedName>
    <definedName name="본상"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본점소재지">[32]기본사항!$G$17</definedName>
    <definedName name="부서" localSheetId="1">#REF!</definedName>
    <definedName name="부서" localSheetId="3">#REF!</definedName>
    <definedName name="부서" localSheetId="7">#REF!</definedName>
    <definedName name="부서" localSheetId="4">#REF!</definedName>
    <definedName name="부서" localSheetId="6">#REF!</definedName>
    <definedName name="부서">#REF!</definedName>
    <definedName name="비" hidden="1">{#N/A,#N/A,FALSE,"동부"}</definedName>
    <definedName name="비교" hidden="1">{#N/A,#N/A,FALSE,"이력서&amp;자기소개서"}</definedName>
    <definedName name="비교표">[35]소비자가!$I$46:$J$1593</definedName>
    <definedName name="비용" hidden="1">{"'용역비'!$A$4:$C$8"}</definedName>
    <definedName name="빌" hidden="1">{#N/A,#N/A,FALSE,"동부"}</definedName>
    <definedName name="빌딩" hidden="1">{#N/A,#N/A,FALSE,"동부"}</definedName>
    <definedName name="빌딩2" hidden="1">{#N/A,#N/A,FALSE,"동부"}</definedName>
    <definedName name="빌딩별2" hidden="1">{#N/A,#N/A,FALSE,"동부"}</definedName>
    <definedName name="빌딩별강남" hidden="1">{#N/A,#N/A,FALSE,"동부"}</definedName>
    <definedName name="ㅅ" hidden="1">{#N/A,#N/A,FALSE,"자재관리";#N/A,#N/A,FALSE,"자재관리";#N/A,#N/A,FALSE,"자재관리"}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사급자재비" localSheetId="1">#REF!</definedName>
    <definedName name="사급자재비" localSheetId="3">#REF!</definedName>
    <definedName name="사급자재비" localSheetId="7">#REF!</definedName>
    <definedName name="사급자재비" localSheetId="4">#REF!</definedName>
    <definedName name="사급자재비" localSheetId="6">#REF!</definedName>
    <definedName name="사급자재비">#REF!</definedName>
    <definedName name="사옥보수" hidden="1">{#N/A,#N/A,FALSE,"97년 투자계획 세부내역 "}</definedName>
    <definedName name="산출내역" localSheetId="1">#REF!</definedName>
    <definedName name="산출내역" localSheetId="3">#REF!</definedName>
    <definedName name="산출내역" localSheetId="7">#REF!</definedName>
    <definedName name="산출내역" localSheetId="4">#REF!</definedName>
    <definedName name="산출내역" localSheetId="6">#REF!</definedName>
    <definedName name="산출내역">#REF!</definedName>
    <definedName name="서울" hidden="1">{#N/A,#N/A,FALSE,"97년 투자계획 세부내역 "}</definedName>
    <definedName name="서원열" hidden="1">{#N/A,#N/A,FALSE,"자재관리";#N/A,#N/A,FALSE,"자재관리";#N/A,#N/A,FALSE,"자재관리"}</definedName>
    <definedName name="서원영" hidden="1">{#N/A,#N/A,FALSE,"자재관리";#N/A,#N/A,FALSE,"자재관리";#N/A,#N/A,FALSE,"자재관리"}</definedName>
    <definedName name="서초" hidden="1">{#N/A,#N/A,TRUE,"대 차 대 조 표"}</definedName>
    <definedName name="서초2" hidden="1">{#N/A,#N/A,TRUE,"대 차 대 조 표"}</definedName>
    <definedName name="서초해동" hidden="1">{#N/A,#N/A,TRUE,"대 차 대 조 표"}</definedName>
    <definedName name="세금계산서">#N/A</definedName>
    <definedName name="세부내역서1" hidden="1">{#N/A,#N/A,TRUE,"대 차 대 조 표"}</definedName>
    <definedName name="세현" hidden="1">{#N/A,#N/A,FALSE,"자재관리";#N/A,#N/A,FALSE,"자재관리";#N/A,#N/A,FALSE,"자재관리"}</definedName>
    <definedName name="소" localSheetId="1">#REF!</definedName>
    <definedName name="소" localSheetId="3">#REF!</definedName>
    <definedName name="소" localSheetId="7">#REF!</definedName>
    <definedName name="소" localSheetId="4">#REF!</definedName>
    <definedName name="소" localSheetId="6">#REF!</definedName>
    <definedName name="소">#REF!</definedName>
    <definedName name="소방" localSheetId="1">#REF!</definedName>
    <definedName name="소방" localSheetId="3">#REF!</definedName>
    <definedName name="소방" localSheetId="7">#REF!</definedName>
    <definedName name="소방" localSheetId="4">#REF!</definedName>
    <definedName name="소방" localSheetId="6">#REF!</definedName>
    <definedName name="소방">#REF!</definedName>
    <definedName name="소방2" localSheetId="1">#REF!</definedName>
    <definedName name="소방2" localSheetId="3">#REF!</definedName>
    <definedName name="소방2" localSheetId="7">#REF!</definedName>
    <definedName name="소방2" localSheetId="4">#REF!</definedName>
    <definedName name="소방2" localSheetId="6">#REF!</definedName>
    <definedName name="소방2">#REF!</definedName>
    <definedName name="소유사옥" hidden="1">{#N/A,#N/A,FALSE,"97년 투자계획 세부내역 "}</definedName>
    <definedName name="소유사옥보수1" hidden="1">{#N/A,#N/A,FALSE,"97년 투자계획 세부내역 "}</definedName>
    <definedName name="소화갑지" hidden="1">{#N/A,#N/A,FALSE,"CCTV"}</definedName>
    <definedName name="솔" hidden="1">{#N/A,#N/A,TRUE,"대 차 대 조 표"}</definedName>
    <definedName name="수량">#N/A</definedName>
    <definedName name="수식" localSheetId="1">#REF!</definedName>
    <definedName name="수식" localSheetId="3">#REF!</definedName>
    <definedName name="수식" localSheetId="7">#REF!</definedName>
    <definedName name="수식" localSheetId="4">#REF!</definedName>
    <definedName name="수식" localSheetId="6">#REF!</definedName>
    <definedName name="수식">#REF!</definedName>
    <definedName name="수입" hidden="1">{#N/A,#N/A,TRUE,"대 차 대 조 표"}</definedName>
    <definedName name="스케줄" localSheetId="1">[7]!StartChart</definedName>
    <definedName name="스케줄" localSheetId="3">[7]!StartChart</definedName>
    <definedName name="스케줄" localSheetId="7">[7]!StartChart</definedName>
    <definedName name="스케줄" localSheetId="4">[7]!StartChart</definedName>
    <definedName name="스케줄" localSheetId="6">[7]!StartChart</definedName>
    <definedName name="스케줄">[7]!StartChart</definedName>
    <definedName name="식" localSheetId="1">#REF!</definedName>
    <definedName name="식" localSheetId="3">#REF!</definedName>
    <definedName name="식" localSheetId="7">#REF!</definedName>
    <definedName name="식" localSheetId="4">#REF!</definedName>
    <definedName name="식" localSheetId="6">#REF!</definedName>
    <definedName name="식">#REF!</definedName>
    <definedName name="신고분장" hidden="1">{"'통신지'!$A$1:$J$41"}</definedName>
    <definedName name="신고일">[36]입력!$G$22</definedName>
    <definedName name="실제급여" hidden="1">{#N/A,#N/A,TRUE,"대 차 대 조 표"}</definedName>
    <definedName name="십" localSheetId="1">[31]환산!#REF!</definedName>
    <definedName name="십" localSheetId="3">[31]환산!#REF!</definedName>
    <definedName name="십" localSheetId="7">[31]환산!#REF!</definedName>
    <definedName name="십" localSheetId="4">[31]환산!#REF!</definedName>
    <definedName name="십" localSheetId="6">[31]환산!#REF!</definedName>
    <definedName name="십">[31]환산!#REF!</definedName>
    <definedName name="십만" localSheetId="1">[31]환산!#REF!</definedName>
    <definedName name="십만" localSheetId="3">[31]환산!#REF!</definedName>
    <definedName name="십만" localSheetId="7">[31]환산!#REF!</definedName>
    <definedName name="십만" localSheetId="4">[31]환산!#REF!</definedName>
    <definedName name="십만" localSheetId="6">[31]환산!#REF!</definedName>
    <definedName name="십만">[31]환산!#REF!</definedName>
    <definedName name="씨엔에이치" hidden="1">{#N/A,#N/A,TRUE,"대 차 대 조 표"}</definedName>
    <definedName name="ㅇ" hidden="1">{#N/A,#N/A,TRUE,"자재관리";#N/A,#N/A,TRUE,"품질"}</definedName>
    <definedName name="ㅇㄴ" hidden="1">{"'용역비'!$A$4:$C$8"}</definedName>
    <definedName name="ㅇㄴㅇㄴ" hidden="1">{#N/A,#N/A,FALSE,"CCTV"}</definedName>
    <definedName name="ㅇㄹ"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ㅇㄹㄹ" localSheetId="1" hidden="1">#REF!</definedName>
    <definedName name="ㅇㄹㄹ" localSheetId="3" hidden="1">#REF!</definedName>
    <definedName name="ㅇㄹㄹ" localSheetId="7" hidden="1">#REF!</definedName>
    <definedName name="ㅇㄹㄹ" localSheetId="4" hidden="1">#REF!</definedName>
    <definedName name="ㅇㄹㄹ" localSheetId="6" hidden="1">#REF!</definedName>
    <definedName name="ㅇㄹㄹ" hidden="1">#REF!</definedName>
    <definedName name="ㅇㅁ" hidden="1">{"'용역비'!$A$4:$C$8"}</definedName>
    <definedName name="ㅇㅇ" hidden="1">{#N/A,#N/A,FALSE,"자재관리";#N/A,#N/A,FALSE,"자재관리";#N/A,#N/A,FALSE,"자재관리"}</definedName>
    <definedName name="ㅇㅇㄹㄴㅁㄹ" hidden="1">{#N/A,#N/A,FALSE,"자재관리";#N/A,#N/A,FALSE,"자재관리";#N/A,#N/A,FALSE,"자재관리"}</definedName>
    <definedName name="ㅇㅇㅇㅇㅇ" hidden="1">{#N/A,#N/A,TRUE,"자재관리";#N/A,#N/A,TRUE,"품질"}</definedName>
    <definedName name="ㅇㅎㅁ" hidden="1">{#N/A,#N/A,FALSE,"97년 투자계획 세부내역 "}</definedName>
    <definedName name="ㅇㅎㅇㅎ" hidden="1">{"'용역비'!$A$4:$C$8"}</definedName>
    <definedName name="ㅇ호" hidden="1">{"'용역비'!$A$4:$C$8"}</definedName>
    <definedName name="ㅇ호ㅓ" hidden="1">{"'용역비'!$A$4:$C$8"}</definedName>
    <definedName name="ㅇ호ㅓㅇㅎ" hidden="1">{"'용역비'!$A$4:$C$8"}</definedName>
    <definedName name="ㅇ호ㅓㅇ호ㅓ" hidden="1">{"'용역비'!$A$4:$C$8"}</definedName>
    <definedName name="ㅇ호ㅓㅎ" hidden="1">{"'용역비'!$A$4:$C$8"}</definedName>
    <definedName name="ㅇ호ㅓ호ㅓ" hidden="1">{"'용역비'!$A$4:$C$8"}</definedName>
    <definedName name="아" hidden="1">{#N/A,#N/A,FALSE,"자재관리";#N/A,#N/A,FALSE,"자재관리";#N/A,#N/A,FALSE,"자재관리"}</definedName>
    <definedName name="아마도" hidden="1">{#N/A,#N/A,FALSE,"97년 투자계획 세부내역 "}</definedName>
    <definedName name="아이템별투자" hidden="1">{#N/A,#N/A,FALSE,"자재관리";#N/A,#N/A,FALSE,"자재관리";#N/A,#N/A,FALSE,"자재관리"}</definedName>
    <definedName name="안전관리"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암거" localSheetId="1" hidden="1">#REF!</definedName>
    <definedName name="암거" localSheetId="3" hidden="1">#REF!</definedName>
    <definedName name="암거" localSheetId="7" hidden="1">#REF!</definedName>
    <definedName name="암거" localSheetId="6" hidden="1">#REF!</definedName>
    <definedName name="암거" hidden="1">#REF!</definedName>
    <definedName name="암사" hidden="1">{#N/A,#N/A,TRUE,"대 차 대 조 표"}</definedName>
    <definedName name="앙" hidden="1">{#N/A,#N/A,FALSE,"자재관리";#N/A,#N/A,FALSE,"자재관리";#N/A,#N/A,FALSE,"자재관리"}</definedName>
    <definedName name="양" hidden="1">{#N/A,#N/A,FALSE,"자재관리";#N/A,#N/A,FALSE,"자재관리";#N/A,#N/A,FALSE,"자재관리"}</definedName>
    <definedName name="양도자">[32]기본사항!$G$2</definedName>
    <definedName name="양도자등록번호">[36]입력!$G$3</definedName>
    <definedName name="양도자사업자번호">[36]입력!$G$7</definedName>
    <definedName name="양도자상호">[36]입력!$G$6</definedName>
    <definedName name="양도자주소">[36]입력!$G$4</definedName>
    <definedName name="양수자">[36]입력!$G$10</definedName>
    <definedName name="양수자등록번호">[36]입력!$G$11</definedName>
    <definedName name="양수자사업자번호">[36]입력!$G$14</definedName>
    <definedName name="양수자상호">[36]입력!$G$13</definedName>
    <definedName name="양수자주소">[36]입력!$G$12</definedName>
    <definedName name="어" hidden="1">{"'용역비'!$A$4:$C$8"}</definedName>
    <definedName name="어쭈구리" hidden="1">{#N/A,#N/A,FALSE,"교리2"}</definedName>
    <definedName name="업" hidden="1">{#N/A,#N/A,FALSE,"집계";#N/A,#N/A,FALSE,"표지";#N/A,#N/A,FALSE,"터빈집계";#N/A,#N/A,FALSE,"터빈내역";#N/A,#N/A,FALSE,"주제어집계";#N/A,#N/A,FALSE,"주제어내역";#N/A,#N/A,FALSE,"보일러집계";#N/A,#N/A,FALSE,"보일러내역"}</definedName>
    <definedName name="업무" hidden="1">{#N/A,#N/A,TRUE,"대 차 대 조 표"}</definedName>
    <definedName name="업무계획표" hidden="1">{#N/A,#N/A,TRUE,"대 차 대 조 표"}</definedName>
    <definedName name="업무계획표01" hidden="1">{#N/A,#N/A,TRUE,"대 차 대 조 표"}</definedName>
    <definedName name="업소용" hidden="1">{#N/A,#N/A,TRUE,"자재관리";#N/A,#N/A,TRUE,"품질"}</definedName>
    <definedName name="업소용생산1팀" hidden="1">{#N/A,#N/A,FALSE,"자재관리";#N/A,#N/A,FALSE,"자재관리";#N/A,#N/A,FALSE,"자재관리"}</definedName>
    <definedName name="역삼4월" hidden="1">{#N/A,#N/A,TRUE,"대 차 대 조 표"}</definedName>
    <definedName name="역삼5월" hidden="1">{#N/A,#N/A,TRUE,"대 차 대 조 표"}</definedName>
    <definedName name="역삼5월청구" hidden="1">{#N/A,#N/A,TRUE,"대 차 대 조 표"}</definedName>
    <definedName name="역삼계" hidden="1">{#N/A,#N/A,TRUE,"대 차 대 조 표"}</definedName>
    <definedName name="영업인건배부" hidden="1">{#N/A,#N/A,FALSE,"97년 투자계획 세부내역 "}</definedName>
    <definedName name="영업인건비배부" hidden="1">{#N/A,#N/A,FALSE,"97년 투자계획 세부내역 "}</definedName>
    <definedName name="예상" hidden="1">{#N/A,#N/A,FALSE,"97년 투자계획 세부내역 "}</definedName>
    <definedName name="예상도급내역" hidden="1">{#N/A,#N/A,FALSE,"CCTV"}</definedName>
    <definedName name="예제_데이터" localSheetId="1">#REF!</definedName>
    <definedName name="예제_데이터" localSheetId="3">#REF!</definedName>
    <definedName name="예제_데이터" localSheetId="7">#REF!</definedName>
    <definedName name="예제_데이터" localSheetId="4">#REF!</definedName>
    <definedName name="예제_데이터" localSheetId="6">#REF!</definedName>
    <definedName name="예제_데이터">#REF!</definedName>
    <definedName name="오서방" hidden="1">{#N/A,#N/A,FALSE,"97년 투자계획 세부내역 "}</definedName>
    <definedName name="오세범" hidden="1">{#N/A,#N/A,FALSE,"97년 투자계획 세부내역 "}</definedName>
    <definedName name="오세범1" hidden="1">{#N/A,#N/A,FALSE,"97년 투자계획 세부내역 "}</definedName>
    <definedName name="오세범2" hidden="1">{#N/A,#N/A,FALSE,"97년 투자계획 세부내역 "}</definedName>
    <definedName name="오세범3" hidden="1">{#N/A,#N/A,FALSE,"97년 투자계획 세부내역 "}</definedName>
    <definedName name="완료품의" localSheetId="1">#REF!</definedName>
    <definedName name="완료품의" localSheetId="3">#REF!</definedName>
    <definedName name="완료품의" localSheetId="7">#REF!</definedName>
    <definedName name="완료품의" localSheetId="4">#REF!</definedName>
    <definedName name="완료품의" localSheetId="6">#REF!</definedName>
    <definedName name="완료품의">#REF!</definedName>
    <definedName name="우인보고표지" hidden="1">{#N/A,#N/A,FALSE,"자재관리";#N/A,#N/A,FALSE,"자재관리";#N/A,#N/A,FALSE,"자재관리"}</definedName>
    <definedName name="우인표지" hidden="1">{#N/A,#N/A,TRUE,"자재관리";#N/A,#N/A,TRUE,"품질"}</definedName>
    <definedName name="우후" hidden="1">{"'별표'!$N$220"}</definedName>
    <definedName name="원" localSheetId="1">[31]환산!#REF!</definedName>
    <definedName name="원" localSheetId="3">[31]환산!#REF!</definedName>
    <definedName name="원" localSheetId="7">[31]환산!#REF!</definedName>
    <definedName name="원" localSheetId="4">[31]환산!#REF!</definedName>
    <definedName name="원" localSheetId="6">[31]환산!#REF!</definedName>
    <definedName name="원">[31]환산!#REF!</definedName>
    <definedName name="원가" localSheetId="1">#REF!</definedName>
    <definedName name="원가" localSheetId="3">#REF!</definedName>
    <definedName name="원가" localSheetId="7">#REF!</definedName>
    <definedName name="원가" localSheetId="4">#REF!</definedName>
    <definedName name="원가" localSheetId="6">#REF!</definedName>
    <definedName name="원가">#REF!</definedName>
    <definedName name="원가TABLE" hidden="1">{#N/A,#N/A,TRUE,"자재관리";#N/A,#N/A,TRUE,"품질"}</definedName>
    <definedName name="원본2" localSheetId="1" hidden="1">#REF!</definedName>
    <definedName name="원본2" localSheetId="3" hidden="1">#REF!</definedName>
    <definedName name="원본2" localSheetId="7" hidden="1">#REF!</definedName>
    <definedName name="원본2" localSheetId="6" hidden="1">#REF!</definedName>
    <definedName name="원본2" hidden="1">#REF!</definedName>
    <definedName name="월별매출3" hidden="1">{#N/A,#N/A,FALSE,"97년 투자계획 세부내역 "}</definedName>
    <definedName name="위생관리"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유" hidden="1">{#N/A,#N/A,FALSE,"97년 투자계획 세부내역 "}</definedName>
    <definedName name="유지니" hidden="1">{#N/A,#N/A,FALSE,"97년 투자계획 세부내역 "}</definedName>
    <definedName name="유지니네" hidden="1">{#N/A,#N/A,FALSE,"97년 투자계획 세부내역 "}</definedName>
    <definedName name="유지니다" hidden="1">{#N/A,#N/A,FALSE,"97년 투자계획 세부내역 "}</definedName>
    <definedName name="유진" hidden="1">{#N/A,#N/A,FALSE,"이력서&amp;자기소개서"}</definedName>
    <definedName name="육삼시티" hidden="1">{#N/A,#N/A,FALSE,"97년 투자계획 세부내역 "}</definedName>
    <definedName name="을" localSheetId="1">[7]!StartSeller</definedName>
    <definedName name="을" localSheetId="3">[7]!StartSeller</definedName>
    <definedName name="을" localSheetId="7">[7]!StartSeller</definedName>
    <definedName name="을" localSheetId="4">[7]!StartSeller</definedName>
    <definedName name="을" localSheetId="6">[7]!StartSeller</definedName>
    <definedName name="을">[7]!StartSeller</definedName>
    <definedName name="이" hidden="1">{#N/A,#N/A,FALSE,"자재관리";#N/A,#N/A,FALSE,"자재관리";#N/A,#N/A,FALSE,"자재관리"}</definedName>
    <definedName name="이름" localSheetId="1">#REF!</definedName>
    <definedName name="이름" localSheetId="3">#REF!</definedName>
    <definedName name="이름" localSheetId="7">#REF!</definedName>
    <definedName name="이름" localSheetId="4">#REF!</definedName>
    <definedName name="이름" localSheetId="6">#REF!</definedName>
    <definedName name="이름">#REF!</definedName>
    <definedName name="이봉해" hidden="1">{#N/A,#N/A,FALSE,"자재관리";#N/A,#N/A,FALSE,"자재관리";#N/A,#N/A,FALSE,"자재관리"}</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호버" hidden="1">{#N/A,#N/A,FALSE,"97년 투자계획 세부내역 "}</definedName>
    <definedName name="인건비" localSheetId="1">#REF!</definedName>
    <definedName name="인건비" localSheetId="3">#REF!</definedName>
    <definedName name="인건비" localSheetId="7">#REF!</definedName>
    <definedName name="인건비" localSheetId="4">#REF!</definedName>
    <definedName name="인건비" localSheetId="6">#REF!</definedName>
    <definedName name="인건비">#REF!</definedName>
    <definedName name="인건비1" hidden="1">{"'2분기예산별'!$B$2:$O$38"}</definedName>
    <definedName name="인건비내역" localSheetId="1" hidden="1">[37]내역서!#REF!</definedName>
    <definedName name="인건비내역" localSheetId="3" hidden="1">[37]내역서!#REF!</definedName>
    <definedName name="인건비내역" localSheetId="7" hidden="1">[37]내역서!#REF!</definedName>
    <definedName name="인건비내역" localSheetId="6" hidden="1">[37]내역서!#REF!</definedName>
    <definedName name="인건비내역" hidden="1">[37]내역서!#REF!</definedName>
    <definedName name="인터베스트공정" localSheetId="1">[7]!StartChart</definedName>
    <definedName name="인터베스트공정" localSheetId="3">[7]!StartChart</definedName>
    <definedName name="인터베스트공정" localSheetId="7">[7]!StartChart</definedName>
    <definedName name="인터베스트공정" localSheetId="4">[7]!StartChart</definedName>
    <definedName name="인터베스트공정" localSheetId="6">[7]!StartChart</definedName>
    <definedName name="인터베스트공정">[7]!StartChart</definedName>
    <definedName name="인터베스트스케쥴" localSheetId="1">[7]!StartSeller</definedName>
    <definedName name="인터베스트스케쥴" localSheetId="3">[7]!StartSeller</definedName>
    <definedName name="인터베스트스케쥴" localSheetId="7">[7]!StartSeller</definedName>
    <definedName name="인터베스트스케쥴" localSheetId="4">[7]!StartSeller</definedName>
    <definedName name="인터베스트스케쥴" localSheetId="6">[7]!StartSeller</definedName>
    <definedName name="인터베스트스케쥴">[7]!StartSeller</definedName>
    <definedName name="일" hidden="1">{#N/A,#N/A,FALSE,"도급대비시행율";#N/A,#N/A,FALSE,"결의서";#N/A,#N/A,FALSE,"내역서";#N/A,#N/A,FALSE,"도급예상"}</definedName>
    <definedName name="일위대가" localSheetId="1">[7]!일위대가</definedName>
    <definedName name="일위대가" localSheetId="3">[7]!일위대가</definedName>
    <definedName name="일위대가" localSheetId="7">[7]!일위대가</definedName>
    <definedName name="일위대가" localSheetId="4">[7]!일위대가</definedName>
    <definedName name="일위대가" localSheetId="6">[7]!일위대가</definedName>
    <definedName name="일위대가">[7]!일위대가</definedName>
    <definedName name="임종원" localSheetId="1">[7]!StartSeller</definedName>
    <definedName name="임종원" localSheetId="3">[7]!StartSeller</definedName>
    <definedName name="임종원" localSheetId="7">[7]!StartSeller</definedName>
    <definedName name="임종원" localSheetId="4">[7]!StartSeller</definedName>
    <definedName name="임종원" localSheetId="6">[7]!StartSeller</definedName>
    <definedName name="임종원">[7]!StartSeller</definedName>
    <definedName name="임차풀" hidden="1">{#N/A,#N/A,FALSE,"동부"}</definedName>
    <definedName name="ㅈ" hidden="1">{#N/A,#N/A,FALSE,"자재관리";#N/A,#N/A,FALSE,"자재관리";#N/A,#N/A,FALSE,"자재관리"}</definedName>
    <definedName name="ㅈ26" localSheetId="1">#REF!</definedName>
    <definedName name="ㅈ26" localSheetId="3">#REF!</definedName>
    <definedName name="ㅈ26" localSheetId="7">#REF!</definedName>
    <definedName name="ㅈ26" localSheetId="4">#REF!</definedName>
    <definedName name="ㅈ26" localSheetId="6">#REF!</definedName>
    <definedName name="ㅈ26">#REF!</definedName>
    <definedName name="ㅈ56ㅕ" hidden="1">{"'용역비'!$A$4:$C$8"}</definedName>
    <definedName name="ㅈㄷㄱ" localSheetId="1">[38]약품공급2!#REF!</definedName>
    <definedName name="ㅈㄷㄱ" localSheetId="3">[38]약품공급2!#REF!</definedName>
    <definedName name="ㅈㄷㄱ" localSheetId="7">[38]약품공급2!#REF!</definedName>
    <definedName name="ㅈㄷㄱ" localSheetId="4">[38]약품공급2!#REF!</definedName>
    <definedName name="ㅈㄷㄱ" localSheetId="6">[38]약품공급2!#REF!</definedName>
    <definedName name="ㅈㄷㄱ">[38]약품공급2!#REF!</definedName>
    <definedName name="ㅈㄷㄱㄷㄱㄷ" hidden="1">{"'용역비'!$A$4:$C$8"}</definedName>
    <definedName name="ㅈㄷㅈㄷ" hidden="1">{"'통신지'!$A$1:$J$41"}</definedName>
    <definedName name="ㅈㅇ" hidden="1">{"'용역비'!$A$4:$C$8"}</definedName>
    <definedName name="ㅈㅈㅈ" localSheetId="1">#REF!</definedName>
    <definedName name="ㅈㅈㅈ" localSheetId="3">#REF!</definedName>
    <definedName name="ㅈㅈㅈ" localSheetId="7">#REF!</definedName>
    <definedName name="ㅈㅈㅈ" localSheetId="4">#REF!</definedName>
    <definedName name="ㅈㅈㅈ" localSheetId="6">#REF!</definedName>
    <definedName name="ㅈㅈㅈ">#REF!</definedName>
    <definedName name="ㅈㅈㅈㅈㅈㅈ" hidden="1">{"'용역비'!$A$4:$C$8"}</definedName>
    <definedName name="자본건축총괄" hidden="1">{#N/A,#N/A,FALSE,"97년 투자계획 세부내역 "}</definedName>
    <definedName name="자유세" localSheetId="1">[27]납부서!#REF!</definedName>
    <definedName name="자유세" localSheetId="3">[27]납부서!#REF!</definedName>
    <definedName name="자유세" localSheetId="7">[27]납부서!#REF!</definedName>
    <definedName name="자유세" localSheetId="4">[27]납부서!#REF!</definedName>
    <definedName name="자유세" localSheetId="6">[27]납부서!#REF!</definedName>
    <definedName name="자유세">[27]납부서!#REF!</definedName>
    <definedName name="자유주민세" localSheetId="1">[27]납부서!#REF!</definedName>
    <definedName name="자유주민세" localSheetId="3">[27]납부서!#REF!</definedName>
    <definedName name="자유주민세" localSheetId="7">[27]납부서!#REF!</definedName>
    <definedName name="자유주민세" localSheetId="4">[27]납부서!#REF!</definedName>
    <definedName name="자유주민세" localSheetId="6">[27]납부서!#REF!</definedName>
    <definedName name="자유주민세">[27]납부서!#REF!</definedName>
    <definedName name="자재비" localSheetId="1">#REF!</definedName>
    <definedName name="자재비" localSheetId="3">#REF!</definedName>
    <definedName name="자재비" localSheetId="7">#REF!</definedName>
    <definedName name="자재비" localSheetId="4">#REF!</definedName>
    <definedName name="자재비" localSheetId="6">#REF!</definedName>
    <definedName name="자재비">#REF!</definedName>
    <definedName name="잔" localSheetId="1">'[18]98지급계획'!#REF!</definedName>
    <definedName name="잔" localSheetId="3">'[18]98지급계획'!#REF!</definedName>
    <definedName name="잔" localSheetId="7">'[18]98지급계획'!#REF!</definedName>
    <definedName name="잔" localSheetId="4">'[18]98지급계획'!#REF!</definedName>
    <definedName name="잔" localSheetId="6">'[18]98지급계획'!#REF!</definedName>
    <definedName name="잔">'[18]98지급계획'!#REF!</definedName>
    <definedName name="재료" hidden="1">{#N/A,#N/A,FALSE,"자재관리";#N/A,#N/A,FALSE,"자재관리";#N/A,#N/A,FALSE,"자재관리"}</definedName>
    <definedName name="재료비1" hidden="1">{#N/A,#N/A,FALSE,"자재관리";#N/A,#N/A,FALSE,"자재관리";#N/A,#N/A,FALSE,"자재관리"}</definedName>
    <definedName name="전" hidden="1">{#N/A,#N/A,FALSE,"97년 투자계획 세부내역 "}</definedName>
    <definedName name="전기" hidden="1">{#N/A,#N/A,FALSE,"97년 투자계획 세부내역 "}</definedName>
    <definedName name="전기내역" hidden="1">{#N/A,#N/A,FALSE,"CCTV"}</definedName>
    <definedName name="전년" hidden="1">{#N/A,#N/A,FALSE,"자재관리";#N/A,#N/A,FALSE,"자재관리";#N/A,#N/A,FALSE,"자재관리"}</definedName>
    <definedName name="전년월" hidden="1">{#N/A,#N/A,FALSE,"자재관리";#N/A,#N/A,FALSE,"자재관리";#N/A,#N/A,FALSE,"자재관리"}</definedName>
    <definedName name="전용원" hidden="1">{#N/A,#N/A,FALSE,"97년 투자계획 세부내역 "}</definedName>
    <definedName name="전화">[32]기본사항!$G$5</definedName>
    <definedName name="정리" hidden="1">{#N/A,#N/A,TRUE,"대 차 대 조 표"}</definedName>
    <definedName name="정모" localSheetId="1">[39]약품공급2!#REF!</definedName>
    <definedName name="정모" localSheetId="3">[39]약품공급2!#REF!</definedName>
    <definedName name="정모" localSheetId="7">[39]약품공급2!#REF!</definedName>
    <definedName name="정모" localSheetId="4">[39]약품공급2!#REF!</definedName>
    <definedName name="정모" localSheetId="6">[39]약품공급2!#REF!</definedName>
    <definedName name="정모">[39]약품공급2!#REF!</definedName>
    <definedName name="정산내영" localSheetId="1">#REF!</definedName>
    <definedName name="정산내영" localSheetId="3">#REF!</definedName>
    <definedName name="정산내영" localSheetId="7">#REF!</definedName>
    <definedName name="정산내영" localSheetId="4">#REF!</definedName>
    <definedName name="정산내영" localSheetId="6">#REF!</definedName>
    <definedName name="정산내영">#REF!</definedName>
    <definedName name="제경비산출표" hidden="1">{"'용역비'!$A$4:$C$8"}</definedName>
    <definedName name="제작비" localSheetId="1">#REF!</definedName>
    <definedName name="제작비" localSheetId="3">#REF!</definedName>
    <definedName name="제작비" localSheetId="7">#REF!</definedName>
    <definedName name="제작비" localSheetId="4">#REF!</definedName>
    <definedName name="제작비" localSheetId="6">#REF!</definedName>
    <definedName name="제작비">#REF!</definedName>
    <definedName name="제출" localSheetId="1">[7]!제출</definedName>
    <definedName name="제출" localSheetId="3">[7]!제출</definedName>
    <definedName name="제출" localSheetId="7">[7]!제출</definedName>
    <definedName name="제출" localSheetId="4">[7]!제출</definedName>
    <definedName name="제출" localSheetId="6">[7]!제출</definedName>
    <definedName name="제출">[7]!제출</definedName>
    <definedName name="조경" hidden="1">{#N/A,#N/A,FALSE,"이력서&amp;자기소개서"}</definedName>
    <definedName name="조창현" hidden="1">{#N/A,#N/A,FALSE,"교리2"}</definedName>
    <definedName name="좋아" localSheetId="1">[7]!좋아</definedName>
    <definedName name="좋아" localSheetId="3">[7]!좋아</definedName>
    <definedName name="좋아" localSheetId="7">[7]!좋아</definedName>
    <definedName name="좋아" localSheetId="4">[7]!좋아</definedName>
    <definedName name="좋아" localSheetId="6">[7]!좋아</definedName>
    <definedName name="좋아">[7]!좋아</definedName>
    <definedName name="주" localSheetId="1">[7]!주</definedName>
    <definedName name="주" localSheetId="3">[7]!주</definedName>
    <definedName name="주" localSheetId="7">[7]!주</definedName>
    <definedName name="주" localSheetId="4">[7]!주</definedName>
    <definedName name="주" localSheetId="6">[7]!주</definedName>
    <definedName name="주">[7]!주</definedName>
    <definedName name="주당매매가액">[36]입력!$G$20</definedName>
    <definedName name="주당액면가액">[36]입력!$G$19</definedName>
    <definedName name="중앙" localSheetId="1">[7]!StartSeller</definedName>
    <definedName name="중앙" localSheetId="3">[7]!StartSeller</definedName>
    <definedName name="중앙" localSheetId="7">[7]!StartSeller</definedName>
    <definedName name="중앙" localSheetId="4">[7]!StartSeller</definedName>
    <definedName name="중앙" localSheetId="6">[7]!StartSeller</definedName>
    <definedName name="중앙">[7]!StartSeller</definedName>
    <definedName name="증감분석96계획95실적" hidden="1">{#N/A,#N/A,FALSE,"97년 투자계획 세부내역 "}</definedName>
    <definedName name="증감비교" localSheetId="1">'[40]Customer Databas'!#REF!</definedName>
    <definedName name="증감비교" localSheetId="3">'[40]Customer Databas'!#REF!</definedName>
    <definedName name="증감비교" localSheetId="7">'[40]Customer Databas'!#REF!</definedName>
    <definedName name="증감비교" localSheetId="4">'[40]Customer Databas'!#REF!</definedName>
    <definedName name="증감비교" localSheetId="6">'[40]Customer Databas'!#REF!</definedName>
    <definedName name="증감비교">'[40]Customer Databas'!#REF!</definedName>
    <definedName name="지원동" hidden="1">{#N/A,#N/A,TRUE,"대 차 대 조 표"}</definedName>
    <definedName name="직매54P" hidden="1">{#N/A,#N/A,TRUE,"토적및재료집계";#N/A,#N/A,TRUE,"토적및재료집계";#N/A,#N/A,TRUE,"단위량"}</definedName>
    <definedName name="직재" hidden="1">{"'용역비'!$A$4:$C$8"}</definedName>
    <definedName name="직접경비1" hidden="1">{"'용역비'!$A$4:$C$8"}</definedName>
    <definedName name="직접인건비A" hidden="1">{"'2분기예산별'!$B$2:$O$38"}</definedName>
    <definedName name="직접인건비세부내역A" hidden="1">{"'2분기예산별'!$B$2:$O$38"}</definedName>
    <definedName name="직종별" localSheetId="1">#REF!</definedName>
    <definedName name="직종별" localSheetId="3">#REF!</definedName>
    <definedName name="직종별" localSheetId="7">#REF!</definedName>
    <definedName name="직종별" localSheetId="4">#REF!</definedName>
    <definedName name="직종별" localSheetId="6">#REF!</definedName>
    <definedName name="직종별">#REF!</definedName>
    <definedName name="직종별1">[41]asd!$B$1:$B$65536</definedName>
    <definedName name="진우1" hidden="1">{#N/A,#N/A,FALSE,"자재관리";#N/A,#N/A,FALSE,"자재관리";#N/A,#N/A,FALSE,"자재관리"}</definedName>
    <definedName name="진행사항보고.xls" hidden="1">{#N/A,#N/A,FALSE,"97년 투자계획 세부내역 "}</definedName>
    <definedName name="ㅊㅊㅊ" localSheetId="1">[7]!StartSeller</definedName>
    <definedName name="ㅊㅊㅊ" localSheetId="3">[7]!StartSeller</definedName>
    <definedName name="ㅊㅊㅊ" localSheetId="7">[7]!StartSeller</definedName>
    <definedName name="ㅊㅊㅊ" localSheetId="4">[7]!StartSeller</definedName>
    <definedName name="ㅊㅊㅊ" localSheetId="6">[7]!StartSeller</definedName>
    <definedName name="ㅊㅊㅊ">[7]!StartSeller</definedName>
    <definedName name="차량SVC" hidden="1">{#N/A,#N/A,FALSE,"UNIT";#N/A,#N/A,FALSE,"UNIT";#N/A,#N/A,FALSE,"계정"}</definedName>
    <definedName name="천" localSheetId="1">[31]환산!#REF!</definedName>
    <definedName name="천" localSheetId="3">[31]환산!#REF!</definedName>
    <definedName name="천" localSheetId="7">[31]환산!#REF!</definedName>
    <definedName name="천" localSheetId="4">[31]환산!#REF!</definedName>
    <definedName name="천" localSheetId="6">[31]환산!#REF!</definedName>
    <definedName name="천">[31]환산!#REF!</definedName>
    <definedName name="체육관" hidden="1">{#N/A,#N/A,TRUE,"대 차 대 조 표"}</definedName>
    <definedName name="총" hidden="1">{#N/A,#N/A,FALSE,"이력서&amp;자기소개서"}</definedName>
    <definedName name="총괄표" hidden="1">{"'2분기예산별'!$B$2:$O$38"}</definedName>
    <definedName name="총매매가액">[36]입력!$G$23</definedName>
    <definedName name="최종" localSheetId="1">[7]!최종</definedName>
    <definedName name="최종" localSheetId="3">[7]!최종</definedName>
    <definedName name="최종" localSheetId="7">[7]!최종</definedName>
    <definedName name="최종" localSheetId="4">[7]!최종</definedName>
    <definedName name="최종" localSheetId="6">[7]!최종</definedName>
    <definedName name="최종">[7]!최종</definedName>
    <definedName name="최종분" hidden="1">{#N/A,#N/A,TRUE,"대 차 대 조 표"}</definedName>
    <definedName name="추진">[42]갑지!$A$1:$R$47</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치" hidden="1">{#N/A,#N/A,FALSE,"97년 투자계획 세부내역 "}</definedName>
    <definedName name="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 hidden="1">{#N/A,#N/A,TRUE,"대 차 대 조 표"}</definedName>
    <definedName name="ㅋㅌ" hidden="1">{"'용역비'!$A$4:$C$8"}</definedName>
    <definedName name="케이블간지" hidden="1">{#N/A,#N/A,TRUE,"토적및재료집계";#N/A,#N/A,TRUE,"토적및재료집계";#N/A,#N/A,TRUE,"단위량"}</definedName>
    <definedName name="코크랩총괄예산" hidden="1">{#N/A,#N/A,FALSE,"이력서&amp;자기소개서"}</definedName>
    <definedName name="ㅌㅇㅁ너롬ㅈ" localSheetId="1">[7]!ㅌㅇㅁ너롬ㅈ</definedName>
    <definedName name="ㅌㅇㅁ너롬ㅈ" localSheetId="3">[7]!ㅌㅇㅁ너롬ㅈ</definedName>
    <definedName name="ㅌㅇㅁ너롬ㅈ" localSheetId="7">[7]!ㅌㅇㅁ너롬ㅈ</definedName>
    <definedName name="ㅌㅇㅁ너롬ㅈ" localSheetId="4">[7]!ㅌㅇㅁ너롬ㅈ</definedName>
    <definedName name="ㅌㅇㅁ너롬ㅈ" localSheetId="6">[7]!ㅌㅇㅁ너롬ㅈ</definedName>
    <definedName name="ㅌㅇㅁ너롬ㅈ">[7]!ㅌㅇㅁ너롬ㅈ</definedName>
    <definedName name="ㅌㅍㅊㅇㅌㅎ" hidden="1">{#N/A,#N/A,FALSE,"도급대비시행율";#N/A,#N/A,FALSE,"결의서";#N/A,#N/A,FALSE,"내역서";#N/A,#N/A,FALSE,"도급예상"}</definedName>
    <definedName name="통합본관" localSheetId="1" hidden="1">#REF!</definedName>
    <definedName name="통합본관" localSheetId="3" hidden="1">#REF!</definedName>
    <definedName name="통합본관" localSheetId="7" hidden="1">#REF!</definedName>
    <definedName name="통합본관" localSheetId="6" hidden="1">#REF!</definedName>
    <definedName name="통합본관" hidden="1">#REF!</definedName>
    <definedName name="퇴직세" localSheetId="1">[27]납부서!#REF!</definedName>
    <definedName name="퇴직세" localSheetId="3">[27]납부서!#REF!</definedName>
    <definedName name="퇴직세" localSheetId="7">[27]납부서!#REF!</definedName>
    <definedName name="퇴직세" localSheetId="4">[27]납부서!#REF!</definedName>
    <definedName name="퇴직세" localSheetId="6">[27]납부서!#REF!</definedName>
    <definedName name="퇴직세">[27]납부서!#REF!</definedName>
    <definedName name="퇴직주민세" localSheetId="1">[27]납부서!#REF!</definedName>
    <definedName name="퇴직주민세" localSheetId="3">[27]납부서!#REF!</definedName>
    <definedName name="퇴직주민세" localSheetId="7">[27]납부서!#REF!</definedName>
    <definedName name="퇴직주민세" localSheetId="4">[27]납부서!#REF!</definedName>
    <definedName name="퇴직주민세" localSheetId="6">[27]납부서!#REF!</definedName>
    <definedName name="퇴직주민세">[27]납부서!#REF!</definedName>
    <definedName name="투자" hidden="1">{#N/A,#N/A,FALSE,"97년 투자계획 세부내역 "}</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판매액" localSheetId="1">#REF!</definedName>
    <definedName name="판매액" localSheetId="3">#REF!</definedName>
    <definedName name="판매액" localSheetId="7">#REF!</definedName>
    <definedName name="판매액" localSheetId="4">#REF!</definedName>
    <definedName name="판매액" localSheetId="6">#REF!</definedName>
    <definedName name="판매액">#REF!</definedName>
    <definedName name="펌프장" localSheetId="1">[39]약품공급2!#REF!</definedName>
    <definedName name="펌프장" localSheetId="3">[39]약품공급2!#REF!</definedName>
    <definedName name="펌프장" localSheetId="7">[39]약품공급2!#REF!</definedName>
    <definedName name="펌프장" localSheetId="4">[39]약품공급2!#REF!</definedName>
    <definedName name="펌프장" localSheetId="6">[39]약품공급2!#REF!</definedName>
    <definedName name="펌프장">[39]약품공급2!#REF!</definedName>
    <definedName name="평균이자율" localSheetId="1" hidden="1">[43]이자율!#REF!</definedName>
    <definedName name="평균이자율" localSheetId="3" hidden="1">[43]이자율!#REF!</definedName>
    <definedName name="평균이자율" localSheetId="7" hidden="1">[43]이자율!#REF!</definedName>
    <definedName name="평균이자율" localSheetId="6" hidden="1">[43]이자율!#REF!</definedName>
    <definedName name="평균이자율" hidden="1">[43]이자율!#REF!</definedName>
    <definedName name="포스코" hidden="1">{#N/A,#N/A,TRUE,"대 차 대 조 표"}</definedName>
    <definedName name="표지" hidden="1">{#N/A,#N/A,FALSE,"동부"}</definedName>
    <definedName name="표지1" hidden="1">{#N/A,#N/A,FALSE,"자재관리";#N/A,#N/A,FALSE,"자재관리";#N/A,#N/A,FALSE,"자재관리"}</definedName>
    <definedName name="풀" hidden="1">{#N/A,#N/A,FALSE,"동부"}</definedName>
    <definedName name="품_______명" localSheetId="1">#REF!</definedName>
    <definedName name="품_______명" localSheetId="3">#REF!</definedName>
    <definedName name="품_______명" localSheetId="7">#REF!</definedName>
    <definedName name="품_______명" localSheetId="4">#REF!</definedName>
    <definedName name="품_______명" localSheetId="6">#REF!</definedName>
    <definedName name="품_______명">#REF!</definedName>
    <definedName name="품위서" localSheetId="1">#REF!</definedName>
    <definedName name="품위서" localSheetId="3">#REF!</definedName>
    <definedName name="품위서" localSheetId="7">#REF!</definedName>
    <definedName name="품위서" localSheetId="4">#REF!</definedName>
    <definedName name="품위서" localSheetId="6">#REF!</definedName>
    <definedName name="품위서">#REF!</definedName>
    <definedName name="ㅎ" hidden="1">{#N/A,#N/A,TRUE,"자재관리";#N/A,#N/A,TRUE,"품질"}</definedName>
    <definedName name="ㅎㄱ" hidden="1">{"'용역비'!$A$4:$C$8"}</definedName>
    <definedName name="ㅎㄱㅎ" hidden="1">{"'용역비'!$A$4:$C$8"}</definedName>
    <definedName name="ㅎㄱㅎㄱㅎㄱㅎ" hidden="1">{"'용역비'!$A$4:$C$8"}</definedName>
    <definedName name="ㅎㄹㄴ" hidden="1">{#N/A,#N/A,FALSE,"97년 투자계획 세부내역 "}</definedName>
    <definedName name="ㅎㅀㅀㅀㅀㄹ" hidden="1">{#N/A,#N/A,FALSE,"CCTV"}</definedName>
    <definedName name="ㅎㅇ" hidden="1">{"'용역비'!$A$4:$C$8"}</definedName>
    <definedName name="ㅎ오" hidden="1">{"'용역비'!$A$4:$C$8"}</definedName>
    <definedName name="ㅎㅎㅎㅎㅎㅎㅎ" hidden="1">{#N/A,#N/A,FALSE,"교리2"}</definedName>
    <definedName name="하도업체명">#N/A</definedName>
    <definedName name="하도원가" localSheetId="1">#REF!</definedName>
    <definedName name="하도원가" localSheetId="3">#REF!</definedName>
    <definedName name="하도원가" localSheetId="7">#REF!</definedName>
    <definedName name="하도원가" localSheetId="4">#REF!</definedName>
    <definedName name="하도원가" localSheetId="6">#REF!</definedName>
    <definedName name="하도원가">#REF!</definedName>
    <definedName name="하이" localSheetId="1" hidden="1">[44]내역서!#REF!</definedName>
    <definedName name="하이" localSheetId="3" hidden="1">[44]내역서!#REF!</definedName>
    <definedName name="하이" localSheetId="7" hidden="1">[44]내역서!#REF!</definedName>
    <definedName name="하이" localSheetId="6" hidden="1">[44]내역서!#REF!</definedName>
    <definedName name="하이" hidden="1">[44]내역서!#REF!</definedName>
    <definedName name="할증율" localSheetId="1">#REF!</definedName>
    <definedName name="할증율" localSheetId="3">#REF!</definedName>
    <definedName name="할증율" localSheetId="7">#REF!</definedName>
    <definedName name="할증율" localSheetId="4">#REF!</definedName>
    <definedName name="할증율" localSheetId="6">#REF!</definedName>
    <definedName name="할증율">#REF!</definedName>
    <definedName name="함안"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현대산업" localSheetId="1">[7]!현대산업</definedName>
    <definedName name="현대산업" localSheetId="3">[7]!현대산업</definedName>
    <definedName name="현대산업" localSheetId="7">[7]!현대산업</definedName>
    <definedName name="현대산업" localSheetId="4">[7]!현대산업</definedName>
    <definedName name="현대산업" localSheetId="6">[7]!현대산업</definedName>
    <definedName name="현대산업">[7]!현대산업</definedName>
    <definedName name="현조" localSheetId="1" hidden="1">#REF!</definedName>
    <definedName name="현조" localSheetId="3" hidden="1">#REF!</definedName>
    <definedName name="현조" localSheetId="7" hidden="1">#REF!</definedName>
    <definedName name="현조" localSheetId="6" hidden="1">#REF!</definedName>
    <definedName name="현조" hidden="1">#REF!</definedName>
    <definedName name="현찰계약금">#N/A</definedName>
    <definedName name="호ㅓ" hidden="1">{"'용역비'!$A$4:$C$8"}</definedName>
    <definedName name="홈에버用" hidden="1">{#N/A,#N/A,FALSE,"손익표지";#N/A,#N/A,FALSE,"손익계산";#N/A,#N/A,FALSE,"일반관리비";#N/A,#N/A,FALSE,"영업외수익";#N/A,#N/A,FALSE,"영업외비용";#N/A,#N/A,FALSE,"매출액";#N/A,#N/A,FALSE,"요약손익";#N/A,#N/A,FALSE,"요약대차";#N/A,#N/A,FALSE,"매출채권현황";#N/A,#N/A,FALSE,"매출채권명세"}</definedName>
    <definedName name="홍ㅇ호" hidden="1">{"'용역비'!$A$4:$C$8"}</definedName>
    <definedName name="환경관리"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ㅏㅊ험ㅎ" localSheetId="1">#REF!</definedName>
    <definedName name="ㅏㅊ험ㅎ" localSheetId="3">#REF!</definedName>
    <definedName name="ㅏㅊ험ㅎ" localSheetId="7">#REF!</definedName>
    <definedName name="ㅏㅊ험ㅎ" localSheetId="4">#REF!</definedName>
    <definedName name="ㅏㅊ험ㅎ" localSheetId="6">#REF!</definedName>
    <definedName name="ㅏㅊ험ㅎ">#REF!</definedName>
    <definedName name="ㅏㅏ" hidden="1">{#N/A,#N/A,FALSE,"이력서&amp;자기소개서"}</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ㅑㅑ" hidden="1">{"'용역비'!$A$4:$C$8"}</definedName>
    <definedName name="ㅑㅑㅑ" hidden="1">{"'용역비'!$A$4:$C$8"}</definedName>
    <definedName name="ㅑㅑㅑㅑㅑ" hidden="1">{"'용역비'!$A$4:$C$8"}</definedName>
    <definedName name="ㅑㅑㅑㅑㅑㅑ" hidden="1">{"'용역비'!$A$4:$C$8"}</definedName>
    <definedName name="ㅑㅕㅕ" hidden="1">{"'용역비'!$A$4:$C$8"}</definedName>
    <definedName name="ㅓㅓㅓ" hidden="1">{#N/A,#N/A,FALSE,"97년 투자계획 세부내역 "}</definedName>
    <definedName name="ㅓㅕㅗㅓ" localSheetId="1">[7]!ㅓㅕㅗㅓ</definedName>
    <definedName name="ㅓㅕㅗㅓ" localSheetId="3">[7]!ㅓㅕㅗㅓ</definedName>
    <definedName name="ㅓㅕㅗㅓ" localSheetId="7">[7]!ㅓㅕㅗㅓ</definedName>
    <definedName name="ㅓㅕㅗㅓ" localSheetId="4">[7]!ㅓㅕㅗㅓ</definedName>
    <definedName name="ㅓㅕㅗㅓ" localSheetId="6">[7]!ㅓㅕㅗㅓ</definedName>
    <definedName name="ㅓㅕㅗㅓ">[7]!ㅓㅕㅗㅓ</definedName>
    <definedName name="ㅔㅣ" hidden="1">{"'용역비'!$A$4:$C$8"}</definedName>
    <definedName name="ㅛ" hidden="1">{#N/A,#N/A,FALSE,"자재관리";#N/A,#N/A,FALSE,"자재관리";#N/A,#N/A,FALSE,"자재관리"}</definedName>
    <definedName name="ㅛㅛ" hidden="1">{"'용역비'!$A$4:$C$8"}</definedName>
    <definedName name="ㅛㅛㅛ" hidden="1">{#N/A,#N/A,FALSE,"손익표지";#N/A,#N/A,FALSE,"손익계산";#N/A,#N/A,FALSE,"일반관리비";#N/A,#N/A,FALSE,"영업외수익";#N/A,#N/A,FALSE,"영업외비용";#N/A,#N/A,FALSE,"매출액";#N/A,#N/A,FALSE,"요약손익";#N/A,#N/A,FALSE,"요약대차";#N/A,#N/A,FALSE,"매출채권현황";#N/A,#N/A,FALSE,"매출채권명세"}</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ㅜㅜㅜㅜㅜㅜㅜㅜㅜㅜㅜㅜㅜㅜㅜㅜㅜㅜㅜㅜㅜㅜㅜㅜㅜㅜㅜㅜㅜㅜㅜㅜㅜㅜㅜㅜ" hidden="1">{#N/A,#N/A,FALSE,"CCTV"}</definedName>
    <definedName name="ㅠㄱ" hidden="1">{"'용역비'!$A$4:$C$8"}</definedName>
    <definedName name="ㅠㅠㅠ" hidden="1">{#N/A,#N/A,FALSE,"동부"}</definedName>
    <definedName name="ㅡㅗ" hidden="1">{#N/A,#N/A,FALSE,"전력간선"}</definedName>
    <definedName name="ㅡㅡ" hidden="1">{"'용역비'!$A$4:$C$8"}</definedName>
    <definedName name="ㅡㅡㅡ" localSheetId="1">[7]!ㅡㅡㅡ</definedName>
    <definedName name="ㅡㅡㅡ" localSheetId="3">[7]!ㅡㅡㅡ</definedName>
    <definedName name="ㅡㅡㅡ" localSheetId="7">[7]!ㅡㅡㅡ</definedName>
    <definedName name="ㅡㅡㅡ" localSheetId="4">[7]!ㅡㅡㅡ</definedName>
    <definedName name="ㅡㅡㅡ" localSheetId="6">[7]!ㅡㅡㅡ</definedName>
    <definedName name="ㅡㅡㅡ">[7]!ㅡㅡㅡ</definedName>
    <definedName name="ㅣ394" localSheetId="1">#REF!</definedName>
    <definedName name="ㅣ394" localSheetId="3">#REF!</definedName>
    <definedName name="ㅣ394" localSheetId="7">#REF!</definedName>
    <definedName name="ㅣ394" localSheetId="4">#REF!</definedName>
    <definedName name="ㅣ394" localSheetId="6">#REF!</definedName>
    <definedName name="ㅣ394">#REF!</definedName>
    <definedName name="ㅣㅏㅏ" hidden="1">{#N/A,#N/A,FALSE,"97년 투자계획 세부내역 "}</definedName>
    <definedName name="ㅣㅣㅣ" hidden="1">25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1" i="18" l="1"/>
  <c r="F23" i="18" s="1"/>
  <c r="AA13" i="15"/>
  <c r="AB13" i="15"/>
  <c r="AC13" i="15"/>
  <c r="AD13" i="15"/>
  <c r="AE13" i="15"/>
  <c r="Z13" i="15"/>
  <c r="N22" i="20"/>
  <c r="N21" i="20"/>
  <c r="M21" i="20"/>
  <c r="M20" i="20"/>
  <c r="N20" i="20"/>
  <c r="N16" i="20"/>
  <c r="M15" i="20"/>
  <c r="N15" i="20"/>
  <c r="M14" i="20"/>
  <c r="M13" i="20"/>
  <c r="N13" i="20"/>
  <c r="M12" i="20"/>
  <c r="N12" i="20"/>
  <c r="N11" i="20"/>
  <c r="M11" i="20"/>
  <c r="N10" i="20"/>
  <c r="M10" i="20"/>
  <c r="O10" i="20" s="1"/>
  <c r="P10" i="20" s="1"/>
  <c r="M9" i="20"/>
  <c r="N9" i="20"/>
  <c r="M8" i="20"/>
  <c r="R8" i="20" s="1"/>
  <c r="N8" i="20"/>
  <c r="M7" i="20"/>
  <c r="N7" i="20"/>
  <c r="M6" i="20"/>
  <c r="N6" i="20"/>
  <c r="S6" i="20" s="1"/>
  <c r="M5" i="20"/>
  <c r="R5" i="20" s="1"/>
  <c r="N5" i="20"/>
  <c r="S5" i="20" s="1"/>
  <c r="AE28" i="15"/>
  <c r="AE29" i="15" s="1"/>
  <c r="AD28" i="15"/>
  <c r="AD29" i="15" s="1"/>
  <c r="AC28" i="15"/>
  <c r="AC29" i="15" s="1"/>
  <c r="AB28" i="15"/>
  <c r="AB29" i="15" s="1"/>
  <c r="AA28" i="15"/>
  <c r="AA29" i="15" s="1"/>
  <c r="Z28" i="15"/>
  <c r="Z29" i="15" s="1"/>
  <c r="AE24" i="15"/>
  <c r="AE25" i="15" s="1"/>
  <c r="AD24" i="15"/>
  <c r="AD25" i="15" s="1"/>
  <c r="AC24" i="15"/>
  <c r="AC25" i="15" s="1"/>
  <c r="AB24" i="15"/>
  <c r="AB25" i="15" s="1"/>
  <c r="AA24" i="15"/>
  <c r="AA25" i="15" s="1"/>
  <c r="Z24" i="15"/>
  <c r="Z25" i="15" s="1"/>
  <c r="AA20" i="15"/>
  <c r="AA21" i="15" s="1"/>
  <c r="AB20" i="15"/>
  <c r="AB21" i="15" s="1"/>
  <c r="AC20" i="15"/>
  <c r="AC21" i="15" s="1"/>
  <c r="AD20" i="15"/>
  <c r="AD21" i="15" s="1"/>
  <c r="AE20" i="15"/>
  <c r="AE21" i="15" s="1"/>
  <c r="Z20" i="15"/>
  <c r="Z21" i="15" s="1"/>
  <c r="M6" i="16"/>
  <c r="X6" i="16" s="1"/>
  <c r="M7" i="16"/>
  <c r="X7" i="16" s="1"/>
  <c r="M8" i="16"/>
  <c r="X8" i="16" s="1"/>
  <c r="M9" i="16"/>
  <c r="M10" i="16"/>
  <c r="M11" i="16"/>
  <c r="M12" i="16"/>
  <c r="M13" i="16"/>
  <c r="M5" i="16"/>
  <c r="X5" i="16" s="1"/>
  <c r="G23" i="18"/>
  <c r="O11" i="20" l="1"/>
  <c r="P11" i="20" s="1"/>
  <c r="M22" i="20"/>
  <c r="R9" i="20"/>
  <c r="M17" i="20"/>
  <c r="M24" i="20"/>
  <c r="M26" i="20"/>
  <c r="N28" i="20"/>
  <c r="M28" i="20"/>
  <c r="O28" i="20" s="1"/>
  <c r="P28" i="20" s="1"/>
  <c r="O17" i="20"/>
  <c r="P17" i="20" s="1"/>
  <c r="O16" i="20"/>
  <c r="P16" i="20" s="1"/>
  <c r="S8" i="20"/>
  <c r="O8" i="20"/>
  <c r="P8" i="20" s="1"/>
  <c r="N14" i="20"/>
  <c r="O14" i="20" s="1"/>
  <c r="P14" i="20" s="1"/>
  <c r="N19" i="20"/>
  <c r="M19" i="20"/>
  <c r="N31" i="20"/>
  <c r="O9" i="20"/>
  <c r="P9" i="20" s="1"/>
  <c r="M16" i="20"/>
  <c r="O5" i="20"/>
  <c r="P5" i="20" s="1"/>
  <c r="N17" i="20"/>
  <c r="M18" i="20"/>
  <c r="O12" i="20"/>
  <c r="P12" i="20" s="1"/>
  <c r="S7" i="20"/>
  <c r="O13" i="20"/>
  <c r="P13" i="20" s="1"/>
  <c r="N39" i="20"/>
  <c r="M39" i="20"/>
  <c r="M35" i="20"/>
  <c r="N35" i="20"/>
  <c r="N26" i="20"/>
  <c r="O26" i="20" s="1"/>
  <c r="P26" i="20" s="1"/>
  <c r="O6" i="20"/>
  <c r="P6" i="20" s="1"/>
  <c r="R6" i="20"/>
  <c r="M27" i="20"/>
  <c r="N27" i="20"/>
  <c r="R7" i="20"/>
  <c r="O7" i="20"/>
  <c r="P7" i="20" s="1"/>
  <c r="N18" i="20"/>
  <c r="O15" i="20"/>
  <c r="P15" i="20" s="1"/>
  <c r="O22" i="20"/>
  <c r="P22" i="20" s="1"/>
  <c r="N30" i="20"/>
  <c r="O20" i="20"/>
  <c r="P20" i="20" s="1"/>
  <c r="O21" i="20"/>
  <c r="P21" i="20" s="1"/>
  <c r="H23" i="18"/>
  <c r="I23" i="18" s="1"/>
  <c r="H12" i="18"/>
  <c r="F24" i="18" s="1"/>
  <c r="N24" i="20" l="1"/>
  <c r="O24" i="20" s="1"/>
  <c r="P24" i="20" s="1"/>
  <c r="O19" i="20"/>
  <c r="P19" i="20" s="1"/>
  <c r="M30" i="20"/>
  <c r="M31" i="20"/>
  <c r="O31" i="20" s="1"/>
  <c r="P31" i="20" s="1"/>
  <c r="M25" i="20"/>
  <c r="N29" i="20"/>
  <c r="M29" i="20"/>
  <c r="M23" i="20"/>
  <c r="N23" i="20"/>
  <c r="S9" i="20"/>
  <c r="M37" i="20"/>
  <c r="N37" i="20"/>
  <c r="N25" i="20"/>
  <c r="M33" i="20"/>
  <c r="N33" i="20"/>
  <c r="O39" i="20"/>
  <c r="P39" i="20" s="1"/>
  <c r="M48" i="20"/>
  <c r="N48" i="20"/>
  <c r="O18" i="20"/>
  <c r="P18" i="20" s="1"/>
  <c r="O27" i="20"/>
  <c r="P27" i="20" s="1"/>
  <c r="O30" i="20"/>
  <c r="P30" i="20" s="1"/>
  <c r="N36" i="20"/>
  <c r="M36" i="20"/>
  <c r="O35" i="20"/>
  <c r="P35" i="20" s="1"/>
  <c r="N44" i="20"/>
  <c r="M44" i="20"/>
  <c r="F22" i="18"/>
  <c r="H10" i="18"/>
  <c r="G5" i="18"/>
  <c r="O29" i="20" l="1"/>
  <c r="P29" i="20" s="1"/>
  <c r="M40" i="20"/>
  <c r="N40" i="20"/>
  <c r="O25" i="20"/>
  <c r="P25" i="20" s="1"/>
  <c r="M32" i="20"/>
  <c r="N32" i="20"/>
  <c r="O23" i="20"/>
  <c r="P23" i="20" s="1"/>
  <c r="N34" i="20"/>
  <c r="M34" i="20"/>
  <c r="O34" i="20" s="1"/>
  <c r="P34" i="20" s="1"/>
  <c r="M46" i="20"/>
  <c r="N46" i="20"/>
  <c r="O37" i="20"/>
  <c r="P37" i="20" s="1"/>
  <c r="M38" i="20"/>
  <c r="N38" i="20"/>
  <c r="M53" i="20"/>
  <c r="N53" i="20"/>
  <c r="O44" i="20"/>
  <c r="P44" i="20" s="1"/>
  <c r="O48" i="20"/>
  <c r="P48" i="20" s="1"/>
  <c r="M45" i="20"/>
  <c r="N45" i="20"/>
  <c r="O36" i="20"/>
  <c r="P36" i="20" s="1"/>
  <c r="O33" i="20"/>
  <c r="P33" i="20" s="1"/>
  <c r="N42" i="20"/>
  <c r="M42" i="20"/>
  <c r="E14" i="16"/>
  <c r="E15" i="16"/>
  <c r="E16" i="16"/>
  <c r="E17" i="16"/>
  <c r="E18" i="16"/>
  <c r="E19" i="16"/>
  <c r="E20" i="16"/>
  <c r="E21" i="16"/>
  <c r="E22" i="16"/>
  <c r="L54" i="16"/>
  <c r="K54" i="16"/>
  <c r="J54" i="16"/>
  <c r="I54" i="16"/>
  <c r="G54" i="16"/>
  <c r="L53" i="16"/>
  <c r="K53" i="16"/>
  <c r="J53" i="16"/>
  <c r="I53" i="16"/>
  <c r="G53" i="16"/>
  <c r="L52" i="16"/>
  <c r="K52" i="16"/>
  <c r="J52" i="16"/>
  <c r="I52" i="16"/>
  <c r="G52" i="16"/>
  <c r="L51" i="16"/>
  <c r="K51" i="16"/>
  <c r="J51" i="16"/>
  <c r="I51" i="16"/>
  <c r="G51" i="16"/>
  <c r="L50" i="16"/>
  <c r="K50" i="16"/>
  <c r="J50" i="16"/>
  <c r="I50" i="16"/>
  <c r="G50" i="16"/>
  <c r="L49" i="16"/>
  <c r="K49" i="16"/>
  <c r="J49" i="16"/>
  <c r="I49" i="16"/>
  <c r="G49" i="16"/>
  <c r="L48" i="16"/>
  <c r="K48" i="16"/>
  <c r="J48" i="16"/>
  <c r="I48" i="16"/>
  <c r="G48" i="16"/>
  <c r="L47" i="16"/>
  <c r="K47" i="16"/>
  <c r="J47" i="16"/>
  <c r="I47" i="16"/>
  <c r="G47" i="16"/>
  <c r="L46" i="16"/>
  <c r="K46" i="16"/>
  <c r="J46" i="16"/>
  <c r="I46" i="16"/>
  <c r="G46" i="16"/>
  <c r="L45" i="16"/>
  <c r="K45" i="16"/>
  <c r="J45" i="16"/>
  <c r="I45" i="16"/>
  <c r="G45" i="16"/>
  <c r="L44" i="16"/>
  <c r="K44" i="16"/>
  <c r="J44" i="16"/>
  <c r="I44" i="16"/>
  <c r="G44" i="16"/>
  <c r="L43" i="16"/>
  <c r="K43" i="16"/>
  <c r="J43" i="16"/>
  <c r="I43" i="16"/>
  <c r="G43" i="16"/>
  <c r="L42" i="16"/>
  <c r="K42" i="16"/>
  <c r="J42" i="16"/>
  <c r="I42" i="16"/>
  <c r="G42" i="16"/>
  <c r="L41" i="16"/>
  <c r="K41" i="16"/>
  <c r="J41" i="16"/>
  <c r="I41" i="16"/>
  <c r="G41" i="16"/>
  <c r="L40" i="16"/>
  <c r="K40" i="16"/>
  <c r="J40" i="16"/>
  <c r="I40" i="16"/>
  <c r="G40" i="16"/>
  <c r="L39" i="16"/>
  <c r="K39" i="16"/>
  <c r="J39" i="16"/>
  <c r="I39" i="16"/>
  <c r="G39" i="16"/>
  <c r="L38" i="16"/>
  <c r="K38" i="16"/>
  <c r="J38" i="16"/>
  <c r="I38" i="16"/>
  <c r="G38" i="16"/>
  <c r="L37" i="16"/>
  <c r="K37" i="16"/>
  <c r="J37" i="16"/>
  <c r="I37" i="16"/>
  <c r="G37" i="16"/>
  <c r="L36" i="16"/>
  <c r="K36" i="16"/>
  <c r="J36" i="16"/>
  <c r="I36" i="16"/>
  <c r="G36" i="16"/>
  <c r="L35" i="16"/>
  <c r="K35" i="16"/>
  <c r="J35" i="16"/>
  <c r="I35" i="16"/>
  <c r="G35" i="16"/>
  <c r="L34" i="16"/>
  <c r="K34" i="16"/>
  <c r="J34" i="16"/>
  <c r="I34" i="16"/>
  <c r="G34" i="16"/>
  <c r="L33" i="16"/>
  <c r="K33" i="16"/>
  <c r="J33" i="16"/>
  <c r="I33" i="16"/>
  <c r="G33" i="16"/>
  <c r="L32" i="16"/>
  <c r="K32" i="16"/>
  <c r="J32" i="16"/>
  <c r="I32" i="16"/>
  <c r="G32" i="16"/>
  <c r="L31" i="16"/>
  <c r="K31" i="16"/>
  <c r="J31" i="16"/>
  <c r="I31" i="16"/>
  <c r="G31" i="16"/>
  <c r="L30" i="16"/>
  <c r="K30" i="16"/>
  <c r="J30" i="16"/>
  <c r="I30" i="16"/>
  <c r="G30" i="16"/>
  <c r="L29" i="16"/>
  <c r="K29" i="16"/>
  <c r="J29" i="16"/>
  <c r="I29" i="16"/>
  <c r="G29" i="16"/>
  <c r="L28" i="16"/>
  <c r="K28" i="16"/>
  <c r="J28" i="16"/>
  <c r="I28" i="16"/>
  <c r="G28" i="16"/>
  <c r="L27" i="16"/>
  <c r="K27" i="16"/>
  <c r="J27" i="16"/>
  <c r="I27" i="16"/>
  <c r="G27" i="16"/>
  <c r="L26" i="16"/>
  <c r="K26" i="16"/>
  <c r="J26" i="16"/>
  <c r="I26" i="16"/>
  <c r="G26" i="16"/>
  <c r="L25" i="16"/>
  <c r="K25" i="16"/>
  <c r="J25" i="16"/>
  <c r="I25" i="16"/>
  <c r="G25" i="16"/>
  <c r="L24" i="16"/>
  <c r="K24" i="16"/>
  <c r="J24" i="16"/>
  <c r="I24" i="16"/>
  <c r="G24" i="16"/>
  <c r="L23" i="16"/>
  <c r="K23" i="16"/>
  <c r="J23" i="16"/>
  <c r="I23" i="16"/>
  <c r="G23" i="16"/>
  <c r="L22" i="16"/>
  <c r="K22" i="16"/>
  <c r="J22" i="16"/>
  <c r="I22" i="16"/>
  <c r="G22" i="16"/>
  <c r="L21" i="16"/>
  <c r="K21" i="16"/>
  <c r="J21" i="16"/>
  <c r="I21" i="16"/>
  <c r="G21" i="16"/>
  <c r="L20" i="16"/>
  <c r="K20" i="16"/>
  <c r="J20" i="16"/>
  <c r="I20" i="16"/>
  <c r="G20" i="16"/>
  <c r="L19" i="16"/>
  <c r="K19" i="16"/>
  <c r="J19" i="16"/>
  <c r="I19" i="16"/>
  <c r="G19" i="16"/>
  <c r="L18" i="16"/>
  <c r="K18" i="16"/>
  <c r="J18" i="16"/>
  <c r="I18" i="16"/>
  <c r="G18" i="16"/>
  <c r="L17" i="16"/>
  <c r="K17" i="16"/>
  <c r="J17" i="16"/>
  <c r="I17" i="16"/>
  <c r="G17" i="16"/>
  <c r="L16" i="16"/>
  <c r="K16" i="16"/>
  <c r="J16" i="16"/>
  <c r="I16" i="16"/>
  <c r="G16" i="16"/>
  <c r="L15" i="16"/>
  <c r="K15" i="16"/>
  <c r="J15" i="16"/>
  <c r="I15" i="16"/>
  <c r="G15" i="16"/>
  <c r="L14" i="16"/>
  <c r="K14" i="16"/>
  <c r="J14" i="16"/>
  <c r="I14" i="16"/>
  <c r="G14" i="16"/>
  <c r="L13" i="16"/>
  <c r="K13" i="16"/>
  <c r="J13" i="16"/>
  <c r="I13" i="16"/>
  <c r="G13" i="16"/>
  <c r="F13" i="16"/>
  <c r="N13" i="16" s="1"/>
  <c r="L12" i="16"/>
  <c r="G28" i="18" s="1"/>
  <c r="K12" i="16"/>
  <c r="F16" i="18" s="1"/>
  <c r="J12" i="16"/>
  <c r="G27" i="18" s="1"/>
  <c r="I12" i="16"/>
  <c r="F15" i="18" s="1"/>
  <c r="G12" i="16"/>
  <c r="F12" i="16"/>
  <c r="L11" i="16"/>
  <c r="K11" i="16"/>
  <c r="J11" i="16"/>
  <c r="I11" i="16"/>
  <c r="G11" i="16"/>
  <c r="F11" i="16"/>
  <c r="N11" i="16" s="1"/>
  <c r="L10" i="16"/>
  <c r="K10" i="16"/>
  <c r="J10" i="16"/>
  <c r="I10" i="16"/>
  <c r="G10" i="16"/>
  <c r="F10" i="16"/>
  <c r="N10" i="16" s="1"/>
  <c r="L9" i="16"/>
  <c r="K9" i="16"/>
  <c r="J9" i="16"/>
  <c r="I9" i="16"/>
  <c r="G9" i="16"/>
  <c r="F9" i="16"/>
  <c r="N9" i="16" s="1"/>
  <c r="L8" i="16"/>
  <c r="K8" i="16"/>
  <c r="J8" i="16"/>
  <c r="I8" i="16"/>
  <c r="G8" i="16"/>
  <c r="F8" i="16"/>
  <c r="N8" i="16" s="1"/>
  <c r="Y8" i="16" s="1"/>
  <c r="L7" i="16"/>
  <c r="K7" i="16"/>
  <c r="J7" i="16"/>
  <c r="I7" i="16"/>
  <c r="G7" i="16"/>
  <c r="F7" i="16"/>
  <c r="N7" i="16" s="1"/>
  <c r="Y7" i="16" s="1"/>
  <c r="L6" i="16"/>
  <c r="K6" i="16"/>
  <c r="J6" i="16"/>
  <c r="I6" i="16"/>
  <c r="G6" i="16"/>
  <c r="F6" i="16"/>
  <c r="N6" i="16" s="1"/>
  <c r="Y6" i="16" s="1"/>
  <c r="L5" i="16"/>
  <c r="K5" i="16"/>
  <c r="J5" i="16"/>
  <c r="I5" i="16"/>
  <c r="G5" i="16"/>
  <c r="F5" i="16"/>
  <c r="N5" i="16" s="1"/>
  <c r="Y5" i="16" s="1"/>
  <c r="M49" i="20" l="1"/>
  <c r="N49" i="20"/>
  <c r="O40" i="20"/>
  <c r="P40" i="20" s="1"/>
  <c r="S15" i="20"/>
  <c r="M43" i="20"/>
  <c r="N43" i="20"/>
  <c r="N47" i="20"/>
  <c r="M47" i="20"/>
  <c r="O46" i="20"/>
  <c r="P46" i="20" s="1"/>
  <c r="N41" i="20"/>
  <c r="M41" i="20"/>
  <c r="O41" i="20" s="1"/>
  <c r="P41" i="20" s="1"/>
  <c r="O38" i="20"/>
  <c r="P38" i="20" s="1"/>
  <c r="R15" i="20"/>
  <c r="O32" i="20"/>
  <c r="P32" i="20" s="1"/>
  <c r="O42" i="20"/>
  <c r="P42" i="20" s="1"/>
  <c r="N51" i="20"/>
  <c r="M51" i="20"/>
  <c r="O53" i="20"/>
  <c r="P53" i="20" s="1"/>
  <c r="M54" i="20"/>
  <c r="N54" i="20"/>
  <c r="O45" i="20"/>
  <c r="P45" i="20" s="1"/>
  <c r="H8" i="16"/>
  <c r="R8" i="16" s="1"/>
  <c r="AA8" i="16" s="1"/>
  <c r="Q8" i="16"/>
  <c r="Z8" i="16" s="1"/>
  <c r="H14" i="16"/>
  <c r="R14" i="16" s="1"/>
  <c r="Q14" i="16"/>
  <c r="H30" i="16"/>
  <c r="R30" i="16" s="1"/>
  <c r="Q30" i="16"/>
  <c r="H6" i="16"/>
  <c r="R6" i="16" s="1"/>
  <c r="AA6" i="16" s="1"/>
  <c r="Q6" i="16"/>
  <c r="Z6" i="16" s="1"/>
  <c r="H40" i="16"/>
  <c r="R40" i="16" s="1"/>
  <c r="Q40" i="16"/>
  <c r="H9" i="16"/>
  <c r="R9" i="16" s="1"/>
  <c r="Q9" i="16"/>
  <c r="H21" i="16"/>
  <c r="R21" i="16" s="1"/>
  <c r="Q21" i="16"/>
  <c r="H37" i="16"/>
  <c r="R37" i="16" s="1"/>
  <c r="Q37" i="16"/>
  <c r="H53" i="16"/>
  <c r="R53" i="16" s="1"/>
  <c r="Q53" i="16"/>
  <c r="F22" i="16"/>
  <c r="N22" i="16" s="1"/>
  <c r="M22" i="16"/>
  <c r="H23" i="16"/>
  <c r="R23" i="16" s="1"/>
  <c r="Q23" i="16"/>
  <c r="H39" i="16"/>
  <c r="R39" i="16" s="1"/>
  <c r="Q39" i="16"/>
  <c r="H24" i="16"/>
  <c r="R24" i="16" s="1"/>
  <c r="Q24" i="16"/>
  <c r="H34" i="16"/>
  <c r="R34" i="16" s="1"/>
  <c r="Q34" i="16"/>
  <c r="H50" i="16"/>
  <c r="R50" i="16" s="1"/>
  <c r="Q50" i="16"/>
  <c r="F21" i="16"/>
  <c r="N21" i="16" s="1"/>
  <c r="M21" i="16"/>
  <c r="H17" i="16"/>
  <c r="R17" i="16" s="1"/>
  <c r="Q17" i="16"/>
  <c r="H33" i="16"/>
  <c r="R33" i="16" s="1"/>
  <c r="Q33" i="16"/>
  <c r="H27" i="16"/>
  <c r="R27" i="16" s="1"/>
  <c r="Q27" i="16"/>
  <c r="G24" i="18"/>
  <c r="N12" i="16"/>
  <c r="Y9" i="16" s="1"/>
  <c r="H18" i="16"/>
  <c r="R18" i="16" s="1"/>
  <c r="Q18" i="16"/>
  <c r="Q12" i="16"/>
  <c r="U12" i="16" s="1"/>
  <c r="H15" i="16"/>
  <c r="R15" i="16" s="1"/>
  <c r="Q15" i="16"/>
  <c r="H31" i="16"/>
  <c r="R31" i="16" s="1"/>
  <c r="Q31" i="16"/>
  <c r="H47" i="16"/>
  <c r="R47" i="16" s="1"/>
  <c r="Q47" i="16"/>
  <c r="E29" i="16"/>
  <c r="M20" i="16"/>
  <c r="H42" i="16"/>
  <c r="R42" i="16" s="1"/>
  <c r="Q42" i="16"/>
  <c r="H36" i="16"/>
  <c r="R36" i="16" s="1"/>
  <c r="Q36" i="16"/>
  <c r="H52" i="16"/>
  <c r="R52" i="16" s="1"/>
  <c r="Q52" i="16"/>
  <c r="H46" i="16"/>
  <c r="R46" i="16" s="1"/>
  <c r="Q46" i="16"/>
  <c r="H43" i="16"/>
  <c r="R43" i="16" s="1"/>
  <c r="Q43" i="16"/>
  <c r="H28" i="16"/>
  <c r="R28" i="16" s="1"/>
  <c r="Q28" i="16"/>
  <c r="H44" i="16"/>
  <c r="R44" i="16" s="1"/>
  <c r="Q44" i="16"/>
  <c r="E28" i="16"/>
  <c r="M19" i="16"/>
  <c r="H26" i="16"/>
  <c r="R26" i="16" s="1"/>
  <c r="Q26" i="16"/>
  <c r="H49" i="16"/>
  <c r="R49" i="16" s="1"/>
  <c r="Q49" i="16"/>
  <c r="H25" i="16"/>
  <c r="R25" i="16" s="1"/>
  <c r="Q25" i="16"/>
  <c r="H41" i="16"/>
  <c r="R41" i="16" s="1"/>
  <c r="Q41" i="16"/>
  <c r="F18" i="16"/>
  <c r="N18" i="16" s="1"/>
  <c r="M18" i="16"/>
  <c r="H38" i="16"/>
  <c r="R38" i="16" s="1"/>
  <c r="Q38" i="16"/>
  <c r="H54" i="16"/>
  <c r="R54" i="16" s="1"/>
  <c r="Q54" i="16"/>
  <c r="F17" i="16"/>
  <c r="N17" i="16" s="1"/>
  <c r="M17" i="16"/>
  <c r="Q10" i="16"/>
  <c r="U10" i="16" s="1"/>
  <c r="H19" i="16"/>
  <c r="R19" i="16" s="1"/>
  <c r="Q19" i="16"/>
  <c r="H35" i="16"/>
  <c r="R35" i="16" s="1"/>
  <c r="Q35" i="16"/>
  <c r="H51" i="16"/>
  <c r="R51" i="16" s="1"/>
  <c r="Q51" i="16"/>
  <c r="E25" i="16"/>
  <c r="M25" i="16" s="1"/>
  <c r="U25" i="16" s="1"/>
  <c r="M16" i="16"/>
  <c r="H20" i="16"/>
  <c r="R20" i="16" s="1"/>
  <c r="Q20" i="16"/>
  <c r="H11" i="16"/>
  <c r="R11" i="16" s="1"/>
  <c r="V11" i="16" s="1"/>
  <c r="Q11" i="16"/>
  <c r="U11" i="16" s="1"/>
  <c r="H7" i="16"/>
  <c r="R7" i="16" s="1"/>
  <c r="AA7" i="16" s="1"/>
  <c r="Q7" i="16"/>
  <c r="Z7" i="16" s="1"/>
  <c r="H22" i="16"/>
  <c r="R22" i="16" s="1"/>
  <c r="Q22" i="16"/>
  <c r="Q16" i="16"/>
  <c r="H32" i="16"/>
  <c r="R32" i="16" s="1"/>
  <c r="Q32" i="16"/>
  <c r="H48" i="16"/>
  <c r="R48" i="16" s="1"/>
  <c r="Q48" i="16"/>
  <c r="E24" i="16"/>
  <c r="F24" i="16" s="1"/>
  <c r="N24" i="16" s="1"/>
  <c r="M15" i="16"/>
  <c r="H5" i="16"/>
  <c r="R5" i="16" s="1"/>
  <c r="AA5" i="16" s="1"/>
  <c r="Q5" i="16"/>
  <c r="Z5" i="16" s="1"/>
  <c r="Q13" i="16"/>
  <c r="U13" i="16" s="1"/>
  <c r="H29" i="16"/>
  <c r="R29" i="16" s="1"/>
  <c r="Q29" i="16"/>
  <c r="H45" i="16"/>
  <c r="R45" i="16" s="1"/>
  <c r="Q45" i="16"/>
  <c r="E23" i="16"/>
  <c r="M14" i="16"/>
  <c r="X9" i="16" s="1"/>
  <c r="H12" i="16"/>
  <c r="F14" i="18"/>
  <c r="H15" i="18"/>
  <c r="F27" i="18" s="1"/>
  <c r="H27" i="18" s="1"/>
  <c r="I27" i="18" s="1"/>
  <c r="G15" i="18"/>
  <c r="H16" i="18"/>
  <c r="F28" i="18" s="1"/>
  <c r="H28" i="18" s="1"/>
  <c r="I28" i="18" s="1"/>
  <c r="G16" i="18"/>
  <c r="E30" i="16"/>
  <c r="E31" i="16"/>
  <c r="E26" i="16"/>
  <c r="F19" i="16"/>
  <c r="N19" i="16" s="1"/>
  <c r="E27" i="16"/>
  <c r="F14" i="16"/>
  <c r="N14" i="16" s="1"/>
  <c r="F16" i="16"/>
  <c r="N16" i="16" s="1"/>
  <c r="F15" i="16"/>
  <c r="N15" i="16" s="1"/>
  <c r="H16" i="16"/>
  <c r="R16" i="16" s="1"/>
  <c r="H10" i="16"/>
  <c r="R10" i="16" s="1"/>
  <c r="V10" i="16" s="1"/>
  <c r="H13" i="16"/>
  <c r="R13" i="16" s="1"/>
  <c r="V13" i="16" s="1"/>
  <c r="F20" i="16"/>
  <c r="N20" i="16" s="1"/>
  <c r="N19" i="4"/>
  <c r="N28" i="4" s="1"/>
  <c r="N37" i="4" s="1"/>
  <c r="N46" i="4" s="1"/>
  <c r="N55" i="4" s="1"/>
  <c r="N20" i="4"/>
  <c r="N29" i="4" s="1"/>
  <c r="N38" i="4" s="1"/>
  <c r="N47" i="4" s="1"/>
  <c r="N56" i="4" s="1"/>
  <c r="N21" i="4"/>
  <c r="N30" i="4" s="1"/>
  <c r="N39" i="4" s="1"/>
  <c r="N48" i="4" s="1"/>
  <c r="N57" i="4" s="1"/>
  <c r="N22" i="4"/>
  <c r="N31" i="4" s="1"/>
  <c r="N40" i="4" s="1"/>
  <c r="N49" i="4" s="1"/>
  <c r="N58" i="4" s="1"/>
  <c r="N23" i="4"/>
  <c r="N32" i="4" s="1"/>
  <c r="N41" i="4" s="1"/>
  <c r="N50" i="4" s="1"/>
  <c r="N59" i="4" s="1"/>
  <c r="N24" i="4"/>
  <c r="N33" i="4" s="1"/>
  <c r="N42" i="4" s="1"/>
  <c r="N51" i="4" s="1"/>
  <c r="N60" i="4" s="1"/>
  <c r="N25" i="4"/>
  <c r="N34" i="4" s="1"/>
  <c r="N43" i="4" s="1"/>
  <c r="N52" i="4" s="1"/>
  <c r="N61" i="4" s="1"/>
  <c r="N26" i="4"/>
  <c r="N35" i="4"/>
  <c r="N44" i="4" s="1"/>
  <c r="N53" i="4" s="1"/>
  <c r="H24" i="18" l="1"/>
  <c r="G22" i="18"/>
  <c r="O47" i="20"/>
  <c r="P47" i="20" s="1"/>
  <c r="O49" i="20"/>
  <c r="P49" i="20" s="1"/>
  <c r="N50" i="20"/>
  <c r="S35" i="20" s="1"/>
  <c r="M50" i="20"/>
  <c r="O50" i="20" s="1"/>
  <c r="P50" i="20" s="1"/>
  <c r="O43" i="20"/>
  <c r="P43" i="20" s="1"/>
  <c r="N52" i="20"/>
  <c r="M52" i="20"/>
  <c r="O52" i="20" s="1"/>
  <c r="P52" i="20" s="1"/>
  <c r="O54" i="20"/>
  <c r="P54" i="20" s="1"/>
  <c r="O51" i="20"/>
  <c r="P51" i="20" s="1"/>
  <c r="Z15" i="16"/>
  <c r="AA15" i="16"/>
  <c r="Z9" i="16"/>
  <c r="Z35" i="16"/>
  <c r="AA35" i="16"/>
  <c r="V21" i="16"/>
  <c r="V24" i="16"/>
  <c r="U21" i="16"/>
  <c r="V7" i="16"/>
  <c r="AC7" i="16" s="1"/>
  <c r="V19" i="16"/>
  <c r="U18" i="16"/>
  <c r="U20" i="16"/>
  <c r="V18" i="16"/>
  <c r="V20" i="16"/>
  <c r="U19" i="16"/>
  <c r="U16" i="16"/>
  <c r="U8" i="16"/>
  <c r="AB8" i="16" s="1"/>
  <c r="U15" i="16"/>
  <c r="V5" i="16"/>
  <c r="AC5" i="16" s="1"/>
  <c r="U9" i="16"/>
  <c r="U14" i="16"/>
  <c r="V15" i="16"/>
  <c r="U17" i="16"/>
  <c r="V16" i="16"/>
  <c r="V17" i="16"/>
  <c r="U22" i="16"/>
  <c r="V8" i="16"/>
  <c r="AC8" i="16" s="1"/>
  <c r="V14" i="16"/>
  <c r="V22" i="16"/>
  <c r="V6" i="16"/>
  <c r="AC6" i="16" s="1"/>
  <c r="U7" i="16"/>
  <c r="AB7" i="16" s="1"/>
  <c r="U6" i="16"/>
  <c r="AB6" i="16" s="1"/>
  <c r="V9" i="16"/>
  <c r="U5" i="16"/>
  <c r="AB5" i="16" s="1"/>
  <c r="E32" i="16"/>
  <c r="M23" i="16"/>
  <c r="U23" i="16" s="1"/>
  <c r="E40" i="16"/>
  <c r="M31" i="16"/>
  <c r="U31" i="16" s="1"/>
  <c r="G26" i="18"/>
  <c r="G25" i="18" s="1"/>
  <c r="R12" i="16"/>
  <c r="AA9" i="16" s="1"/>
  <c r="E37" i="16"/>
  <c r="M28" i="16"/>
  <c r="U28" i="16" s="1"/>
  <c r="F23" i="16"/>
  <c r="N23" i="16" s="1"/>
  <c r="V23" i="16" s="1"/>
  <c r="E33" i="16"/>
  <c r="M24" i="16"/>
  <c r="U24" i="16" s="1"/>
  <c r="E39" i="16"/>
  <c r="M30" i="16"/>
  <c r="U30" i="16" s="1"/>
  <c r="E36" i="16"/>
  <c r="M27" i="16"/>
  <c r="U27" i="16" s="1"/>
  <c r="E34" i="16"/>
  <c r="F34" i="16" s="1"/>
  <c r="N34" i="16" s="1"/>
  <c r="V34" i="16" s="1"/>
  <c r="E38" i="16"/>
  <c r="M29" i="16"/>
  <c r="U29" i="16" s="1"/>
  <c r="E35" i="16"/>
  <c r="F35" i="16" s="1"/>
  <c r="N35" i="16" s="1"/>
  <c r="M26" i="16"/>
  <c r="U26" i="16" s="1"/>
  <c r="F25" i="16"/>
  <c r="N25" i="16" s="1"/>
  <c r="H14" i="18"/>
  <c r="G14" i="18"/>
  <c r="G13" i="18" s="1"/>
  <c r="F13" i="18"/>
  <c r="I24" i="18"/>
  <c r="H22" i="18"/>
  <c r="O11" i="16"/>
  <c r="O6" i="16"/>
  <c r="F26" i="16"/>
  <c r="N26" i="16" s="1"/>
  <c r="V26" i="16" s="1"/>
  <c r="O12" i="16"/>
  <c r="O17" i="16"/>
  <c r="O18" i="16"/>
  <c r="O19" i="16"/>
  <c r="O20" i="16"/>
  <c r="O9" i="16"/>
  <c r="O22" i="16"/>
  <c r="F32" i="16"/>
  <c r="N32" i="16" s="1"/>
  <c r="V32" i="16" s="1"/>
  <c r="O7" i="16"/>
  <c r="O8" i="16"/>
  <c r="F27" i="16"/>
  <c r="N27" i="16" s="1"/>
  <c r="V27" i="16" s="1"/>
  <c r="O15" i="16"/>
  <c r="O21" i="16"/>
  <c r="O5" i="16"/>
  <c r="O14" i="16"/>
  <c r="F30" i="16"/>
  <c r="N30" i="16" s="1"/>
  <c r="V30" i="16" s="1"/>
  <c r="O10" i="16"/>
  <c r="F28" i="16"/>
  <c r="N28" i="16" s="1"/>
  <c r="V28" i="16" s="1"/>
  <c r="F31" i="16"/>
  <c r="N31" i="16" s="1"/>
  <c r="V31" i="16" s="1"/>
  <c r="F29" i="16"/>
  <c r="N29" i="16" s="1"/>
  <c r="V29" i="16" s="1"/>
  <c r="O13" i="16"/>
  <c r="N18" i="4"/>
  <c r="N27" i="4" s="1"/>
  <c r="N36" i="4" s="1"/>
  <c r="N45" i="4" s="1"/>
  <c r="N54" i="4" s="1"/>
  <c r="AF7" i="15"/>
  <c r="AC8" i="15" s="1"/>
  <c r="AF5" i="15"/>
  <c r="AB6" i="15" s="1"/>
  <c r="R35" i="20" l="1"/>
  <c r="G29" i="18"/>
  <c r="AB9" i="16"/>
  <c r="V35" i="16"/>
  <c r="O25" i="16"/>
  <c r="V25" i="16"/>
  <c r="V12" i="16"/>
  <c r="AC9" i="16" s="1"/>
  <c r="O24" i="16"/>
  <c r="P24" i="16" s="1"/>
  <c r="O23" i="16"/>
  <c r="P23" i="16" s="1"/>
  <c r="E48" i="16"/>
  <c r="M39" i="16"/>
  <c r="U39" i="16" s="1"/>
  <c r="E43" i="16"/>
  <c r="F43" i="16" s="1"/>
  <c r="N43" i="16" s="1"/>
  <c r="V43" i="16" s="1"/>
  <c r="M34" i="16"/>
  <c r="U34" i="16" s="1"/>
  <c r="E45" i="16"/>
  <c r="M36" i="16"/>
  <c r="U36" i="16" s="1"/>
  <c r="E42" i="16"/>
  <c r="F42" i="16" s="1"/>
  <c r="N42" i="16" s="1"/>
  <c r="V42" i="16" s="1"/>
  <c r="M33" i="16"/>
  <c r="U33" i="16" s="1"/>
  <c r="E44" i="16"/>
  <c r="F44" i="16" s="1"/>
  <c r="N44" i="16" s="1"/>
  <c r="V44" i="16" s="1"/>
  <c r="M35" i="16"/>
  <c r="E49" i="16"/>
  <c r="M40" i="16"/>
  <c r="U40" i="16" s="1"/>
  <c r="E46" i="16"/>
  <c r="M37" i="16"/>
  <c r="U37" i="16" s="1"/>
  <c r="F33" i="16"/>
  <c r="N33" i="16" s="1"/>
  <c r="V33" i="16" s="1"/>
  <c r="E47" i="16"/>
  <c r="M38" i="16"/>
  <c r="U38" i="16" s="1"/>
  <c r="E41" i="16"/>
  <c r="M32" i="16"/>
  <c r="U32" i="16" s="1"/>
  <c r="P22" i="16"/>
  <c r="S22" i="16"/>
  <c r="T22" i="16" s="1"/>
  <c r="P7" i="16"/>
  <c r="P13" i="16"/>
  <c r="S13" i="16"/>
  <c r="T13" i="16" s="1"/>
  <c r="P9" i="16"/>
  <c r="S9" i="16"/>
  <c r="T9" i="16" s="1"/>
  <c r="S23" i="16"/>
  <c r="T23" i="16" s="1"/>
  <c r="P20" i="16"/>
  <c r="S20" i="16"/>
  <c r="T20" i="16" s="1"/>
  <c r="P19" i="16"/>
  <c r="S19" i="16"/>
  <c r="T19" i="16" s="1"/>
  <c r="P18" i="16"/>
  <c r="P21" i="16"/>
  <c r="S21" i="16"/>
  <c r="T21" i="16" s="1"/>
  <c r="P17" i="16"/>
  <c r="S17" i="16"/>
  <c r="T17" i="16" s="1"/>
  <c r="P12" i="16"/>
  <c r="S12" i="16"/>
  <c r="T12" i="16" s="1"/>
  <c r="P15" i="16"/>
  <c r="S15" i="16"/>
  <c r="T15" i="16" s="1"/>
  <c r="P10" i="16"/>
  <c r="S10" i="16"/>
  <c r="T10" i="16" s="1"/>
  <c r="P6" i="16"/>
  <c r="S6" i="16"/>
  <c r="T6" i="16" s="1"/>
  <c r="P8" i="16"/>
  <c r="S8" i="16"/>
  <c r="T8" i="16" s="1"/>
  <c r="P14" i="16"/>
  <c r="P25" i="16"/>
  <c r="S25" i="16"/>
  <c r="T25" i="16" s="1"/>
  <c r="P11" i="16"/>
  <c r="S11" i="16"/>
  <c r="T11" i="16" s="1"/>
  <c r="P5" i="16"/>
  <c r="S5" i="16"/>
  <c r="T5" i="16" s="1"/>
  <c r="I22" i="18"/>
  <c r="F26" i="18"/>
  <c r="H13" i="18"/>
  <c r="H17" i="18" s="1"/>
  <c r="O26" i="16"/>
  <c r="O27" i="16"/>
  <c r="F36" i="16"/>
  <c r="N36" i="16" s="1"/>
  <c r="V36" i="16" s="1"/>
  <c r="O16" i="16"/>
  <c r="O30" i="16"/>
  <c r="F37" i="16"/>
  <c r="N37" i="16" s="1"/>
  <c r="V37" i="16" s="1"/>
  <c r="O31" i="16"/>
  <c r="F38" i="16"/>
  <c r="N38" i="16" s="1"/>
  <c r="V38" i="16" s="1"/>
  <c r="O29" i="16"/>
  <c r="F39" i="16"/>
  <c r="N39" i="16" s="1"/>
  <c r="V39" i="16" s="1"/>
  <c r="O28" i="16"/>
  <c r="F40" i="16"/>
  <c r="N40" i="16" s="1"/>
  <c r="V40" i="16" s="1"/>
  <c r="Z8" i="15"/>
  <c r="AB8" i="15"/>
  <c r="AB10" i="15" s="1"/>
  <c r="AB9" i="15" s="1"/>
  <c r="AB14" i="15" s="1"/>
  <c r="AD8" i="15"/>
  <c r="AE8" i="15"/>
  <c r="Z6" i="15"/>
  <c r="AE6" i="15"/>
  <c r="AC6" i="15"/>
  <c r="AC10" i="15" s="1"/>
  <c r="AC9" i="15" s="1"/>
  <c r="AC14" i="15" s="1"/>
  <c r="AD6" i="15"/>
  <c r="AA8" i="15"/>
  <c r="AA6" i="15"/>
  <c r="AB15" i="16" l="1"/>
  <c r="AC15" i="16"/>
  <c r="Y15" i="16"/>
  <c r="U35" i="16"/>
  <c r="X15" i="16"/>
  <c r="O35" i="16"/>
  <c r="O34" i="16"/>
  <c r="P34" i="16" s="1"/>
  <c r="O32" i="16"/>
  <c r="P32" i="16" s="1"/>
  <c r="O33" i="16"/>
  <c r="P33" i="16" s="1"/>
  <c r="M46" i="16"/>
  <c r="U46" i="16" s="1"/>
  <c r="F46" i="16"/>
  <c r="N46" i="16" s="1"/>
  <c r="V46" i="16" s="1"/>
  <c r="E53" i="16"/>
  <c r="M44" i="16"/>
  <c r="U44" i="16" s="1"/>
  <c r="M49" i="16"/>
  <c r="U49" i="16" s="1"/>
  <c r="F49" i="16"/>
  <c r="N49" i="16" s="1"/>
  <c r="V49" i="16" s="1"/>
  <c r="E51" i="16"/>
  <c r="M42" i="16"/>
  <c r="U42" i="16" s="1"/>
  <c r="E52" i="16"/>
  <c r="M43" i="16"/>
  <c r="U43" i="16" s="1"/>
  <c r="M45" i="16"/>
  <c r="U45" i="16" s="1"/>
  <c r="E54" i="16"/>
  <c r="F45" i="16"/>
  <c r="N45" i="16" s="1"/>
  <c r="V45" i="16" s="1"/>
  <c r="E50" i="16"/>
  <c r="M41" i="16"/>
  <c r="U41" i="16" s="1"/>
  <c r="F41" i="16"/>
  <c r="N41" i="16" s="1"/>
  <c r="V41" i="16" s="1"/>
  <c r="M47" i="16"/>
  <c r="U47" i="16" s="1"/>
  <c r="F47" i="16"/>
  <c r="N47" i="16" s="1"/>
  <c r="V47" i="16" s="1"/>
  <c r="M48" i="16"/>
  <c r="U48" i="16" s="1"/>
  <c r="F48" i="16"/>
  <c r="N48" i="16" s="1"/>
  <c r="V48" i="16" s="1"/>
  <c r="P29" i="16"/>
  <c r="S29" i="16"/>
  <c r="T29" i="16" s="1"/>
  <c r="P26" i="16"/>
  <c r="S32" i="16"/>
  <c r="T32" i="16" s="1"/>
  <c r="S33" i="16"/>
  <c r="T33" i="16" s="1"/>
  <c r="P31" i="16"/>
  <c r="S31" i="16"/>
  <c r="T31" i="16" s="1"/>
  <c r="S34" i="16"/>
  <c r="T34" i="16" s="1"/>
  <c r="S41" i="16"/>
  <c r="T41" i="16" s="1"/>
  <c r="P30" i="16"/>
  <c r="S30" i="16"/>
  <c r="T30" i="16" s="1"/>
  <c r="S7" i="16"/>
  <c r="T7" i="16" s="1"/>
  <c r="P27" i="16"/>
  <c r="S27" i="16"/>
  <c r="T27" i="16" s="1"/>
  <c r="P35" i="16"/>
  <c r="S35" i="16"/>
  <c r="T35" i="16" s="1"/>
  <c r="P16" i="16"/>
  <c r="S16" i="16"/>
  <c r="T16" i="16" s="1"/>
  <c r="P28" i="16"/>
  <c r="S28" i="16"/>
  <c r="T28" i="16" s="1"/>
  <c r="S14" i="16"/>
  <c r="T14" i="16" s="1"/>
  <c r="S18" i="16"/>
  <c r="T18" i="16" s="1"/>
  <c r="S24" i="16"/>
  <c r="T24" i="16" s="1"/>
  <c r="H26" i="18"/>
  <c r="F25" i="18"/>
  <c r="F29" i="18" s="1"/>
  <c r="AF8" i="15"/>
  <c r="AD10" i="15"/>
  <c r="AD9" i="15" s="1"/>
  <c r="AD14" i="15" s="1"/>
  <c r="O36" i="16"/>
  <c r="O40" i="16"/>
  <c r="O39" i="16"/>
  <c r="O37" i="16"/>
  <c r="O38" i="16"/>
  <c r="AE10" i="15"/>
  <c r="AE9" i="15" s="1"/>
  <c r="AE14" i="15" s="1"/>
  <c r="Z10" i="15"/>
  <c r="Z9" i="15" s="1"/>
  <c r="Z14" i="15" s="1"/>
  <c r="AB15" i="15"/>
  <c r="AA10" i="15"/>
  <c r="AA9" i="15" s="1"/>
  <c r="AA14" i="15" s="1"/>
  <c r="AC15" i="15"/>
  <c r="AF6" i="15"/>
  <c r="AD15" i="15" l="1"/>
  <c r="AB16" i="15"/>
  <c r="AB17" i="15" s="1"/>
  <c r="O44" i="16"/>
  <c r="P44" i="16" s="1"/>
  <c r="O43" i="16"/>
  <c r="O42" i="16"/>
  <c r="M50" i="16"/>
  <c r="U50" i="16" s="1"/>
  <c r="F50" i="16"/>
  <c r="N50" i="16" s="1"/>
  <c r="V50" i="16" s="1"/>
  <c r="M52" i="16"/>
  <c r="F52" i="16"/>
  <c r="N52" i="16" s="1"/>
  <c r="V52" i="16" s="1"/>
  <c r="M51" i="16"/>
  <c r="U51" i="16" s="1"/>
  <c r="F51" i="16"/>
  <c r="N51" i="16" s="1"/>
  <c r="V51" i="16" s="1"/>
  <c r="M53" i="16"/>
  <c r="U53" i="16" s="1"/>
  <c r="F53" i="16"/>
  <c r="N53" i="16" s="1"/>
  <c r="V53" i="16" s="1"/>
  <c r="M54" i="16"/>
  <c r="F54" i="16"/>
  <c r="N54" i="16" s="1"/>
  <c r="O41" i="16"/>
  <c r="P41" i="16" s="1"/>
  <c r="P38" i="16"/>
  <c r="S38" i="16"/>
  <c r="T38" i="16" s="1"/>
  <c r="S26" i="16"/>
  <c r="T26" i="16" s="1"/>
  <c r="P40" i="16"/>
  <c r="S40" i="16"/>
  <c r="T40" i="16" s="1"/>
  <c r="S50" i="16"/>
  <c r="T50" i="16" s="1"/>
  <c r="P43" i="16"/>
  <c r="S43" i="16"/>
  <c r="T43" i="16" s="1"/>
  <c r="P42" i="16"/>
  <c r="S42" i="16"/>
  <c r="T42" i="16" s="1"/>
  <c r="P37" i="16"/>
  <c r="S37" i="16"/>
  <c r="T37" i="16" s="1"/>
  <c r="P36" i="16"/>
  <c r="S36" i="16"/>
  <c r="T36" i="16" s="1"/>
  <c r="P39" i="16"/>
  <c r="S39" i="16"/>
  <c r="T39" i="16" s="1"/>
  <c r="AE15" i="15"/>
  <c r="AE16" i="15" s="1"/>
  <c r="I26" i="18"/>
  <c r="H25" i="18"/>
  <c r="AF10" i="15"/>
  <c r="O45" i="16"/>
  <c r="O48" i="16"/>
  <c r="O47" i="16"/>
  <c r="O46" i="16"/>
  <c r="O49" i="16"/>
  <c r="AA15" i="15"/>
  <c r="AC16" i="15"/>
  <c r="Z15" i="15"/>
  <c r="AD16" i="15" l="1"/>
  <c r="X35" i="16"/>
  <c r="Y35" i="16"/>
  <c r="O52" i="16"/>
  <c r="P52" i="16" s="1"/>
  <c r="U52" i="16"/>
  <c r="U54" i="16"/>
  <c r="V54" i="16"/>
  <c r="AC35" i="16" s="1"/>
  <c r="O51" i="16"/>
  <c r="P51" i="16" s="1"/>
  <c r="O53" i="16"/>
  <c r="P53" i="16" s="1"/>
  <c r="O50" i="16"/>
  <c r="P50" i="16" s="1"/>
  <c r="P45" i="16"/>
  <c r="S52" i="16"/>
  <c r="T52" i="16" s="1"/>
  <c r="P49" i="16"/>
  <c r="S49" i="16"/>
  <c r="T49" i="16" s="1"/>
  <c r="S51" i="16"/>
  <c r="T51" i="16" s="1"/>
  <c r="P48" i="16"/>
  <c r="S48" i="16"/>
  <c r="T48" i="16" s="1"/>
  <c r="P46" i="16"/>
  <c r="S46" i="16"/>
  <c r="T46" i="16" s="1"/>
  <c r="P47" i="16"/>
  <c r="S44" i="16"/>
  <c r="T44" i="16" s="1"/>
  <c r="I25" i="18"/>
  <c r="H29" i="18"/>
  <c r="I29" i="18" s="1"/>
  <c r="AF15" i="15"/>
  <c r="Z16" i="15"/>
  <c r="AE17" i="15"/>
  <c r="AC17" i="15"/>
  <c r="O54" i="16"/>
  <c r="AA16" i="15"/>
  <c r="AF14" i="15"/>
  <c r="AD17" i="15" l="1"/>
  <c r="Z17" i="15"/>
  <c r="AB35" i="16"/>
  <c r="S47" i="16"/>
  <c r="T47" i="16" s="1"/>
  <c r="P54" i="16"/>
  <c r="S53" i="16"/>
  <c r="T53" i="16" s="1"/>
  <c r="S45" i="16"/>
  <c r="T45" i="16" s="1"/>
  <c r="AA17" i="15"/>
  <c r="AF16" i="15"/>
  <c r="S54" i="16" l="1"/>
  <c r="T54" i="16" s="1"/>
  <c r="AF17" i="15"/>
  <c r="R4" i="10" l="1"/>
  <c r="O26" i="4" l="1"/>
  <c r="O25" i="4"/>
  <c r="O24" i="4"/>
  <c r="O22" i="4"/>
  <c r="O21" i="4"/>
  <c r="O20" i="4"/>
  <c r="O18" i="4"/>
  <c r="O17" i="4"/>
  <c r="O16" i="4"/>
  <c r="O15" i="4"/>
  <c r="O14" i="4"/>
  <c r="O13" i="4"/>
  <c r="O12" i="4"/>
  <c r="O11" i="4"/>
  <c r="O10" i="4"/>
  <c r="O9" i="4"/>
  <c r="N26" i="12"/>
  <c r="O26" i="12" s="1"/>
  <c r="N25" i="12"/>
  <c r="N34" i="12" s="1"/>
  <c r="O34" i="12" s="1"/>
  <c r="N24" i="12"/>
  <c r="N33" i="12" s="1"/>
  <c r="O33" i="12" s="1"/>
  <c r="N23" i="12"/>
  <c r="O23" i="12" s="1"/>
  <c r="N22" i="12"/>
  <c r="O22" i="12" s="1"/>
  <c r="N21" i="12"/>
  <c r="N30" i="12" s="1"/>
  <c r="N39" i="12" s="1"/>
  <c r="O39" i="12" s="1"/>
  <c r="N20" i="12"/>
  <c r="N29" i="12" s="1"/>
  <c r="N38" i="12" s="1"/>
  <c r="N19" i="12"/>
  <c r="O19" i="12" s="1"/>
  <c r="N18" i="12"/>
  <c r="O18" i="12" s="1"/>
  <c r="O17" i="12"/>
  <c r="O16" i="12"/>
  <c r="O15" i="12"/>
  <c r="O14" i="12"/>
  <c r="O13" i="12"/>
  <c r="O12" i="12"/>
  <c r="O11" i="12"/>
  <c r="O10" i="12"/>
  <c r="O9" i="12"/>
  <c r="O21" i="12" l="1"/>
  <c r="O38" i="12"/>
  <c r="N47" i="12"/>
  <c r="O47" i="12" s="1"/>
  <c r="O20" i="12"/>
  <c r="N43" i="12"/>
  <c r="N52" i="12" s="1"/>
  <c r="O25" i="12"/>
  <c r="N42" i="12"/>
  <c r="N27" i="12"/>
  <c r="N31" i="12"/>
  <c r="O24" i="12"/>
  <c r="N35" i="12"/>
  <c r="O27" i="4"/>
  <c r="O33" i="4"/>
  <c r="O29" i="4"/>
  <c r="O34" i="4"/>
  <c r="O30" i="4"/>
  <c r="O28" i="4"/>
  <c r="O35" i="4"/>
  <c r="O32" i="4"/>
  <c r="O31" i="4"/>
  <c r="O19" i="4"/>
  <c r="O23" i="4"/>
  <c r="O52" i="12"/>
  <c r="N61" i="12"/>
  <c r="O61" i="12" s="1"/>
  <c r="N56" i="12"/>
  <c r="O56" i="12" s="1"/>
  <c r="N48" i="12"/>
  <c r="O43" i="12"/>
  <c r="O29" i="12"/>
  <c r="O30" i="12"/>
  <c r="N28" i="12"/>
  <c r="N37" i="12" s="1"/>
  <c r="N32" i="12"/>
  <c r="O31" i="12" l="1"/>
  <c r="N40" i="12"/>
  <c r="O32" i="12"/>
  <c r="N41" i="12"/>
  <c r="O35" i="12"/>
  <c r="N44" i="12"/>
  <c r="O27" i="12"/>
  <c r="N36" i="12"/>
  <c r="O42" i="12"/>
  <c r="N51" i="12"/>
  <c r="O37" i="12"/>
  <c r="N46" i="12"/>
  <c r="O42" i="4"/>
  <c r="O38" i="4"/>
  <c r="O43" i="4"/>
  <c r="O37" i="4"/>
  <c r="O39" i="4"/>
  <c r="O41" i="4"/>
  <c r="O53" i="4"/>
  <c r="O44" i="4"/>
  <c r="O40" i="4"/>
  <c r="O36" i="4"/>
  <c r="O48" i="12"/>
  <c r="N57" i="12"/>
  <c r="O57" i="12" s="1"/>
  <c r="O28" i="12"/>
  <c r="O41" i="12" l="1"/>
  <c r="N50" i="12"/>
  <c r="O40" i="12"/>
  <c r="N49" i="12"/>
  <c r="N60" i="12"/>
  <c r="O60" i="12" s="1"/>
  <c r="O51" i="12"/>
  <c r="O36" i="12"/>
  <c r="N45" i="12"/>
  <c r="O44" i="12"/>
  <c r="N53" i="12"/>
  <c r="O53" i="12" s="1"/>
  <c r="O46" i="12"/>
  <c r="N55" i="12"/>
  <c r="O49" i="4"/>
  <c r="O58" i="4"/>
  <c r="O61" i="4"/>
  <c r="O52" i="4"/>
  <c r="O46" i="4"/>
  <c r="O56" i="4"/>
  <c r="O47" i="4"/>
  <c r="O50" i="4"/>
  <c r="O59" i="4"/>
  <c r="O60" i="4"/>
  <c r="O51" i="4"/>
  <c r="O54" i="4"/>
  <c r="O45" i="4"/>
  <c r="O57" i="4"/>
  <c r="O48" i="4"/>
  <c r="O45" i="12" l="1"/>
  <c r="N54" i="12"/>
  <c r="O54" i="12" s="1"/>
  <c r="O49" i="12"/>
  <c r="N58" i="12"/>
  <c r="O58" i="12" s="1"/>
  <c r="O50" i="12"/>
  <c r="N59" i="12"/>
  <c r="O59" i="12" s="1"/>
  <c r="O55" i="12"/>
  <c r="O55" i="4"/>
  <c r="E19" i="4"/>
  <c r="E6" i="12"/>
  <c r="E33" i="12" l="1"/>
  <c r="E31" i="12" s="1"/>
  <c r="E34" i="12" s="1"/>
  <c r="E33" i="4"/>
  <c r="E31" i="4" s="1"/>
  <c r="E34" i="4" s="1"/>
  <c r="I38" i="12" l="1"/>
  <c r="I38" i="4"/>
  <c r="J44" i="4"/>
  <c r="J43" i="4"/>
  <c r="J42" i="4"/>
  <c r="J41" i="4"/>
  <c r="J40" i="4"/>
  <c r="J39" i="4"/>
  <c r="J37" i="4"/>
  <c r="J43" i="12"/>
  <c r="J40" i="12"/>
  <c r="J41" i="12"/>
  <c r="I32" i="4"/>
  <c r="J34" i="12"/>
  <c r="I32" i="12"/>
  <c r="I36" i="12"/>
  <c r="I45" i="12"/>
  <c r="G36" i="12"/>
  <c r="G45" i="12"/>
  <c r="I26" i="4"/>
  <c r="K36" i="12" l="1"/>
  <c r="K45" i="12"/>
  <c r="J34" i="4"/>
  <c r="J15" i="4"/>
  <c r="J15" i="12"/>
  <c r="I60" i="12" l="1"/>
  <c r="G60" i="12"/>
  <c r="J53" i="12"/>
  <c r="K53" i="12" s="1"/>
  <c r="J51" i="12"/>
  <c r="J50" i="12"/>
  <c r="J49" i="12"/>
  <c r="J48" i="12"/>
  <c r="J47" i="12"/>
  <c r="J46" i="12"/>
  <c r="J44" i="12"/>
  <c r="J42" i="12"/>
  <c r="J39" i="12"/>
  <c r="J37" i="12"/>
  <c r="J33" i="12"/>
  <c r="J31" i="12"/>
  <c r="I26" i="12"/>
  <c r="J25" i="12"/>
  <c r="I25" i="12"/>
  <c r="G25" i="12"/>
  <c r="J24" i="12"/>
  <c r="I24" i="12"/>
  <c r="G24" i="12"/>
  <c r="J23" i="12"/>
  <c r="I23" i="12"/>
  <c r="G23" i="12"/>
  <c r="J22" i="12"/>
  <c r="I22" i="12"/>
  <c r="G22" i="12"/>
  <c r="J21" i="12"/>
  <c r="I21" i="12"/>
  <c r="G21" i="12"/>
  <c r="I20" i="12"/>
  <c r="J19" i="12"/>
  <c r="E19" i="12"/>
  <c r="I19" i="12" s="1"/>
  <c r="I14" i="12"/>
  <c r="J13" i="12"/>
  <c r="J12" i="12"/>
  <c r="I11" i="12"/>
  <c r="J10" i="12"/>
  <c r="J7" i="12"/>
  <c r="J6" i="12"/>
  <c r="E37" i="12" l="1"/>
  <c r="E35" i="12"/>
  <c r="E10" i="12"/>
  <c r="E37" i="4"/>
  <c r="E42" i="12"/>
  <c r="G42" i="12" s="1"/>
  <c r="E40" i="4"/>
  <c r="E41" i="4"/>
  <c r="E43" i="12"/>
  <c r="F35" i="12"/>
  <c r="J35" i="12" s="1"/>
  <c r="E41" i="12"/>
  <c r="E40" i="12"/>
  <c r="G31" i="12"/>
  <c r="F32" i="12" s="1"/>
  <c r="J32" i="12" s="1"/>
  <c r="K24" i="12"/>
  <c r="E50" i="12"/>
  <c r="E51" i="12"/>
  <c r="E15" i="12"/>
  <c r="I15" i="12" s="1"/>
  <c r="K25" i="12"/>
  <c r="K23" i="12"/>
  <c r="K22" i="12"/>
  <c r="K21" i="12"/>
  <c r="G19" i="12"/>
  <c r="I31" i="12"/>
  <c r="E49" i="12"/>
  <c r="G6" i="12"/>
  <c r="E13" i="12"/>
  <c r="I13" i="12" s="1"/>
  <c r="I6" i="12"/>
  <c r="E12" i="12"/>
  <c r="E48" i="12"/>
  <c r="I42" i="12" l="1"/>
  <c r="K42" i="12" s="1"/>
  <c r="G43" i="12"/>
  <c r="I43" i="12"/>
  <c r="I41" i="4"/>
  <c r="G41" i="4"/>
  <c r="E44" i="4"/>
  <c r="E39" i="4"/>
  <c r="G37" i="4"/>
  <c r="I37" i="4"/>
  <c r="G40" i="4"/>
  <c r="I40" i="4"/>
  <c r="K31" i="12"/>
  <c r="G32" i="12"/>
  <c r="K32" i="12" s="1"/>
  <c r="G40" i="12"/>
  <c r="I40" i="12"/>
  <c r="G41" i="12"/>
  <c r="I41" i="12"/>
  <c r="I34" i="12"/>
  <c r="G34" i="12"/>
  <c r="G15" i="12"/>
  <c r="K15" i="12" s="1"/>
  <c r="G37" i="12"/>
  <c r="F38" i="12" s="1"/>
  <c r="I37" i="12"/>
  <c r="G35" i="12"/>
  <c r="I35" i="12"/>
  <c r="E46" i="12"/>
  <c r="G48" i="12"/>
  <c r="I48" i="12"/>
  <c r="G51" i="12"/>
  <c r="I51" i="12"/>
  <c r="G49" i="12"/>
  <c r="I49" i="12"/>
  <c r="I33" i="12"/>
  <c r="G33" i="12"/>
  <c r="G50" i="12"/>
  <c r="I50" i="12"/>
  <c r="H27" i="12"/>
  <c r="I27" i="12" s="1"/>
  <c r="K27" i="12" s="1"/>
  <c r="F20" i="12"/>
  <c r="G20" i="12" s="1"/>
  <c r="K20" i="12" s="1"/>
  <c r="F26" i="12"/>
  <c r="G13" i="12"/>
  <c r="K13" i="12" s="1"/>
  <c r="E44" i="12"/>
  <c r="E39" i="12"/>
  <c r="G12" i="12"/>
  <c r="I12" i="12"/>
  <c r="K19" i="12"/>
  <c r="K6" i="12"/>
  <c r="I7" i="12"/>
  <c r="I8" i="12" s="1"/>
  <c r="I10" i="12"/>
  <c r="G10" i="12"/>
  <c r="E22" i="10"/>
  <c r="K41" i="4" l="1"/>
  <c r="K40" i="4"/>
  <c r="K43" i="12"/>
  <c r="J38" i="12"/>
  <c r="G38" i="12"/>
  <c r="K38" i="12" s="1"/>
  <c r="F38" i="4"/>
  <c r="K37" i="4"/>
  <c r="G39" i="4"/>
  <c r="I39" i="4"/>
  <c r="I44" i="4"/>
  <c r="G44" i="4"/>
  <c r="J20" i="12"/>
  <c r="K34" i="12"/>
  <c r="K41" i="12"/>
  <c r="H16" i="12"/>
  <c r="J16" i="12" s="1"/>
  <c r="K40" i="12"/>
  <c r="K48" i="12"/>
  <c r="K35" i="12"/>
  <c r="K50" i="12"/>
  <c r="K51" i="12"/>
  <c r="K49" i="12"/>
  <c r="K33" i="12"/>
  <c r="K37" i="12"/>
  <c r="I39" i="12"/>
  <c r="G39" i="12"/>
  <c r="I46" i="12"/>
  <c r="G46" i="12"/>
  <c r="G44" i="12"/>
  <c r="I44" i="12"/>
  <c r="E47" i="12"/>
  <c r="I28" i="12"/>
  <c r="J27" i="12"/>
  <c r="J26" i="12"/>
  <c r="G26" i="12"/>
  <c r="K26" i="12" s="1"/>
  <c r="F11" i="12"/>
  <c r="J11" i="12" s="1"/>
  <c r="F14" i="12"/>
  <c r="K12" i="12"/>
  <c r="K10" i="12"/>
  <c r="K7" i="12"/>
  <c r="K8" i="12" s="1"/>
  <c r="G8" i="12"/>
  <c r="A13" i="10"/>
  <c r="A14" i="10"/>
  <c r="A15" i="10"/>
  <c r="A16" i="10"/>
  <c r="A17" i="10"/>
  <c r="A18" i="10"/>
  <c r="K46" i="12" l="1"/>
  <c r="K39" i="4"/>
  <c r="K44" i="4"/>
  <c r="J38" i="4"/>
  <c r="G38" i="4"/>
  <c r="K38" i="4" s="1"/>
  <c r="K28" i="12"/>
  <c r="K39" i="12"/>
  <c r="G47" i="12"/>
  <c r="G52" i="12" s="1"/>
  <c r="I47" i="12"/>
  <c r="I52" i="12" s="1"/>
  <c r="K44" i="12"/>
  <c r="I16" i="12"/>
  <c r="I17" i="12" s="1"/>
  <c r="G28" i="12"/>
  <c r="G11" i="12"/>
  <c r="J14" i="12"/>
  <c r="G14" i="12"/>
  <c r="K14" i="12" s="1"/>
  <c r="S4" i="10"/>
  <c r="T4" i="10" s="1"/>
  <c r="E23" i="10" s="1"/>
  <c r="E25" i="10" s="1"/>
  <c r="I61" i="12" l="1"/>
  <c r="J54" i="12" s="1"/>
  <c r="K54" i="12" s="1"/>
  <c r="M13" i="10" s="1"/>
  <c r="K47" i="12"/>
  <c r="K52" i="12" s="1"/>
  <c r="G17" i="12"/>
  <c r="G61" i="12" s="1"/>
  <c r="K16" i="12"/>
  <c r="K11" i="12"/>
  <c r="M11" i="10" l="1"/>
  <c r="J56" i="12"/>
  <c r="J58" i="12"/>
  <c r="K58" i="12" s="1"/>
  <c r="M17" i="10" s="1"/>
  <c r="J55" i="12"/>
  <c r="K55" i="12" s="1"/>
  <c r="M14" i="10" s="1"/>
  <c r="K17" i="12"/>
  <c r="M10" i="10"/>
  <c r="J59" i="12"/>
  <c r="K59" i="12" s="1"/>
  <c r="M18" i="10" s="1"/>
  <c r="K61" i="12"/>
  <c r="J57" i="12" l="1"/>
  <c r="K57" i="12" s="1"/>
  <c r="M16" i="10" s="1"/>
  <c r="K56" i="12"/>
  <c r="M15" i="10" s="1"/>
  <c r="M9" i="10"/>
  <c r="M12" i="10" l="1"/>
  <c r="M20" i="10" s="1"/>
  <c r="K60" i="12"/>
  <c r="M19" i="10" l="1"/>
  <c r="J51" i="4"/>
  <c r="J50" i="4"/>
  <c r="J47" i="4" l="1"/>
  <c r="J48" i="4"/>
  <c r="J49" i="4"/>
  <c r="J46" i="4"/>
  <c r="J33" i="4"/>
  <c r="J31" i="4"/>
  <c r="I60" i="4"/>
  <c r="G60" i="4"/>
  <c r="J53" i="4"/>
  <c r="K53" i="4" s="1"/>
  <c r="G34" i="4" l="1"/>
  <c r="I34" i="4"/>
  <c r="I31" i="4"/>
  <c r="G31" i="4"/>
  <c r="F32" i="4" s="1"/>
  <c r="K34" i="4" l="1"/>
  <c r="J32" i="4"/>
  <c r="G32" i="4"/>
  <c r="K32" i="4" s="1"/>
  <c r="I33" i="4"/>
  <c r="G33" i="4"/>
  <c r="K31" i="4"/>
  <c r="K33" i="4" l="1"/>
  <c r="E6" i="4" l="1"/>
  <c r="E10" i="4" l="1"/>
  <c r="E35" i="4"/>
  <c r="E43" i="4"/>
  <c r="F35" i="4"/>
  <c r="J35" i="4" s="1"/>
  <c r="E42" i="4"/>
  <c r="E51" i="4"/>
  <c r="E50" i="4"/>
  <c r="I50" i="4" s="1"/>
  <c r="K50" i="4" s="1"/>
  <c r="E15" i="4"/>
  <c r="G6" i="4"/>
  <c r="E49" i="4"/>
  <c r="E48" i="4"/>
  <c r="I42" i="4" l="1"/>
  <c r="G42" i="4"/>
  <c r="G43" i="4"/>
  <c r="I43" i="4"/>
  <c r="I15" i="4"/>
  <c r="G15" i="4"/>
  <c r="E46" i="4"/>
  <c r="G35" i="4"/>
  <c r="I35" i="4"/>
  <c r="I51" i="4"/>
  <c r="K51" i="4" s="1"/>
  <c r="I48" i="4"/>
  <c r="G48" i="4"/>
  <c r="I49" i="4"/>
  <c r="G49" i="4"/>
  <c r="K15" i="4" l="1"/>
  <c r="K42" i="4"/>
  <c r="K43" i="4"/>
  <c r="K35" i="4"/>
  <c r="K48" i="4"/>
  <c r="K49" i="4"/>
  <c r="E47" i="4"/>
  <c r="I46" i="4"/>
  <c r="G46" i="4"/>
  <c r="K46" i="4" l="1"/>
  <c r="I47" i="4"/>
  <c r="I52" i="4" s="1"/>
  <c r="G47" i="4"/>
  <c r="G52" i="4" s="1"/>
  <c r="K47" i="4" l="1"/>
  <c r="K52" i="4" s="1"/>
  <c r="J7" i="4" l="1"/>
  <c r="I7" i="4"/>
  <c r="E13" i="4"/>
  <c r="E12" i="4"/>
  <c r="I6" i="4"/>
  <c r="J6" i="4"/>
  <c r="I8" i="4" l="1"/>
  <c r="K7" i="4"/>
  <c r="K6" i="4"/>
  <c r="G8" i="4"/>
  <c r="K8" i="4" l="1"/>
  <c r="G25" i="4"/>
  <c r="G24" i="4"/>
  <c r="G23" i="4"/>
  <c r="G22" i="4"/>
  <c r="G21" i="4"/>
  <c r="G13" i="4"/>
  <c r="G12" i="4"/>
  <c r="G10" i="4"/>
  <c r="F11" i="4" l="1"/>
  <c r="F14" i="4"/>
  <c r="J25" i="4"/>
  <c r="I25" i="4"/>
  <c r="K25" i="4" s="1"/>
  <c r="J24" i="4"/>
  <c r="I24" i="4"/>
  <c r="K24" i="4" s="1"/>
  <c r="J23" i="4"/>
  <c r="I23" i="4"/>
  <c r="K23" i="4" s="1"/>
  <c r="J22" i="4"/>
  <c r="I22" i="4"/>
  <c r="K22" i="4" s="1"/>
  <c r="J21" i="4"/>
  <c r="I21" i="4"/>
  <c r="I20" i="4"/>
  <c r="J19" i="4"/>
  <c r="J13" i="4"/>
  <c r="J12" i="4"/>
  <c r="J10" i="4"/>
  <c r="I19" i="4"/>
  <c r="I14" i="4"/>
  <c r="I13" i="4"/>
  <c r="I12" i="4"/>
  <c r="I11" i="4"/>
  <c r="I10" i="4"/>
  <c r="H27" i="4" l="1"/>
  <c r="I27" i="4" s="1"/>
  <c r="I28" i="4" s="1"/>
  <c r="H16" i="4"/>
  <c r="J16" i="4" s="1"/>
  <c r="K21" i="4"/>
  <c r="G19" i="4"/>
  <c r="I16" i="4" l="1"/>
  <c r="K16" i="4" s="1"/>
  <c r="F20" i="4"/>
  <c r="G20" i="4" s="1"/>
  <c r="F26" i="4"/>
  <c r="G26" i="4" s="1"/>
  <c r="K27" i="4"/>
  <c r="J27" i="4"/>
  <c r="K19" i="4"/>
  <c r="K13" i="4"/>
  <c r="K12" i="4"/>
  <c r="K10" i="4"/>
  <c r="I17" i="4" l="1"/>
  <c r="I61" i="4" s="1"/>
  <c r="E11" i="10" s="1"/>
  <c r="K20" i="4"/>
  <c r="J20" i="4"/>
  <c r="K26" i="4"/>
  <c r="J26" i="4"/>
  <c r="G11" i="4"/>
  <c r="J54" i="4" l="1"/>
  <c r="K54" i="4" s="1"/>
  <c r="J58" i="4"/>
  <c r="I17" i="10" s="1"/>
  <c r="J56" i="4"/>
  <c r="J55" i="4"/>
  <c r="K55" i="4" s="1"/>
  <c r="K28" i="4"/>
  <c r="G28" i="4"/>
  <c r="J14" i="4"/>
  <c r="G14" i="4"/>
  <c r="K14" i="4" s="1"/>
  <c r="K11" i="4"/>
  <c r="J11" i="4"/>
  <c r="K56" i="4" l="1"/>
  <c r="J57" i="4"/>
  <c r="E15" i="10"/>
  <c r="E14" i="10"/>
  <c r="E13" i="10"/>
  <c r="I14" i="10"/>
  <c r="I16" i="10"/>
  <c r="I15" i="10"/>
  <c r="K58" i="4"/>
  <c r="I13" i="10"/>
  <c r="K17" i="4"/>
  <c r="G17" i="4"/>
  <c r="G61" i="4" s="1"/>
  <c r="E17" i="10" l="1"/>
  <c r="K57" i="4"/>
  <c r="E10" i="10"/>
  <c r="E16" i="10" l="1"/>
  <c r="E9" i="10"/>
  <c r="K61" i="4"/>
  <c r="J59" i="4"/>
  <c r="K59" i="4" l="1"/>
  <c r="I18" i="10"/>
  <c r="K60" i="4" l="1"/>
  <c r="E18" i="10"/>
  <c r="E12" i="10" s="1"/>
  <c r="E20" i="10" s="1"/>
  <c r="E19" i="10" l="1"/>
  <c r="B7" i="10"/>
</calcChain>
</file>

<file path=xl/sharedStrings.xml><?xml version="1.0" encoding="utf-8"?>
<sst xmlns="http://schemas.openxmlformats.org/spreadsheetml/2006/main" count="535" uniqueCount="264">
  <si>
    <t>순 번</t>
    <phoneticPr fontId="5" type="noConversion"/>
  </si>
  <si>
    <t>수 량</t>
    <phoneticPr fontId="5" type="noConversion"/>
  </si>
  <si>
    <t>단 위</t>
    <phoneticPr fontId="5" type="noConversion"/>
  </si>
  <si>
    <t>내        역        서</t>
    <phoneticPr fontId="5" type="noConversion"/>
  </si>
  <si>
    <t>Unit</t>
    <phoneticPr fontId="5" type="noConversion"/>
  </si>
  <si>
    <t>Sum</t>
    <phoneticPr fontId="5" type="noConversion"/>
  </si>
  <si>
    <t>Material Cost</t>
    <phoneticPr fontId="5" type="noConversion"/>
  </si>
  <si>
    <t>Labor Cost</t>
    <phoneticPr fontId="5" type="noConversion"/>
  </si>
  <si>
    <t>Total</t>
    <phoneticPr fontId="5" type="noConversion"/>
  </si>
  <si>
    <t>SUB TOTAL</t>
    <phoneticPr fontId="5" type="noConversion"/>
  </si>
  <si>
    <t>품      명</t>
    <phoneticPr fontId="5" type="noConversion"/>
  </si>
  <si>
    <t>규    격</t>
    <phoneticPr fontId="5" type="noConversion"/>
  </si>
  <si>
    <t>비 고</t>
    <phoneticPr fontId="5" type="noConversion"/>
  </si>
  <si>
    <t>M</t>
  </si>
  <si>
    <t>식</t>
  </si>
  <si>
    <t>견     적     서</t>
  </si>
  <si>
    <t>(VAT별도)</t>
    <phoneticPr fontId="10" type="noConversion"/>
  </si>
  <si>
    <t>합    계</t>
  </si>
  <si>
    <t>참고사항</t>
    <phoneticPr fontId="10" type="noConversion"/>
  </si>
  <si>
    <t>Nozzle PLATE</t>
    <phoneticPr fontId="5" type="noConversion"/>
  </si>
  <si>
    <t>SET</t>
    <phoneticPr fontId="5" type="noConversion"/>
  </si>
  <si>
    <t>STS관(K-TYPE)</t>
  </si>
  <si>
    <t>EA</t>
    <phoneticPr fontId="5" type="noConversion"/>
  </si>
  <si>
    <t>볼 밸브(STS, Drain)</t>
    <phoneticPr fontId="5" type="noConversion"/>
  </si>
  <si>
    <t>관부속(SR)</t>
  </si>
  <si>
    <t>관부속(SR)</t>
    <phoneticPr fontId="5" type="noConversion"/>
  </si>
  <si>
    <t>관의 75%</t>
  </si>
  <si>
    <t>개소</t>
  </si>
  <si>
    <t>압력계설치</t>
  </si>
  <si>
    <t>2 - 15㎏/㎠</t>
  </si>
  <si>
    <t>메인배관 분기공사</t>
    <phoneticPr fontId="5" type="noConversion"/>
  </si>
  <si>
    <t>D40</t>
    <phoneticPr fontId="5" type="noConversion"/>
  </si>
  <si>
    <t>지지철물 및 잡재료비</t>
  </si>
  <si>
    <t>관의 15%</t>
  </si>
  <si>
    <t>공구손료</t>
  </si>
  <si>
    <t>노무비의 3%</t>
  </si>
  <si>
    <t>볼 밸브(STS, By pass)</t>
    <phoneticPr fontId="5" type="noConversion"/>
  </si>
  <si>
    <t>식</t>
    <phoneticPr fontId="5" type="noConversion"/>
  </si>
  <si>
    <t>전자변(ON/OFF) , AC220</t>
    <phoneticPr fontId="5" type="noConversion"/>
  </si>
  <si>
    <t>코어천공</t>
    <phoneticPr fontId="5" type="noConversion"/>
  </si>
  <si>
    <t>D32</t>
    <phoneticPr fontId="5" type="noConversion"/>
  </si>
  <si>
    <t>전기차 충전소 화재 대응 솔루션</t>
    <phoneticPr fontId="5" type="noConversion"/>
  </si>
  <si>
    <t>메인배관구축</t>
    <phoneticPr fontId="5" type="noConversion"/>
  </si>
  <si>
    <t>전기설비공사</t>
    <phoneticPr fontId="5" type="noConversion"/>
  </si>
  <si>
    <t>산재보험료</t>
  </si>
  <si>
    <t>고용보험료</t>
  </si>
  <si>
    <t>건강보험료</t>
  </si>
  <si>
    <t>장기요양보험료</t>
  </si>
  <si>
    <t>연금보험료</t>
  </si>
  <si>
    <t>안전관리비</t>
  </si>
  <si>
    <t>분전반 설치작업</t>
    <phoneticPr fontId="5" type="noConversion"/>
  </si>
  <si>
    <t>강제전선관</t>
  </si>
  <si>
    <t>개</t>
  </si>
  <si>
    <t>셋트앵커</t>
  </si>
  <si>
    <t>M8×L70mm</t>
  </si>
  <si>
    <t>면</t>
  </si>
  <si>
    <t>아우트렛박스</t>
  </si>
  <si>
    <t>중형4각 54㎜</t>
  </si>
  <si>
    <t>m</t>
  </si>
  <si>
    <t>밸브 전원 포설</t>
    <phoneticPr fontId="5" type="noConversion"/>
  </si>
  <si>
    <t>CCTV 통신선 포설</t>
    <phoneticPr fontId="5" type="noConversion"/>
  </si>
  <si>
    <t>인</t>
  </si>
  <si>
    <t>주차면 배관 구축</t>
    <phoneticPr fontId="5" type="noConversion"/>
  </si>
  <si>
    <t>간접비</t>
    <phoneticPr fontId="5" type="noConversion"/>
  </si>
  <si>
    <t>노무비 x 1.01%</t>
  </si>
  <si>
    <t>분전함</t>
  </si>
  <si>
    <t>아연도 16 mm</t>
  </si>
  <si>
    <t>아우트렛박스 커버</t>
  </si>
  <si>
    <t>4각 1개용</t>
  </si>
  <si>
    <t>CHANNEL</t>
  </si>
  <si>
    <t>40×40×2.5T(HDG)</t>
  </si>
  <si>
    <t>UTP</t>
  </si>
  <si>
    <t>Cat.6E</t>
  </si>
  <si>
    <t>안전관리자</t>
    <phoneticPr fontId="5" type="noConversion"/>
  </si>
  <si>
    <t>사다리보조</t>
    <phoneticPr fontId="5" type="noConversion"/>
  </si>
  <si>
    <t>특별인부</t>
  </si>
  <si>
    <t>보통인부</t>
  </si>
  <si>
    <t>RMS 구축표</t>
    <phoneticPr fontId="5" type="noConversion"/>
  </si>
  <si>
    <t>면수</t>
    <phoneticPr fontId="5" type="noConversion"/>
  </si>
  <si>
    <t>금액</t>
    <phoneticPr fontId="5" type="noConversion"/>
  </si>
  <si>
    <t>노무비 x 3.545%</t>
    <phoneticPr fontId="5" type="noConversion"/>
  </si>
  <si>
    <t>(재료비+노무비) x 2.93%</t>
    <phoneticPr fontId="5" type="noConversion"/>
  </si>
  <si>
    <t>노무비 x 3.56%</t>
    <phoneticPr fontId="5" type="noConversion"/>
  </si>
  <si>
    <t>노무비 x 4.5%</t>
    <phoneticPr fontId="5" type="noConversion"/>
  </si>
  <si>
    <t>소방컨트롤 판넬</t>
    <phoneticPr fontId="5" type="noConversion"/>
  </si>
  <si>
    <t>아연도 28 mm</t>
    <phoneticPr fontId="5" type="noConversion"/>
  </si>
  <si>
    <t>6㎟ ＊ 0.6/1KV 3C 6㎟</t>
    <phoneticPr fontId="5" type="noConversion"/>
  </si>
  <si>
    <t>F-CV케이블</t>
    <phoneticPr fontId="5" type="noConversion"/>
  </si>
  <si>
    <t>STS 4T</t>
    <phoneticPr fontId="5" type="noConversion"/>
  </si>
  <si>
    <t>STS관(K-TYPE)</t>
    <phoneticPr fontId="5" type="noConversion"/>
  </si>
  <si>
    <t>귀중</t>
    <phoneticPr fontId="11" type="noConversion"/>
  </si>
  <si>
    <t>사업자등록번호 : 707 - 86 - 02404</t>
    <phoneticPr fontId="11" type="noConversion"/>
  </si>
  <si>
    <t>견적 금액 :</t>
    <phoneticPr fontId="5" type="noConversion"/>
  </si>
  <si>
    <t xml:space="preserve">상호 : ㈜에스앤아이코퍼레이션         대표자 : 형 원 준     </t>
    <phoneticPr fontId="11" type="noConversion"/>
  </si>
  <si>
    <t>주차면수</t>
    <phoneticPr fontId="5" type="noConversion"/>
  </si>
  <si>
    <t>급수배관 거리(M)</t>
    <phoneticPr fontId="5" type="noConversion"/>
  </si>
  <si>
    <t>분전반 거리(M)</t>
    <phoneticPr fontId="5" type="noConversion"/>
  </si>
  <si>
    <t>원격관제 비용/월</t>
    <phoneticPr fontId="5" type="noConversion"/>
  </si>
  <si>
    <t>CCTV 대수</t>
    <phoneticPr fontId="5" type="noConversion"/>
  </si>
  <si>
    <t>AI CCTV 비용/월</t>
    <phoneticPr fontId="5" type="noConversion"/>
  </si>
  <si>
    <t>견적 제출일자 :</t>
    <phoneticPr fontId="11" type="noConversion"/>
  </si>
  <si>
    <t>주소 : 서울 강서구 마곡중앙로 150 D&amp;O강서사옥</t>
    <phoneticPr fontId="11" type="noConversion"/>
  </si>
  <si>
    <t xml:space="preserve">견적 유효기간 : </t>
    <phoneticPr fontId="11" type="noConversion"/>
  </si>
  <si>
    <t>견적 제출일로부터 30일</t>
    <phoneticPr fontId="5" type="noConversion"/>
  </si>
  <si>
    <t>※AICCTV는 주차면수 12면까지는 28만원/월 고정, 3면에 1대 설치</t>
    <phoneticPr fontId="5" type="noConversion"/>
  </si>
  <si>
    <t>1. 전기차 화재 진압 솔루션</t>
    <phoneticPr fontId="10" type="noConversion"/>
  </si>
  <si>
    <t>자재비</t>
    <phoneticPr fontId="5" type="noConversion"/>
  </si>
  <si>
    <t>노무비</t>
    <phoneticPr fontId="5" type="noConversion"/>
  </si>
  <si>
    <t>2. 간접비</t>
    <phoneticPr fontId="5" type="noConversion"/>
  </si>
  <si>
    <t>노무비 x 3.56%</t>
  </si>
  <si>
    <t>노무비 x 3.545%</t>
  </si>
  <si>
    <t>노무비 x 4.5%</t>
  </si>
  <si>
    <t>(재료비+노무비) x 2.93%</t>
  </si>
  <si>
    <t>담당자</t>
    <phoneticPr fontId="5" type="noConversion"/>
  </si>
  <si>
    <t>절      삭</t>
    <phoneticPr fontId="5" type="noConversion"/>
  </si>
  <si>
    <t>공     종     명</t>
    <phoneticPr fontId="5" type="noConversion"/>
  </si>
  <si>
    <t>규   격</t>
    <phoneticPr fontId="5" type="noConversion"/>
  </si>
  <si>
    <t>비   고</t>
    <phoneticPr fontId="5" type="noConversion"/>
  </si>
  <si>
    <t>T. 1661-1119  www.sni.co.kr</t>
    <phoneticPr fontId="11" type="noConversion"/>
  </si>
  <si>
    <t>공사 비용</t>
    <phoneticPr fontId="14" type="noConversion"/>
  </si>
  <si>
    <t>유지보수 항목</t>
    <phoneticPr fontId="5" type="noConversion"/>
  </si>
  <si>
    <t>비용 / 월</t>
    <phoneticPr fontId="5" type="noConversion"/>
  </si>
  <si>
    <t>1. 원격관제</t>
    <phoneticPr fontId="5" type="noConversion"/>
  </si>
  <si>
    <t>관제 및 설비 작동</t>
    <phoneticPr fontId="5" type="noConversion"/>
  </si>
  <si>
    <t>2. AI CCTV</t>
    <phoneticPr fontId="5" type="noConversion"/>
  </si>
  <si>
    <t>전기차 화재 연기 감지</t>
    <phoneticPr fontId="5" type="noConversion"/>
  </si>
  <si>
    <t>3. 작동/불량 정기점검</t>
    <phoneticPr fontId="5" type="noConversion"/>
  </si>
  <si>
    <t>반기 1회 현장 방문</t>
    <phoneticPr fontId="5" type="noConversion"/>
  </si>
  <si>
    <t>유지보수 비용</t>
    <phoneticPr fontId="14" type="noConversion"/>
  </si>
  <si>
    <t>1. 부가세 별도
2. 급수배관이 적정압력(4kg/㎠) 이하일 경우 가압펌프 설치 필요(현장에 따라 추가견적 필요)
3. 포함내역 : 현장 공사 비용, CCTV 설치비용(현장에 설치되어 있을 시 견적 제외), 원격감시시스템 구축비용
  - AI CCTV는 2년 약정
      1.  AI CCTV 1대 당 주차 3면 감지 가능
      2. 1대~4대 : 28만원, 추가 1대당 7만원씩 발생</t>
    <phoneticPr fontId="5" type="noConversion"/>
  </si>
  <si>
    <t>파이프덮개</t>
    <phoneticPr fontId="5" type="noConversion"/>
  </si>
  <si>
    <t>제작물</t>
    <phoneticPr fontId="5" type="noConversion"/>
  </si>
  <si>
    <t>식</t>
    <phoneticPr fontId="5" type="noConversion"/>
  </si>
  <si>
    <t>관부속(SR)</t>
    <phoneticPr fontId="5" type="noConversion"/>
  </si>
  <si>
    <t>전선관의 15 %</t>
    <phoneticPr fontId="5" type="noConversion"/>
  </si>
  <si>
    <t>셋트앵커</t>
    <phoneticPr fontId="5" type="noConversion"/>
  </si>
  <si>
    <t>M8×L70mm</t>
    <phoneticPr fontId="5" type="noConversion"/>
  </si>
  <si>
    <t>HFIX 1.78mm(2.5㎟)</t>
  </si>
  <si>
    <t>450/750V 내열비닐절연전선</t>
  </si>
  <si>
    <t>전산볼트</t>
  </si>
  <si>
    <t>M10(도금)</t>
  </si>
  <si>
    <t>m</t>
    <phoneticPr fontId="5" type="noConversion"/>
  </si>
  <si>
    <t>원가</t>
    <phoneticPr fontId="5" type="noConversion"/>
  </si>
  <si>
    <t>원가내역</t>
    <phoneticPr fontId="5" type="noConversion"/>
  </si>
  <si>
    <t>AI CCTV 원가 제외</t>
    <phoneticPr fontId="5" type="noConversion"/>
  </si>
  <si>
    <t>AI CCTV</t>
    <phoneticPr fontId="5" type="noConversion"/>
  </si>
  <si>
    <t>원격관제</t>
    <phoneticPr fontId="5" type="noConversion"/>
  </si>
  <si>
    <t>(부가세별도, 급수배관거리 50m, 분전반거리 50m 기준)</t>
    <phoneticPr fontId="5" type="noConversion"/>
  </si>
  <si>
    <t>월매출</t>
    <phoneticPr fontId="5" type="noConversion"/>
  </si>
  <si>
    <t>월원가</t>
    <phoneticPr fontId="5" type="noConversion"/>
  </si>
  <si>
    <t>구분</t>
    <phoneticPr fontId="11" type="noConversion"/>
  </si>
  <si>
    <t>기준면</t>
    <phoneticPr fontId="11" type="noConversion"/>
  </si>
  <si>
    <t>계</t>
    <phoneticPr fontId="11" type="noConversion"/>
  </si>
  <si>
    <t>잠재고객</t>
    <phoneticPr fontId="11" type="noConversion"/>
  </si>
  <si>
    <t>보유면수</t>
    <phoneticPr fontId="11" type="noConversion"/>
  </si>
  <si>
    <t>신한은행</t>
  </si>
  <si>
    <t>WTC</t>
  </si>
  <si>
    <t>오창에너지솔루션</t>
    <phoneticPr fontId="11" type="noConversion"/>
  </si>
  <si>
    <t>BIFC</t>
  </si>
  <si>
    <t>한국타이어테크노링</t>
    <phoneticPr fontId="11" type="noConversion"/>
  </si>
  <si>
    <t>카카오판교아지트</t>
    <phoneticPr fontId="11" type="noConversion"/>
  </si>
  <si>
    <t xml:space="preserve">SK서린빌딩 </t>
    <phoneticPr fontId="11" type="noConversion"/>
  </si>
  <si>
    <t>KCC오토타워</t>
  </si>
  <si>
    <t>엘지가산디지털센터</t>
  </si>
  <si>
    <t>강서사옥</t>
    <phoneticPr fontId="11" type="noConversion"/>
  </si>
  <si>
    <t>서울역빌딩</t>
  </si>
  <si>
    <t>인화원</t>
  </si>
  <si>
    <t>매총1이익</t>
    <phoneticPr fontId="11" type="noConversion"/>
  </si>
  <si>
    <t>건양대학교</t>
  </si>
  <si>
    <t>매총1이익율</t>
    <phoneticPr fontId="11" type="noConversion"/>
  </si>
  <si>
    <t>마포운영센터</t>
  </si>
  <si>
    <t>부산진구청</t>
    <phoneticPr fontId="11" type="noConversion"/>
  </si>
  <si>
    <t xml:space="preserve">sk가스사옥 </t>
    <phoneticPr fontId="11" type="noConversion"/>
  </si>
  <si>
    <t xml:space="preserve">메리츠화재 </t>
  </si>
  <si>
    <t>광화문빌딩</t>
  </si>
  <si>
    <t>금융투자협회</t>
    <phoneticPr fontId="11" type="noConversion"/>
  </si>
  <si>
    <t>상암CNS</t>
  </si>
  <si>
    <t>JW과천</t>
  </si>
  <si>
    <t>각화골드클래스</t>
  </si>
  <si>
    <t>대신증권(위례)</t>
  </si>
  <si>
    <t>노즐플레이트 공사</t>
    <phoneticPr fontId="5" type="noConversion"/>
  </si>
  <si>
    <t>공사매출</t>
    <phoneticPr fontId="5" type="noConversion"/>
  </si>
  <si>
    <t>공사원가</t>
    <phoneticPr fontId="5" type="noConversion"/>
  </si>
  <si>
    <t>작동점검</t>
    <phoneticPr fontId="5" type="noConversion"/>
  </si>
  <si>
    <t>2면</t>
    <phoneticPr fontId="5" type="noConversion"/>
  </si>
  <si>
    <t>3면</t>
  </si>
  <si>
    <t>4면</t>
  </si>
  <si>
    <t>5~10면</t>
    <phoneticPr fontId="5" type="noConversion"/>
  </si>
  <si>
    <t>11~30면</t>
    <phoneticPr fontId="5" type="noConversion"/>
  </si>
  <si>
    <t>관심고객수</t>
    <phoneticPr fontId="11" type="noConversion"/>
  </si>
  <si>
    <t>관심고객보유면수</t>
    <phoneticPr fontId="11" type="noConversion"/>
  </si>
  <si>
    <t>판매추정비율**</t>
    <phoneticPr fontId="11" type="noConversion"/>
  </si>
  <si>
    <t>면당재무</t>
    <phoneticPr fontId="5" type="noConversion"/>
  </si>
  <si>
    <t>(단위, 천원)</t>
    <phoneticPr fontId="5" type="noConversion"/>
  </si>
  <si>
    <t>매입평균단가</t>
    <phoneticPr fontId="11" type="noConversion"/>
  </si>
  <si>
    <t>매총익</t>
    <phoneticPr fontId="5" type="noConversion"/>
  </si>
  <si>
    <t>매총율</t>
    <phoneticPr fontId="5" type="noConversion"/>
  </si>
  <si>
    <t>● 판매면수</t>
    <phoneticPr fontId="5" type="noConversion"/>
  </si>
  <si>
    <t>● 결합솔루션</t>
    <phoneticPr fontId="5" type="noConversion"/>
  </si>
  <si>
    <t>□ 수요 시뮬레이션</t>
    <phoneticPr fontId="11" type="noConversion"/>
  </si>
  <si>
    <t>□ 가격 시뮬레이션</t>
    <phoneticPr fontId="11" type="noConversion"/>
  </si>
  <si>
    <t>건강보험료 x 12.95%</t>
    <phoneticPr fontId="5" type="noConversion"/>
  </si>
  <si>
    <t>건강보험료 x 12.95%</t>
    <phoneticPr fontId="5" type="noConversion"/>
  </si>
  <si>
    <t>31~50면</t>
    <phoneticPr fontId="5" type="noConversion"/>
  </si>
  <si>
    <t>□ 관심고객 List</t>
    <phoneticPr fontId="11" type="noConversion"/>
  </si>
  <si>
    <t>서비스 구분</t>
    <phoneticPr fontId="5" type="noConversion"/>
  </si>
  <si>
    <t>노즐플레이트 설치</t>
  </si>
  <si>
    <t>원격관제</t>
  </si>
  <si>
    <t>원격관제장비 설치</t>
  </si>
  <si>
    <t>AI CCTV 모니터링</t>
  </si>
  <si>
    <t>월간 금액</t>
    <phoneticPr fontId="5" type="noConversion"/>
  </si>
  <si>
    <t>* 기본 공사 조건( 급수배관거리 50m, 분전반거리 50m )으로 진행되며,</t>
    <phoneticPr fontId="5" type="noConversion"/>
  </si>
  <si>
    <t xml:space="preserve">     배관 및 분전반의 거리가 기본 공사 조건을 초과 시에는 추가 비용이 </t>
    <phoneticPr fontId="5" type="noConversion"/>
  </si>
  <si>
    <t xml:space="preserve">      발생됩니다.</t>
    <phoneticPr fontId="5" type="noConversion"/>
  </si>
  <si>
    <t>1. 설치 공사</t>
    <phoneticPr fontId="10" type="noConversion"/>
  </si>
  <si>
    <t>2. 월 유지 관리</t>
    <phoneticPr fontId="5" type="noConversion"/>
  </si>
  <si>
    <t>* 2년 약정 조건이며, 2년 이후의 월 유지 관리 서비스는 별도의 계약 체결이</t>
    <phoneticPr fontId="5" type="noConversion"/>
  </si>
  <si>
    <t xml:space="preserve">    필요합니다.</t>
    <phoneticPr fontId="5" type="noConversion"/>
  </si>
  <si>
    <t>(단위:천원, VAT별도)</t>
  </si>
  <si>
    <t xml:space="preserve"> * 천원 단위 절사</t>
    <phoneticPr fontId="5" type="noConversion"/>
  </si>
  <si>
    <t>년간 금액</t>
    <phoneticPr fontId="5" type="noConversion"/>
  </si>
  <si>
    <t>총 계약 금액</t>
    <phoneticPr fontId="14" type="noConversion"/>
  </si>
  <si>
    <t xml:space="preserve"> 계약 금액</t>
    <phoneticPr fontId="5" type="noConversion"/>
  </si>
  <si>
    <t>작동 점검 (분기)</t>
    <phoneticPr fontId="5" type="noConversion"/>
  </si>
  <si>
    <t>매총</t>
    <phoneticPr fontId="5" type="noConversion"/>
  </si>
  <si>
    <t>매총률</t>
    <phoneticPr fontId="5" type="noConversion"/>
  </si>
  <si>
    <t>D50</t>
    <phoneticPr fontId="5" type="noConversion"/>
  </si>
  <si>
    <t>설치 공사 재무</t>
    <phoneticPr fontId="5" type="noConversion"/>
  </si>
  <si>
    <t>리커링 재무(2년 약정)</t>
    <phoneticPr fontId="5" type="noConversion"/>
  </si>
  <si>
    <t>2년 원가</t>
    <phoneticPr fontId="5" type="noConversion"/>
  </si>
  <si>
    <t>2년 매출</t>
    <phoneticPr fontId="5" type="noConversion"/>
  </si>
  <si>
    <t>일시 매출</t>
    <phoneticPr fontId="5" type="noConversion"/>
  </si>
  <si>
    <t>일시 원가</t>
    <phoneticPr fontId="5" type="noConversion"/>
  </si>
  <si>
    <t>면당평균공사매출</t>
    <phoneticPr fontId="5" type="noConversion"/>
  </si>
  <si>
    <t>면당평균공사원가</t>
    <phoneticPr fontId="5" type="noConversion"/>
  </si>
  <si>
    <t>면당평균리커링매출</t>
    <phoneticPr fontId="5" type="noConversion"/>
  </si>
  <si>
    <t>면당평균리커링원가</t>
    <phoneticPr fontId="5" type="noConversion"/>
  </si>
  <si>
    <t>판매금액 계</t>
    <phoneticPr fontId="5" type="noConversion"/>
  </si>
  <si>
    <t>합산평균원가</t>
    <phoneticPr fontId="5" type="noConversion"/>
  </si>
  <si>
    <t>합산평균매출</t>
    <phoneticPr fontId="5" type="noConversion"/>
  </si>
  <si>
    <t>매출계</t>
    <phoneticPr fontId="5" type="noConversion"/>
  </si>
  <si>
    <t>원가계</t>
    <phoneticPr fontId="5" type="noConversion"/>
  </si>
  <si>
    <t>판매평균단가(실질)</t>
    <phoneticPr fontId="5" type="noConversion"/>
  </si>
  <si>
    <t>매입평균단가(실질)</t>
    <phoneticPr fontId="11" type="noConversion"/>
  </si>
  <si>
    <t>재무 추정</t>
    <phoneticPr fontId="11" type="noConversion"/>
  </si>
  <si>
    <t>시장 추정*</t>
    <phoneticPr fontId="11" type="noConversion"/>
  </si>
  <si>
    <t>목표 추정**</t>
    <phoneticPr fontId="11" type="noConversion"/>
  </si>
  <si>
    <t>공사 추정 ①</t>
    <phoneticPr fontId="11" type="noConversion"/>
  </si>
  <si>
    <t>용역 추정 ②</t>
    <phoneticPr fontId="11" type="noConversion"/>
  </si>
  <si>
    <t>(단위, 천원, 2개년분)</t>
    <phoneticPr fontId="5" type="noConversion"/>
  </si>
  <si>
    <t>총괄 (① + ②)</t>
    <phoneticPr fontId="11" type="noConversion"/>
  </si>
  <si>
    <t>● 재무 추정</t>
    <phoneticPr fontId="5" type="noConversion"/>
  </si>
  <si>
    <t>● 판매 견적가</t>
    <phoneticPr fontId="5" type="noConversion"/>
  </si>
  <si>
    <t>판매 견적가</t>
    <phoneticPr fontId="5" type="noConversion"/>
  </si>
  <si>
    <t>매출 원가</t>
    <phoneticPr fontId="5" type="noConversion"/>
  </si>
  <si>
    <t>* 시장 추정은 당사에 접수된 관심고객 정보로 추정</t>
    <phoneticPr fontId="5" type="noConversion"/>
  </si>
  <si>
    <t>** 목표 추정은 관심고객수비율과 관심고객보유면수를 5:5비율로 추정</t>
    <phoneticPr fontId="5" type="noConversion"/>
  </si>
  <si>
    <t>판매목표면수(a)</t>
    <phoneticPr fontId="11" type="noConversion"/>
  </si>
  <si>
    <t>노즐플레이트 설치</t>
    <phoneticPr fontId="5" type="noConversion"/>
  </si>
  <si>
    <t>면당 판매단가(b)</t>
    <phoneticPr fontId="11" type="noConversion"/>
  </si>
  <si>
    <t>면당 판매단가(C)</t>
    <phoneticPr fontId="11" type="noConversion"/>
  </si>
  <si>
    <t>원격관제,AI CCTV, 점검 (2개년)</t>
    <phoneticPr fontId="5" type="noConversion"/>
  </si>
  <si>
    <t>판매총액(a x (b+c))</t>
    <phoneticPr fontId="11" type="noConversion"/>
  </si>
  <si>
    <t>판매원가</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</si>
</sst>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43" formatCode="_-* #,##0.00_-;\-* #,##0.00_-;_-* &quot;-&quot;??_-;_-@_-"/>
    <numFmt numFmtId="176" formatCode="####\A"/>
    <numFmt numFmtId="177" formatCode="0_);[Red]\(0\)"/>
    <numFmt numFmtId="178" formatCode="&quot;₩&quot;#,##0"/>
    <numFmt numFmtId="179" formatCode="_-[$€-2]* #,##0.00_-;\-[$€-2]* #,##0.00_-;_-[$€-2]* &quot;-&quot;??_-"/>
    <numFmt numFmtId="180" formatCode="_ * #,##0_ ;_ * \-#,##0_ ;_ * &quot;-&quot;_ ;_ @_ "/>
    <numFmt numFmtId="181" formatCode="yyyy&quot;년&quot;\ m&quot;월&quot;\ d&quot;일&quot;;@"/>
    <numFmt numFmtId="182" formatCode="_-* #,##0.0_-;\-* #,##0.0_-;_-* &quot;-&quot;?_-;_-@_-"/>
    <numFmt numFmtId="183" formatCode="0.0%"/>
    <numFmt numFmtId="184" formatCode="_-* #,##0_-;\-* #,##0_-;_-* &quot;-&quot;??_-;_-@_-"/>
    <numFmt numFmtId="185" formatCode="#,##0_ "/>
  </numFmts>
  <fonts count="42">
    <font>
      <sz val="12"/>
      <color theme="1"/>
      <name val="바탕체"/>
      <family val="2"/>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2"/>
      <color theme="1"/>
      <name val="바탕체"/>
      <family val="2"/>
      <charset val="129"/>
    </font>
    <font>
      <sz val="8"/>
      <name val="바탕체"/>
      <family val="2"/>
      <charset val="129"/>
    </font>
    <font>
      <sz val="11"/>
      <name val="돋움"/>
      <family val="3"/>
      <charset val="129"/>
    </font>
    <font>
      <sz val="10"/>
      <color theme="1"/>
      <name val="맑은 고딕"/>
      <family val="3"/>
      <charset val="129"/>
    </font>
    <font>
      <sz val="10"/>
      <color indexed="64"/>
      <name val="Arial"/>
      <family val="2"/>
    </font>
    <font>
      <sz val="11"/>
      <color theme="1"/>
      <name val="맑은 고딕"/>
      <family val="3"/>
      <charset val="129"/>
      <scheme val="minor"/>
    </font>
    <font>
      <sz val="8"/>
      <name val="돋움"/>
      <family val="3"/>
      <charset val="129"/>
    </font>
    <font>
      <sz val="8"/>
      <name val="맑은 고딕"/>
      <family val="2"/>
      <charset val="129"/>
      <scheme val="minor"/>
    </font>
    <font>
      <sz val="12"/>
      <name val="바탕체"/>
      <family val="1"/>
      <charset val="129"/>
    </font>
    <font>
      <sz val="10"/>
      <name val="Arial"/>
      <family val="2"/>
    </font>
    <font>
      <sz val="8"/>
      <name val="HY울릉도L"/>
      <family val="1"/>
      <charset val="129"/>
    </font>
    <font>
      <sz val="9"/>
      <color theme="1"/>
      <name val="맑은 고딕"/>
      <family val="3"/>
      <charset val="129"/>
      <scheme val="major"/>
    </font>
    <font>
      <sz val="9"/>
      <name val="맑은 고딕"/>
      <family val="3"/>
      <charset val="129"/>
      <scheme val="major"/>
    </font>
    <font>
      <b/>
      <sz val="9"/>
      <color theme="1"/>
      <name val="맑은 고딕"/>
      <family val="3"/>
      <charset val="129"/>
      <scheme val="major"/>
    </font>
    <font>
      <sz val="11"/>
      <color theme="1"/>
      <name val="맑은 고딕"/>
      <family val="2"/>
      <scheme val="minor"/>
    </font>
    <font>
      <b/>
      <sz val="10"/>
      <color indexed="64"/>
      <name val="Arial"/>
      <family val="2"/>
    </font>
    <font>
      <sz val="11"/>
      <color indexed="8"/>
      <name val="맑은 고딕"/>
      <family val="3"/>
      <charset val="129"/>
    </font>
    <font>
      <b/>
      <sz val="9"/>
      <name val="맑은 고딕"/>
      <family val="3"/>
      <charset val="129"/>
      <scheme val="major"/>
    </font>
    <font>
      <b/>
      <sz val="28"/>
      <name val="Pretendard"/>
      <family val="3"/>
      <charset val="129"/>
    </font>
    <font>
      <sz val="11"/>
      <color theme="1"/>
      <name val="Pretendard"/>
      <family val="3"/>
      <charset val="129"/>
    </font>
    <font>
      <sz val="10"/>
      <color theme="1"/>
      <name val="Pretendard"/>
      <family val="3"/>
      <charset val="129"/>
    </font>
    <font>
      <b/>
      <sz val="10"/>
      <name val="Pretendard"/>
      <family val="3"/>
      <charset val="129"/>
    </font>
    <font>
      <sz val="10"/>
      <name val="Pretendard"/>
      <family val="3"/>
      <charset val="129"/>
    </font>
    <font>
      <b/>
      <sz val="11"/>
      <color theme="1"/>
      <name val="Pretendard"/>
      <family val="3"/>
      <charset val="129"/>
    </font>
    <font>
      <sz val="9"/>
      <name val="Pretendard"/>
      <family val="3"/>
      <charset val="129"/>
    </font>
    <font>
      <b/>
      <sz val="12"/>
      <name val="Pretendard"/>
      <family val="3"/>
      <charset val="129"/>
    </font>
    <font>
      <sz val="10"/>
      <name val="Helv"/>
      <family val="2"/>
    </font>
    <font>
      <sz val="10"/>
      <name val="돋움"/>
      <family val="3"/>
      <charset val="129"/>
    </font>
    <font>
      <b/>
      <sz val="11"/>
      <color theme="1"/>
      <name val="맑은 고딕"/>
      <family val="3"/>
      <charset val="129"/>
      <scheme val="minor"/>
    </font>
    <font>
      <sz val="10"/>
      <color theme="1"/>
      <name val="맑은 고딕"/>
      <family val="3"/>
      <charset val="129"/>
      <scheme val="minor"/>
    </font>
    <font>
      <sz val="10"/>
      <color rgb="FF000000"/>
      <name val="맑은 고딕"/>
      <family val="3"/>
      <charset val="129"/>
      <scheme val="minor"/>
    </font>
    <font>
      <sz val="10"/>
      <color rgb="FF181818"/>
      <name val="맑은 고딕"/>
      <family val="3"/>
      <charset val="129"/>
      <scheme val="minor"/>
    </font>
    <font>
      <sz val="10"/>
      <color rgb="FF444447"/>
      <name val="맑은 고딕"/>
      <family val="3"/>
      <charset val="129"/>
      <scheme val="minor"/>
    </font>
    <font>
      <sz val="12"/>
      <color theme="1"/>
      <name val="맑은 고딕"/>
      <family val="3"/>
      <charset val="129"/>
      <scheme val="minor"/>
    </font>
    <font>
      <sz val="9"/>
      <color rgb="FF000000"/>
      <name val="Malgun Gothic"/>
      <family val="3"/>
      <charset val="129"/>
    </font>
    <font>
      <b/>
      <sz val="14"/>
      <color theme="1"/>
      <name val="맑은 고딕"/>
      <family val="3"/>
      <charset val="129"/>
      <scheme val="minor"/>
    </font>
    <font>
      <sz val="11"/>
      <color theme="0"/>
      <name val="맑은 고딕"/>
      <family val="3"/>
      <charset val="129"/>
      <scheme val="minor"/>
    </font>
    <font>
      <b/>
      <sz val="12"/>
      <color theme="1"/>
      <name val="맑은 고딕"/>
      <family val="3"/>
      <charset val="129"/>
      <scheme val="minor"/>
    </font>
  </fonts>
  <fills count="12">
    <fill>
      <patternFill patternType="none"/>
    </fill>
    <fill>
      <patternFill patternType="gray125"/>
    </fill>
    <fill>
      <patternFill patternType="solid">
        <fgColor theme="5" tint="0.59999389629810485"/>
        <bgColor indexed="64"/>
      </patternFill>
    </fill>
    <fill>
      <patternFill patternType="solid">
        <fgColor indexed="9"/>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rgb="FFFFC000"/>
        <bgColor indexed="64"/>
      </patternFill>
    </fill>
  </fills>
  <borders count="71">
    <border>
      <left/>
      <right/>
      <top/>
      <bottom/>
      <diagonal/>
    </border>
    <border>
      <left/>
      <right style="thin">
        <color auto="1"/>
      </right>
      <top style="hair">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top style="thin">
        <color auto="1"/>
      </top>
      <bottom style="hair">
        <color auto="1"/>
      </bottom>
      <diagonal/>
    </border>
    <border>
      <left style="hair">
        <color auto="1"/>
      </left>
      <right/>
      <top style="hair">
        <color auto="1"/>
      </top>
      <bottom style="thin">
        <color auto="1"/>
      </bottom>
      <diagonal/>
    </border>
    <border>
      <left/>
      <right style="thin">
        <color auto="1"/>
      </right>
      <top style="thin">
        <color auto="1"/>
      </top>
      <bottom style="hair">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thin">
        <color auto="1"/>
      </right>
      <top/>
      <bottom style="hair">
        <color auto="1"/>
      </bottom>
      <diagonal/>
    </border>
    <border>
      <left/>
      <right style="thin">
        <color auto="1"/>
      </right>
      <top/>
      <bottom style="hair">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hair">
        <color auto="1"/>
      </right>
      <top style="hair">
        <color auto="1"/>
      </top>
      <bottom style="hair">
        <color auto="1"/>
      </bottom>
      <diagonal/>
    </border>
    <border>
      <left/>
      <right style="hair">
        <color auto="1"/>
      </right>
      <top/>
      <bottom style="hair">
        <color auto="1"/>
      </bottom>
      <diagonal/>
    </border>
    <border>
      <left/>
      <right/>
      <top style="thin">
        <color indexed="64"/>
      </top>
      <bottom style="thin">
        <color indexed="64"/>
      </bottom>
      <diagonal/>
    </border>
    <border>
      <left style="thin">
        <color indexed="64"/>
      </left>
      <right style="thin">
        <color indexed="64"/>
      </right>
      <top style="thin">
        <color indexed="64"/>
      </top>
      <bottom style="hair">
        <color auto="1"/>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bottom/>
      <diagonal/>
    </border>
    <border>
      <left style="double">
        <color indexed="64"/>
      </left>
      <right/>
      <top style="thin">
        <color indexed="64"/>
      </top>
      <bottom style="thin">
        <color indexed="64"/>
      </bottom>
      <diagonal/>
    </border>
    <border>
      <left style="double">
        <color indexed="64"/>
      </left>
      <right/>
      <top style="thin">
        <color indexed="64"/>
      </top>
      <bottom/>
      <diagonal/>
    </border>
    <border>
      <left style="double">
        <color indexed="64"/>
      </left>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double">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double">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double">
        <color indexed="64"/>
      </right>
      <top/>
      <bottom style="thin">
        <color indexed="64"/>
      </bottom>
      <diagonal/>
    </border>
    <border>
      <left style="thin">
        <color indexed="64"/>
      </left>
      <right style="thin">
        <color indexed="64"/>
      </right>
      <top/>
      <bottom/>
      <diagonal/>
    </border>
    <border diagonalUp="1">
      <left style="thin">
        <color indexed="64"/>
      </left>
      <right style="thin">
        <color indexed="64"/>
      </right>
      <top style="thin">
        <color indexed="64"/>
      </top>
      <bottom style="hair">
        <color indexed="64"/>
      </bottom>
      <diagonal style="thin">
        <color indexed="64"/>
      </diagonal>
    </border>
    <border>
      <left style="double">
        <color indexed="64"/>
      </left>
      <right/>
      <top/>
      <bottom/>
      <diagonal/>
    </border>
    <border>
      <left style="thin">
        <color indexed="64"/>
      </left>
      <right style="hair">
        <color indexed="64"/>
      </right>
      <top/>
      <bottom/>
      <diagonal/>
    </border>
    <border>
      <left style="hair">
        <color indexed="64"/>
      </left>
      <right style="double">
        <color indexed="64"/>
      </right>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style="double">
        <color indexed="64"/>
      </right>
      <top style="medium">
        <color indexed="64"/>
      </top>
      <bottom style="thin">
        <color indexed="64"/>
      </bottom>
      <diagonal/>
    </border>
    <border>
      <left style="double">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double">
        <color indexed="64"/>
      </right>
      <top style="thin">
        <color indexed="64"/>
      </top>
      <bottom style="medium">
        <color indexed="64"/>
      </bottom>
      <diagonal/>
    </border>
    <border>
      <left style="double">
        <color indexed="64"/>
      </left>
      <right/>
      <top style="thin">
        <color indexed="64"/>
      </top>
      <bottom style="medium">
        <color indexed="64"/>
      </bottom>
      <diagonal/>
    </border>
  </borders>
  <cellStyleXfs count="32">
    <xf numFmtId="0" fontId="0" fillId="0" borderId="0">
      <alignment vertical="center"/>
    </xf>
    <xf numFmtId="41" fontId="4" fillId="0" borderId="0" applyFont="0" applyFill="0" applyBorder="0" applyAlignment="0" applyProtection="0">
      <alignment vertical="center"/>
    </xf>
    <xf numFmtId="41" fontId="6" fillId="0" borderId="0" applyFont="0" applyFill="0" applyBorder="0" applyAlignment="0" applyProtection="0">
      <alignment vertical="center"/>
    </xf>
    <xf numFmtId="41" fontId="7" fillId="0" borderId="0" applyFont="0" applyFill="0" applyBorder="0" applyAlignment="0" applyProtection="0">
      <alignment vertical="center"/>
    </xf>
    <xf numFmtId="0" fontId="8" fillId="0" borderId="0"/>
    <xf numFmtId="41" fontId="6" fillId="0" borderId="0" applyFont="0" applyFill="0" applyBorder="0" applyAlignment="0" applyProtection="0">
      <alignment vertical="center"/>
    </xf>
    <xf numFmtId="0" fontId="3" fillId="0" borderId="0">
      <alignment vertical="center"/>
    </xf>
    <xf numFmtId="0" fontId="12" fillId="0" borderId="0"/>
    <xf numFmtId="0" fontId="13" fillId="0" borderId="0"/>
    <xf numFmtId="0" fontId="9" fillId="0" borderId="0">
      <alignment vertical="center"/>
    </xf>
    <xf numFmtId="41" fontId="18" fillId="0" borderId="0" applyFont="0" applyFill="0" applyBorder="0" applyAlignment="0" applyProtection="0">
      <alignment vertical="center"/>
    </xf>
    <xf numFmtId="9" fontId="19" fillId="0" borderId="0" applyFont="0" applyFill="0" applyBorder="0" applyAlignment="0" applyProtection="0"/>
    <xf numFmtId="0" fontId="8" fillId="0" borderId="0"/>
    <xf numFmtId="0" fontId="9" fillId="0" borderId="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179" fontId="2" fillId="0" borderId="0">
      <alignment vertical="center"/>
    </xf>
    <xf numFmtId="0" fontId="2" fillId="0" borderId="0">
      <alignment vertical="center"/>
    </xf>
    <xf numFmtId="0" fontId="6" fillId="0" borderId="0"/>
    <xf numFmtId="41" fontId="9" fillId="0" borderId="0" applyFont="0" applyFill="0" applyBorder="0" applyAlignment="0" applyProtection="0">
      <alignment vertical="center"/>
    </xf>
    <xf numFmtId="180" fontId="12" fillId="0" borderId="0" applyFont="0" applyFill="0" applyBorder="0" applyAlignment="0" applyProtection="0"/>
    <xf numFmtId="41" fontId="6" fillId="0" borderId="0" applyFont="0" applyFill="0" applyBorder="0" applyAlignment="0" applyProtection="0"/>
    <xf numFmtId="0" fontId="30" fillId="0" borderId="0"/>
    <xf numFmtId="9" fontId="4"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345">
    <xf numFmtId="0" fontId="0" fillId="0" borderId="0" xfId="0">
      <alignment vertical="center"/>
    </xf>
    <xf numFmtId="41" fontId="15" fillId="0" borderId="0" xfId="1" applyFont="1" applyFill="1" applyBorder="1">
      <alignment vertical="center"/>
    </xf>
    <xf numFmtId="0" fontId="15" fillId="0" borderId="0" xfId="0" applyFont="1">
      <alignment vertical="center"/>
    </xf>
    <xf numFmtId="0" fontId="15" fillId="0" borderId="13" xfId="0" applyFont="1" applyBorder="1" applyAlignment="1">
      <alignment horizontal="center" vertical="center" wrapText="1"/>
    </xf>
    <xf numFmtId="0" fontId="15" fillId="0" borderId="14" xfId="0" applyFont="1" applyBorder="1" applyAlignment="1">
      <alignment horizontal="left" vertical="center"/>
    </xf>
    <xf numFmtId="176" fontId="15" fillId="0" borderId="14" xfId="0" applyNumberFormat="1" applyFont="1" applyBorder="1" applyAlignment="1">
      <alignment horizontal="center" vertical="center"/>
    </xf>
    <xf numFmtId="177" fontId="15" fillId="0" borderId="14" xfId="0" applyNumberFormat="1" applyFont="1" applyBorder="1" applyAlignment="1">
      <alignment horizontal="center" vertical="center"/>
    </xf>
    <xf numFmtId="0" fontId="15" fillId="0" borderId="15" xfId="0" applyFont="1" applyBorder="1" applyAlignment="1">
      <alignment horizontal="center" vertical="center"/>
    </xf>
    <xf numFmtId="41" fontId="15" fillId="0" borderId="13" xfId="1" applyFont="1" applyFill="1" applyBorder="1" applyAlignment="1">
      <alignment vertical="center"/>
    </xf>
    <xf numFmtId="41" fontId="15" fillId="0" borderId="16" xfId="1" applyFont="1" applyFill="1" applyBorder="1" applyAlignment="1">
      <alignment vertical="center"/>
    </xf>
    <xf numFmtId="0" fontId="15" fillId="0" borderId="17" xfId="0" applyFont="1" applyBorder="1">
      <alignment vertical="center"/>
    </xf>
    <xf numFmtId="41" fontId="15" fillId="0" borderId="6" xfId="1" applyFont="1" applyFill="1" applyBorder="1" applyAlignment="1">
      <alignment vertical="center"/>
    </xf>
    <xf numFmtId="0" fontId="15" fillId="0" borderId="14" xfId="0" applyFont="1" applyBorder="1" applyAlignment="1">
      <alignment horizontal="center" vertical="center"/>
    </xf>
    <xf numFmtId="0" fontId="15" fillId="2" borderId="7" xfId="0" applyFont="1" applyFill="1" applyBorder="1" applyAlignment="1">
      <alignment vertical="center" wrapText="1"/>
    </xf>
    <xf numFmtId="0" fontId="15" fillId="2" borderId="8" xfId="0" applyFont="1" applyFill="1" applyBorder="1">
      <alignment vertical="center"/>
    </xf>
    <xf numFmtId="0" fontId="15" fillId="2" borderId="8" xfId="0" applyFont="1" applyFill="1" applyBorder="1" applyAlignment="1">
      <alignment horizontal="center" vertical="center"/>
    </xf>
    <xf numFmtId="177" fontId="15" fillId="2" borderId="8" xfId="0" applyNumberFormat="1" applyFont="1" applyFill="1" applyBorder="1">
      <alignment vertical="center"/>
    </xf>
    <xf numFmtId="0" fontId="15" fillId="2" borderId="11" xfId="0" applyFont="1" applyFill="1" applyBorder="1">
      <alignment vertical="center"/>
    </xf>
    <xf numFmtId="41" fontId="15" fillId="2" borderId="7" xfId="1" applyFont="1" applyFill="1" applyBorder="1" applyAlignment="1">
      <alignment vertical="center"/>
    </xf>
    <xf numFmtId="41" fontId="15" fillId="2" borderId="9" xfId="1" applyFont="1" applyFill="1" applyBorder="1" applyAlignment="1">
      <alignment vertical="center"/>
    </xf>
    <xf numFmtId="0" fontId="15" fillId="2" borderId="1" xfId="0" applyFont="1" applyFill="1" applyBorder="1">
      <alignment vertical="center"/>
    </xf>
    <xf numFmtId="41" fontId="16" fillId="0" borderId="5" xfId="5" applyFont="1" applyFill="1" applyBorder="1">
      <alignment vertical="center"/>
    </xf>
    <xf numFmtId="41" fontId="15" fillId="0" borderId="2" xfId="1" applyFont="1" applyFill="1" applyBorder="1" applyAlignment="1">
      <alignment vertical="center"/>
    </xf>
    <xf numFmtId="41" fontId="15" fillId="0" borderId="4" xfId="1" applyFont="1" applyFill="1" applyBorder="1" applyAlignment="1">
      <alignment vertical="center"/>
    </xf>
    <xf numFmtId="41" fontId="16" fillId="0" borderId="6" xfId="5" applyFont="1" applyFill="1" applyBorder="1">
      <alignment vertical="center"/>
    </xf>
    <xf numFmtId="41" fontId="16" fillId="0" borderId="22" xfId="5" applyFont="1" applyFill="1" applyBorder="1">
      <alignment vertical="center"/>
    </xf>
    <xf numFmtId="41" fontId="15" fillId="0" borderId="23" xfId="1" applyFont="1" applyFill="1" applyBorder="1" applyAlignment="1">
      <alignment vertical="center"/>
    </xf>
    <xf numFmtId="0" fontId="17" fillId="4" borderId="13" xfId="0" applyFont="1" applyFill="1" applyBorder="1" applyAlignment="1">
      <alignment horizontal="center" vertical="center" wrapText="1"/>
    </xf>
    <xf numFmtId="0" fontId="17" fillId="4" borderId="14" xfId="0" applyFont="1" applyFill="1" applyBorder="1" applyAlignment="1">
      <alignment horizontal="left" vertical="center"/>
    </xf>
    <xf numFmtId="176" fontId="17" fillId="4" borderId="14" xfId="0" applyNumberFormat="1" applyFont="1" applyFill="1" applyBorder="1" applyAlignment="1">
      <alignment horizontal="center" vertical="center"/>
    </xf>
    <xf numFmtId="0" fontId="15" fillId="6" borderId="15" xfId="0" applyFont="1" applyFill="1" applyBorder="1" applyAlignment="1">
      <alignment horizontal="center" vertical="center"/>
    </xf>
    <xf numFmtId="0" fontId="15" fillId="4" borderId="14" xfId="0" applyFont="1" applyFill="1" applyBorder="1" applyAlignment="1">
      <alignment horizontal="left" vertical="center"/>
    </xf>
    <xf numFmtId="0" fontId="15" fillId="0" borderId="14" xfId="0" applyFont="1" applyFill="1" applyBorder="1" applyAlignment="1">
      <alignment horizontal="left" vertical="center"/>
    </xf>
    <xf numFmtId="1" fontId="15" fillId="0" borderId="15" xfId="0" applyNumberFormat="1" applyFont="1" applyBorder="1" applyAlignment="1">
      <alignment horizontal="center" vertical="center"/>
    </xf>
    <xf numFmtId="0" fontId="15" fillId="7" borderId="7" xfId="0" applyFont="1" applyFill="1" applyBorder="1" applyAlignment="1">
      <alignment horizontal="center" vertical="center"/>
    </xf>
    <xf numFmtId="0" fontId="15" fillId="7" borderId="9" xfId="0" applyFont="1" applyFill="1" applyBorder="1" applyAlignment="1">
      <alignment horizontal="center" vertical="center"/>
    </xf>
    <xf numFmtId="0" fontId="15" fillId="7" borderId="13" xfId="0" applyFont="1" applyFill="1" applyBorder="1" applyAlignment="1">
      <alignment horizontal="center" vertical="center" wrapText="1"/>
    </xf>
    <xf numFmtId="0" fontId="15" fillId="7" borderId="14" xfId="0" applyFont="1" applyFill="1" applyBorder="1" applyAlignment="1">
      <alignment horizontal="left" vertical="center"/>
    </xf>
    <xf numFmtId="176" fontId="15" fillId="7" borderId="14" xfId="0" applyNumberFormat="1" applyFont="1" applyFill="1" applyBorder="1" applyAlignment="1">
      <alignment horizontal="center" vertical="center"/>
    </xf>
    <xf numFmtId="177" fontId="15" fillId="7" borderId="14" xfId="0" applyNumberFormat="1" applyFont="1" applyFill="1" applyBorder="1" applyAlignment="1">
      <alignment horizontal="center" vertical="center"/>
    </xf>
    <xf numFmtId="0" fontId="15" fillId="7" borderId="15" xfId="0" applyFont="1" applyFill="1" applyBorder="1" applyAlignment="1">
      <alignment horizontal="center" vertical="center"/>
    </xf>
    <xf numFmtId="41" fontId="15" fillId="7" borderId="13" xfId="1" applyFont="1" applyFill="1" applyBorder="1" applyAlignment="1">
      <alignment vertical="center"/>
    </xf>
    <xf numFmtId="41" fontId="17" fillId="7" borderId="16" xfId="1" applyFont="1" applyFill="1" applyBorder="1" applyAlignment="1">
      <alignment vertical="center"/>
    </xf>
    <xf numFmtId="41" fontId="15" fillId="7" borderId="23" xfId="1" applyFont="1" applyFill="1" applyBorder="1" applyAlignment="1">
      <alignment vertical="center"/>
    </xf>
    <xf numFmtId="0" fontId="15" fillId="7" borderId="17" xfId="0" applyFont="1" applyFill="1" applyBorder="1">
      <alignment vertical="center"/>
    </xf>
    <xf numFmtId="41" fontId="17" fillId="7" borderId="6" xfId="1" applyFont="1" applyFill="1" applyBorder="1" applyAlignment="1">
      <alignment vertical="center"/>
    </xf>
    <xf numFmtId="41" fontId="16" fillId="7" borderId="22" xfId="5" applyFont="1" applyFill="1" applyBorder="1">
      <alignment vertical="center"/>
    </xf>
    <xf numFmtId="41" fontId="21" fillId="7" borderId="6" xfId="5" applyFont="1" applyFill="1" applyBorder="1">
      <alignment vertical="center"/>
    </xf>
    <xf numFmtId="41" fontId="15" fillId="0" borderId="0" xfId="1" applyFont="1">
      <alignment vertical="center"/>
    </xf>
    <xf numFmtId="182" fontId="15" fillId="0" borderId="0" xfId="0" applyNumberFormat="1" applyFont="1">
      <alignment vertical="center"/>
    </xf>
    <xf numFmtId="0" fontId="23" fillId="0" borderId="0" xfId="6" applyFont="1">
      <alignment vertical="center"/>
    </xf>
    <xf numFmtId="0" fontId="24" fillId="0" borderId="18" xfId="0" applyFont="1" applyBorder="1" applyAlignment="1">
      <alignment vertical="center"/>
    </xf>
    <xf numFmtId="41" fontId="25" fillId="3" borderId="0" xfId="5" applyFont="1" applyFill="1" applyBorder="1" applyAlignment="1">
      <alignment horizontal="center" vertical="center"/>
    </xf>
    <xf numFmtId="0" fontId="24" fillId="0" borderId="18" xfId="0" applyFont="1" applyBorder="1">
      <alignment vertical="center"/>
    </xf>
    <xf numFmtId="0" fontId="23" fillId="0" borderId="0" xfId="0" applyFont="1" applyBorder="1">
      <alignment vertical="center"/>
    </xf>
    <xf numFmtId="0" fontId="26" fillId="0" borderId="24" xfId="0" applyFont="1" applyBorder="1" applyAlignment="1">
      <alignment vertical="center"/>
    </xf>
    <xf numFmtId="0" fontId="24" fillId="0" borderId="24" xfId="0" applyFont="1" applyBorder="1" applyAlignment="1">
      <alignment vertical="center"/>
    </xf>
    <xf numFmtId="0" fontId="24" fillId="0" borderId="24" xfId="0" applyFont="1" applyBorder="1">
      <alignment vertical="center"/>
    </xf>
    <xf numFmtId="41" fontId="27" fillId="0" borderId="19" xfId="1" applyFont="1" applyBorder="1" applyAlignment="1">
      <alignment horizontal="center" vertical="center"/>
    </xf>
    <xf numFmtId="41" fontId="27" fillId="0" borderId="19" xfId="1" applyFont="1" applyBorder="1">
      <alignment vertical="center"/>
    </xf>
    <xf numFmtId="43" fontId="27" fillId="0" borderId="19" xfId="1" applyNumberFormat="1" applyFont="1" applyBorder="1">
      <alignment vertical="center"/>
    </xf>
    <xf numFmtId="0" fontId="24" fillId="0" borderId="24" xfId="0" applyFont="1" applyBorder="1" applyAlignment="1">
      <alignment horizontal="left" vertical="center"/>
    </xf>
    <xf numFmtId="0" fontId="23" fillId="0" borderId="0" xfId="6" applyFont="1" applyAlignment="1">
      <alignment horizontal="center" vertical="center"/>
    </xf>
    <xf numFmtId="0" fontId="23" fillId="0" borderId="0" xfId="0" applyFont="1" applyBorder="1" applyAlignment="1">
      <alignment vertical="center"/>
    </xf>
    <xf numFmtId="41" fontId="22" fillId="3" borderId="0" xfId="5" applyFont="1" applyFill="1" applyBorder="1" applyAlignment="1">
      <alignment horizontal="center" vertical="center"/>
    </xf>
    <xf numFmtId="41" fontId="25" fillId="3" borderId="18" xfId="5" applyFont="1" applyFill="1" applyBorder="1" applyAlignment="1">
      <alignment horizontal="center" vertical="center"/>
    </xf>
    <xf numFmtId="178" fontId="25" fillId="3" borderId="18" xfId="7" applyNumberFormat="1" applyFont="1" applyFill="1" applyBorder="1" applyAlignment="1">
      <alignment horizontal="left" vertical="center"/>
    </xf>
    <xf numFmtId="0" fontId="29" fillId="3" borderId="18" xfId="8" applyFont="1" applyFill="1" applyBorder="1"/>
    <xf numFmtId="0" fontId="23" fillId="0" borderId="0" xfId="6" applyFont="1" applyBorder="1">
      <alignment vertical="center"/>
    </xf>
    <xf numFmtId="41" fontId="25" fillId="4" borderId="19" xfId="5" applyFont="1" applyFill="1" applyBorder="1" applyAlignment="1">
      <alignment horizontal="center" vertical="center"/>
    </xf>
    <xf numFmtId="41" fontId="23" fillId="0" borderId="0" xfId="6" applyNumberFormat="1" applyFont="1">
      <alignment vertical="center"/>
    </xf>
    <xf numFmtId="41" fontId="25" fillId="3" borderId="19" xfId="5" applyFont="1" applyFill="1" applyBorder="1" applyAlignment="1">
      <alignment horizontal="center" vertical="center"/>
    </xf>
    <xf numFmtId="41" fontId="25" fillId="3" borderId="0" xfId="5" applyFont="1" applyFill="1">
      <alignment vertical="center"/>
    </xf>
    <xf numFmtId="41" fontId="25" fillId="8" borderId="25" xfId="1" applyFont="1" applyFill="1" applyBorder="1">
      <alignment vertical="center"/>
    </xf>
    <xf numFmtId="41" fontId="28" fillId="3" borderId="26" xfId="1" applyFont="1" applyFill="1" applyBorder="1" applyAlignment="1">
      <alignment vertical="center"/>
    </xf>
    <xf numFmtId="41" fontId="28" fillId="3" borderId="27" xfId="1" applyFont="1" applyFill="1" applyBorder="1" applyAlignment="1">
      <alignment vertical="center"/>
    </xf>
    <xf numFmtId="41" fontId="28" fillId="5" borderId="26" xfId="1" applyFont="1" applyFill="1" applyBorder="1">
      <alignment vertical="center"/>
    </xf>
    <xf numFmtId="41" fontId="28" fillId="5" borderId="27" xfId="1" applyFont="1" applyFill="1" applyBorder="1">
      <alignment vertical="center"/>
    </xf>
    <xf numFmtId="41" fontId="25" fillId="3" borderId="19" xfId="1" applyFont="1" applyFill="1" applyBorder="1">
      <alignment vertical="center"/>
    </xf>
    <xf numFmtId="41" fontId="25" fillId="8" borderId="19" xfId="1" applyFont="1" applyFill="1" applyBorder="1">
      <alignment vertical="center"/>
    </xf>
    <xf numFmtId="41" fontId="25" fillId="3" borderId="19" xfId="5" applyFont="1" applyFill="1" applyBorder="1" applyAlignment="1">
      <alignment horizontal="center" vertical="center"/>
    </xf>
    <xf numFmtId="41" fontId="25" fillId="5" borderId="26" xfId="1" applyFont="1" applyFill="1" applyBorder="1" applyAlignment="1">
      <alignment horizontal="center" vertical="center"/>
    </xf>
    <xf numFmtId="41" fontId="28" fillId="3" borderId="27" xfId="1" applyFont="1" applyFill="1" applyBorder="1">
      <alignment vertical="center"/>
    </xf>
    <xf numFmtId="41" fontId="22" fillId="3" borderId="0" xfId="5" applyFont="1" applyFill="1" applyBorder="1" applyAlignment="1">
      <alignment horizontal="center" vertical="center"/>
    </xf>
    <xf numFmtId="41" fontId="25" fillId="4" borderId="19" xfId="5" applyFont="1" applyFill="1" applyBorder="1" applyAlignment="1">
      <alignment horizontal="center" vertical="center"/>
    </xf>
    <xf numFmtId="0" fontId="15" fillId="7" borderId="7" xfId="0" applyFont="1" applyFill="1" applyBorder="1" applyAlignment="1">
      <alignment horizontal="center" vertical="center"/>
    </xf>
    <xf numFmtId="184" fontId="15" fillId="0" borderId="6" xfId="1" applyNumberFormat="1" applyFont="1" applyFill="1" applyBorder="1" applyAlignment="1">
      <alignment horizontal="left" vertical="center"/>
    </xf>
    <xf numFmtId="176" fontId="15" fillId="0" borderId="15" xfId="0" applyNumberFormat="1" applyFont="1" applyBorder="1" applyAlignment="1">
      <alignment horizontal="center" vertical="center"/>
    </xf>
    <xf numFmtId="0" fontId="31" fillId="0" borderId="5" xfId="27" applyFont="1" applyBorder="1" applyAlignment="1">
      <alignment horizontal="center" vertical="center"/>
    </xf>
    <xf numFmtId="1" fontId="31" fillId="0" borderId="6" xfId="1" applyNumberFormat="1" applyFont="1" applyFill="1" applyBorder="1" applyAlignment="1">
      <alignment horizontal="center" vertical="center"/>
    </xf>
    <xf numFmtId="0" fontId="15" fillId="6" borderId="15" xfId="0" applyNumberFormat="1" applyFont="1" applyFill="1" applyBorder="1" applyAlignment="1">
      <alignment horizontal="center" vertical="center"/>
    </xf>
    <xf numFmtId="1" fontId="15" fillId="5" borderId="15" xfId="0" applyNumberFormat="1" applyFont="1" applyFill="1" applyBorder="1" applyAlignment="1">
      <alignment horizontal="center" vertical="center"/>
    </xf>
    <xf numFmtId="0" fontId="23" fillId="0" borderId="0" xfId="6" applyFont="1" applyAlignment="1">
      <alignment horizontal="right" vertical="center"/>
    </xf>
    <xf numFmtId="0" fontId="27" fillId="0" borderId="0" xfId="6" applyFont="1" applyBorder="1" applyAlignment="1">
      <alignment horizontal="right" vertical="center"/>
    </xf>
    <xf numFmtId="183" fontId="23" fillId="0" borderId="0" xfId="28" applyNumberFormat="1" applyFont="1">
      <alignment vertical="center"/>
    </xf>
    <xf numFmtId="0" fontId="9" fillId="0" borderId="0" xfId="0" applyFont="1" applyAlignment="1">
      <alignment vertical="center"/>
    </xf>
    <xf numFmtId="41" fontId="9" fillId="0" borderId="0" xfId="1" applyFont="1" applyAlignment="1">
      <alignment vertical="center"/>
    </xf>
    <xf numFmtId="0" fontId="34" fillId="0" borderId="35" xfId="29" applyFont="1" applyFill="1" applyBorder="1" applyAlignment="1">
      <alignment vertical="center" wrapText="1" readingOrder="1"/>
    </xf>
    <xf numFmtId="0" fontId="34" fillId="0" borderId="36" xfId="29" applyFont="1" applyFill="1" applyBorder="1" applyAlignment="1">
      <alignment vertical="center" wrapText="1" readingOrder="1"/>
    </xf>
    <xf numFmtId="0" fontId="34" fillId="0" borderId="38" xfId="29" applyFont="1" applyFill="1" applyBorder="1" applyAlignment="1">
      <alignment vertical="center" wrapText="1" readingOrder="1"/>
    </xf>
    <xf numFmtId="0" fontId="34" fillId="0" borderId="39" xfId="29" applyFont="1" applyFill="1" applyBorder="1" applyAlignment="1">
      <alignment vertical="center" wrapText="1" readingOrder="1"/>
    </xf>
    <xf numFmtId="185" fontId="9" fillId="0" borderId="35" xfId="0" applyNumberFormat="1" applyFont="1" applyBorder="1" applyAlignment="1">
      <alignment vertical="center"/>
    </xf>
    <xf numFmtId="185" fontId="9" fillId="0" borderId="0" xfId="0" applyNumberFormat="1" applyFont="1" applyBorder="1" applyAlignment="1">
      <alignment vertical="center"/>
    </xf>
    <xf numFmtId="185" fontId="9" fillId="0" borderId="36" xfId="0" applyNumberFormat="1" applyFont="1" applyBorder="1" applyAlignment="1">
      <alignment vertical="center"/>
    </xf>
    <xf numFmtId="185" fontId="9" fillId="0" borderId="38" xfId="0" applyNumberFormat="1" applyFont="1" applyBorder="1" applyAlignment="1">
      <alignment vertical="center"/>
    </xf>
    <xf numFmtId="185" fontId="9" fillId="0" borderId="18" xfId="0" applyNumberFormat="1" applyFont="1" applyBorder="1" applyAlignment="1">
      <alignment vertical="center"/>
    </xf>
    <xf numFmtId="185" fontId="9" fillId="0" borderId="39" xfId="0" applyNumberFormat="1" applyFont="1" applyBorder="1" applyAlignment="1">
      <alignment vertical="center"/>
    </xf>
    <xf numFmtId="0" fontId="34" fillId="0" borderId="32" xfId="29" applyFont="1" applyFill="1" applyBorder="1" applyAlignment="1">
      <alignment vertical="center" wrapText="1" readingOrder="1"/>
    </xf>
    <xf numFmtId="0" fontId="34" fillId="0" borderId="33" xfId="29" applyFont="1" applyFill="1" applyBorder="1" applyAlignment="1">
      <alignment vertical="center" wrapText="1" readingOrder="1"/>
    </xf>
    <xf numFmtId="0" fontId="35" fillId="0" borderId="38" xfId="29" applyFont="1" applyFill="1" applyBorder="1" applyAlignment="1">
      <alignment vertical="center" wrapText="1" readingOrder="1"/>
    </xf>
    <xf numFmtId="0" fontId="36" fillId="0" borderId="32" xfId="29" applyFont="1" applyFill="1" applyBorder="1" applyAlignment="1">
      <alignment vertical="center" wrapText="1" readingOrder="1"/>
    </xf>
    <xf numFmtId="0" fontId="33" fillId="4" borderId="20" xfId="29" applyFont="1" applyFill="1" applyBorder="1" applyAlignment="1">
      <alignment horizontal="right" vertical="center"/>
    </xf>
    <xf numFmtId="0" fontId="9" fillId="4" borderId="18" xfId="0" applyFont="1" applyFill="1" applyBorder="1" applyAlignment="1">
      <alignment vertical="center"/>
    </xf>
    <xf numFmtId="0" fontId="9" fillId="4" borderId="24" xfId="0" applyFont="1" applyFill="1" applyBorder="1" applyAlignment="1">
      <alignment vertical="center"/>
    </xf>
    <xf numFmtId="0" fontId="9" fillId="4" borderId="19" xfId="29" applyFont="1" applyFill="1" applyBorder="1" applyAlignment="1">
      <alignment horizontal="center" vertical="center"/>
    </xf>
    <xf numFmtId="0" fontId="9" fillId="0" borderId="37" xfId="29" applyFont="1" applyFill="1" applyBorder="1" applyAlignment="1">
      <alignment horizontal="center" vertical="center"/>
    </xf>
    <xf numFmtId="0" fontId="9" fillId="0" borderId="19" xfId="29" applyFont="1" applyFill="1" applyBorder="1" applyAlignment="1">
      <alignment horizontal="center" vertical="center"/>
    </xf>
    <xf numFmtId="0" fontId="9" fillId="9" borderId="19" xfId="29" applyFont="1" applyFill="1" applyBorder="1" applyAlignment="1">
      <alignment horizontal="center" vertical="center"/>
    </xf>
    <xf numFmtId="0" fontId="9" fillId="0" borderId="0" xfId="29" applyFont="1" applyAlignment="1">
      <alignment vertical="center"/>
    </xf>
    <xf numFmtId="0" fontId="33" fillId="0" borderId="0" xfId="29" applyFont="1" applyAlignment="1">
      <alignment vertical="center"/>
    </xf>
    <xf numFmtId="0" fontId="33" fillId="4" borderId="21" xfId="29" applyFont="1" applyFill="1" applyBorder="1" applyAlignment="1">
      <alignment vertical="center"/>
    </xf>
    <xf numFmtId="0" fontId="9" fillId="0" borderId="18" xfId="0" applyFont="1" applyBorder="1" applyAlignment="1">
      <alignment vertical="center"/>
    </xf>
    <xf numFmtId="0" fontId="9" fillId="4" borderId="0" xfId="0" applyFont="1" applyFill="1" applyBorder="1" applyAlignment="1">
      <alignment vertical="center"/>
    </xf>
    <xf numFmtId="41" fontId="9" fillId="0" borderId="0" xfId="0" applyNumberFormat="1" applyFont="1" applyBorder="1" applyAlignment="1">
      <alignment vertical="center"/>
    </xf>
    <xf numFmtId="0" fontId="9" fillId="0" borderId="0" xfId="0" applyFont="1" applyBorder="1" applyAlignment="1">
      <alignment vertical="center"/>
    </xf>
    <xf numFmtId="0" fontId="9" fillId="0" borderId="36" xfId="0" applyFont="1" applyBorder="1" applyAlignment="1">
      <alignment vertical="center"/>
    </xf>
    <xf numFmtId="41" fontId="9" fillId="0" borderId="35" xfId="1" applyFont="1" applyBorder="1" applyAlignment="1">
      <alignment vertical="center"/>
    </xf>
    <xf numFmtId="41" fontId="9" fillId="0" borderId="38" xfId="1" applyFont="1" applyBorder="1" applyAlignment="1">
      <alignment vertical="center"/>
    </xf>
    <xf numFmtId="0" fontId="9" fillId="0" borderId="39" xfId="0" applyFont="1" applyBorder="1" applyAlignment="1">
      <alignment vertical="center"/>
    </xf>
    <xf numFmtId="0" fontId="9" fillId="4" borderId="32" xfId="0" applyFont="1" applyFill="1" applyBorder="1" applyAlignment="1">
      <alignment vertical="center"/>
    </xf>
    <xf numFmtId="0" fontId="9" fillId="4" borderId="35" xfId="0" applyFont="1" applyFill="1" applyBorder="1" applyAlignment="1">
      <alignment vertical="center"/>
    </xf>
    <xf numFmtId="183" fontId="9" fillId="0" borderId="0" xfId="28" applyNumberFormat="1" applyFont="1" applyBorder="1" applyAlignment="1">
      <alignment vertical="center"/>
    </xf>
    <xf numFmtId="0" fontId="9" fillId="4" borderId="38" xfId="0" applyFont="1" applyFill="1" applyBorder="1" applyAlignment="1">
      <alignment vertical="center"/>
    </xf>
    <xf numFmtId="183" fontId="9" fillId="0" borderId="18" xfId="28" applyNumberFormat="1" applyFont="1" applyBorder="1" applyAlignment="1">
      <alignment vertical="center"/>
    </xf>
    <xf numFmtId="0" fontId="9" fillId="4" borderId="40" xfId="0" applyFont="1" applyFill="1" applyBorder="1" applyAlignment="1">
      <alignment vertical="center"/>
    </xf>
    <xf numFmtId="0" fontId="9" fillId="0" borderId="34" xfId="29" applyFont="1" applyFill="1" applyBorder="1" applyAlignment="1">
      <alignment horizontal="center" vertical="center"/>
    </xf>
    <xf numFmtId="0" fontId="9" fillId="0" borderId="0" xfId="29" applyFont="1" applyAlignment="1">
      <alignment horizontal="right" vertical="center"/>
    </xf>
    <xf numFmtId="0" fontId="9" fillId="5" borderId="0" xfId="29" applyFont="1" applyFill="1" applyBorder="1" applyAlignment="1">
      <alignment vertical="center"/>
    </xf>
    <xf numFmtId="0" fontId="9" fillId="4" borderId="20" xfId="29" applyFont="1" applyFill="1" applyBorder="1" applyAlignment="1">
      <alignment horizontal="center" vertical="center"/>
    </xf>
    <xf numFmtId="0" fontId="9" fillId="4" borderId="43" xfId="29" applyFont="1" applyFill="1" applyBorder="1" applyAlignment="1">
      <alignment horizontal="center" vertical="center"/>
    </xf>
    <xf numFmtId="41" fontId="9" fillId="0" borderId="44" xfId="29" applyNumberFormat="1" applyFont="1" applyFill="1" applyBorder="1" applyAlignment="1">
      <alignment vertical="center"/>
    </xf>
    <xf numFmtId="0" fontId="9" fillId="0" borderId="36" xfId="29" applyFont="1" applyFill="1" applyBorder="1" applyAlignment="1">
      <alignment horizontal="center" vertical="center"/>
    </xf>
    <xf numFmtId="9" fontId="37" fillId="0" borderId="45" xfId="31" applyNumberFormat="1" applyFont="1" applyFill="1" applyBorder="1" applyAlignment="1">
      <alignment vertical="center"/>
    </xf>
    <xf numFmtId="0" fontId="32" fillId="0" borderId="36" xfId="29" applyFont="1" applyFill="1" applyBorder="1" applyAlignment="1">
      <alignment horizontal="center" vertical="center"/>
    </xf>
    <xf numFmtId="0" fontId="9" fillId="0" borderId="39" xfId="29" applyFont="1" applyFill="1" applyBorder="1" applyAlignment="1">
      <alignment horizontal="center" vertical="center"/>
    </xf>
    <xf numFmtId="0" fontId="9" fillId="0" borderId="36" xfId="29" applyNumberFormat="1" applyFont="1" applyFill="1" applyBorder="1" applyAlignment="1">
      <alignment horizontal="center" vertical="center"/>
    </xf>
    <xf numFmtId="41" fontId="37" fillId="0" borderId="43" xfId="30" applyFont="1" applyFill="1" applyBorder="1" applyAlignment="1">
      <alignment vertical="center"/>
    </xf>
    <xf numFmtId="41" fontId="9" fillId="0" borderId="43" xfId="29" applyNumberFormat="1" applyFont="1" applyFill="1" applyBorder="1" applyAlignment="1">
      <alignment vertical="center"/>
    </xf>
    <xf numFmtId="0" fontId="32" fillId="0" borderId="39" xfId="29" applyFont="1" applyFill="1" applyBorder="1" applyAlignment="1">
      <alignment horizontal="center" vertical="center"/>
    </xf>
    <xf numFmtId="0" fontId="9" fillId="4" borderId="46" xfId="29" applyNumberFormat="1" applyFont="1" applyFill="1" applyBorder="1" applyAlignment="1">
      <alignment horizontal="center" vertical="center"/>
    </xf>
    <xf numFmtId="0" fontId="9" fillId="4" borderId="41" xfId="29" applyNumberFormat="1" applyFont="1" applyFill="1" applyBorder="1" applyAlignment="1">
      <alignment horizontal="center" vertical="center"/>
    </xf>
    <xf numFmtId="0" fontId="9" fillId="4" borderId="47" xfId="29" applyNumberFormat="1" applyFont="1" applyFill="1" applyBorder="1" applyAlignment="1">
      <alignment horizontal="center" vertical="center"/>
    </xf>
    <xf numFmtId="41" fontId="9" fillId="0" borderId="48" xfId="30" applyFont="1" applyFill="1" applyBorder="1" applyAlignment="1">
      <alignment vertical="center"/>
    </xf>
    <xf numFmtId="41" fontId="9" fillId="0" borderId="49" xfId="30" applyFont="1" applyFill="1" applyBorder="1" applyAlignment="1">
      <alignment vertical="center"/>
    </xf>
    <xf numFmtId="41" fontId="9" fillId="0" borderId="50" xfId="30" applyFont="1" applyFill="1" applyBorder="1" applyAlignment="1">
      <alignment vertical="center"/>
    </xf>
    <xf numFmtId="9" fontId="37" fillId="0" borderId="51" xfId="31" applyNumberFormat="1" applyFont="1" applyFill="1" applyBorder="1" applyAlignment="1">
      <alignment vertical="center"/>
    </xf>
    <xf numFmtId="9" fontId="37" fillId="0" borderId="52" xfId="31" applyNumberFormat="1" applyFont="1" applyFill="1" applyBorder="1" applyAlignment="1">
      <alignment vertical="center"/>
    </xf>
    <xf numFmtId="9" fontId="37" fillId="0" borderId="53" xfId="31" applyNumberFormat="1" applyFont="1" applyFill="1" applyBorder="1" applyAlignment="1">
      <alignment vertical="center"/>
    </xf>
    <xf numFmtId="41" fontId="37" fillId="0" borderId="46" xfId="30" applyFont="1" applyFill="1" applyBorder="1" applyAlignment="1">
      <alignment vertical="center"/>
    </xf>
    <xf numFmtId="41" fontId="37" fillId="0" borderId="41" xfId="30" applyFont="1" applyFill="1" applyBorder="1" applyAlignment="1">
      <alignment vertical="center"/>
    </xf>
    <xf numFmtId="41" fontId="37" fillId="0" borderId="47" xfId="30" applyFont="1" applyFill="1" applyBorder="1" applyAlignment="1">
      <alignment vertical="center"/>
    </xf>
    <xf numFmtId="41" fontId="9" fillId="9" borderId="46" xfId="30" applyFont="1" applyFill="1" applyBorder="1" applyAlignment="1">
      <alignment vertical="center"/>
    </xf>
    <xf numFmtId="41" fontId="9" fillId="9" borderId="41" xfId="30" applyFont="1" applyFill="1" applyBorder="1" applyAlignment="1">
      <alignment vertical="center"/>
    </xf>
    <xf numFmtId="41" fontId="9" fillId="9" borderId="47" xfId="30" applyFont="1" applyFill="1" applyBorder="1" applyAlignment="1">
      <alignment vertical="center"/>
    </xf>
    <xf numFmtId="41" fontId="9" fillId="0" borderId="46" xfId="29" applyNumberFormat="1" applyFont="1" applyFill="1" applyBorder="1" applyAlignment="1">
      <alignment vertical="center"/>
    </xf>
    <xf numFmtId="41" fontId="9" fillId="0" borderId="41" xfId="29" applyNumberFormat="1" applyFont="1" applyFill="1" applyBorder="1" applyAlignment="1">
      <alignment vertical="center"/>
    </xf>
    <xf numFmtId="41" fontId="9" fillId="0" borderId="47" xfId="29" applyNumberFormat="1" applyFont="1" applyFill="1" applyBorder="1" applyAlignment="1">
      <alignment vertical="center"/>
    </xf>
    <xf numFmtId="183" fontId="9" fillId="0" borderId="46" xfId="31" applyNumberFormat="1" applyFont="1" applyFill="1" applyBorder="1" applyAlignment="1">
      <alignment vertical="center"/>
    </xf>
    <xf numFmtId="183" fontId="9" fillId="0" borderId="41" xfId="31" applyNumberFormat="1" applyFont="1" applyFill="1" applyBorder="1" applyAlignment="1">
      <alignment vertical="center"/>
    </xf>
    <xf numFmtId="183" fontId="9" fillId="0" borderId="47" xfId="31" applyNumberFormat="1" applyFont="1" applyFill="1" applyBorder="1" applyAlignment="1">
      <alignment vertical="center"/>
    </xf>
    <xf numFmtId="0" fontId="39" fillId="0" borderId="0" xfId="29" applyFont="1" applyAlignment="1">
      <alignment vertical="center"/>
    </xf>
    <xf numFmtId="0" fontId="32" fillId="0" borderId="33" xfId="29" applyFont="1" applyFill="1" applyBorder="1" applyAlignment="1">
      <alignment horizontal="center"/>
    </xf>
    <xf numFmtId="0" fontId="9" fillId="0" borderId="36" xfId="29" applyFont="1" applyFill="1" applyBorder="1" applyAlignment="1">
      <alignment horizontal="center" vertical="top"/>
    </xf>
    <xf numFmtId="0" fontId="32" fillId="0" borderId="33" xfId="29" applyNumberFormat="1" applyFont="1" applyFill="1" applyBorder="1" applyAlignment="1">
      <alignment horizontal="center"/>
    </xf>
    <xf numFmtId="185" fontId="9" fillId="0" borderId="18" xfId="0" applyNumberFormat="1" applyFont="1" applyFill="1" applyBorder="1" applyAlignment="1">
      <alignment vertical="center"/>
    </xf>
    <xf numFmtId="41" fontId="28" fillId="3" borderId="29" xfId="5" applyFont="1" applyFill="1" applyBorder="1" applyAlignment="1">
      <alignment vertical="center"/>
    </xf>
    <xf numFmtId="41" fontId="28" fillId="3" borderId="30" xfId="5" applyFont="1" applyFill="1" applyBorder="1" applyAlignment="1">
      <alignment vertical="center"/>
    </xf>
    <xf numFmtId="41" fontId="28" fillId="3" borderId="31" xfId="5" applyFont="1" applyFill="1" applyBorder="1" applyAlignment="1">
      <alignment vertical="center"/>
    </xf>
    <xf numFmtId="41" fontId="28" fillId="3" borderId="1" xfId="5" applyFont="1" applyFill="1" applyBorder="1" applyAlignment="1">
      <alignment vertical="center"/>
    </xf>
    <xf numFmtId="41" fontId="28" fillId="3" borderId="29" xfId="5" applyFont="1" applyFill="1" applyBorder="1" applyAlignment="1">
      <alignment vertical="center"/>
    </xf>
    <xf numFmtId="41" fontId="28" fillId="3" borderId="30" xfId="5" applyFont="1" applyFill="1" applyBorder="1" applyAlignment="1">
      <alignment vertical="center"/>
    </xf>
    <xf numFmtId="41" fontId="28" fillId="3" borderId="31" xfId="5" applyFont="1" applyFill="1" applyBorder="1" applyAlignment="1">
      <alignment vertical="center"/>
    </xf>
    <xf numFmtId="41" fontId="28" fillId="3" borderId="1" xfId="5" applyFont="1" applyFill="1" applyBorder="1" applyAlignment="1">
      <alignment vertical="center"/>
    </xf>
    <xf numFmtId="41" fontId="25" fillId="4" borderId="19" xfId="5" applyFont="1" applyFill="1" applyBorder="1" applyAlignment="1">
      <alignment horizontal="center" vertical="center"/>
    </xf>
    <xf numFmtId="41" fontId="25" fillId="4" borderId="21" xfId="5" applyFont="1" applyFill="1" applyBorder="1" applyAlignment="1">
      <alignment horizontal="center" vertical="center"/>
    </xf>
    <xf numFmtId="41" fontId="28" fillId="5" borderId="29" xfId="5" applyFont="1" applyFill="1" applyBorder="1" applyAlignment="1">
      <alignment vertical="center"/>
    </xf>
    <xf numFmtId="41" fontId="28" fillId="5" borderId="30" xfId="5" applyFont="1" applyFill="1" applyBorder="1" applyAlignment="1">
      <alignment vertical="center"/>
    </xf>
    <xf numFmtId="41" fontId="25" fillId="8" borderId="28" xfId="5" applyFont="1" applyFill="1" applyBorder="1" applyAlignment="1">
      <alignment vertical="center"/>
    </xf>
    <xf numFmtId="41" fontId="25" fillId="8" borderId="12" xfId="5" applyFont="1" applyFill="1" applyBorder="1" applyAlignment="1">
      <alignment vertical="center"/>
    </xf>
    <xf numFmtId="41" fontId="28" fillId="10" borderId="29" xfId="5" applyFont="1" applyFill="1" applyBorder="1" applyAlignment="1">
      <alignment vertical="center"/>
    </xf>
    <xf numFmtId="41" fontId="28" fillId="10" borderId="31" xfId="5" applyFont="1" applyFill="1" applyBorder="1" applyAlignment="1">
      <alignment vertical="center"/>
    </xf>
    <xf numFmtId="41" fontId="25" fillId="8" borderId="55" xfId="5" applyFont="1" applyFill="1" applyBorder="1" applyAlignment="1">
      <alignment vertical="center"/>
    </xf>
    <xf numFmtId="41" fontId="25" fillId="8" borderId="25" xfId="1" applyNumberFormat="1" applyFont="1" applyFill="1" applyBorder="1">
      <alignment vertical="center"/>
    </xf>
    <xf numFmtId="41" fontId="25" fillId="8" borderId="21" xfId="5" applyFont="1" applyFill="1" applyBorder="1" applyAlignment="1">
      <alignment horizontal="center" vertical="center"/>
    </xf>
    <xf numFmtId="41" fontId="25" fillId="8" borderId="20" xfId="5" applyFont="1" applyFill="1" applyBorder="1" applyAlignment="1">
      <alignment horizontal="center" vertical="center"/>
    </xf>
    <xf numFmtId="0" fontId="9" fillId="4" borderId="21" xfId="0" applyFont="1" applyFill="1" applyBorder="1" applyAlignment="1">
      <alignment horizontal="center" vertical="center"/>
    </xf>
    <xf numFmtId="0" fontId="9" fillId="4" borderId="24" xfId="0" applyFont="1" applyFill="1" applyBorder="1" applyAlignment="1">
      <alignment horizontal="center" vertical="center"/>
    </xf>
    <xf numFmtId="0" fontId="9" fillId="4" borderId="20" xfId="0" applyFont="1" applyFill="1" applyBorder="1" applyAlignment="1">
      <alignment horizontal="center" vertical="center"/>
    </xf>
    <xf numFmtId="41" fontId="28" fillId="5" borderId="26" xfId="5" applyFont="1" applyFill="1" applyBorder="1" applyAlignment="1">
      <alignment horizontal="left" vertical="center" indent="1"/>
    </xf>
    <xf numFmtId="41" fontId="28" fillId="5" borderId="29" xfId="5" applyFont="1" applyFill="1" applyBorder="1" applyAlignment="1">
      <alignment horizontal="center" vertical="center"/>
    </xf>
    <xf numFmtId="41" fontId="28" fillId="5" borderId="30" xfId="5" applyFont="1" applyFill="1" applyBorder="1" applyAlignment="1">
      <alignment horizontal="center" vertical="center"/>
    </xf>
    <xf numFmtId="41" fontId="28" fillId="5" borderId="27" xfId="5" applyFont="1" applyFill="1" applyBorder="1" applyAlignment="1">
      <alignment horizontal="left" vertical="center" indent="1"/>
    </xf>
    <xf numFmtId="41" fontId="28" fillId="5" borderId="31" xfId="5" applyFont="1" applyFill="1" applyBorder="1" applyAlignment="1">
      <alignment horizontal="center" vertical="center"/>
    </xf>
    <xf numFmtId="41" fontId="28" fillId="5" borderId="1" xfId="5" applyFont="1" applyFill="1" applyBorder="1" applyAlignment="1">
      <alignment horizontal="center" vertical="center"/>
    </xf>
    <xf numFmtId="41" fontId="25" fillId="3" borderId="21" xfId="5" applyFont="1" applyFill="1" applyBorder="1" applyAlignment="1">
      <alignment horizontal="center" vertical="center"/>
    </xf>
    <xf numFmtId="41" fontId="25" fillId="3" borderId="20" xfId="5" applyFont="1" applyFill="1" applyBorder="1" applyAlignment="1">
      <alignment horizontal="center" vertical="center"/>
    </xf>
    <xf numFmtId="41" fontId="25" fillId="4" borderId="19" xfId="5" applyFont="1" applyFill="1" applyBorder="1" applyAlignment="1">
      <alignment horizontal="center" vertical="center"/>
    </xf>
    <xf numFmtId="41" fontId="25" fillId="4" borderId="21" xfId="5" applyFont="1" applyFill="1" applyBorder="1" applyAlignment="1">
      <alignment horizontal="center" vertical="center"/>
    </xf>
    <xf numFmtId="41" fontId="25" fillId="4" borderId="20" xfId="5" applyFont="1" applyFill="1" applyBorder="1" applyAlignment="1">
      <alignment horizontal="center" vertical="center"/>
    </xf>
    <xf numFmtId="41" fontId="25" fillId="8" borderId="25" xfId="5" applyFont="1" applyFill="1" applyBorder="1" applyAlignment="1">
      <alignment horizontal="left" vertical="center"/>
    </xf>
    <xf numFmtId="41" fontId="25" fillId="8" borderId="28" xfId="5" applyFont="1" applyFill="1" applyBorder="1" applyAlignment="1">
      <alignment horizontal="center" vertical="center"/>
    </xf>
    <xf numFmtId="41" fontId="25" fillId="8" borderId="12" xfId="5" applyFont="1" applyFill="1" applyBorder="1" applyAlignment="1">
      <alignment horizontal="center" vertical="center"/>
    </xf>
    <xf numFmtId="41" fontId="28" fillId="3" borderId="29" xfId="5" applyFont="1" applyFill="1" applyBorder="1" applyAlignment="1">
      <alignment horizontal="left" vertical="center" indent="1"/>
    </xf>
    <xf numFmtId="41" fontId="28" fillId="3" borderId="30" xfId="5" applyFont="1" applyFill="1" applyBorder="1" applyAlignment="1">
      <alignment horizontal="left" vertical="center" indent="1"/>
    </xf>
    <xf numFmtId="41" fontId="28" fillId="3" borderId="29" xfId="5" applyFont="1" applyFill="1" applyBorder="1" applyAlignment="1">
      <alignment vertical="center"/>
    </xf>
    <xf numFmtId="41" fontId="28" fillId="3" borderId="30" xfId="5" applyFont="1" applyFill="1" applyBorder="1" applyAlignment="1">
      <alignment vertical="center"/>
    </xf>
    <xf numFmtId="41" fontId="28" fillId="3" borderId="31" xfId="5" applyFont="1" applyFill="1" applyBorder="1" applyAlignment="1">
      <alignment horizontal="left" vertical="center" indent="1"/>
    </xf>
    <xf numFmtId="41" fontId="28" fillId="3" borderId="1" xfId="5" applyFont="1" applyFill="1" applyBorder="1" applyAlignment="1">
      <alignment horizontal="left" vertical="center" indent="1"/>
    </xf>
    <xf numFmtId="41" fontId="28" fillId="3" borderId="31" xfId="5" applyFont="1" applyFill="1" applyBorder="1" applyAlignment="1">
      <alignment vertical="center"/>
    </xf>
    <xf numFmtId="41" fontId="28" fillId="3" borderId="1" xfId="5" applyFont="1" applyFill="1" applyBorder="1" applyAlignment="1">
      <alignment vertical="center"/>
    </xf>
    <xf numFmtId="41" fontId="25" fillId="8" borderId="25" xfId="5" applyFont="1" applyFill="1" applyBorder="1" applyAlignment="1">
      <alignment vertical="center"/>
    </xf>
    <xf numFmtId="41" fontId="25" fillId="3" borderId="26" xfId="5" applyFont="1" applyFill="1" applyBorder="1" applyAlignment="1">
      <alignment horizontal="center" vertical="center"/>
    </xf>
    <xf numFmtId="41" fontId="25" fillId="3" borderId="31" xfId="5" applyFont="1" applyFill="1" applyBorder="1" applyAlignment="1">
      <alignment horizontal="center" vertical="center"/>
    </xf>
    <xf numFmtId="41" fontId="25" fillId="3" borderId="1" xfId="5" applyFont="1" applyFill="1" applyBorder="1" applyAlignment="1">
      <alignment horizontal="center" vertical="center"/>
    </xf>
    <xf numFmtId="41" fontId="25" fillId="3" borderId="27" xfId="5" applyFont="1" applyFill="1" applyBorder="1" applyAlignment="1">
      <alignment horizontal="center" vertical="center"/>
    </xf>
    <xf numFmtId="41" fontId="22" fillId="3" borderId="0" xfId="5" applyFont="1" applyFill="1" applyBorder="1" applyAlignment="1">
      <alignment horizontal="center" vertical="center"/>
    </xf>
    <xf numFmtId="41" fontId="25" fillId="5" borderId="18" xfId="5" applyFont="1" applyFill="1" applyBorder="1" applyAlignment="1">
      <alignment horizontal="left" vertical="center"/>
    </xf>
    <xf numFmtId="0" fontId="24" fillId="0" borderId="18" xfId="0" applyFont="1" applyBorder="1" applyAlignment="1">
      <alignment horizontal="center" vertical="center"/>
    </xf>
    <xf numFmtId="181" fontId="24" fillId="0" borderId="24" xfId="0" applyNumberFormat="1" applyFont="1" applyBorder="1" applyAlignment="1">
      <alignment horizontal="left" vertical="center"/>
    </xf>
    <xf numFmtId="41" fontId="25" fillId="3" borderId="25" xfId="5" applyFont="1" applyFill="1" applyBorder="1" applyAlignment="1">
      <alignment horizontal="center" vertical="center"/>
    </xf>
    <xf numFmtId="41" fontId="25" fillId="3" borderId="29" xfId="5" applyFont="1" applyFill="1" applyBorder="1" applyAlignment="1">
      <alignment horizontal="center" vertical="center"/>
    </xf>
    <xf numFmtId="41" fontId="25" fillId="3" borderId="30" xfId="5" applyFont="1" applyFill="1" applyBorder="1" applyAlignment="1">
      <alignment horizontal="center" vertical="center"/>
    </xf>
    <xf numFmtId="41" fontId="25" fillId="3" borderId="0" xfId="5" applyFont="1" applyFill="1" applyBorder="1" applyAlignment="1">
      <alignment horizontal="center" vertical="center"/>
    </xf>
    <xf numFmtId="0" fontId="26" fillId="3" borderId="21" xfId="5" applyNumberFormat="1" applyFont="1" applyFill="1" applyBorder="1" applyAlignment="1">
      <alignment horizontal="left" vertical="center" wrapText="1"/>
    </xf>
    <xf numFmtId="0" fontId="26" fillId="3" borderId="24" xfId="5" applyNumberFormat="1" applyFont="1" applyFill="1" applyBorder="1" applyAlignment="1">
      <alignment horizontal="left" vertical="center" wrapText="1"/>
    </xf>
    <xf numFmtId="0" fontId="26" fillId="3" borderId="20" xfId="5" applyNumberFormat="1" applyFont="1" applyFill="1" applyBorder="1" applyAlignment="1">
      <alignment horizontal="left" vertical="center" wrapText="1"/>
    </xf>
    <xf numFmtId="41" fontId="26" fillId="3" borderId="21" xfId="5" applyFont="1" applyFill="1" applyBorder="1" applyAlignment="1">
      <alignment horizontal="left" vertical="center"/>
    </xf>
    <xf numFmtId="41" fontId="26" fillId="3" borderId="24" xfId="5" applyFont="1" applyFill="1" applyBorder="1" applyAlignment="1">
      <alignment horizontal="left" vertical="center"/>
    </xf>
    <xf numFmtId="41" fontId="26" fillId="3" borderId="20" xfId="5" applyFont="1" applyFill="1" applyBorder="1" applyAlignment="1">
      <alignment horizontal="left" vertical="center"/>
    </xf>
    <xf numFmtId="41" fontId="25" fillId="5" borderId="26" xfId="5" applyFont="1" applyFill="1" applyBorder="1" applyAlignment="1">
      <alignment horizontal="left" vertical="center" indent="1"/>
    </xf>
    <xf numFmtId="41" fontId="25" fillId="3" borderId="28" xfId="5" applyFont="1" applyFill="1" applyBorder="1" applyAlignment="1">
      <alignment horizontal="center" vertical="center"/>
    </xf>
    <xf numFmtId="41" fontId="25" fillId="3" borderId="12" xfId="5" applyFont="1" applyFill="1" applyBorder="1" applyAlignment="1">
      <alignment horizontal="center" vertical="center"/>
    </xf>
    <xf numFmtId="0" fontId="15" fillId="7" borderId="12" xfId="0" applyFont="1" applyFill="1" applyBorder="1" applyAlignment="1">
      <alignment horizontal="center" vertical="center"/>
    </xf>
    <xf numFmtId="0" fontId="15" fillId="7" borderId="1" xfId="0" applyFont="1" applyFill="1" applyBorder="1" applyAlignment="1">
      <alignment horizontal="center" vertical="center"/>
    </xf>
    <xf numFmtId="0" fontId="15" fillId="0" borderId="0" xfId="0" applyFont="1" applyAlignment="1">
      <alignment horizontal="center" vertical="center"/>
    </xf>
    <xf numFmtId="0" fontId="15" fillId="7" borderId="2" xfId="0" applyFont="1" applyFill="1" applyBorder="1" applyAlignment="1">
      <alignment horizontal="center" vertical="center"/>
    </xf>
    <xf numFmtId="0" fontId="15" fillId="7" borderId="4" xfId="0" applyFont="1" applyFill="1" applyBorder="1" applyAlignment="1">
      <alignment horizontal="center" vertical="center"/>
    </xf>
    <xf numFmtId="0" fontId="15" fillId="7" borderId="7" xfId="0" applyFont="1" applyFill="1" applyBorder="1" applyAlignment="1">
      <alignment horizontal="center" vertical="center"/>
    </xf>
    <xf numFmtId="0" fontId="15" fillId="7" borderId="3" xfId="0" applyFont="1" applyFill="1" applyBorder="1" applyAlignment="1">
      <alignment horizontal="center" vertical="center"/>
    </xf>
    <xf numFmtId="0" fontId="15" fillId="7" borderId="8" xfId="0" applyFont="1" applyFill="1" applyBorder="1" applyAlignment="1">
      <alignment horizontal="center" vertical="center"/>
    </xf>
    <xf numFmtId="0" fontId="15" fillId="7" borderId="10" xfId="0" applyFont="1" applyFill="1" applyBorder="1" applyAlignment="1">
      <alignment horizontal="center" vertical="center"/>
    </xf>
    <xf numFmtId="0" fontId="15" fillId="7" borderId="11" xfId="0" applyFont="1" applyFill="1" applyBorder="1" applyAlignment="1">
      <alignment horizontal="center" vertical="center"/>
    </xf>
    <xf numFmtId="43" fontId="40" fillId="0" borderId="0" xfId="29" applyNumberFormat="1" applyFont="1" applyFill="1" applyBorder="1" applyAlignment="1">
      <alignment vertical="center"/>
    </xf>
    <xf numFmtId="0" fontId="40" fillId="0" borderId="0" xfId="29" applyFont="1" applyFill="1" applyBorder="1" applyAlignment="1">
      <alignment vertical="center"/>
    </xf>
    <xf numFmtId="183" fontId="25" fillId="8" borderId="25" xfId="28" applyNumberFormat="1" applyFont="1" applyFill="1" applyBorder="1">
      <alignment vertical="center"/>
    </xf>
    <xf numFmtId="183" fontId="28" fillId="3" borderId="26" xfId="28" applyNumberFormat="1" applyFont="1" applyFill="1" applyBorder="1" applyAlignment="1">
      <alignment vertical="center"/>
    </xf>
    <xf numFmtId="183" fontId="28" fillId="3" borderId="27" xfId="28" applyNumberFormat="1" applyFont="1" applyFill="1" applyBorder="1" applyAlignment="1">
      <alignment vertical="center"/>
    </xf>
    <xf numFmtId="183" fontId="28" fillId="5" borderId="26" xfId="28" applyNumberFormat="1" applyFont="1" applyFill="1" applyBorder="1">
      <alignment vertical="center"/>
    </xf>
    <xf numFmtId="176" fontId="15" fillId="11" borderId="14" xfId="0" applyNumberFormat="1" applyFont="1" applyFill="1" applyBorder="1" applyAlignment="1">
      <alignment horizontal="center" vertical="center"/>
    </xf>
    <xf numFmtId="41" fontId="15" fillId="11" borderId="13" xfId="1" applyFont="1" applyFill="1" applyBorder="1" applyAlignment="1">
      <alignment vertical="center"/>
    </xf>
    <xf numFmtId="0" fontId="9" fillId="4" borderId="35" xfId="0" applyFont="1" applyFill="1" applyBorder="1" applyAlignment="1">
      <alignment horizontal="center" vertical="center"/>
    </xf>
    <xf numFmtId="0" fontId="9" fillId="4" borderId="0" xfId="0" applyFont="1" applyFill="1" applyBorder="1" applyAlignment="1">
      <alignment horizontal="center" vertical="center"/>
    </xf>
    <xf numFmtId="0" fontId="9" fillId="4" borderId="36" xfId="0" applyFont="1" applyFill="1" applyBorder="1" applyAlignment="1">
      <alignment horizontal="center" vertical="center"/>
    </xf>
    <xf numFmtId="0" fontId="9" fillId="0" borderId="0" xfId="0" applyFont="1" applyAlignment="1">
      <alignment horizontal="center" vertical="center"/>
    </xf>
    <xf numFmtId="0" fontId="9" fillId="4" borderId="21" xfId="0" applyFont="1" applyFill="1" applyBorder="1" applyAlignment="1">
      <alignment vertical="center"/>
    </xf>
    <xf numFmtId="183" fontId="9" fillId="0" borderId="36" xfId="28" applyNumberFormat="1" applyFont="1" applyBorder="1" applyAlignment="1">
      <alignment vertical="center"/>
    </xf>
    <xf numFmtId="183" fontId="9" fillId="0" borderId="39" xfId="28" applyNumberFormat="1" applyFont="1" applyBorder="1" applyAlignment="1">
      <alignment vertical="center"/>
    </xf>
    <xf numFmtId="185" fontId="9" fillId="0" borderId="24" xfId="0" applyNumberFormat="1" applyFont="1" applyBorder="1" applyAlignment="1">
      <alignment vertical="center"/>
    </xf>
    <xf numFmtId="185" fontId="9" fillId="0" borderId="21" xfId="0" applyNumberFormat="1" applyFont="1" applyBorder="1" applyAlignment="1">
      <alignment vertical="center"/>
    </xf>
    <xf numFmtId="185" fontId="9" fillId="0" borderId="20" xfId="0" applyNumberFormat="1" applyFont="1" applyBorder="1" applyAlignment="1">
      <alignment vertical="center"/>
    </xf>
    <xf numFmtId="183" fontId="9" fillId="0" borderId="20" xfId="28" applyNumberFormat="1" applyFont="1" applyBorder="1" applyAlignment="1">
      <alignment vertical="center"/>
    </xf>
    <xf numFmtId="183" fontId="9" fillId="0" borderId="24" xfId="28" applyNumberFormat="1" applyFont="1" applyBorder="1" applyAlignment="1">
      <alignment vertical="center"/>
    </xf>
    <xf numFmtId="185" fontId="9" fillId="0" borderId="40" xfId="0" applyNumberFormat="1" applyFont="1" applyBorder="1" applyAlignment="1">
      <alignment vertical="center"/>
    </xf>
    <xf numFmtId="185" fontId="9" fillId="0" borderId="32" xfId="0" applyNumberFormat="1" applyFont="1" applyBorder="1" applyAlignment="1">
      <alignment vertical="center"/>
    </xf>
    <xf numFmtId="185" fontId="9" fillId="0" borderId="33" xfId="0" applyNumberFormat="1" applyFont="1" applyBorder="1" applyAlignment="1">
      <alignment vertical="center"/>
    </xf>
    <xf numFmtId="183" fontId="9" fillId="0" borderId="33" xfId="28" applyNumberFormat="1" applyFont="1" applyBorder="1" applyAlignment="1">
      <alignment vertical="center"/>
    </xf>
    <xf numFmtId="183" fontId="9" fillId="0" borderId="40" xfId="28" applyNumberFormat="1" applyFont="1" applyBorder="1" applyAlignment="1">
      <alignment vertical="center"/>
    </xf>
    <xf numFmtId="41" fontId="9" fillId="0" borderId="18" xfId="1" applyFont="1" applyBorder="1" applyAlignment="1">
      <alignment vertical="center"/>
    </xf>
    <xf numFmtId="41" fontId="9" fillId="0" borderId="24" xfId="1" applyFont="1" applyBorder="1" applyAlignment="1">
      <alignment vertical="center"/>
    </xf>
    <xf numFmtId="41" fontId="9" fillId="0" borderId="0" xfId="1" applyFont="1" applyBorder="1" applyAlignment="1">
      <alignment vertical="center"/>
    </xf>
    <xf numFmtId="41" fontId="9" fillId="0" borderId="40" xfId="1" applyFont="1" applyBorder="1" applyAlignment="1">
      <alignment vertical="center"/>
    </xf>
    <xf numFmtId="41" fontId="9" fillId="0" borderId="39" xfId="1" applyFont="1" applyBorder="1" applyAlignment="1">
      <alignment vertical="center"/>
    </xf>
    <xf numFmtId="41" fontId="9" fillId="0" borderId="21" xfId="1" applyFont="1" applyBorder="1" applyAlignment="1">
      <alignment vertical="center"/>
    </xf>
    <xf numFmtId="41" fontId="9" fillId="0" borderId="20" xfId="1" applyFont="1" applyBorder="1" applyAlignment="1">
      <alignment vertical="center"/>
    </xf>
    <xf numFmtId="41" fontId="9" fillId="0" borderId="36" xfId="1" applyFont="1" applyBorder="1" applyAlignment="1">
      <alignment vertical="center"/>
    </xf>
    <xf numFmtId="41" fontId="9" fillId="0" borderId="32" xfId="1" applyFont="1" applyBorder="1" applyAlignment="1">
      <alignment vertical="center"/>
    </xf>
    <xf numFmtId="41" fontId="9" fillId="0" borderId="33" xfId="1" applyFont="1" applyBorder="1" applyAlignment="1">
      <alignment vertical="center"/>
    </xf>
    <xf numFmtId="0" fontId="9" fillId="0" borderId="35" xfId="0" applyFont="1" applyBorder="1" applyAlignment="1">
      <alignment vertical="center"/>
    </xf>
    <xf numFmtId="0" fontId="9" fillId="0" borderId="38" xfId="0" applyFont="1" applyBorder="1" applyAlignment="1">
      <alignment vertical="center"/>
    </xf>
    <xf numFmtId="41" fontId="9" fillId="0" borderId="35" xfId="0" applyNumberFormat="1" applyFont="1" applyBorder="1" applyAlignment="1">
      <alignment vertical="center"/>
    </xf>
    <xf numFmtId="0" fontId="32" fillId="0" borderId="36" xfId="29" applyFont="1" applyFill="1" applyBorder="1" applyAlignment="1">
      <alignment horizontal="center"/>
    </xf>
    <xf numFmtId="41" fontId="37" fillId="0" borderId="44" xfId="30" applyFont="1" applyFill="1" applyBorder="1" applyAlignment="1">
      <alignment vertical="center"/>
    </xf>
    <xf numFmtId="41" fontId="37" fillId="0" borderId="56" xfId="30" applyFont="1" applyFill="1" applyBorder="1" applyAlignment="1">
      <alignment vertical="center"/>
    </xf>
    <xf numFmtId="41" fontId="9" fillId="0" borderId="56" xfId="30" applyFont="1" applyFill="1" applyBorder="1" applyAlignment="1">
      <alignment vertical="center"/>
    </xf>
    <xf numFmtId="183" fontId="9" fillId="0" borderId="45" xfId="31" applyNumberFormat="1" applyFont="1" applyFill="1" applyBorder="1" applyAlignment="1">
      <alignment vertical="center"/>
    </xf>
    <xf numFmtId="41" fontId="25" fillId="3" borderId="32" xfId="5" applyFont="1" applyFill="1" applyBorder="1" applyAlignment="1">
      <alignment vertical="center"/>
    </xf>
    <xf numFmtId="41" fontId="25" fillId="3" borderId="33" xfId="5" applyFont="1" applyFill="1" applyBorder="1" applyAlignment="1">
      <alignment vertical="center"/>
    </xf>
    <xf numFmtId="41" fontId="25" fillId="3" borderId="35" xfId="5" applyFont="1" applyFill="1" applyBorder="1" applyAlignment="1">
      <alignment vertical="center"/>
    </xf>
    <xf numFmtId="41" fontId="25" fillId="3" borderId="36" xfId="5" applyFont="1" applyFill="1" applyBorder="1" applyAlignment="1">
      <alignment vertical="center"/>
    </xf>
    <xf numFmtId="41" fontId="25" fillId="3" borderId="38" xfId="5" applyFont="1" applyFill="1" applyBorder="1" applyAlignment="1">
      <alignment vertical="center"/>
    </xf>
    <xf numFmtId="41" fontId="25" fillId="3" borderId="39" xfId="5" applyFont="1" applyFill="1" applyBorder="1" applyAlignment="1">
      <alignment vertical="center"/>
    </xf>
    <xf numFmtId="41" fontId="25" fillId="9" borderId="21" xfId="5" applyFont="1" applyFill="1" applyBorder="1" applyAlignment="1">
      <alignment horizontal="center" vertical="center"/>
    </xf>
    <xf numFmtId="41" fontId="25" fillId="9" borderId="24" xfId="5" applyFont="1" applyFill="1" applyBorder="1" applyAlignment="1">
      <alignment horizontal="center" vertical="center"/>
    </xf>
    <xf numFmtId="41" fontId="25" fillId="9" borderId="19" xfId="1" applyFont="1" applyFill="1" applyBorder="1">
      <alignment vertical="center"/>
    </xf>
    <xf numFmtId="183" fontId="25" fillId="9" borderId="19" xfId="28" applyNumberFormat="1" applyFont="1" applyFill="1" applyBorder="1">
      <alignment vertical="center"/>
    </xf>
    <xf numFmtId="41" fontId="25" fillId="9" borderId="20" xfId="5" applyFont="1" applyFill="1" applyBorder="1" applyAlignment="1">
      <alignment horizontal="center" vertical="center"/>
    </xf>
    <xf numFmtId="41" fontId="25" fillId="9" borderId="21" xfId="5" applyFont="1" applyFill="1" applyBorder="1" applyAlignment="1">
      <alignment vertical="center"/>
    </xf>
    <xf numFmtId="41" fontId="25" fillId="9" borderId="20" xfId="5" applyFont="1" applyFill="1" applyBorder="1" applyAlignment="1">
      <alignment vertical="center"/>
    </xf>
    <xf numFmtId="0" fontId="41" fillId="0" borderId="0" xfId="29" applyFont="1" applyAlignment="1">
      <alignment vertical="center"/>
    </xf>
    <xf numFmtId="0" fontId="32" fillId="5" borderId="19" xfId="29" applyFont="1" applyFill="1" applyBorder="1" applyAlignment="1">
      <alignment horizontal="center" vertical="center"/>
    </xf>
    <xf numFmtId="0" fontId="41" fillId="0" borderId="0" xfId="29" applyFont="1" applyAlignment="1">
      <alignment vertical="top"/>
    </xf>
    <xf numFmtId="0" fontId="9" fillId="0" borderId="0" xfId="29" applyFont="1" applyAlignment="1">
      <alignment vertical="top"/>
    </xf>
    <xf numFmtId="43" fontId="9" fillId="0" borderId="0" xfId="29" applyNumberFormat="1" applyFont="1" applyAlignment="1">
      <alignment vertical="top"/>
    </xf>
    <xf numFmtId="0" fontId="32" fillId="9" borderId="19" xfId="29" applyFont="1" applyFill="1" applyBorder="1" applyAlignment="1">
      <alignment horizontal="center" vertical="center"/>
    </xf>
    <xf numFmtId="41" fontId="32" fillId="9" borderId="46" xfId="30" applyFont="1" applyFill="1" applyBorder="1" applyAlignment="1">
      <alignment vertical="center"/>
    </xf>
    <xf numFmtId="41" fontId="32" fillId="9" borderId="41" xfId="30" applyFont="1" applyFill="1" applyBorder="1" applyAlignment="1">
      <alignment vertical="center"/>
    </xf>
    <xf numFmtId="41" fontId="32" fillId="9" borderId="47" xfId="30" applyFont="1" applyFill="1" applyBorder="1" applyAlignment="1">
      <alignment vertical="center"/>
    </xf>
    <xf numFmtId="41" fontId="32" fillId="9" borderId="43" xfId="30" applyFont="1" applyFill="1" applyBorder="1" applyAlignment="1">
      <alignment vertical="center"/>
    </xf>
    <xf numFmtId="0" fontId="9" fillId="0" borderId="54" xfId="29" applyNumberFormat="1" applyFont="1" applyFill="1" applyBorder="1" applyAlignment="1">
      <alignment horizontal="center" vertical="center"/>
    </xf>
    <xf numFmtId="9" fontId="37" fillId="0" borderId="57" xfId="31" applyFont="1" applyFill="1" applyBorder="1" applyAlignment="1">
      <alignment vertical="center"/>
    </xf>
    <xf numFmtId="9" fontId="37" fillId="0" borderId="42" xfId="31" applyFont="1" applyFill="1" applyBorder="1" applyAlignment="1">
      <alignment vertical="center"/>
    </xf>
    <xf numFmtId="9" fontId="37" fillId="0" borderId="58" xfId="31" applyFont="1" applyFill="1" applyBorder="1" applyAlignment="1">
      <alignment vertical="center"/>
    </xf>
    <xf numFmtId="9" fontId="37" fillId="0" borderId="56" xfId="31" applyFont="1" applyFill="1" applyBorder="1" applyAlignment="1">
      <alignment vertical="center"/>
    </xf>
    <xf numFmtId="0" fontId="32" fillId="0" borderId="59" xfId="29" applyFont="1" applyFill="1" applyBorder="1" applyAlignment="1">
      <alignment horizontal="center"/>
    </xf>
    <xf numFmtId="0" fontId="32" fillId="9" borderId="60" xfId="29" applyFont="1" applyFill="1" applyBorder="1" applyAlignment="1">
      <alignment horizontal="center" vertical="center"/>
    </xf>
    <xf numFmtId="41" fontId="41" fillId="9" borderId="61" xfId="30" applyFont="1" applyFill="1" applyBorder="1" applyAlignment="1">
      <alignment vertical="center"/>
    </xf>
    <xf numFmtId="41" fontId="41" fillId="9" borderId="62" xfId="30" applyFont="1" applyFill="1" applyBorder="1" applyAlignment="1">
      <alignment vertical="center"/>
    </xf>
    <xf numFmtId="41" fontId="41" fillId="9" borderId="63" xfId="30" applyFont="1" applyFill="1" applyBorder="1" applyAlignment="1">
      <alignment vertical="center"/>
    </xf>
    <xf numFmtId="0" fontId="32" fillId="0" borderId="65" xfId="29" applyFont="1" applyFill="1" applyBorder="1" applyAlignment="1">
      <alignment horizontal="center" vertical="center"/>
    </xf>
    <xf numFmtId="0" fontId="32" fillId="0" borderId="66" xfId="29" applyFont="1" applyFill="1" applyBorder="1" applyAlignment="1">
      <alignment horizontal="center" vertical="center"/>
    </xf>
    <xf numFmtId="183" fontId="32" fillId="0" borderId="67" xfId="31" applyNumberFormat="1" applyFont="1" applyFill="1" applyBorder="1" applyAlignment="1">
      <alignment vertical="center"/>
    </xf>
    <xf numFmtId="183" fontId="32" fillId="0" borderId="68" xfId="31" applyNumberFormat="1" applyFont="1" applyFill="1" applyBorder="1" applyAlignment="1">
      <alignment vertical="center"/>
    </xf>
    <xf numFmtId="183" fontId="32" fillId="0" borderId="69" xfId="31" applyNumberFormat="1" applyFont="1" applyFill="1" applyBorder="1" applyAlignment="1">
      <alignment vertical="center"/>
    </xf>
    <xf numFmtId="183" fontId="32" fillId="0" borderId="70" xfId="31" applyNumberFormat="1" applyFont="1" applyFill="1" applyBorder="1" applyAlignment="1">
      <alignment vertical="center"/>
    </xf>
    <xf numFmtId="0" fontId="32" fillId="9" borderId="34" xfId="29" applyNumberFormat="1" applyFont="1" applyFill="1" applyBorder="1" applyAlignment="1">
      <alignment horizontal="center" vertical="center"/>
    </xf>
    <xf numFmtId="41" fontId="32" fillId="9" borderId="48" xfId="30" applyFont="1" applyFill="1" applyBorder="1" applyAlignment="1">
      <alignment vertical="center"/>
    </xf>
    <xf numFmtId="41" fontId="32" fillId="9" borderId="49" xfId="30" applyFont="1" applyFill="1" applyBorder="1" applyAlignment="1">
      <alignment vertical="center"/>
    </xf>
    <xf numFmtId="41" fontId="32" fillId="9" borderId="50" xfId="30" applyFont="1" applyFill="1" applyBorder="1" applyAlignment="1">
      <alignment vertical="center"/>
    </xf>
    <xf numFmtId="41" fontId="32" fillId="9" borderId="44" xfId="30" applyFont="1" applyFill="1" applyBorder="1" applyAlignment="1">
      <alignment vertical="center"/>
    </xf>
    <xf numFmtId="0" fontId="32" fillId="9" borderId="37" xfId="29" applyFont="1" applyFill="1" applyBorder="1" applyAlignment="1">
      <alignment horizontal="center" vertical="center"/>
    </xf>
    <xf numFmtId="41" fontId="41" fillId="9" borderId="51" xfId="30" applyFont="1" applyFill="1" applyBorder="1" applyAlignment="1">
      <alignment vertical="center"/>
    </xf>
    <xf numFmtId="41" fontId="41" fillId="9" borderId="52" xfId="30" applyFont="1" applyFill="1" applyBorder="1" applyAlignment="1">
      <alignment vertical="center"/>
    </xf>
    <xf numFmtId="41" fontId="41" fillId="9" borderId="53" xfId="30" applyFont="1" applyFill="1" applyBorder="1" applyAlignment="1">
      <alignment vertical="center"/>
    </xf>
    <xf numFmtId="41" fontId="32" fillId="0" borderId="64" xfId="30" applyFont="1" applyFill="1" applyBorder="1" applyAlignment="1">
      <alignment vertical="center"/>
    </xf>
    <xf numFmtId="41" fontId="32" fillId="0" borderId="45" xfId="30" applyFont="1" applyFill="1" applyBorder="1" applyAlignment="1">
      <alignment vertical="center"/>
    </xf>
  </cellXfs>
  <cellStyles count="32">
    <cellStyle name="백분율" xfId="28" builtinId="5"/>
    <cellStyle name="백분율 2" xfId="31" xr:uid="{C8B5D750-5D5F-4A46-8A6D-89283D5F12D2}"/>
    <cellStyle name="백분율 2 64" xfId="11" xr:uid="{AA58E881-8A22-4940-B433-ADBED33913E6}"/>
    <cellStyle name="쉼표 [0]" xfId="1" builtinId="6"/>
    <cellStyle name="쉼표 [0] 11 2 2 2" xfId="20" xr:uid="{D2AE5139-6B1C-470A-BF78-95BED333AAA4}"/>
    <cellStyle name="쉼표 [0] 12 23 2" xfId="19" xr:uid="{1DD76447-8CAA-43AF-8A7A-F2DE2AE232D9}"/>
    <cellStyle name="쉼표 [0] 15 2 2 4" xfId="15" xr:uid="{8988FCB0-C9FE-4883-BAFA-81EBA98116C0}"/>
    <cellStyle name="쉼표 [0] 16" xfId="5" xr:uid="{DA992A12-6DE6-46C9-93E5-902767D2769C}"/>
    <cellStyle name="쉼표 [0] 17" xfId="10" xr:uid="{AEDBE092-429D-49BE-B957-A99FA177067F}"/>
    <cellStyle name="쉼표 [0] 2" xfId="24" xr:uid="{DB7AA0A8-8CDB-465A-9677-882B94154067}"/>
    <cellStyle name="쉼표 [0] 2 10 2" xfId="14" xr:uid="{CC5F6BDE-F678-4BBC-8D1D-CACFFADB53A3}"/>
    <cellStyle name="쉼표 [0] 2 12" xfId="16" xr:uid="{E7DB6D93-C793-48C7-9C67-B24CF8484DEF}"/>
    <cellStyle name="쉼표 [0] 2 2" xfId="25" xr:uid="{6087BE3A-51AE-4F67-9D2E-4FBE8FB7FE61}"/>
    <cellStyle name="쉼표 [0] 3" xfId="30" xr:uid="{84BC8C02-7EB5-4D78-ACFE-379171FB9EF4}"/>
    <cellStyle name="쉼표 [0] 4" xfId="3" xr:uid="{00000000-0005-0000-0000-000001000000}"/>
    <cellStyle name="쉼표 [0] 4 2" xfId="2" xr:uid="{00000000-0005-0000-0000-000002000000}"/>
    <cellStyle name="쉼표 [0] 4 3" xfId="26" xr:uid="{DA87DF6A-21B8-4EF9-81CF-9134E147F54E}"/>
    <cellStyle name="표준" xfId="0" builtinId="0"/>
    <cellStyle name="표준 10 10 2" xfId="4" xr:uid="{00000000-0005-0000-0000-000004000000}"/>
    <cellStyle name="표준 15 25 2" xfId="21" xr:uid="{C176EC86-019D-4094-8ADC-31724AAECC99}"/>
    <cellStyle name="표준 15 26 2 2" xfId="18" xr:uid="{D7586D49-77F9-4295-9018-767C7DB50D5A}"/>
    <cellStyle name="표준 16 25 2" xfId="17" xr:uid="{860C69E8-33DB-41C6-A725-72B9D11A5788}"/>
    <cellStyle name="표준 16 25 2 2" xfId="22" xr:uid="{0AE391A0-FB28-4AAB-B161-31F43883B703}"/>
    <cellStyle name="표준 2" xfId="9" xr:uid="{2C3FD9D7-1875-4C16-BE70-BF0723A427D0}"/>
    <cellStyle name="표준 2 10 5" xfId="12" xr:uid="{4BBCDF22-12BE-4E64-B1B3-C5F634C55C46}"/>
    <cellStyle name="표준 2 2" xfId="23" xr:uid="{566717E5-003B-4D75-8FBA-3E8A90DBFB8B}"/>
    <cellStyle name="표준 2 2 53" xfId="13" xr:uid="{F542B087-3C71-400F-A1FD-047112DB3976}"/>
    <cellStyle name="표준 3" xfId="6" xr:uid="{B7516DBD-BE4B-45CF-A5EE-0823A5DBB3EC}"/>
    <cellStyle name="표준 4" xfId="29" xr:uid="{5A852928-6F6C-452C-B70F-E214D0A8387F}"/>
    <cellStyle name="표준_물량 내역서" xfId="27" xr:uid="{68036B44-3396-46F2-B8A2-3D97D7D414BD}"/>
    <cellStyle name="표준_오맥-화이자 개보수공사 설비견적서(제출)070718" xfId="8" xr:uid="{0F0F815F-5248-4C6E-88BD-B4BFA4125B28}"/>
    <cellStyle name="표준_추가국제빌딩" xfId="7" xr:uid="{D623689A-9A39-4102-8089-D7199A938F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39" Type="http://schemas.openxmlformats.org/officeDocument/2006/relationships/externalLink" Target="externalLinks/externalLink31.xml"/><Relationship Id="rId21" Type="http://schemas.openxmlformats.org/officeDocument/2006/relationships/externalLink" Target="externalLinks/externalLink13.xml"/><Relationship Id="rId34" Type="http://schemas.openxmlformats.org/officeDocument/2006/relationships/externalLink" Target="externalLinks/externalLink26.xml"/><Relationship Id="rId42" Type="http://schemas.openxmlformats.org/officeDocument/2006/relationships/externalLink" Target="externalLinks/externalLink34.xml"/><Relationship Id="rId47" Type="http://schemas.openxmlformats.org/officeDocument/2006/relationships/externalLink" Target="externalLinks/externalLink39.xml"/><Relationship Id="rId50" Type="http://schemas.openxmlformats.org/officeDocument/2006/relationships/externalLink" Target="externalLinks/externalLink42.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8.xml"/><Relationship Id="rId29" Type="http://schemas.openxmlformats.org/officeDocument/2006/relationships/externalLink" Target="externalLinks/externalLink21.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32" Type="http://schemas.openxmlformats.org/officeDocument/2006/relationships/externalLink" Target="externalLinks/externalLink24.xml"/><Relationship Id="rId37" Type="http://schemas.openxmlformats.org/officeDocument/2006/relationships/externalLink" Target="externalLinks/externalLink29.xml"/><Relationship Id="rId40" Type="http://schemas.openxmlformats.org/officeDocument/2006/relationships/externalLink" Target="externalLinks/externalLink32.xml"/><Relationship Id="rId45" Type="http://schemas.openxmlformats.org/officeDocument/2006/relationships/externalLink" Target="externalLinks/externalLink37.xml"/><Relationship Id="rId53"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externalLink" Target="externalLinks/externalLink23.xml"/><Relationship Id="rId44" Type="http://schemas.openxmlformats.org/officeDocument/2006/relationships/externalLink" Target="externalLinks/externalLink36.xml"/><Relationship Id="rId52" Type="http://schemas.openxmlformats.org/officeDocument/2006/relationships/externalLink" Target="externalLinks/externalLink4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externalLink" Target="externalLinks/externalLink22.xml"/><Relationship Id="rId35" Type="http://schemas.openxmlformats.org/officeDocument/2006/relationships/externalLink" Target="externalLinks/externalLink27.xml"/><Relationship Id="rId43" Type="http://schemas.openxmlformats.org/officeDocument/2006/relationships/externalLink" Target="externalLinks/externalLink35.xml"/><Relationship Id="rId48" Type="http://schemas.openxmlformats.org/officeDocument/2006/relationships/externalLink" Target="externalLinks/externalLink40.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43.xml"/><Relationship Id="rId3" Type="http://schemas.openxmlformats.org/officeDocument/2006/relationships/worksheet" Target="worksheets/sheet3.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externalLink" Target="externalLinks/externalLink25.xml"/><Relationship Id="rId38" Type="http://schemas.openxmlformats.org/officeDocument/2006/relationships/externalLink" Target="externalLinks/externalLink30.xml"/><Relationship Id="rId46" Type="http://schemas.openxmlformats.org/officeDocument/2006/relationships/externalLink" Target="externalLinks/externalLink38.xml"/><Relationship Id="rId20" Type="http://schemas.openxmlformats.org/officeDocument/2006/relationships/externalLink" Target="externalLinks/externalLink12.xml"/><Relationship Id="rId41" Type="http://schemas.openxmlformats.org/officeDocument/2006/relationships/externalLink" Target="externalLinks/externalLink33.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externalLink" Target="externalLinks/externalLink28.xml"/><Relationship Id="rId49" Type="http://schemas.openxmlformats.org/officeDocument/2006/relationships/externalLink" Target="externalLinks/externalLink41.xml"/></Relationships>
</file>

<file path=xl/ctrlProps/ctrlProp1.xml><?xml version="1.0" encoding="utf-8"?>
<formControlPr xmlns="http://schemas.microsoft.com/office/spreadsheetml/2009/9/main" objectType="CheckBox" fmlaLink="$H$5" lockText="1" noThreeD="1"/>
</file>

<file path=xl/ctrlProps/ctrlProp2.xml><?xml version="1.0" encoding="utf-8"?>
<formControlPr xmlns="http://schemas.microsoft.com/office/spreadsheetml/2009/9/main" objectType="CheckBox" fmlaLink="$I$5" lockText="1" noThreeD="1"/>
</file>

<file path=xl/ctrlProps/ctrlProp3.xml><?xml version="1.0" encoding="utf-8"?>
<formControlPr xmlns="http://schemas.microsoft.com/office/spreadsheetml/2009/9/main" objectType="CheckBox" checked="Checked" fmlaLink="$J$5" lockText="1" noThreeD="1"/>
</file>

<file path=xl/ctrlProps/ctrlProp4.xml><?xml version="1.0" encoding="utf-8"?>
<formControlPr xmlns="http://schemas.microsoft.com/office/spreadsheetml/2009/9/main" objectType="GBox" noThreeD="1"/>
</file>

<file path=xl/ctrlProps/ctrlProp5.xml><?xml version="1.0" encoding="utf-8"?>
<formControlPr xmlns="http://schemas.microsoft.com/office/spreadsheetml/2009/9/main" objectType="Scroll" dx="22" fmlaLink="$D$5" horiz="1" max="50" min="1" page="10" val="4"/>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5.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5.jpeg"/></Relationships>
</file>

<file path=xl/drawings/drawing1.xml><?xml version="1.0" encoding="utf-8"?>
<xdr:wsDr xmlns:xdr="http://schemas.openxmlformats.org/drawingml/2006/spreadsheetDrawing" xmlns:a="http://schemas.openxmlformats.org/drawingml/2006/main">
  <xdr:twoCellAnchor editAs="absolute">
    <xdr:from>
      <xdr:col>0</xdr:col>
      <xdr:colOff>123267</xdr:colOff>
      <xdr:row>2</xdr:row>
      <xdr:rowOff>56030</xdr:rowOff>
    </xdr:from>
    <xdr:to>
      <xdr:col>20</xdr:col>
      <xdr:colOff>347384</xdr:colOff>
      <xdr:row>24</xdr:row>
      <xdr:rowOff>78441</xdr:rowOff>
    </xdr:to>
    <xdr:grpSp>
      <xdr:nvGrpSpPr>
        <xdr:cNvPr id="166" name="그룹 165">
          <a:extLst>
            <a:ext uri="{FF2B5EF4-FFF2-40B4-BE49-F238E27FC236}">
              <a16:creationId xmlns:a16="http://schemas.microsoft.com/office/drawing/2014/main" id="{00000000-0008-0000-0000-0000A6000000}"/>
            </a:ext>
          </a:extLst>
        </xdr:cNvPr>
        <xdr:cNvGrpSpPr/>
      </xdr:nvGrpSpPr>
      <xdr:grpSpPr>
        <a:xfrm>
          <a:off x="123267" y="526677"/>
          <a:ext cx="13895293" cy="6992470"/>
          <a:chOff x="112059" y="67236"/>
          <a:chExt cx="13559118" cy="6443382"/>
        </a:xfrm>
      </xdr:grpSpPr>
      <xdr:sp macro="" textlink="">
        <xdr:nvSpPr>
          <xdr:cNvPr id="157" name="직사각형 156">
            <a:extLst>
              <a:ext uri="{FF2B5EF4-FFF2-40B4-BE49-F238E27FC236}">
                <a16:creationId xmlns:a16="http://schemas.microsoft.com/office/drawing/2014/main" id="{00000000-0008-0000-0000-00009D000000}"/>
              </a:ext>
            </a:extLst>
          </xdr:cNvPr>
          <xdr:cNvSpPr/>
        </xdr:nvSpPr>
        <xdr:spPr>
          <a:xfrm>
            <a:off x="112059" y="67236"/>
            <a:ext cx="13559118" cy="6443382"/>
          </a:xfrm>
          <a:prstGeom prst="rect">
            <a:avLst/>
          </a:prstGeom>
          <a:gradFill flip="none" rotWithShape="1">
            <a:gsLst>
              <a:gs pos="0">
                <a:schemeClr val="bg1">
                  <a:lumMod val="85000"/>
                </a:schemeClr>
              </a:gs>
              <a:gs pos="50000">
                <a:schemeClr val="bg1">
                  <a:lumMod val="95000"/>
                </a:schemeClr>
              </a:gs>
              <a:gs pos="100000">
                <a:schemeClr val="bg2">
                  <a:lumMod val="90000"/>
                </a:scheme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pic>
        <xdr:nvPicPr>
          <xdr:cNvPr id="15" name="그림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1619687" y="2404906"/>
            <a:ext cx="410633" cy="400299"/>
          </a:xfrm>
          <a:prstGeom prst="rect">
            <a:avLst/>
          </a:prstGeom>
        </xdr:spPr>
      </xdr:pic>
      <xdr:sp macro="" textlink="">
        <xdr:nvSpPr>
          <xdr:cNvPr id="21" name="직사각형 20">
            <a:extLst>
              <a:ext uri="{FF2B5EF4-FFF2-40B4-BE49-F238E27FC236}">
                <a16:creationId xmlns:a16="http://schemas.microsoft.com/office/drawing/2014/main" id="{00000000-0008-0000-0000-000015000000}"/>
              </a:ext>
            </a:extLst>
          </xdr:cNvPr>
          <xdr:cNvSpPr/>
        </xdr:nvSpPr>
        <xdr:spPr>
          <a:xfrm>
            <a:off x="2329330" y="895849"/>
            <a:ext cx="1635928" cy="318643"/>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b="1">
                <a:solidFill>
                  <a:schemeClr val="bg1"/>
                </a:solidFill>
                <a:latin typeface="HY견고딕" panose="02030600000101010101" pitchFamily="18" charset="-127"/>
                <a:ea typeface="HY견고딕" panose="02030600000101010101" pitchFamily="18" charset="-127"/>
                <a:cs typeface="72 Black" panose="020B0A04030603020204" pitchFamily="34" charset="0"/>
              </a:rPr>
              <a:t>2 </a:t>
            </a:r>
            <a:r>
              <a:rPr lang="ko-KR" altLang="en-US" sz="1100" b="1">
                <a:solidFill>
                  <a:schemeClr val="bg1"/>
                </a:solidFill>
                <a:latin typeface="HY견고딕" panose="02030600000101010101" pitchFamily="18" charset="-127"/>
                <a:ea typeface="HY견고딕" panose="02030600000101010101" pitchFamily="18" charset="-127"/>
                <a:cs typeface="72 Black" panose="020B0A04030603020204" pitchFamily="34" charset="0"/>
              </a:rPr>
              <a:t>면</a:t>
            </a:r>
          </a:p>
        </xdr:txBody>
      </xdr:sp>
      <xdr:pic>
        <xdr:nvPicPr>
          <xdr:cNvPr id="51" name="그림 50">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2"/>
          <a:stretch>
            <a:fillRect/>
          </a:stretch>
        </xdr:blipFill>
        <xdr:spPr>
          <a:xfrm>
            <a:off x="11850057" y="3002153"/>
            <a:ext cx="1254740" cy="818739"/>
          </a:xfrm>
          <a:prstGeom prst="rect">
            <a:avLst/>
          </a:prstGeom>
        </xdr:spPr>
      </xdr:pic>
      <xdr:pic>
        <xdr:nvPicPr>
          <xdr:cNvPr id="52" name="그림 51">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3"/>
          <a:stretch>
            <a:fillRect/>
          </a:stretch>
        </xdr:blipFill>
        <xdr:spPr>
          <a:xfrm>
            <a:off x="9971357" y="3002153"/>
            <a:ext cx="1254739" cy="818739"/>
          </a:xfrm>
          <a:prstGeom prst="rect">
            <a:avLst/>
          </a:prstGeom>
        </xdr:spPr>
      </xdr:pic>
      <xdr:pic>
        <xdr:nvPicPr>
          <xdr:cNvPr id="53" name="그림 52">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4"/>
          <a:stretch>
            <a:fillRect/>
          </a:stretch>
        </xdr:blipFill>
        <xdr:spPr>
          <a:xfrm>
            <a:off x="8094899" y="3002153"/>
            <a:ext cx="1254740" cy="813974"/>
          </a:xfrm>
          <a:prstGeom prst="rect">
            <a:avLst/>
          </a:prstGeom>
        </xdr:spPr>
      </xdr:pic>
      <xdr:pic>
        <xdr:nvPicPr>
          <xdr:cNvPr id="54" name="그림 53">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5"/>
          <a:stretch>
            <a:fillRect/>
          </a:stretch>
        </xdr:blipFill>
        <xdr:spPr>
          <a:xfrm>
            <a:off x="6213726" y="3002153"/>
            <a:ext cx="1259457" cy="818739"/>
          </a:xfrm>
          <a:prstGeom prst="rect">
            <a:avLst/>
          </a:prstGeom>
        </xdr:spPr>
      </xdr:pic>
      <xdr:pic>
        <xdr:nvPicPr>
          <xdr:cNvPr id="55" name="그림 54">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6"/>
          <a:stretch>
            <a:fillRect/>
          </a:stretch>
        </xdr:blipFill>
        <xdr:spPr>
          <a:xfrm>
            <a:off x="4332551" y="3002153"/>
            <a:ext cx="1259457" cy="813974"/>
          </a:xfrm>
          <a:prstGeom prst="rect">
            <a:avLst/>
          </a:prstGeom>
        </xdr:spPr>
      </xdr:pic>
      <xdr:pic>
        <xdr:nvPicPr>
          <xdr:cNvPr id="56" name="그림 55">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7"/>
          <a:stretch>
            <a:fillRect/>
          </a:stretch>
        </xdr:blipFill>
        <xdr:spPr>
          <a:xfrm>
            <a:off x="2449137" y="3002153"/>
            <a:ext cx="1259456" cy="842556"/>
          </a:xfrm>
          <a:prstGeom prst="rect">
            <a:avLst/>
          </a:prstGeom>
        </xdr:spPr>
      </xdr:pic>
      <xdr:sp macro="" textlink="">
        <xdr:nvSpPr>
          <xdr:cNvPr id="65" name="직사각형 64">
            <a:extLst>
              <a:ext uri="{FF2B5EF4-FFF2-40B4-BE49-F238E27FC236}">
                <a16:creationId xmlns:a16="http://schemas.microsoft.com/office/drawing/2014/main" id="{00000000-0008-0000-0000-000041000000}"/>
              </a:ext>
            </a:extLst>
          </xdr:cNvPr>
          <xdr:cNvSpPr/>
        </xdr:nvSpPr>
        <xdr:spPr>
          <a:xfrm>
            <a:off x="4174921" y="895849"/>
            <a:ext cx="1635927" cy="318643"/>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b="1">
                <a:solidFill>
                  <a:schemeClr val="bg1"/>
                </a:solidFill>
                <a:latin typeface="HY견고딕" panose="02030600000101010101" pitchFamily="18" charset="-127"/>
                <a:ea typeface="HY견고딕" panose="02030600000101010101" pitchFamily="18" charset="-127"/>
                <a:cs typeface="72 Black" panose="020B0A04030603020204" pitchFamily="34" charset="0"/>
              </a:rPr>
              <a:t>3 </a:t>
            </a:r>
            <a:r>
              <a:rPr lang="ko-KR" altLang="en-US" sz="1100" b="1">
                <a:solidFill>
                  <a:schemeClr val="bg1"/>
                </a:solidFill>
                <a:latin typeface="HY견고딕" panose="02030600000101010101" pitchFamily="18" charset="-127"/>
                <a:ea typeface="HY견고딕" panose="02030600000101010101" pitchFamily="18" charset="-127"/>
                <a:cs typeface="72 Black" panose="020B0A04030603020204" pitchFamily="34" charset="0"/>
              </a:rPr>
              <a:t>면</a:t>
            </a:r>
          </a:p>
        </xdr:txBody>
      </xdr:sp>
      <xdr:sp macro="" textlink="">
        <xdr:nvSpPr>
          <xdr:cNvPr id="74" name="직사각형 73">
            <a:extLst>
              <a:ext uri="{FF2B5EF4-FFF2-40B4-BE49-F238E27FC236}">
                <a16:creationId xmlns:a16="http://schemas.microsoft.com/office/drawing/2014/main" id="{00000000-0008-0000-0000-00004A000000}"/>
              </a:ext>
            </a:extLst>
          </xdr:cNvPr>
          <xdr:cNvSpPr/>
        </xdr:nvSpPr>
        <xdr:spPr>
          <a:xfrm>
            <a:off x="6020511" y="895849"/>
            <a:ext cx="1638170" cy="318643"/>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b="1">
                <a:solidFill>
                  <a:schemeClr val="bg1"/>
                </a:solidFill>
                <a:latin typeface="HY견고딕" panose="02030600000101010101" pitchFamily="18" charset="-127"/>
                <a:ea typeface="HY견고딕" panose="02030600000101010101" pitchFamily="18" charset="-127"/>
                <a:cs typeface="72 Black" panose="020B0A04030603020204" pitchFamily="34" charset="0"/>
              </a:rPr>
              <a:t>4 </a:t>
            </a:r>
            <a:r>
              <a:rPr lang="ko-KR" altLang="en-US" sz="1100" b="1">
                <a:solidFill>
                  <a:schemeClr val="bg1"/>
                </a:solidFill>
                <a:latin typeface="HY견고딕" panose="02030600000101010101" pitchFamily="18" charset="-127"/>
                <a:ea typeface="HY견고딕" panose="02030600000101010101" pitchFamily="18" charset="-127"/>
                <a:cs typeface="72 Black" panose="020B0A04030603020204" pitchFamily="34" charset="0"/>
              </a:rPr>
              <a:t>면</a:t>
            </a:r>
          </a:p>
        </xdr:txBody>
      </xdr:sp>
      <xdr:sp macro="" textlink="">
        <xdr:nvSpPr>
          <xdr:cNvPr id="83" name="직사각형 82">
            <a:extLst>
              <a:ext uri="{FF2B5EF4-FFF2-40B4-BE49-F238E27FC236}">
                <a16:creationId xmlns:a16="http://schemas.microsoft.com/office/drawing/2014/main" id="{00000000-0008-0000-0000-000053000000}"/>
              </a:ext>
            </a:extLst>
          </xdr:cNvPr>
          <xdr:cNvSpPr/>
        </xdr:nvSpPr>
        <xdr:spPr>
          <a:xfrm>
            <a:off x="7868344" y="895849"/>
            <a:ext cx="1638169" cy="318643"/>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b="1">
                <a:solidFill>
                  <a:schemeClr val="bg1"/>
                </a:solidFill>
                <a:latin typeface="HY견고딕" panose="02030600000101010101" pitchFamily="18" charset="-127"/>
                <a:ea typeface="HY견고딕" panose="02030600000101010101" pitchFamily="18" charset="-127"/>
                <a:cs typeface="72 Black" panose="020B0A04030603020204" pitchFamily="34" charset="0"/>
              </a:rPr>
              <a:t>5 ~ 10 </a:t>
            </a:r>
            <a:r>
              <a:rPr lang="ko-KR" altLang="en-US" sz="1100" b="1">
                <a:solidFill>
                  <a:schemeClr val="bg1"/>
                </a:solidFill>
                <a:latin typeface="HY견고딕" panose="02030600000101010101" pitchFamily="18" charset="-127"/>
                <a:ea typeface="HY견고딕" panose="02030600000101010101" pitchFamily="18" charset="-127"/>
                <a:cs typeface="72 Black" panose="020B0A04030603020204" pitchFamily="34" charset="0"/>
              </a:rPr>
              <a:t>면</a:t>
            </a:r>
          </a:p>
        </xdr:txBody>
      </xdr:sp>
      <xdr:sp macro="" textlink="">
        <xdr:nvSpPr>
          <xdr:cNvPr id="92" name="직사각형 91">
            <a:extLst>
              <a:ext uri="{FF2B5EF4-FFF2-40B4-BE49-F238E27FC236}">
                <a16:creationId xmlns:a16="http://schemas.microsoft.com/office/drawing/2014/main" id="{00000000-0008-0000-0000-00005C000000}"/>
              </a:ext>
            </a:extLst>
          </xdr:cNvPr>
          <xdr:cNvSpPr/>
        </xdr:nvSpPr>
        <xdr:spPr>
          <a:xfrm>
            <a:off x="9716176" y="895849"/>
            <a:ext cx="1635927" cy="318643"/>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b="1">
                <a:solidFill>
                  <a:schemeClr val="bg1"/>
                </a:solidFill>
                <a:latin typeface="HY견고딕" panose="02030600000101010101" pitchFamily="18" charset="-127"/>
                <a:ea typeface="HY견고딕" panose="02030600000101010101" pitchFamily="18" charset="-127"/>
                <a:cs typeface="72 Black" panose="020B0A04030603020204" pitchFamily="34" charset="0"/>
              </a:rPr>
              <a:t>11 ~ 30 </a:t>
            </a:r>
            <a:r>
              <a:rPr lang="ko-KR" altLang="en-US" sz="1100" b="1">
                <a:solidFill>
                  <a:schemeClr val="bg1"/>
                </a:solidFill>
                <a:latin typeface="HY견고딕" panose="02030600000101010101" pitchFamily="18" charset="-127"/>
                <a:ea typeface="HY견고딕" panose="02030600000101010101" pitchFamily="18" charset="-127"/>
                <a:cs typeface="72 Black" panose="020B0A04030603020204" pitchFamily="34" charset="0"/>
              </a:rPr>
              <a:t>면</a:t>
            </a:r>
          </a:p>
        </xdr:txBody>
      </xdr:sp>
      <xdr:sp macro="" textlink="">
        <xdr:nvSpPr>
          <xdr:cNvPr id="101" name="직사각형 100">
            <a:extLst>
              <a:ext uri="{FF2B5EF4-FFF2-40B4-BE49-F238E27FC236}">
                <a16:creationId xmlns:a16="http://schemas.microsoft.com/office/drawing/2014/main" id="{00000000-0008-0000-0000-000065000000}"/>
              </a:ext>
            </a:extLst>
          </xdr:cNvPr>
          <xdr:cNvSpPr/>
        </xdr:nvSpPr>
        <xdr:spPr>
          <a:xfrm>
            <a:off x="11561765" y="895849"/>
            <a:ext cx="1638170" cy="318643"/>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b="1">
                <a:solidFill>
                  <a:schemeClr val="bg1"/>
                </a:solidFill>
                <a:latin typeface="HY견고딕" panose="02030600000101010101" pitchFamily="18" charset="-127"/>
                <a:ea typeface="HY견고딕" panose="02030600000101010101" pitchFamily="18" charset="-127"/>
                <a:cs typeface="72 Black" panose="020B0A04030603020204" pitchFamily="34" charset="0"/>
              </a:rPr>
              <a:t>31 ~ 50 </a:t>
            </a:r>
            <a:r>
              <a:rPr lang="ko-KR" altLang="en-US" sz="1100" b="1">
                <a:solidFill>
                  <a:schemeClr val="bg1"/>
                </a:solidFill>
                <a:latin typeface="HY견고딕" panose="02030600000101010101" pitchFamily="18" charset="-127"/>
                <a:ea typeface="HY견고딕" panose="02030600000101010101" pitchFamily="18" charset="-127"/>
                <a:cs typeface="72 Black" panose="020B0A04030603020204" pitchFamily="34" charset="0"/>
              </a:rPr>
              <a:t>면</a:t>
            </a:r>
          </a:p>
        </xdr:txBody>
      </xdr:sp>
      <xdr:pic>
        <xdr:nvPicPr>
          <xdr:cNvPr id="107" name="그림 106">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8"/>
          <a:stretch>
            <a:fillRect/>
          </a:stretch>
        </xdr:blipFill>
        <xdr:spPr>
          <a:xfrm>
            <a:off x="2325470" y="1379137"/>
            <a:ext cx="1561327" cy="825573"/>
          </a:xfrm>
          <a:prstGeom prst="rect">
            <a:avLst/>
          </a:prstGeom>
        </xdr:spPr>
      </xdr:pic>
      <xdr:pic>
        <xdr:nvPicPr>
          <xdr:cNvPr id="108" name="그림 107">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9"/>
          <a:stretch>
            <a:fillRect/>
          </a:stretch>
        </xdr:blipFill>
        <xdr:spPr>
          <a:xfrm>
            <a:off x="4210164" y="1379137"/>
            <a:ext cx="1559087" cy="825573"/>
          </a:xfrm>
          <a:prstGeom prst="rect">
            <a:avLst/>
          </a:prstGeom>
        </xdr:spPr>
      </xdr:pic>
      <xdr:pic>
        <xdr:nvPicPr>
          <xdr:cNvPr id="109" name="그림 108">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0"/>
          <a:stretch>
            <a:fillRect/>
          </a:stretch>
        </xdr:blipFill>
        <xdr:spPr>
          <a:xfrm>
            <a:off x="6069803" y="1379137"/>
            <a:ext cx="1559086" cy="825573"/>
          </a:xfrm>
          <a:prstGeom prst="rect">
            <a:avLst/>
          </a:prstGeom>
        </xdr:spPr>
      </xdr:pic>
      <xdr:pic>
        <xdr:nvPicPr>
          <xdr:cNvPr id="110" name="그림 109">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1"/>
          <a:stretch>
            <a:fillRect/>
          </a:stretch>
        </xdr:blipFill>
        <xdr:spPr>
          <a:xfrm>
            <a:off x="7884144" y="1379137"/>
            <a:ext cx="1579677" cy="819396"/>
          </a:xfrm>
          <a:prstGeom prst="rect">
            <a:avLst/>
          </a:prstGeom>
        </xdr:spPr>
      </xdr:pic>
      <xdr:pic>
        <xdr:nvPicPr>
          <xdr:cNvPr id="111" name="그림 110">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2"/>
          <a:stretch>
            <a:fillRect/>
          </a:stretch>
        </xdr:blipFill>
        <xdr:spPr>
          <a:xfrm>
            <a:off x="9734344" y="1379137"/>
            <a:ext cx="1565202" cy="825573"/>
          </a:xfrm>
          <a:prstGeom prst="rect">
            <a:avLst/>
          </a:prstGeom>
        </xdr:spPr>
      </xdr:pic>
      <xdr:pic>
        <xdr:nvPicPr>
          <xdr:cNvPr id="112" name="그림 111">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3"/>
          <a:stretch>
            <a:fillRect/>
          </a:stretch>
        </xdr:blipFill>
        <xdr:spPr>
          <a:xfrm>
            <a:off x="11605116" y="1379137"/>
            <a:ext cx="1567444" cy="825573"/>
          </a:xfrm>
          <a:prstGeom prst="rect">
            <a:avLst/>
          </a:prstGeom>
        </xdr:spPr>
      </xdr:pic>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2914021" y="1859744"/>
            <a:ext cx="357940" cy="2652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ltLang="ko-KR" sz="1100" b="1">
                <a:solidFill>
                  <a:sysClr val="windowText" lastClr="000000"/>
                </a:solidFill>
              </a:rPr>
              <a:t>4%</a:t>
            </a:r>
            <a:endParaRPr lang="ko-KR" altLang="en-US" sz="1100" b="1">
              <a:solidFill>
                <a:sysClr val="windowText" lastClr="000000"/>
              </a:solidFill>
            </a:endParaRPr>
          </a:p>
        </xdr:txBody>
      </xdr:sp>
      <xdr:sp macro="" textlink="">
        <xdr:nvSpPr>
          <xdr:cNvPr id="61" name="TextBox 60">
            <a:extLst>
              <a:ext uri="{FF2B5EF4-FFF2-40B4-BE49-F238E27FC236}">
                <a16:creationId xmlns:a16="http://schemas.microsoft.com/office/drawing/2014/main" id="{00000000-0008-0000-0000-00003D000000}"/>
              </a:ext>
            </a:extLst>
          </xdr:cNvPr>
          <xdr:cNvSpPr txBox="1"/>
        </xdr:nvSpPr>
        <xdr:spPr>
          <a:xfrm>
            <a:off x="4818957" y="1873152"/>
            <a:ext cx="398549" cy="285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ltLang="ko-KR" sz="1100" b="1">
                <a:solidFill>
                  <a:sysClr val="windowText" lastClr="000000"/>
                </a:solidFill>
              </a:rPr>
              <a:t>9%</a:t>
            </a:r>
            <a:endParaRPr lang="ko-KR" altLang="en-US" sz="1100" b="1">
              <a:solidFill>
                <a:sysClr val="windowText" lastClr="000000"/>
              </a:solidFill>
            </a:endParaRPr>
          </a:p>
        </xdr:txBody>
      </xdr:sp>
      <xdr:sp macro="" textlink="">
        <xdr:nvSpPr>
          <xdr:cNvPr id="70" name="TextBox 69">
            <a:extLst>
              <a:ext uri="{FF2B5EF4-FFF2-40B4-BE49-F238E27FC236}">
                <a16:creationId xmlns:a16="http://schemas.microsoft.com/office/drawing/2014/main" id="{00000000-0008-0000-0000-000046000000}"/>
              </a:ext>
            </a:extLst>
          </xdr:cNvPr>
          <xdr:cNvSpPr txBox="1"/>
        </xdr:nvSpPr>
        <xdr:spPr>
          <a:xfrm>
            <a:off x="6622385" y="1859744"/>
            <a:ext cx="429666" cy="2652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ltLang="ko-KR" sz="1100" b="1">
                <a:solidFill>
                  <a:sysClr val="windowText" lastClr="000000"/>
                </a:solidFill>
              </a:rPr>
              <a:t>13%</a:t>
            </a:r>
            <a:endParaRPr lang="ko-KR" altLang="en-US" sz="1100" b="1">
              <a:solidFill>
                <a:sysClr val="windowText" lastClr="000000"/>
              </a:solidFill>
            </a:endParaRPr>
          </a:p>
        </xdr:txBody>
      </xdr:sp>
      <xdr:sp macro="" textlink="">
        <xdr:nvSpPr>
          <xdr:cNvPr id="79" name="TextBox 78">
            <a:extLst>
              <a:ext uri="{FF2B5EF4-FFF2-40B4-BE49-F238E27FC236}">
                <a16:creationId xmlns:a16="http://schemas.microsoft.com/office/drawing/2014/main" id="{00000000-0008-0000-0000-00004F000000}"/>
              </a:ext>
            </a:extLst>
          </xdr:cNvPr>
          <xdr:cNvSpPr txBox="1"/>
        </xdr:nvSpPr>
        <xdr:spPr>
          <a:xfrm>
            <a:off x="8436725" y="1871099"/>
            <a:ext cx="546943" cy="305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ltLang="ko-KR" sz="1100" b="1">
                <a:solidFill>
                  <a:sysClr val="windowText" lastClr="000000"/>
                </a:solidFill>
              </a:rPr>
              <a:t>43%</a:t>
            </a:r>
            <a:endParaRPr lang="ko-KR" altLang="en-US" sz="1100" b="1">
              <a:solidFill>
                <a:sysClr val="windowText" lastClr="000000"/>
              </a:solidFill>
            </a:endParaRPr>
          </a:p>
        </xdr:txBody>
      </xdr:sp>
      <xdr:sp macro="" textlink="">
        <xdr:nvSpPr>
          <xdr:cNvPr id="97" name="TextBox 96">
            <a:extLst>
              <a:ext uri="{FF2B5EF4-FFF2-40B4-BE49-F238E27FC236}">
                <a16:creationId xmlns:a16="http://schemas.microsoft.com/office/drawing/2014/main" id="{00000000-0008-0000-0000-000061000000}"/>
              </a:ext>
            </a:extLst>
          </xdr:cNvPr>
          <xdr:cNvSpPr txBox="1"/>
        </xdr:nvSpPr>
        <xdr:spPr>
          <a:xfrm>
            <a:off x="12191425" y="1882453"/>
            <a:ext cx="443519" cy="2377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ltLang="ko-KR" sz="1100" b="1">
                <a:solidFill>
                  <a:sysClr val="windowText" lastClr="000000"/>
                </a:solidFill>
              </a:rPr>
              <a:t>17%</a:t>
            </a:r>
            <a:endParaRPr lang="ko-KR" altLang="en-US" sz="1100" b="1">
              <a:solidFill>
                <a:sysClr val="windowText" lastClr="000000"/>
              </a:solidFill>
            </a:endParaRPr>
          </a:p>
        </xdr:txBody>
      </xdr:sp>
      <xdr:sp macro="" textlink="">
        <xdr:nvSpPr>
          <xdr:cNvPr id="106" name="TextBox 105">
            <a:extLst>
              <a:ext uri="{FF2B5EF4-FFF2-40B4-BE49-F238E27FC236}">
                <a16:creationId xmlns:a16="http://schemas.microsoft.com/office/drawing/2014/main" id="{00000000-0008-0000-0000-00006A000000}"/>
              </a:ext>
            </a:extLst>
          </xdr:cNvPr>
          <xdr:cNvSpPr txBox="1"/>
        </xdr:nvSpPr>
        <xdr:spPr>
          <a:xfrm>
            <a:off x="10282430" y="1871099"/>
            <a:ext cx="414287" cy="2604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ltLang="ko-KR" sz="1100" b="1">
                <a:solidFill>
                  <a:sysClr val="windowText" lastClr="000000"/>
                </a:solidFill>
              </a:rPr>
              <a:t>13%</a:t>
            </a:r>
            <a:endParaRPr lang="ko-KR" altLang="en-US" sz="1100" b="1">
              <a:solidFill>
                <a:sysClr val="windowText" lastClr="000000"/>
              </a:solidFill>
            </a:endParaRPr>
          </a:p>
        </xdr:txBody>
      </xdr:sp>
      <xdr:pic>
        <xdr:nvPicPr>
          <xdr:cNvPr id="113" name="그림 112">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4"/>
          <a:stretch>
            <a:fillRect/>
          </a:stretch>
        </xdr:blipFill>
        <xdr:spPr>
          <a:xfrm>
            <a:off x="2305226" y="2477880"/>
            <a:ext cx="1626367" cy="347081"/>
          </a:xfrm>
          <a:prstGeom prst="rect">
            <a:avLst/>
          </a:prstGeom>
        </xdr:spPr>
      </xdr:pic>
      <xdr:pic>
        <xdr:nvPicPr>
          <xdr:cNvPr id="114" name="그림 113">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5"/>
          <a:stretch>
            <a:fillRect/>
          </a:stretch>
        </xdr:blipFill>
        <xdr:spPr>
          <a:xfrm>
            <a:off x="4194423" y="2477880"/>
            <a:ext cx="1626368" cy="347081"/>
          </a:xfrm>
          <a:prstGeom prst="rect">
            <a:avLst/>
          </a:prstGeom>
        </xdr:spPr>
      </xdr:pic>
      <xdr:pic>
        <xdr:nvPicPr>
          <xdr:cNvPr id="115" name="그림 114">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6"/>
          <a:stretch>
            <a:fillRect/>
          </a:stretch>
        </xdr:blipFill>
        <xdr:spPr>
          <a:xfrm>
            <a:off x="6047319" y="2477880"/>
            <a:ext cx="1626367" cy="347081"/>
          </a:xfrm>
          <a:prstGeom prst="rect">
            <a:avLst/>
          </a:prstGeom>
        </xdr:spPr>
      </xdr:pic>
      <xdr:pic>
        <xdr:nvPicPr>
          <xdr:cNvPr id="116" name="그림 115">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17"/>
          <a:stretch>
            <a:fillRect/>
          </a:stretch>
        </xdr:blipFill>
        <xdr:spPr>
          <a:xfrm>
            <a:off x="7906628" y="2477880"/>
            <a:ext cx="1628609" cy="347081"/>
          </a:xfrm>
          <a:prstGeom prst="rect">
            <a:avLst/>
          </a:prstGeom>
        </xdr:spPr>
      </xdr:pic>
      <xdr:pic>
        <xdr:nvPicPr>
          <xdr:cNvPr id="117" name="그림 116">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17"/>
          <a:stretch>
            <a:fillRect/>
          </a:stretch>
        </xdr:blipFill>
        <xdr:spPr>
          <a:xfrm>
            <a:off x="9745586" y="2477880"/>
            <a:ext cx="1626367" cy="347081"/>
          </a:xfrm>
          <a:prstGeom prst="rect">
            <a:avLst/>
          </a:prstGeom>
        </xdr:spPr>
      </xdr:pic>
      <xdr:pic>
        <xdr:nvPicPr>
          <xdr:cNvPr id="118" name="그림 117">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18"/>
          <a:stretch>
            <a:fillRect/>
          </a:stretch>
        </xdr:blipFill>
        <xdr:spPr>
          <a:xfrm>
            <a:off x="11605116" y="2477880"/>
            <a:ext cx="1622493" cy="347081"/>
          </a:xfrm>
          <a:prstGeom prst="rect">
            <a:avLst/>
          </a:prstGeom>
        </xdr:spPr>
      </xdr:pic>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2259005" y="2511943"/>
            <a:ext cx="606102" cy="2712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ltLang="ko-KR" sz="1100" b="1">
                <a:solidFill>
                  <a:schemeClr val="bg1"/>
                </a:solidFill>
              </a:rPr>
              <a:t>1%</a:t>
            </a:r>
            <a:endParaRPr lang="ko-KR" altLang="en-US" sz="1100" b="1">
              <a:solidFill>
                <a:schemeClr val="bg1"/>
              </a:solidFill>
            </a:endParaRPr>
          </a:p>
        </xdr:txBody>
      </xdr:sp>
      <xdr:sp macro="" textlink="">
        <xdr:nvSpPr>
          <xdr:cNvPr id="64" name="TextBox 63">
            <a:extLst>
              <a:ext uri="{FF2B5EF4-FFF2-40B4-BE49-F238E27FC236}">
                <a16:creationId xmlns:a16="http://schemas.microsoft.com/office/drawing/2014/main" id="{00000000-0008-0000-0000-000040000000}"/>
              </a:ext>
            </a:extLst>
          </xdr:cNvPr>
          <xdr:cNvSpPr txBox="1"/>
        </xdr:nvSpPr>
        <xdr:spPr>
          <a:xfrm>
            <a:off x="4118974" y="2511943"/>
            <a:ext cx="606102" cy="2712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ltLang="ko-KR" sz="1100" b="1">
                <a:solidFill>
                  <a:schemeClr val="bg1"/>
                </a:solidFill>
              </a:rPr>
              <a:t>2%</a:t>
            </a:r>
            <a:endParaRPr lang="ko-KR" altLang="en-US" sz="1100" b="1">
              <a:solidFill>
                <a:schemeClr val="bg1"/>
              </a:solidFill>
            </a:endParaRPr>
          </a:p>
        </xdr:txBody>
      </xdr:sp>
      <xdr:sp macro="" textlink="">
        <xdr:nvSpPr>
          <xdr:cNvPr id="73" name="TextBox 72">
            <a:extLst>
              <a:ext uri="{FF2B5EF4-FFF2-40B4-BE49-F238E27FC236}">
                <a16:creationId xmlns:a16="http://schemas.microsoft.com/office/drawing/2014/main" id="{00000000-0008-0000-0000-000049000000}"/>
              </a:ext>
            </a:extLst>
          </xdr:cNvPr>
          <xdr:cNvSpPr txBox="1"/>
        </xdr:nvSpPr>
        <xdr:spPr>
          <a:xfrm>
            <a:off x="5967370" y="2511943"/>
            <a:ext cx="606102" cy="2712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ltLang="ko-KR" sz="1100" b="1">
                <a:solidFill>
                  <a:schemeClr val="bg1"/>
                </a:solidFill>
              </a:rPr>
              <a:t>3%</a:t>
            </a:r>
            <a:endParaRPr lang="ko-KR" altLang="en-US" sz="1100" b="1">
              <a:solidFill>
                <a:schemeClr val="bg1"/>
              </a:solidFill>
            </a:endParaRPr>
          </a:p>
        </xdr:txBody>
      </xdr:sp>
      <xdr:sp macro="" textlink="">
        <xdr:nvSpPr>
          <xdr:cNvPr id="82" name="TextBox 81">
            <a:extLst>
              <a:ext uri="{FF2B5EF4-FFF2-40B4-BE49-F238E27FC236}">
                <a16:creationId xmlns:a16="http://schemas.microsoft.com/office/drawing/2014/main" id="{00000000-0008-0000-0000-000052000000}"/>
              </a:ext>
            </a:extLst>
          </xdr:cNvPr>
          <xdr:cNvSpPr txBox="1"/>
        </xdr:nvSpPr>
        <xdr:spPr>
          <a:xfrm>
            <a:off x="7871650" y="2511943"/>
            <a:ext cx="606102" cy="2712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ltLang="ko-KR" sz="1100" b="1">
                <a:solidFill>
                  <a:schemeClr val="bg1"/>
                </a:solidFill>
              </a:rPr>
              <a:t>21%</a:t>
            </a:r>
            <a:endParaRPr lang="ko-KR" altLang="en-US" sz="1100" b="1">
              <a:solidFill>
                <a:schemeClr val="bg1"/>
              </a:solidFill>
            </a:endParaRPr>
          </a:p>
        </xdr:txBody>
      </xdr:sp>
      <xdr:sp macro="" textlink="">
        <xdr:nvSpPr>
          <xdr:cNvPr id="91" name="TextBox 90">
            <a:extLst>
              <a:ext uri="{FF2B5EF4-FFF2-40B4-BE49-F238E27FC236}">
                <a16:creationId xmlns:a16="http://schemas.microsoft.com/office/drawing/2014/main" id="{00000000-0008-0000-0000-00005B000000}"/>
              </a:ext>
            </a:extLst>
          </xdr:cNvPr>
          <xdr:cNvSpPr txBox="1"/>
        </xdr:nvSpPr>
        <xdr:spPr>
          <a:xfrm>
            <a:off x="9789306" y="2511943"/>
            <a:ext cx="606102" cy="2712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ltLang="ko-KR" sz="1100" b="1">
                <a:solidFill>
                  <a:schemeClr val="bg1"/>
                </a:solidFill>
              </a:rPr>
              <a:t>18%</a:t>
            </a:r>
            <a:endParaRPr lang="ko-KR" altLang="en-US" sz="1100" b="1">
              <a:solidFill>
                <a:schemeClr val="bg1"/>
              </a:solidFill>
            </a:endParaRPr>
          </a:p>
        </xdr:txBody>
      </xdr:sp>
      <xdr:sp macro="" textlink="">
        <xdr:nvSpPr>
          <xdr:cNvPr id="100" name="TextBox 99">
            <a:extLst>
              <a:ext uri="{FF2B5EF4-FFF2-40B4-BE49-F238E27FC236}">
                <a16:creationId xmlns:a16="http://schemas.microsoft.com/office/drawing/2014/main" id="{00000000-0008-0000-0000-000064000000}"/>
              </a:ext>
            </a:extLst>
          </xdr:cNvPr>
          <xdr:cNvSpPr txBox="1"/>
        </xdr:nvSpPr>
        <xdr:spPr>
          <a:xfrm>
            <a:off x="11794987" y="2511943"/>
            <a:ext cx="606103" cy="2712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ltLang="ko-KR" sz="1100" b="1">
                <a:solidFill>
                  <a:schemeClr val="bg1"/>
                </a:solidFill>
              </a:rPr>
              <a:t>55%</a:t>
            </a:r>
            <a:endParaRPr lang="ko-KR" altLang="en-US" sz="1100" b="1">
              <a:solidFill>
                <a:schemeClr val="bg1"/>
              </a:solidFill>
            </a:endParaRPr>
          </a:p>
        </xdr:txBody>
      </xdr:sp>
      <xdr:sp macro="" textlink="">
        <xdr:nvSpPr>
          <xdr:cNvPr id="120" name="TextBox 119">
            <a:extLst>
              <a:ext uri="{FF2B5EF4-FFF2-40B4-BE49-F238E27FC236}">
                <a16:creationId xmlns:a16="http://schemas.microsoft.com/office/drawing/2014/main" id="{00000000-0008-0000-0000-000078000000}"/>
              </a:ext>
            </a:extLst>
          </xdr:cNvPr>
          <xdr:cNvSpPr txBox="1"/>
        </xdr:nvSpPr>
        <xdr:spPr>
          <a:xfrm>
            <a:off x="439831" y="1626534"/>
            <a:ext cx="1100390" cy="3306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r>
              <a:rPr lang="ko-KR" altLang="en-US" sz="1100" b="1"/>
              <a:t>관심 고객 비율</a:t>
            </a:r>
          </a:p>
        </xdr:txBody>
      </xdr:sp>
      <xdr:sp macro="" textlink="">
        <xdr:nvSpPr>
          <xdr:cNvPr id="121" name="TextBox 120">
            <a:extLst>
              <a:ext uri="{FF2B5EF4-FFF2-40B4-BE49-F238E27FC236}">
                <a16:creationId xmlns:a16="http://schemas.microsoft.com/office/drawing/2014/main" id="{00000000-0008-0000-0000-000079000000}"/>
              </a:ext>
            </a:extLst>
          </xdr:cNvPr>
          <xdr:cNvSpPr txBox="1"/>
        </xdr:nvSpPr>
        <xdr:spPr>
          <a:xfrm>
            <a:off x="471698" y="2310092"/>
            <a:ext cx="1068523" cy="575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r>
              <a:rPr lang="ko-KR" altLang="en-US" sz="1100" b="1"/>
              <a:t>관심 고객</a:t>
            </a:r>
            <a:endParaRPr lang="en-US" altLang="ko-KR" sz="1100" b="1"/>
          </a:p>
          <a:p>
            <a:pPr algn="r"/>
            <a:r>
              <a:rPr lang="ko-KR" altLang="en-US" sz="1100" b="1"/>
              <a:t>보유 주차면수</a:t>
            </a:r>
          </a:p>
        </xdr:txBody>
      </xdr:sp>
      <xdr:sp macro="" textlink="">
        <xdr:nvSpPr>
          <xdr:cNvPr id="123" name="사각형: 둥근 모서리 122">
            <a:extLst>
              <a:ext uri="{FF2B5EF4-FFF2-40B4-BE49-F238E27FC236}">
                <a16:creationId xmlns:a16="http://schemas.microsoft.com/office/drawing/2014/main" id="{00000000-0008-0000-0000-00007B000000}"/>
              </a:ext>
            </a:extLst>
          </xdr:cNvPr>
          <xdr:cNvSpPr/>
        </xdr:nvSpPr>
        <xdr:spPr>
          <a:xfrm>
            <a:off x="2384613" y="3964082"/>
            <a:ext cx="1302124" cy="596712"/>
          </a:xfrm>
          <a:prstGeom prst="roundRect">
            <a:avLst/>
          </a:prstGeom>
          <a:solidFill>
            <a:schemeClr val="bg1"/>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ltLang="ko-KR" sz="1100" b="1">
                <a:solidFill>
                  <a:sysClr val="windowText" lastClr="000000"/>
                </a:solidFill>
              </a:rPr>
              <a:t>2 % </a:t>
            </a:r>
          </a:p>
          <a:p>
            <a:pPr algn="ctr"/>
            <a:r>
              <a:rPr lang="en-US" altLang="ko-KR" sz="1100" b="1">
                <a:solidFill>
                  <a:sysClr val="windowText" lastClr="000000"/>
                </a:solidFill>
              </a:rPr>
              <a:t>12 </a:t>
            </a:r>
            <a:r>
              <a:rPr lang="ko-KR" altLang="en-US" sz="1100" b="1">
                <a:solidFill>
                  <a:sysClr val="windowText" lastClr="000000"/>
                </a:solidFill>
              </a:rPr>
              <a:t>면</a:t>
            </a:r>
          </a:p>
        </xdr:txBody>
      </xdr:sp>
      <xdr:sp macro="" textlink="">
        <xdr:nvSpPr>
          <xdr:cNvPr id="124" name="사각형: 둥근 모서리 123">
            <a:extLst>
              <a:ext uri="{FF2B5EF4-FFF2-40B4-BE49-F238E27FC236}">
                <a16:creationId xmlns:a16="http://schemas.microsoft.com/office/drawing/2014/main" id="{00000000-0008-0000-0000-00007C000000}"/>
              </a:ext>
            </a:extLst>
          </xdr:cNvPr>
          <xdr:cNvSpPr/>
        </xdr:nvSpPr>
        <xdr:spPr>
          <a:xfrm>
            <a:off x="4269442" y="3964082"/>
            <a:ext cx="1299882" cy="596712"/>
          </a:xfrm>
          <a:prstGeom prst="roundRect">
            <a:avLst/>
          </a:prstGeom>
          <a:solidFill>
            <a:schemeClr val="bg1"/>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ltLang="ko-KR" sz="1100" b="1">
                <a:solidFill>
                  <a:sysClr val="windowText" lastClr="000000"/>
                </a:solidFill>
              </a:rPr>
              <a:t>5 % </a:t>
            </a:r>
          </a:p>
          <a:p>
            <a:pPr algn="ctr"/>
            <a:r>
              <a:rPr lang="en-US" altLang="ko-KR" sz="1100" b="1">
                <a:solidFill>
                  <a:sysClr val="windowText" lastClr="000000"/>
                </a:solidFill>
              </a:rPr>
              <a:t>26 </a:t>
            </a:r>
            <a:r>
              <a:rPr lang="ko-KR" altLang="en-US" sz="1100" b="1">
                <a:solidFill>
                  <a:sysClr val="windowText" lastClr="000000"/>
                </a:solidFill>
              </a:rPr>
              <a:t>면</a:t>
            </a:r>
          </a:p>
        </xdr:txBody>
      </xdr:sp>
      <xdr:sp macro="" textlink="">
        <xdr:nvSpPr>
          <xdr:cNvPr id="125" name="사각형: 둥근 모서리 124">
            <a:extLst>
              <a:ext uri="{FF2B5EF4-FFF2-40B4-BE49-F238E27FC236}">
                <a16:creationId xmlns:a16="http://schemas.microsoft.com/office/drawing/2014/main" id="{00000000-0008-0000-0000-00007D000000}"/>
              </a:ext>
            </a:extLst>
          </xdr:cNvPr>
          <xdr:cNvSpPr/>
        </xdr:nvSpPr>
        <xdr:spPr>
          <a:xfrm>
            <a:off x="6174442" y="3964082"/>
            <a:ext cx="1299883" cy="596712"/>
          </a:xfrm>
          <a:prstGeom prst="roundRect">
            <a:avLst/>
          </a:prstGeom>
          <a:solidFill>
            <a:schemeClr val="bg1"/>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ltLang="ko-KR" sz="1100" b="1">
                <a:solidFill>
                  <a:sysClr val="windowText" lastClr="000000"/>
                </a:solidFill>
              </a:rPr>
              <a:t>8 % </a:t>
            </a:r>
          </a:p>
          <a:p>
            <a:pPr algn="ctr"/>
            <a:r>
              <a:rPr lang="en-US" altLang="ko-KR" sz="1100" b="1">
                <a:solidFill>
                  <a:sysClr val="windowText" lastClr="000000"/>
                </a:solidFill>
              </a:rPr>
              <a:t>40 </a:t>
            </a:r>
            <a:r>
              <a:rPr lang="ko-KR" altLang="en-US" sz="1100" b="1">
                <a:solidFill>
                  <a:sysClr val="windowText" lastClr="000000"/>
                </a:solidFill>
              </a:rPr>
              <a:t>면</a:t>
            </a:r>
          </a:p>
        </xdr:txBody>
      </xdr:sp>
      <xdr:sp macro="" textlink="">
        <xdr:nvSpPr>
          <xdr:cNvPr id="126" name="사각형: 둥근 모서리 125">
            <a:extLst>
              <a:ext uri="{FF2B5EF4-FFF2-40B4-BE49-F238E27FC236}">
                <a16:creationId xmlns:a16="http://schemas.microsoft.com/office/drawing/2014/main" id="{00000000-0008-0000-0000-00007E000000}"/>
              </a:ext>
            </a:extLst>
          </xdr:cNvPr>
          <xdr:cNvSpPr/>
        </xdr:nvSpPr>
        <xdr:spPr>
          <a:xfrm>
            <a:off x="8045824" y="3964082"/>
            <a:ext cx="1297641" cy="596712"/>
          </a:xfrm>
          <a:prstGeom prst="roundRect">
            <a:avLst/>
          </a:prstGeom>
          <a:solidFill>
            <a:schemeClr val="bg1"/>
          </a:solidFill>
          <a:ln w="9525">
            <a:solidFill>
              <a:schemeClr val="tx1">
                <a:lumMod val="65000"/>
                <a:lumOff val="35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ltLang="ko-KR" sz="1100" b="1">
                <a:solidFill>
                  <a:sysClr val="windowText" lastClr="000000"/>
                </a:solidFill>
              </a:rPr>
              <a:t>32</a:t>
            </a:r>
            <a:r>
              <a:rPr lang="en-US" altLang="ko-KR" sz="1100" b="1" baseline="0">
                <a:solidFill>
                  <a:sysClr val="windowText" lastClr="000000"/>
                </a:solidFill>
              </a:rPr>
              <a:t> </a:t>
            </a:r>
            <a:r>
              <a:rPr lang="en-US" altLang="ko-KR" sz="1100" b="1">
                <a:solidFill>
                  <a:sysClr val="windowText" lastClr="000000"/>
                </a:solidFill>
              </a:rPr>
              <a:t>% </a:t>
            </a:r>
          </a:p>
          <a:p>
            <a:pPr algn="ctr"/>
            <a:r>
              <a:rPr lang="en-US" altLang="ko-KR" sz="1100" b="1">
                <a:solidFill>
                  <a:sysClr val="windowText" lastClr="000000"/>
                </a:solidFill>
              </a:rPr>
              <a:t>162 </a:t>
            </a:r>
            <a:r>
              <a:rPr lang="ko-KR" altLang="en-US" sz="1100" b="1">
                <a:solidFill>
                  <a:sysClr val="windowText" lastClr="000000"/>
                </a:solidFill>
              </a:rPr>
              <a:t>면</a:t>
            </a:r>
          </a:p>
        </xdr:txBody>
      </xdr:sp>
      <xdr:sp macro="" textlink="">
        <xdr:nvSpPr>
          <xdr:cNvPr id="127" name="사각형: 둥근 모서리 126">
            <a:extLst>
              <a:ext uri="{FF2B5EF4-FFF2-40B4-BE49-F238E27FC236}">
                <a16:creationId xmlns:a16="http://schemas.microsoft.com/office/drawing/2014/main" id="{00000000-0008-0000-0000-00007F000000}"/>
              </a:ext>
            </a:extLst>
          </xdr:cNvPr>
          <xdr:cNvSpPr/>
        </xdr:nvSpPr>
        <xdr:spPr>
          <a:xfrm>
            <a:off x="9892553" y="3964082"/>
            <a:ext cx="1302124" cy="596712"/>
          </a:xfrm>
          <a:prstGeom prst="roundRect">
            <a:avLst/>
          </a:prstGeom>
          <a:solidFill>
            <a:schemeClr val="bg1"/>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ltLang="ko-KR" sz="1100" b="1">
                <a:solidFill>
                  <a:sysClr val="windowText" lastClr="000000"/>
                </a:solidFill>
              </a:rPr>
              <a:t>16 % </a:t>
            </a:r>
          </a:p>
          <a:p>
            <a:pPr algn="ctr"/>
            <a:r>
              <a:rPr lang="en-US" altLang="ko-KR" sz="1100" b="1">
                <a:solidFill>
                  <a:sysClr val="windowText" lastClr="000000"/>
                </a:solidFill>
              </a:rPr>
              <a:t>79 </a:t>
            </a:r>
            <a:r>
              <a:rPr lang="ko-KR" altLang="en-US" sz="1100" b="1">
                <a:solidFill>
                  <a:sysClr val="windowText" lastClr="000000"/>
                </a:solidFill>
              </a:rPr>
              <a:t>면</a:t>
            </a:r>
          </a:p>
        </xdr:txBody>
      </xdr:sp>
      <xdr:sp macro="" textlink="">
        <xdr:nvSpPr>
          <xdr:cNvPr id="128" name="사각형: 둥근 모서리 127">
            <a:extLst>
              <a:ext uri="{FF2B5EF4-FFF2-40B4-BE49-F238E27FC236}">
                <a16:creationId xmlns:a16="http://schemas.microsoft.com/office/drawing/2014/main" id="{00000000-0008-0000-0000-000080000000}"/>
              </a:ext>
            </a:extLst>
          </xdr:cNvPr>
          <xdr:cNvSpPr/>
        </xdr:nvSpPr>
        <xdr:spPr>
          <a:xfrm>
            <a:off x="11754971" y="3964082"/>
            <a:ext cx="1299882" cy="596712"/>
          </a:xfrm>
          <a:prstGeom prst="roundRect">
            <a:avLst/>
          </a:prstGeom>
          <a:solidFill>
            <a:schemeClr val="bg1"/>
          </a:solidFill>
          <a:ln w="9525">
            <a:solidFill>
              <a:schemeClr val="tx1">
                <a:lumMod val="65000"/>
                <a:lumOff val="35000"/>
              </a:schemeClr>
            </a:solid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ltLang="ko-KR" sz="1100" b="1">
                <a:solidFill>
                  <a:sysClr val="windowText" lastClr="000000"/>
                </a:solidFill>
              </a:rPr>
              <a:t>36 % </a:t>
            </a:r>
          </a:p>
          <a:p>
            <a:pPr algn="ctr"/>
            <a:r>
              <a:rPr lang="en-US" altLang="ko-KR" sz="1100" b="1">
                <a:solidFill>
                  <a:sysClr val="windowText" lastClr="000000"/>
                </a:solidFill>
              </a:rPr>
              <a:t>181 </a:t>
            </a:r>
            <a:r>
              <a:rPr lang="ko-KR" altLang="en-US" sz="1100" b="1">
                <a:solidFill>
                  <a:sysClr val="windowText" lastClr="000000"/>
                </a:solidFill>
              </a:rPr>
              <a:t>면</a:t>
            </a:r>
          </a:p>
        </xdr:txBody>
      </xdr:sp>
      <xdr:sp macro="" textlink="">
        <xdr:nvSpPr>
          <xdr:cNvPr id="129" name="TextBox 128">
            <a:extLst>
              <a:ext uri="{FF2B5EF4-FFF2-40B4-BE49-F238E27FC236}">
                <a16:creationId xmlns:a16="http://schemas.microsoft.com/office/drawing/2014/main" id="{00000000-0008-0000-0000-000081000000}"/>
              </a:ext>
            </a:extLst>
          </xdr:cNvPr>
          <xdr:cNvSpPr txBox="1"/>
        </xdr:nvSpPr>
        <xdr:spPr>
          <a:xfrm>
            <a:off x="407964" y="3429000"/>
            <a:ext cx="1132257" cy="7247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r>
              <a:rPr lang="ko-KR" altLang="en-US" sz="1100" b="1"/>
              <a:t>목표</a:t>
            </a:r>
            <a:r>
              <a:rPr lang="ko-KR" altLang="en-US" sz="1100" b="1" baseline="0"/>
              <a:t> 판매량</a:t>
            </a:r>
            <a:endParaRPr lang="en-US" altLang="ko-KR" sz="1100" b="1" baseline="0"/>
          </a:p>
          <a:p>
            <a:pPr algn="r"/>
            <a:r>
              <a:rPr lang="en-US" altLang="ko-KR" sz="1100" b="1" baseline="0"/>
              <a:t>(500</a:t>
            </a:r>
            <a:r>
              <a:rPr lang="ko-KR" altLang="en-US" sz="1100" b="1" baseline="0"/>
              <a:t>면</a:t>
            </a:r>
            <a:r>
              <a:rPr lang="en-US" altLang="ko-KR" sz="1100" b="1" baseline="0"/>
              <a:t>)</a:t>
            </a:r>
            <a:endParaRPr lang="ko-KR" altLang="en-US" sz="1100" b="1"/>
          </a:p>
        </xdr:txBody>
      </xdr:sp>
      <xdr:pic>
        <xdr:nvPicPr>
          <xdr:cNvPr id="132" name="그림 131">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19">
            <a:clrChange>
              <a:clrFrom>
                <a:srgbClr val="FFFFFF"/>
              </a:clrFrom>
              <a:clrTo>
                <a:srgbClr val="FFFFFF">
                  <a:alpha val="0"/>
                </a:srgbClr>
              </a:clrTo>
            </a:clrChange>
          </a:blip>
          <a:stretch>
            <a:fillRect/>
          </a:stretch>
        </xdr:blipFill>
        <xdr:spPr>
          <a:xfrm>
            <a:off x="1633258" y="1640542"/>
            <a:ext cx="466725" cy="455565"/>
          </a:xfrm>
          <a:prstGeom prst="rect">
            <a:avLst/>
          </a:prstGeom>
        </xdr:spPr>
      </xdr:pic>
      <xdr:pic>
        <xdr:nvPicPr>
          <xdr:cNvPr id="133" name="그림 132">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20">
            <a:clrChange>
              <a:clrFrom>
                <a:srgbClr val="FFFFFF"/>
              </a:clrFrom>
              <a:clrTo>
                <a:srgbClr val="FFFFFF">
                  <a:alpha val="0"/>
                </a:srgbClr>
              </a:clrTo>
            </a:clrChange>
          </a:blip>
          <a:stretch>
            <a:fillRect/>
          </a:stretch>
        </xdr:blipFill>
        <xdr:spPr>
          <a:xfrm>
            <a:off x="1615328" y="3620620"/>
            <a:ext cx="390525" cy="385482"/>
          </a:xfrm>
          <a:prstGeom prst="rect">
            <a:avLst/>
          </a:prstGeom>
        </xdr:spPr>
      </xdr:pic>
      <xdr:pic>
        <xdr:nvPicPr>
          <xdr:cNvPr id="134" name="그림 133">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21">
            <a:clrChange>
              <a:clrFrom>
                <a:srgbClr val="FFFFFF"/>
              </a:clrFrom>
              <a:clrTo>
                <a:srgbClr val="FFFFFF">
                  <a:alpha val="0"/>
                </a:srgbClr>
              </a:clrTo>
            </a:clrChange>
          </a:blip>
          <a:stretch>
            <a:fillRect/>
          </a:stretch>
        </xdr:blipFill>
        <xdr:spPr>
          <a:xfrm>
            <a:off x="1479736" y="5088030"/>
            <a:ext cx="455272" cy="513229"/>
          </a:xfrm>
          <a:prstGeom prst="rect">
            <a:avLst/>
          </a:prstGeom>
        </xdr:spPr>
      </xdr:pic>
      <xdr:pic>
        <xdr:nvPicPr>
          <xdr:cNvPr id="136" name="그림 135">
            <a:extLst>
              <a:ext uri="{FF2B5EF4-FFF2-40B4-BE49-F238E27FC236}">
                <a16:creationId xmlns:a16="http://schemas.microsoft.com/office/drawing/2014/main" id="{00000000-0008-0000-0000-000088000000}"/>
              </a:ext>
            </a:extLst>
          </xdr:cNvPr>
          <xdr:cNvPicPr>
            <a:picLocks noChangeAspect="1"/>
          </xdr:cNvPicPr>
        </xdr:nvPicPr>
        <xdr:blipFill>
          <a:blip xmlns:r="http://schemas.openxmlformats.org/officeDocument/2006/relationships" r:embed="rId22"/>
          <a:stretch>
            <a:fillRect/>
          </a:stretch>
        </xdr:blipFill>
        <xdr:spPr>
          <a:xfrm>
            <a:off x="2243978" y="5388347"/>
            <a:ext cx="1812324" cy="543976"/>
          </a:xfrm>
          <a:prstGeom prst="rect">
            <a:avLst/>
          </a:prstGeom>
        </xdr:spPr>
      </xdr:pic>
      <xdr:pic>
        <xdr:nvPicPr>
          <xdr:cNvPr id="137" name="그림 136">
            <a:extLst>
              <a:ext uri="{FF2B5EF4-FFF2-40B4-BE49-F238E27FC236}">
                <a16:creationId xmlns:a16="http://schemas.microsoft.com/office/drawing/2014/main" id="{00000000-0008-0000-0000-000089000000}"/>
              </a:ext>
            </a:extLst>
          </xdr:cNvPr>
          <xdr:cNvPicPr>
            <a:picLocks noChangeAspect="1"/>
          </xdr:cNvPicPr>
        </xdr:nvPicPr>
        <xdr:blipFill>
          <a:blip xmlns:r="http://schemas.openxmlformats.org/officeDocument/2006/relationships" r:embed="rId23"/>
          <a:stretch>
            <a:fillRect/>
          </a:stretch>
        </xdr:blipFill>
        <xdr:spPr>
          <a:xfrm>
            <a:off x="2282078" y="4793875"/>
            <a:ext cx="8780389" cy="480111"/>
          </a:xfrm>
          <a:prstGeom prst="rect">
            <a:avLst/>
          </a:prstGeom>
        </xdr:spPr>
      </xdr:pic>
      <xdr:sp macro="" textlink="">
        <xdr:nvSpPr>
          <xdr:cNvPr id="138" name="TextBox 137">
            <a:extLst>
              <a:ext uri="{FF2B5EF4-FFF2-40B4-BE49-F238E27FC236}">
                <a16:creationId xmlns:a16="http://schemas.microsoft.com/office/drawing/2014/main" id="{00000000-0008-0000-0000-00008A000000}"/>
              </a:ext>
            </a:extLst>
          </xdr:cNvPr>
          <xdr:cNvSpPr txBox="1"/>
        </xdr:nvSpPr>
        <xdr:spPr>
          <a:xfrm>
            <a:off x="439831" y="4865593"/>
            <a:ext cx="1100390" cy="3306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r>
              <a:rPr lang="ko-KR" altLang="en-US" sz="1100" b="1"/>
              <a:t>목표 매출</a:t>
            </a:r>
          </a:p>
        </xdr:txBody>
      </xdr:sp>
      <xdr:sp macro="" textlink="">
        <xdr:nvSpPr>
          <xdr:cNvPr id="139" name="TextBox 138">
            <a:extLst>
              <a:ext uri="{FF2B5EF4-FFF2-40B4-BE49-F238E27FC236}">
                <a16:creationId xmlns:a16="http://schemas.microsoft.com/office/drawing/2014/main" id="{00000000-0008-0000-0000-00008B000000}"/>
              </a:ext>
            </a:extLst>
          </xdr:cNvPr>
          <xdr:cNvSpPr txBox="1"/>
        </xdr:nvSpPr>
        <xdr:spPr>
          <a:xfrm>
            <a:off x="439831" y="5486958"/>
            <a:ext cx="1100390" cy="3334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r>
              <a:rPr lang="ko-KR" altLang="en-US" sz="1100" b="1"/>
              <a:t>목표 매총</a:t>
            </a:r>
            <a:r>
              <a:rPr lang="en-US" altLang="ko-KR" sz="1100" b="1"/>
              <a:t>1</a:t>
            </a:r>
            <a:endParaRPr lang="ko-KR" altLang="en-US" sz="1100" b="1"/>
          </a:p>
        </xdr:txBody>
      </xdr:sp>
      <xdr:sp macro="" textlink="">
        <xdr:nvSpPr>
          <xdr:cNvPr id="140" name="TextBox 139">
            <a:extLst>
              <a:ext uri="{FF2B5EF4-FFF2-40B4-BE49-F238E27FC236}">
                <a16:creationId xmlns:a16="http://schemas.microsoft.com/office/drawing/2014/main" id="{00000000-0008-0000-0000-00008C000000}"/>
              </a:ext>
            </a:extLst>
          </xdr:cNvPr>
          <xdr:cNvSpPr txBox="1"/>
        </xdr:nvSpPr>
        <xdr:spPr>
          <a:xfrm>
            <a:off x="11001216" y="4843177"/>
            <a:ext cx="1089495" cy="3306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r>
              <a:rPr lang="ko-KR" altLang="en-US" sz="1100" b="1"/>
              <a:t>합계  </a:t>
            </a:r>
            <a:r>
              <a:rPr lang="en-US" altLang="ko-KR" sz="1100" b="1"/>
              <a:t>60 </a:t>
            </a:r>
            <a:r>
              <a:rPr lang="ko-KR" altLang="en-US" sz="1100" b="1"/>
              <a:t>억원</a:t>
            </a:r>
          </a:p>
        </xdr:txBody>
      </xdr:sp>
      <xdr:sp macro="" textlink="">
        <xdr:nvSpPr>
          <xdr:cNvPr id="143" name="TextBox 142">
            <a:extLst>
              <a:ext uri="{FF2B5EF4-FFF2-40B4-BE49-F238E27FC236}">
                <a16:creationId xmlns:a16="http://schemas.microsoft.com/office/drawing/2014/main" id="{00000000-0008-0000-0000-00008F000000}"/>
              </a:ext>
            </a:extLst>
          </xdr:cNvPr>
          <xdr:cNvSpPr txBox="1"/>
        </xdr:nvSpPr>
        <xdr:spPr>
          <a:xfrm>
            <a:off x="3924862" y="5481916"/>
            <a:ext cx="1100390" cy="3306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r>
              <a:rPr lang="en-US" altLang="ko-KR" sz="1100" b="1"/>
              <a:t> </a:t>
            </a:r>
            <a:r>
              <a:rPr lang="ko-KR" altLang="en-US" sz="1100" b="1"/>
              <a:t>합계  </a:t>
            </a:r>
            <a:r>
              <a:rPr lang="en-US" altLang="ko-KR" sz="1100" b="1"/>
              <a:t>14</a:t>
            </a:r>
            <a:r>
              <a:rPr lang="en-US" altLang="ko-KR" sz="1100" b="1" baseline="0"/>
              <a:t> </a:t>
            </a:r>
            <a:r>
              <a:rPr lang="ko-KR" altLang="en-US" sz="1100" b="1"/>
              <a:t>억원</a:t>
            </a:r>
          </a:p>
        </xdr:txBody>
      </xdr:sp>
      <xdr:sp macro="" textlink="">
        <xdr:nvSpPr>
          <xdr:cNvPr id="145" name="TextBox 144">
            <a:extLst>
              <a:ext uri="{FF2B5EF4-FFF2-40B4-BE49-F238E27FC236}">
                <a16:creationId xmlns:a16="http://schemas.microsoft.com/office/drawing/2014/main" id="{00000000-0008-0000-0000-000091000000}"/>
              </a:ext>
            </a:extLst>
          </xdr:cNvPr>
          <xdr:cNvSpPr txBox="1"/>
        </xdr:nvSpPr>
        <xdr:spPr>
          <a:xfrm>
            <a:off x="8889066" y="4876798"/>
            <a:ext cx="1100390" cy="3306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r>
              <a:rPr lang="en-US" altLang="ko-KR" sz="1100" b="1">
                <a:solidFill>
                  <a:schemeClr val="bg1"/>
                </a:solidFill>
              </a:rPr>
              <a:t>21</a:t>
            </a:r>
            <a:r>
              <a:rPr lang="ko-KR" altLang="en-US" sz="1100" b="1">
                <a:solidFill>
                  <a:schemeClr val="bg1"/>
                </a:solidFill>
              </a:rPr>
              <a:t>억원</a:t>
            </a:r>
          </a:p>
        </xdr:txBody>
      </xdr:sp>
      <xdr:sp macro="" textlink="">
        <xdr:nvSpPr>
          <xdr:cNvPr id="146" name="TextBox 145">
            <a:extLst>
              <a:ext uri="{FF2B5EF4-FFF2-40B4-BE49-F238E27FC236}">
                <a16:creationId xmlns:a16="http://schemas.microsoft.com/office/drawing/2014/main" id="{00000000-0008-0000-0000-000092000000}"/>
              </a:ext>
            </a:extLst>
          </xdr:cNvPr>
          <xdr:cNvSpPr txBox="1"/>
        </xdr:nvSpPr>
        <xdr:spPr>
          <a:xfrm>
            <a:off x="4731685" y="4876798"/>
            <a:ext cx="1100390" cy="3306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r>
              <a:rPr lang="en-US" altLang="ko-KR" sz="1100" b="1">
                <a:solidFill>
                  <a:schemeClr val="bg1"/>
                </a:solidFill>
              </a:rPr>
              <a:t>19 </a:t>
            </a:r>
            <a:r>
              <a:rPr lang="ko-KR" altLang="en-US" sz="1100" b="1">
                <a:solidFill>
                  <a:schemeClr val="bg1"/>
                </a:solidFill>
              </a:rPr>
              <a:t>억원</a:t>
            </a:r>
          </a:p>
        </xdr:txBody>
      </xdr:sp>
      <xdr:sp macro="" textlink="">
        <xdr:nvSpPr>
          <xdr:cNvPr id="147" name="TextBox 146">
            <a:extLst>
              <a:ext uri="{FF2B5EF4-FFF2-40B4-BE49-F238E27FC236}">
                <a16:creationId xmlns:a16="http://schemas.microsoft.com/office/drawing/2014/main" id="{00000000-0008-0000-0000-000093000000}"/>
              </a:ext>
            </a:extLst>
          </xdr:cNvPr>
          <xdr:cNvSpPr txBox="1"/>
        </xdr:nvSpPr>
        <xdr:spPr>
          <a:xfrm>
            <a:off x="6748744" y="4876798"/>
            <a:ext cx="1100390" cy="3306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r>
              <a:rPr lang="en-US" altLang="ko-KR" sz="1100" b="1">
                <a:solidFill>
                  <a:schemeClr val="bg1"/>
                </a:solidFill>
              </a:rPr>
              <a:t>9 </a:t>
            </a:r>
            <a:r>
              <a:rPr lang="ko-KR" altLang="en-US" sz="1100" b="1">
                <a:solidFill>
                  <a:schemeClr val="bg1"/>
                </a:solidFill>
              </a:rPr>
              <a:t>억원</a:t>
            </a:r>
          </a:p>
        </xdr:txBody>
      </xdr:sp>
      <xdr:sp macro="" textlink="">
        <xdr:nvSpPr>
          <xdr:cNvPr id="149" name="TextBox 148">
            <a:extLst>
              <a:ext uri="{FF2B5EF4-FFF2-40B4-BE49-F238E27FC236}">
                <a16:creationId xmlns:a16="http://schemas.microsoft.com/office/drawing/2014/main" id="{00000000-0008-0000-0000-000095000000}"/>
              </a:ext>
            </a:extLst>
          </xdr:cNvPr>
          <xdr:cNvSpPr txBox="1"/>
        </xdr:nvSpPr>
        <xdr:spPr>
          <a:xfrm>
            <a:off x="2075892" y="5493121"/>
            <a:ext cx="1100390" cy="3306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r>
              <a:rPr lang="en-US" altLang="ko-KR" sz="1100" b="1">
                <a:solidFill>
                  <a:schemeClr val="bg1"/>
                </a:solidFill>
              </a:rPr>
              <a:t>5</a:t>
            </a:r>
            <a:r>
              <a:rPr lang="ko-KR" altLang="en-US" sz="1100" b="1">
                <a:solidFill>
                  <a:schemeClr val="bg1"/>
                </a:solidFill>
              </a:rPr>
              <a:t>억원</a:t>
            </a:r>
          </a:p>
        </xdr:txBody>
      </xdr:sp>
      <xdr:sp macro="" textlink="">
        <xdr:nvSpPr>
          <xdr:cNvPr id="150" name="TextBox 149">
            <a:extLst>
              <a:ext uri="{FF2B5EF4-FFF2-40B4-BE49-F238E27FC236}">
                <a16:creationId xmlns:a16="http://schemas.microsoft.com/office/drawing/2014/main" id="{00000000-0008-0000-0000-000096000000}"/>
              </a:ext>
            </a:extLst>
          </xdr:cNvPr>
          <xdr:cNvSpPr txBox="1"/>
        </xdr:nvSpPr>
        <xdr:spPr>
          <a:xfrm>
            <a:off x="2882715" y="5504327"/>
            <a:ext cx="1100390" cy="3306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r>
              <a:rPr lang="en-US" altLang="ko-KR" sz="1100" b="1">
                <a:solidFill>
                  <a:schemeClr val="bg1"/>
                </a:solidFill>
              </a:rPr>
              <a:t>6</a:t>
            </a:r>
            <a:r>
              <a:rPr lang="ko-KR" altLang="en-US" sz="1100" b="1">
                <a:solidFill>
                  <a:schemeClr val="bg1"/>
                </a:solidFill>
              </a:rPr>
              <a:t>억원</a:t>
            </a:r>
          </a:p>
        </xdr:txBody>
      </xdr:sp>
      <xdr:sp macro="" textlink="">
        <xdr:nvSpPr>
          <xdr:cNvPr id="151" name="사각형: 둥근 모서리 150">
            <a:extLst>
              <a:ext uri="{FF2B5EF4-FFF2-40B4-BE49-F238E27FC236}">
                <a16:creationId xmlns:a16="http://schemas.microsoft.com/office/drawing/2014/main" id="{00000000-0008-0000-0000-000097000000}"/>
              </a:ext>
            </a:extLst>
          </xdr:cNvPr>
          <xdr:cNvSpPr/>
        </xdr:nvSpPr>
        <xdr:spPr>
          <a:xfrm>
            <a:off x="5266765" y="5488080"/>
            <a:ext cx="2050676" cy="406212"/>
          </a:xfrm>
          <a:prstGeom prst="roundRect">
            <a:avLst/>
          </a:prstGeom>
          <a:no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ko-KR" altLang="en-US" sz="1100" b="1">
                <a:solidFill>
                  <a:sysClr val="windowText" lastClr="000000"/>
                </a:solidFill>
              </a:rPr>
              <a:t>목표 매총 이익률 </a:t>
            </a:r>
            <a:r>
              <a:rPr lang="en-US" altLang="ko-KR" sz="1100" b="1">
                <a:solidFill>
                  <a:sysClr val="windowText" lastClr="000000"/>
                </a:solidFill>
              </a:rPr>
              <a:t>23.9 % </a:t>
            </a:r>
          </a:p>
        </xdr:txBody>
      </xdr:sp>
      <xdr:cxnSp macro="">
        <xdr:nvCxnSpPr>
          <xdr:cNvPr id="153" name="직선 연결선 152">
            <a:extLst>
              <a:ext uri="{FF2B5EF4-FFF2-40B4-BE49-F238E27FC236}">
                <a16:creationId xmlns:a16="http://schemas.microsoft.com/office/drawing/2014/main" id="{00000000-0008-0000-0000-000099000000}"/>
              </a:ext>
            </a:extLst>
          </xdr:cNvPr>
          <xdr:cNvCxnSpPr/>
        </xdr:nvCxnSpPr>
        <xdr:spPr>
          <a:xfrm>
            <a:off x="481853" y="2229971"/>
            <a:ext cx="1568823" cy="0"/>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154" name="직선 연결선 153">
            <a:extLst>
              <a:ext uri="{FF2B5EF4-FFF2-40B4-BE49-F238E27FC236}">
                <a16:creationId xmlns:a16="http://schemas.microsoft.com/office/drawing/2014/main" id="{00000000-0008-0000-0000-00009A000000}"/>
              </a:ext>
            </a:extLst>
          </xdr:cNvPr>
          <xdr:cNvCxnSpPr/>
        </xdr:nvCxnSpPr>
        <xdr:spPr>
          <a:xfrm>
            <a:off x="481853" y="3070412"/>
            <a:ext cx="1568823" cy="0"/>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155" name="직선 연결선 154">
            <a:extLst>
              <a:ext uri="{FF2B5EF4-FFF2-40B4-BE49-F238E27FC236}">
                <a16:creationId xmlns:a16="http://schemas.microsoft.com/office/drawing/2014/main" id="{00000000-0008-0000-0000-00009B000000}"/>
              </a:ext>
            </a:extLst>
          </xdr:cNvPr>
          <xdr:cNvCxnSpPr/>
        </xdr:nvCxnSpPr>
        <xdr:spPr>
          <a:xfrm>
            <a:off x="481853" y="4628030"/>
            <a:ext cx="1568823" cy="0"/>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156" name="직선 연결선 155">
            <a:extLst>
              <a:ext uri="{FF2B5EF4-FFF2-40B4-BE49-F238E27FC236}">
                <a16:creationId xmlns:a16="http://schemas.microsoft.com/office/drawing/2014/main" id="{00000000-0008-0000-0000-00009C000000}"/>
              </a:ext>
            </a:extLst>
          </xdr:cNvPr>
          <xdr:cNvCxnSpPr/>
        </xdr:nvCxnSpPr>
        <xdr:spPr>
          <a:xfrm>
            <a:off x="481853" y="5939118"/>
            <a:ext cx="1568823" cy="0"/>
          </a:xfrm>
          <a:prstGeom prst="line">
            <a:avLst/>
          </a:prstGeom>
        </xdr:spPr>
        <xdr:style>
          <a:lnRef idx="1">
            <a:schemeClr val="dk1"/>
          </a:lnRef>
          <a:fillRef idx="0">
            <a:schemeClr val="dk1"/>
          </a:fillRef>
          <a:effectRef idx="0">
            <a:schemeClr val="dk1"/>
          </a:effectRef>
          <a:fontRef idx="minor">
            <a:schemeClr val="tx1"/>
          </a:fontRef>
        </xdr:style>
      </xdr:cxnSp>
      <xdr:sp macro="" textlink="">
        <xdr:nvSpPr>
          <xdr:cNvPr id="158" name="TextBox 157">
            <a:extLst>
              <a:ext uri="{FF2B5EF4-FFF2-40B4-BE49-F238E27FC236}">
                <a16:creationId xmlns:a16="http://schemas.microsoft.com/office/drawing/2014/main" id="{00000000-0008-0000-0000-00009E000000}"/>
              </a:ext>
            </a:extLst>
          </xdr:cNvPr>
          <xdr:cNvSpPr txBox="1"/>
        </xdr:nvSpPr>
        <xdr:spPr>
          <a:xfrm>
            <a:off x="369794" y="268941"/>
            <a:ext cx="3081261" cy="447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ko-KR" altLang="en-US" sz="1600" b="1"/>
              <a:t>□ 수요 시뮬레이션</a:t>
            </a:r>
          </a:p>
        </xdr:txBody>
      </xdr:sp>
      <xdr:sp macro="" textlink="">
        <xdr:nvSpPr>
          <xdr:cNvPr id="168" name="TextBox 167">
            <a:extLst>
              <a:ext uri="{FF2B5EF4-FFF2-40B4-BE49-F238E27FC236}">
                <a16:creationId xmlns:a16="http://schemas.microsoft.com/office/drawing/2014/main" id="{00000000-0008-0000-0000-0000A8000000}"/>
              </a:ext>
            </a:extLst>
          </xdr:cNvPr>
          <xdr:cNvSpPr txBox="1"/>
        </xdr:nvSpPr>
        <xdr:spPr>
          <a:xfrm>
            <a:off x="10275794" y="382681"/>
            <a:ext cx="3019398" cy="3306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r>
              <a:rPr lang="ko-KR" altLang="en-US" sz="1100" b="1"/>
              <a:t>출처 </a:t>
            </a:r>
            <a:r>
              <a:rPr lang="en-US" altLang="ko-KR" sz="1100" b="1"/>
              <a:t>: S&amp;I</a:t>
            </a:r>
            <a:r>
              <a:rPr lang="en-US" altLang="ko-KR" sz="1100" b="1" baseline="0"/>
              <a:t> </a:t>
            </a:r>
            <a:r>
              <a:rPr lang="ko-KR" altLang="en-US" sz="1100" b="1" baseline="0"/>
              <a:t>영업 물건 및 샌디몰 유입 물건 </a:t>
            </a:r>
            <a:r>
              <a:rPr lang="en-US" altLang="ko-KR" sz="1100" b="1" baseline="0"/>
              <a:t>List</a:t>
            </a:r>
            <a:endParaRPr lang="ko-KR" altLang="en-US" sz="1100" b="1"/>
          </a:p>
        </xdr:txBody>
      </xdr:sp>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7</xdr:col>
          <xdr:colOff>283634</xdr:colOff>
          <xdr:row>4</xdr:row>
          <xdr:rowOff>17990</xdr:rowOff>
        </xdr:from>
        <xdr:to>
          <xdr:col>9</xdr:col>
          <xdr:colOff>2637368</xdr:colOff>
          <xdr:row>5</xdr:row>
          <xdr:rowOff>71965</xdr:rowOff>
        </xdr:to>
        <xdr:grpSp>
          <xdr:nvGrpSpPr>
            <xdr:cNvPr id="2" name="그룹 1">
              <a:extLst>
                <a:ext uri="{FF2B5EF4-FFF2-40B4-BE49-F238E27FC236}">
                  <a16:creationId xmlns:a16="http://schemas.microsoft.com/office/drawing/2014/main" id="{FD7C8722-658B-4AC1-A701-EE3A570B85AF}"/>
                </a:ext>
              </a:extLst>
            </xdr:cNvPr>
            <xdr:cNvGrpSpPr/>
          </xdr:nvGrpSpPr>
          <xdr:grpSpPr>
            <a:xfrm>
              <a:off x="5003801" y="1097490"/>
              <a:ext cx="4364567" cy="424392"/>
              <a:chOff x="759884" y="1859491"/>
              <a:chExt cx="4364567" cy="424392"/>
            </a:xfrm>
          </xdr:grpSpPr>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100-000005200000}"/>
                  </a:ext>
                </a:extLst>
              </xdr:cNvPr>
              <xdr:cNvSpPr/>
            </xdr:nvSpPr>
            <xdr:spPr bwMode="auto">
              <a:xfrm>
                <a:off x="1168399" y="1926166"/>
                <a:ext cx="1272117" cy="2910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원격관제</a:t>
                </a:r>
              </a:p>
            </xdr:txBody>
          </xdr:sp>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100-000006200000}"/>
                  </a:ext>
                </a:extLst>
              </xdr:cNvPr>
              <xdr:cNvSpPr/>
            </xdr:nvSpPr>
            <xdr:spPr bwMode="auto">
              <a:xfrm>
                <a:off x="2387598" y="1926166"/>
                <a:ext cx="1253066" cy="2529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AI CCTV</a:t>
                </a:r>
              </a:p>
            </xdr:txBody>
          </xdr:sp>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100-000007200000}"/>
                  </a:ext>
                </a:extLst>
              </xdr:cNvPr>
              <xdr:cNvSpPr/>
            </xdr:nvSpPr>
            <xdr:spPr bwMode="auto">
              <a:xfrm>
                <a:off x="3587746" y="1926166"/>
                <a:ext cx="1296459" cy="2529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작동점검 (분기)</a:t>
                </a:r>
              </a:p>
            </xdr:txBody>
          </xdr:sp>
          <xdr:sp macro="" textlink="">
            <xdr:nvSpPr>
              <xdr:cNvPr id="8201" name="Group Box 9" hidden="1">
                <a:extLst>
                  <a:ext uri="{63B3BB69-23CF-44E3-9099-C40C66FF867C}">
                    <a14:compatExt spid="_x0000_s8201"/>
                  </a:ext>
                  <a:ext uri="{FF2B5EF4-FFF2-40B4-BE49-F238E27FC236}">
                    <a16:creationId xmlns:a16="http://schemas.microsoft.com/office/drawing/2014/main" id="{00000000-0008-0000-0100-000009200000}"/>
                  </a:ext>
                </a:extLst>
              </xdr:cNvPr>
              <xdr:cNvSpPr/>
            </xdr:nvSpPr>
            <xdr:spPr bwMode="auto">
              <a:xfrm>
                <a:off x="759884" y="1859491"/>
                <a:ext cx="4364567" cy="424392"/>
              </a:xfrm>
              <a:prstGeom prst="rect">
                <a:avLst/>
              </a:prstGeom>
              <a:noFill/>
              <a:ln w="9525">
                <a:miter lim="800000"/>
                <a:headEnd/>
                <a:tailEnd/>
              </a:ln>
              <a:extLst>
                <a:ext uri="{909E8E84-426E-40DD-AFC4-6F175D3DCCD1}">
                  <a14:hiddenFill>
                    <a:noFill/>
                  </a14:hiddenFill>
                </a:ext>
              </a:extLst>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47625</xdr:colOff>
          <xdr:row>4</xdr:row>
          <xdr:rowOff>0</xdr:rowOff>
        </xdr:from>
        <xdr:to>
          <xdr:col>5</xdr:col>
          <xdr:colOff>219076</xdr:colOff>
          <xdr:row>4</xdr:row>
          <xdr:rowOff>262467</xdr:rowOff>
        </xdr:to>
        <xdr:sp macro="" textlink="">
          <xdr:nvSpPr>
            <xdr:cNvPr id="8214" name="Scroll Bar 22" hidden="1">
              <a:extLst>
                <a:ext uri="{63B3BB69-23CF-44E3-9099-C40C66FF867C}">
                  <a14:compatExt spid="_x0000_s8214"/>
                </a:ext>
                <a:ext uri="{FF2B5EF4-FFF2-40B4-BE49-F238E27FC236}">
                  <a16:creationId xmlns:a16="http://schemas.microsoft.com/office/drawing/2014/main" id="{00000000-0008-0000-0100-000016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6</xdr:col>
      <xdr:colOff>125067</xdr:colOff>
      <xdr:row>2</xdr:row>
      <xdr:rowOff>33130</xdr:rowOff>
    </xdr:from>
    <xdr:to>
      <xdr:col>6</xdr:col>
      <xdr:colOff>438979</xdr:colOff>
      <xdr:row>2</xdr:row>
      <xdr:rowOff>366918</xdr:rowOff>
    </xdr:to>
    <xdr:pic>
      <xdr:nvPicPr>
        <xdr:cNvPr id="2" name="그림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clrChange>
            <a:clrFrom>
              <a:srgbClr val="FCFCFC"/>
            </a:clrFrom>
            <a:clrTo>
              <a:srgbClr val="FCFCFC">
                <a:alpha val="0"/>
              </a:srgbClr>
            </a:clrTo>
          </a:clrChange>
          <a:extLst>
            <a:ext uri="{28A0092B-C50C-407E-A947-70E740481C1C}">
              <a14:useLocalDpi xmlns:a14="http://schemas.microsoft.com/office/drawing/2010/main" val="0"/>
            </a:ext>
          </a:extLst>
        </a:blip>
        <a:stretch>
          <a:fillRect/>
        </a:stretch>
      </xdr:blipFill>
      <xdr:spPr>
        <a:xfrm>
          <a:off x="6742871" y="1118152"/>
          <a:ext cx="313912" cy="33378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ikyongsoo\DATA\&#51088;&#47308;&#44160;&#53664;\1&#49324;&#50629;&#49457;&#44160;&#53664;&#51088;&#47308;\&#44053;&#45224;&#44396;&#52397;&#44060;&#48156;\&#51312;&#45804;&#52397;&#48512;&#51648;&#44060;&#48156;\&#49340;&#49457;&#47932;&#49328;\&#49352;&#54028;&#51068;\A&#49373;&#47749;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8149;&#50857;&#48177;&#44284;&#51109;\EDATA\SINGLE\OFFICE40\temp\&#50689;&#51333;&#46020;IBC&#49892;&#54665;&#44208;&#511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My%20Documents\Excel&#44204;&#51201;\G\Good%20Morning%20&#51613;&#44428;-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7928;&#55148;&#49688;\C\My%20Documents\&#44204;&#51201;&#49436;\&#50724;&#54588;&#49828;\&#52980;&#54057;\DEUTSCHE021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49436;&#51221;&#45909;\&#51089;&#50629;&#46308;\C-96090\&#49444;&#44228;&#50696;&#49328;&#49436;\XLS\ALL-XLS\ULSAN\PRIC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KRSEOFNP03\Departments\Image\&#44204;&#51201;&#51228;&#52636;\2012&#45380;&#46020;\&#51652;&#54665;Project\Sony%20Chemical%20Korea\&#44204;&#51201;&#49436;\Sony%20Chemical%20&#48708;&#44368;.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E08010\&#44277;&#50976;\WINDOWS\GI-LIST.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08010\&#44277;&#50976;\WINDOWS\TEMP\$WC\SIL_MUN\GODO.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E08010\&#44277;&#50976;\WINDOWS\DATA-97\ASAN-971\YONG-RAG\AS-YO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48149;&#51221;&#55148;\EXCEL&#44204;&#51201;\D\DLJ-F0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4053;&#46041;&#54840;\&#44053;&#46041;&#54840;\MSOFFICE\EXCEL\EXAMPLES\TEST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47928;&#55148;&#49688;\C\My%20Documents\DATA\HWANG\Emerson\My%20Documents\Specification\Ben%20Korea\&#45796;&#50896;(ZENEC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WORKSHOP.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44053;&#46041;&#54840;\&#44053;&#46041;&#54840;\data\XLS\dongaest\MSOFFICE\EXCEL\EXAMPLES\CUSTOME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3423\line\LEE\&#51221;&#49328;\&#48176;&#44288;&#51613;&#5262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2003&#45380;\&#51473;&#50521;\KT&#49688;&#46020;&#44428;%20&#44256;&#44061;1&#49468;&#53440;%2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51076;&#52285;&#49688;\&#54788;&#51116;\ahjkim\&#51109;&#44592;&#44228;&#54925;\&#50857;&#5164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Oa-b\c\WORK\Project\SamSung\changwon\&#44592;&#48376;&#49444;&#44228;\&#49352;%20&#54260;&#45908;\shcwae0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3423\line\SUK\LEE2\&#50696;&#49328;\&#45225;&#5440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1076;&#52285;&#49688;\&#54788;&#51116;\ahjkim\&#44592;&#53440;&#51088;&#47308;\&#45824;&#50808;&#44277;&#4792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IMOON\&#50756;&#46020;&#54616;&#49688;\DATA\YOUNGANG\CALSHEET\GODO.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8120;&#51648;\C\MSOFFICE\EXCEL\EXAMPLES\TEST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49436;&#48260;\D\EnEproj\&#44277;&#49324;&#51473;\&#50724;&#49328;&#49884;&#52397;\&#49884;&#44277;&#46020;\&#44228;&#49328;&#4943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47928;&#55148;&#49688;\C\My%20Documents\Data\Unigraphics\My%20Documents\DATA\HWANG\&#51228;&#45768;&#52852;\&#45796;&#50896;(ZENECA).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ocuments%20and%20Settings\pc\Local%20Settings\Temporary%20Internet%20Files\OLK4\&#54620;&#49556;&#48716;&#46377;%2014F%20NHN.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WINDOWS\Temporary%20Internet%20Files\Content.IE5\5X34ASQ8\My%20Documents\JOB\&#44553;&#50668;&#44288;&#47532;&#54532;&#47196;&#44536;&#47016;%202001%20v1_1\&#44553;&#50668;&#44288;&#47532;&#54532;&#47196;&#44536;&#47016;%202001%20v1.0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My%20Documents\&#44368;&#48372;&#51613;&#44428;\LOTUS\&#44144;&#51228;&#46020;\&#44144;&#51228;&#4602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2003&#45380;\&#51473;&#50521;\&#51060;&#51012;&#51456;\K.L.G\&#50504;&#55141;&#52488;&#46321;\&#45236;&#50669;\K.L.G\00-15(&#44160;&#45800;&#44256;)-16\&#45236;&#50669;\&#51109;&#54617;&#44148;&#49444;(&#54616;&#46020;&#44553;).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lgekrhqms18.lge.com/My%20Documents/&#44368;&#48372;&#51613;&#44428;/LOTUS/&#44144;&#51228;&#46020;/&#44144;&#51228;&#4602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WINDOWS\Temporary%20Internet%20Files\Content.IE5\5X34ASQ8\My%20Documents\JOB\&#44204;&#51201;(&#50672;&#49845;).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WINDOWS\Temporary%20Internet%20Files\Content.IE5\5X34ASQ8\My%20Documents\JOB\WINDOWS\TEMP\&#44553;&#50668;&#44288;&#47532;&#50672;&#49845;.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Documents%20and%20Settings\All%20Users\Documents\&#51060;&#51012;&#51456;\&#44277;&#49324;&#49436;&#47448;\&#45236;&#50669;\&#49444;&#44228;&#48320;&#44221;\&#49444;&#44228;&#48320;&#44221;&#45236;&#50669;(&#50504;&#55141;&#52488;).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notesm1.doosanheavy.com:1092/photo%20edit/&#50896;&#51088;&#4714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4889;&#47564;&#49453;\C\My%20Documents\Data\Unigraphics\My%20Documents\DATA\HWANG\&#51228;&#45768;&#52852;\&#45796;&#50896;(ZENEC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WINDOWS\Temporary%20Internet%20Files\Content.IE5\5X34ASQ8\My%20Documents\JOB\&#44553;&#50668;&#44288;&#47532;&#54532;&#47196;&#44536;&#47016;%202001%20v1_1\3-1.&#44592;&#53440;&#50629;&#47924;\&#51452;&#49885;&#50577;&#49688;&#46020;\&#51452;&#49885;&#50577;&#49688;&#46020;&#54532;&#47196;&#44536;&#47016;\&#51452;&#49885;&#50577;&#49688;&#46020;&#54532;&#47196;&#44536;&#47016;%20V2.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lgekrhqms28.lge.com/My%20Documents/&#44368;&#48372;&#51613;&#44428;/LOTUS/&#44144;&#51228;&#46020;/&#44144;&#51228;&#460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SE08010\&#44277;&#50976;\WINDOWS\TEMP\$WC\GODO.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SE08010\&#44277;&#50976;\DATA\YOUNGANG\CALSHEET\GODO.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51060;&#48120;&#51648;\C\DATA\XLS\DONGAEST\MSOFFICE\EXCEL\EXAMPLES\CUSTOMER.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UNG\SharedDocs\USER\My%20Documents\NAME.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51204;&#54617;&#54665;-1\89%20&#51204;&#48120;&#44221;&#55148;\DOCUME~1\DOM1\LOCALS~1\Temp\windows\TEMP\2000&#45380;%20&#48516;&#44592;&#48372;&#44256;&#49436;\2000-1&#48516;&#4459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JJJ90\&#51116;&#51221;&#48512;\Windows\&#48148;&#53461;%20&#54868;&#47732;\&#51116;&#51221;&#48512;\&#51060;&#51088;&#48516;&#49437;\&#51648;&#44553;&#51060;&#51088;\98&#45380;&#44036;&#48516;&#4459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LOTUS\&#44144;&#51228;&#46020;\&#44144;&#51228;&#460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기초"/>
      <sheetName val="건축"/>
      <sheetName val="지표"/>
      <sheetName val="임대"/>
      <sheetName val="공정"/>
      <sheetName val="건설기간분석"/>
      <sheetName val="운영기간분석"/>
      <sheetName val="Dash Board"/>
      <sheetName val="목표세부명세"/>
      <sheetName val="Assumption"/>
      <sheetName val="A생명98"/>
      <sheetName val="TOWER 12TON"/>
      <sheetName val="TOWER 10TON"/>
      <sheetName val="JIB CRANE,HOIST"/>
      <sheetName val="5층 건축물대장 등기 예정"/>
      <sheetName val="층별면적표-060411-5층 통합"/>
      <sheetName val="서피070607"/>
      <sheetName val="재원조달"/>
      <sheetName val="손익"/>
      <sheetName val="현금흐름"/>
      <sheetName val="2F 회의실견적(5_14 일대)"/>
      <sheetName val="노무비"/>
      <sheetName val="Utility Usage YTN TOWER"/>
      <sheetName val="Dash_Board"/>
      <sheetName val="TOWER_12TON"/>
      <sheetName val="TOWER_10TON"/>
      <sheetName val="JIB_CRANE,HOIST"/>
      <sheetName val="5층_건축물대장_등기_예정"/>
      <sheetName val="층별면적표-060411-5층_통합"/>
      <sheetName val="시산표"/>
      <sheetName val="정부노임단가"/>
      <sheetName val="미납중도금후납시"/>
      <sheetName val="Base"/>
      <sheetName val="대구"/>
      <sheetName val="용연"/>
      <sheetName val="울산"/>
      <sheetName val="#REF"/>
      <sheetName val="구미"/>
      <sheetName val="광주"/>
      <sheetName val="언양"/>
      <sheetName val="진천"/>
      <sheetName val="중연"/>
      <sheetName val="대출금_분양율별민감도_토지비수익권"/>
      <sheetName val="손익분석"/>
      <sheetName val="사업보고"/>
      <sheetName val="CF"/>
      <sheetName val="A"/>
      <sheetName val="Dropdown list"/>
      <sheetName val="1ST"/>
      <sheetName val="Budget"/>
      <sheetName val="간이연락"/>
      <sheetName val="유림골조"/>
      <sheetName val="공통비(전체)"/>
      <sheetName val="유림총괄"/>
      <sheetName val="master"/>
      <sheetName val="Prices"/>
      <sheetName val="仲介業者"/>
      <sheetName val="DataWP"/>
      <sheetName val="Dash_Board1"/>
      <sheetName val="TOWER_12TON1"/>
      <sheetName val="TOWER_10TON1"/>
      <sheetName val="JIB_CRANE,HOIST1"/>
      <sheetName val="5층_건축물대장_등기_예정1"/>
      <sheetName val="층별면적표-060411-5층_통합1"/>
      <sheetName val="2F_회의실견적(5_14_일대)"/>
      <sheetName val="Utility_Usage_YTN_TOWER"/>
      <sheetName val="단독빌딩 총합계본"/>
      <sheetName val="일위대가(계측기설치)"/>
      <sheetName val="BCPAB"/>
      <sheetName val="fy09 ~12 erp"/>
      <sheetName val="fy09 erp"/>
      <sheetName val="Sheet1"/>
      <sheetName val="재료비"/>
      <sheetName val="list"/>
      <sheetName val="Raw data_카테고리별 매출"/>
      <sheetName val="Raw data_시설전체_일간,주간_매출&amp;트래픽"/>
      <sheetName val="Mapping"/>
      <sheetName val="Dash_Board2"/>
      <sheetName val="TOWER_12TON2"/>
      <sheetName val="TOWER_10TON2"/>
      <sheetName val="JIB_CRANE,HOIST2"/>
      <sheetName val="5층_건축물대장_등기_예정2"/>
      <sheetName val="층별면적표-060411-5층_통합2"/>
      <sheetName val="2F_회의실견적(5_14_일대)1"/>
      <sheetName val="Utility_Usage_YTN_TOWER1"/>
      <sheetName val="Dropdown_list"/>
      <sheetName val="fy09_~12_erp"/>
      <sheetName val="fy09_erp"/>
      <sheetName val="단독빌딩_총합계본"/>
      <sheetName val="Raw_data_카테고리별_매출"/>
      <sheetName val="Raw_data_시설전체_일간,주간_매출&amp;트래픽"/>
      <sheetName val="공문"/>
      <sheetName val="Sheet4"/>
      <sheetName val="표지"/>
      <sheetName val="날개벽수량표"/>
      <sheetName val="B"/>
      <sheetName val="I-Données_de_base"/>
      <sheetName val="BESOINS  MOS"/>
      <sheetName val="인원계획-미화"/>
      <sheetName val="建物概要 (2)"/>
      <sheetName val="7.Utility Analysis"/>
      <sheetName val="Operational Activities"/>
      <sheetName val="7_Utility_Analysis"/>
      <sheetName val="Operational_Activities"/>
      <sheetName val="추가공정(내역서)"/>
      <sheetName val="기계"/>
      <sheetName val="기성내역"/>
      <sheetName val="マスタ"/>
      <sheetName val="안산기계장치"/>
      <sheetName val="전담운영PM"/>
    </sheetNames>
    <sheetDataSet>
      <sheetData sheetId="0" refreshError="1"/>
      <sheetData sheetId="1" refreshError="1"/>
      <sheetData sheetId="2" refreshError="1"/>
      <sheetData sheetId="3" refreshError="1"/>
      <sheetData sheetId="4" refreshError="1"/>
      <sheetData sheetId="5" refreshError="1">
        <row r="25">
          <cell r="AH25" t="str">
            <v>진 척 도</v>
          </cell>
        </row>
        <row r="26">
          <cell r="AH26" t="str">
            <v>공통가설</v>
          </cell>
        </row>
        <row r="27">
          <cell r="AH27" t="str">
            <v>건축공사</v>
          </cell>
        </row>
        <row r="28">
          <cell r="AH28" t="str">
            <v>설비공사</v>
          </cell>
        </row>
        <row r="29">
          <cell r="AH29" t="str">
            <v>전기공사</v>
          </cell>
        </row>
        <row r="30">
          <cell r="AH30" t="str">
            <v>현관비등</v>
          </cell>
        </row>
        <row r="31">
          <cell r="AH31" t="str">
            <v>누계공정</v>
          </cell>
        </row>
        <row r="33">
          <cell r="AH33" t="str">
            <v>구  분</v>
          </cell>
        </row>
        <row r="34">
          <cell r="AH34" t="str">
            <v>진 척 도</v>
          </cell>
        </row>
        <row r="35">
          <cell r="AH35" t="str">
            <v>공통가설</v>
          </cell>
        </row>
        <row r="36">
          <cell r="AH36" t="str">
            <v>건축공사</v>
          </cell>
        </row>
        <row r="37">
          <cell r="AH37" t="str">
            <v>설비공사</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인수인계"/>
      <sheetName val="추가항목"/>
      <sheetName val="목차"/>
      <sheetName val="추가목표"/>
      <sheetName val="갑지"/>
      <sheetName val="요약"/>
      <sheetName val="대비"/>
      <sheetName val="분석"/>
      <sheetName val="금융"/>
      <sheetName val="기준"/>
      <sheetName val="공정"/>
      <sheetName val="정직"/>
      <sheetName val="임직"/>
      <sheetName val="단가"/>
      <sheetName val="보험안전"/>
      <sheetName val="안전반영"/>
      <sheetName val="제목"/>
      <sheetName val="공사수행방안"/>
      <sheetName val="교통대책내역"/>
      <sheetName val="공사개요"/>
      <sheetName val="실행철강하도"/>
      <sheetName val="중(1공구)"/>
      <sheetName val="중(2공구)"/>
      <sheetName val="실행(1공구)"/>
      <sheetName val="무늬목판넬단가분석 (2)"/>
      <sheetName val="도급액분석"/>
      <sheetName val="내역"/>
      <sheetName val="건축집계"/>
      <sheetName val="금액내역서"/>
      <sheetName val="#REF"/>
      <sheetName val="1공구(을)"/>
      <sheetName val="Sheet2"/>
      <sheetName val="타일"/>
      <sheetName val="소비자가"/>
      <sheetName val="영종도IBC실행결재"/>
      <sheetName val="하도급정산품의서"/>
      <sheetName val="집계표"/>
      <sheetName val="건축"/>
      <sheetName val="단가조사"/>
      <sheetName val="금호"/>
      <sheetName val="집계"/>
      <sheetName val="0226"/>
      <sheetName val="01"/>
      <sheetName val="유림골조"/>
      <sheetName val="공통부대비"/>
      <sheetName val="SUMMARY"/>
      <sheetName val="인사자료총집계"/>
      <sheetName val=" 견적서"/>
      <sheetName val="총괄"/>
      <sheetName val="선급금지급청구서"/>
      <sheetName val="목표세부명세"/>
      <sheetName val="공문"/>
      <sheetName val="입찰안"/>
      <sheetName val="구산초등학교"/>
      <sheetName val="220 (2)"/>
      <sheetName val="평3"/>
      <sheetName val="일위대가"/>
      <sheetName val="연령현황"/>
      <sheetName val="을-ATYPE"/>
      <sheetName val="내역서변경성원"/>
      <sheetName val="연습"/>
      <sheetName val="데이타"/>
      <sheetName val="식재인부"/>
      <sheetName val="연돌일위집계"/>
      <sheetName val="6PILE  (돌출)"/>
      <sheetName val="전기 내역서(1차)"/>
      <sheetName val="SG"/>
      <sheetName val="Breakdown"/>
      <sheetName val="UnitRate"/>
      <sheetName val="남양주부대"/>
      <sheetName val="Sheet1"/>
      <sheetName val="DATA2000"/>
      <sheetName val="설산1.나"/>
      <sheetName val="본사S"/>
      <sheetName val="전기"/>
      <sheetName val="ELECTRIC"/>
      <sheetName val="SCHEDULE"/>
      <sheetName val="CTEMCOST"/>
      <sheetName val="총물량"/>
      <sheetName val="금융비용"/>
      <sheetName val="무늬목판넬단가분석_(2)"/>
      <sheetName val="_견적서"/>
      <sheetName val="220_(2)"/>
      <sheetName val="6PILE__(돌출)"/>
      <sheetName val="전기_내역서(1차)"/>
      <sheetName val="설산1_나"/>
      <sheetName val="0.0ControlSheet"/>
      <sheetName val="부하계산서"/>
      <sheetName val="현장지지물물량"/>
      <sheetName val="정부노임단가"/>
      <sheetName val="단위세대물량"/>
      <sheetName val="물량표"/>
      <sheetName val="일위대가목차"/>
      <sheetName val="동해title"/>
      <sheetName val="총괄표"/>
      <sheetName val="교수설계"/>
      <sheetName val="품셈TABLE"/>
      <sheetName val="COVER"/>
      <sheetName val="Total"/>
      <sheetName val="갑지1"/>
      <sheetName val="토목내역서"/>
      <sheetName val="건축내역서"/>
      <sheetName val="기계내역서"/>
      <sheetName val="전기내역서"/>
      <sheetName val="통신내역서"/>
      <sheetName val="소방내역서"/>
      <sheetName val="수량산출"/>
      <sheetName val="A-4"/>
      <sheetName val="공종별집계표 0단계"/>
      <sheetName val="공사비증감"/>
      <sheetName val="정산합의서"/>
      <sheetName val="시중노임단가"/>
      <sheetName val="평가데이터"/>
      <sheetName val="Project Brief"/>
      <sheetName val="1-1"/>
      <sheetName val="간접"/>
      <sheetName val="간접비"/>
      <sheetName val="원가계산서(남측)"/>
      <sheetName val="가로등"/>
      <sheetName val="공사내역"/>
      <sheetName val="내역서"/>
      <sheetName val="설계내역서"/>
      <sheetName val="N賃率-職"/>
      <sheetName val="실행"/>
      <sheetName val="PAINT"/>
      <sheetName val="DATA"/>
      <sheetName val="개산공사비"/>
      <sheetName val="노임이"/>
      <sheetName val="1공구Ȩ_x0000_ꠀ"/>
      <sheetName val="1ST"/>
      <sheetName val="6호기"/>
      <sheetName val="선홈통"/>
      <sheetName val="공통비(전체)"/>
      <sheetName val="토목공사"/>
      <sheetName val="새공통(96임금인상기준)"/>
      <sheetName val="비교1"/>
      <sheetName val="유림총괄"/>
      <sheetName val="단가표"/>
      <sheetName val="의뢰서"/>
      <sheetName val="무늬목판넬단가분석_(2)1"/>
      <sheetName val="프랜트면허"/>
      <sheetName val="LIST"/>
      <sheetName val="표"/>
      <sheetName val="참조_세부공종코드"/>
      <sheetName val="Option"/>
      <sheetName val="1공구Ȩ"/>
      <sheetName val="아파트 "/>
      <sheetName val="경량공사물량산출서_05.10.xlsx"/>
      <sheetName val="TRE TABLE"/>
      <sheetName val="3.공통공사대비"/>
      <sheetName val="연수동"/>
      <sheetName val="차액보증"/>
      <sheetName val="갑지(추정)"/>
      <sheetName val="실행내역"/>
      <sheetName val="1.취수장"/>
      <sheetName val="시험연구비상각"/>
      <sheetName val="견적대비표"/>
      <sheetName val="1공구Ȩ_x005f_x0000_ꠀ"/>
      <sheetName val="Sheet4"/>
      <sheetName val="이음정착"/>
      <sheetName val="1공구Ȩ_x005f_x005f_x005f_x0000_ꠀ"/>
      <sheetName val="석공사"/>
      <sheetName val="조명시설"/>
      <sheetName val="내역표지"/>
      <sheetName val="부속동"/>
      <sheetName val="공현기준"/>
      <sheetName val="200"/>
      <sheetName val="득점현황"/>
      <sheetName val="소요자재"/>
      <sheetName val="일위대가 (호표)"/>
      <sheetName val="와동25-3(변경)"/>
      <sheetName val="조직도"/>
      <sheetName val="인원"/>
      <sheetName val="1공구Ȩ_x005f_x005f_x005f_x005f_x005f_x005f_x005f_x0000_ꠀ"/>
      <sheetName val="무늬목판넬단가분석_(2)2"/>
      <sheetName val="_견적서1"/>
      <sheetName val="220_(2)1"/>
      <sheetName val="6PILE__(돌출)1"/>
      <sheetName val="전기_내역서(1차)1"/>
      <sheetName val="설산1_나1"/>
      <sheetName val="0_0ControlSheet"/>
      <sheetName val="공종별집계표_0단계"/>
      <sheetName val="Project_Brief"/>
      <sheetName val="아파트_"/>
      <sheetName val="경량공사물량산출서_05_10_xlsx"/>
      <sheetName val="TRE_TABLE"/>
      <sheetName val="3_공통공사대비"/>
      <sheetName val="1_취수장"/>
      <sheetName val="부서코드표"/>
      <sheetName val="_x0002__x0000__x0000__x0000_x"/>
      <sheetName val="_x0000__x0000__x0000__x0001__x0000__x0000__x0008_ÁD¾Ç_x0000_¬_x0008__x0000__x0001_XÕÄ³ ®_x0015_È°ÀÔX"/>
      <sheetName val=""/>
      <sheetName val="_x0002_"/>
      <sheetName val="갑지(인테리어수량산출서)"/>
      <sheetName val="정렬"/>
      <sheetName val="자재단가"/>
      <sheetName val="입찰내역 발주처 양식"/>
      <sheetName val="_x0002__x0000__x0000__x0000_x‚"/>
      <sheetName val="_x0000__x0000__x0000__x0001__x0000__x0000__x0008_ŒÁD¾Ç_x0000_¬_x0008__x0000__x0001_XÕÄ³ ®_x0015_È°ÀˆÔX"/>
      <sheetName val="Sheet186"/>
      <sheetName val="1공구Ȩ_x005f_x005f_x005f_x005f_x005f_x005f_x005f_x005f_x0"/>
      <sheetName val="입찰"/>
      <sheetName val="현경"/>
      <sheetName val="공통가설"/>
      <sheetName val="Sheet5"/>
      <sheetName val="Details"/>
      <sheetName val="_x005f_x0002__x005f_x0000__x005f_x0000__x005f_x0000_x"/>
      <sheetName val="_x005f_x0000__x005f_x0000__x005f_x0000__x005f_x0001__x0"/>
      <sheetName val="_x005f_x0002_"/>
      <sheetName val="TOWER 12TON"/>
      <sheetName val="TOWER 10TON"/>
      <sheetName val="JIB CRANE,HOIST"/>
      <sheetName val="약품공급2"/>
      <sheetName val="Sheet3"/>
      <sheetName val="96노임기준"/>
      <sheetName val="_x0000__x0000__x0000__x0001__x0000__x0000__x0008_ÁD¾Ç_x0000_¬_x0008__x0000__x0001_XÕÄ³_x0009_®_x0015_È°ÀÔX"/>
      <sheetName val="무늬목판넬단가분석_(2)3"/>
      <sheetName val="_견적서2"/>
      <sheetName val="220_(2)2"/>
      <sheetName val="6PILE__(돌출)2"/>
      <sheetName val="전기_내역서(1차)2"/>
      <sheetName val="설산1_나2"/>
      <sheetName val="0_0ControlSheet1"/>
      <sheetName val="공종별집계표_0단계1"/>
      <sheetName val="Project_Brief1"/>
      <sheetName val="아파트_1"/>
      <sheetName val="경량공사물량산출서_05_10_xlsx1"/>
      <sheetName val="TRE_TABLE1"/>
      <sheetName val="3_공통공사대비1"/>
      <sheetName val="1_취수장1"/>
      <sheetName val="일위대가_(호표)"/>
      <sheetName val="x"/>
      <sheetName val="ÁD¾Ç¬XÕÄ³_®È°ÀÔX"/>
      <sheetName val="입찰내역_발주처_양식"/>
      <sheetName val="몰탈콘크리트"/>
      <sheetName val="철근집계"/>
      <sheetName val="을지"/>
      <sheetName val="MTO REV.2(ARMOR)"/>
      <sheetName val="시산표"/>
      <sheetName val="노임단가"/>
      <sheetName val="6MONTHS"/>
      <sheetName val="98지급계획"/>
      <sheetName val="실행내역서"/>
      <sheetName val="F4-F7"/>
      <sheetName val="RAB AR&amp;STR"/>
      <sheetName val="발주현황"/>
      <sheetName val="B동내역"/>
      <sheetName val="#3_일위대가목록"/>
      <sheetName val="8.PILE  (돌출)"/>
      <sheetName val="품셈"/>
      <sheetName val="무늬목판넬단가분석_(2)4"/>
      <sheetName val="_견적서3"/>
      <sheetName val="220_(2)3"/>
      <sheetName val="6PILE__(돌출)3"/>
      <sheetName val="전기_내역서(1차)3"/>
      <sheetName val="설산1_나3"/>
      <sheetName val="0_0ControlSheet2"/>
      <sheetName val="공종별집계표_0단계2"/>
      <sheetName val="Project_Brief2"/>
      <sheetName val="아파트_2"/>
      <sheetName val="경량공사물량산출서_05_10_xlsx2"/>
      <sheetName val="TRE_TABLE2"/>
      <sheetName val="3_공통공사대비2"/>
      <sheetName val="1_취수장2"/>
      <sheetName val="일위대가_(호표)1"/>
      <sheetName val="입찰내역_발주처_양식1"/>
      <sheetName val="x‚"/>
      <sheetName val="ŒÁD¾Ç¬XÕÄ³_®È°ÀˆÔX"/>
      <sheetName val="TOWER_12TON"/>
      <sheetName val="TOWER_10TON"/>
      <sheetName val="JIB_CRANE,HOIST"/>
      <sheetName val="ÁD¾Ç¬XÕÄ³ ®È°ÀÔX"/>
      <sheetName val="본선 토공 분배표"/>
      <sheetName val="공사요율"/>
      <sheetName val="MTO_REV_2(ARMOR)"/>
      <sheetName val="RAB_AR&amp;STR"/>
      <sheetName val="본선_토공_분배표"/>
      <sheetName val="급수 (LPM)"/>
      <sheetName val=" 냉각수펌프"/>
      <sheetName val="프로젝트"/>
      <sheetName val="VS P-Q"/>
      <sheetName val="답십리"/>
      <sheetName val="영등포1"/>
      <sheetName val="영등포-1"/>
      <sheetName val="길음7"/>
      <sheetName val="Repair"/>
      <sheetName val="Consumable"/>
      <sheetName val="Spare parts"/>
      <sheetName val="Recondition"/>
      <sheetName val="기본원칙"/>
      <sheetName val="주요지표"/>
      <sheetName val=" PL"/>
      <sheetName val="매출액명세"/>
      <sheetName val="매출원가명세"/>
      <sheetName val="매출이익명세"/>
      <sheetName val="인력계획"/>
      <sheetName val="인건비"/>
      <sheetName val="판관비-공통"/>
      <sheetName val="판관비-기타경비명세"/>
      <sheetName val="기타&amp;특별수지 명세"/>
      <sheetName val="매출채권산출"/>
      <sheetName val="재고자산산출"/>
      <sheetName val="수입계획"/>
      <sheetName val="매입채무산출"/>
      <sheetName val="투자계획"/>
      <sheetName val="이자비용"/>
      <sheetName val="BS"/>
      <sheetName val="BS계정"/>
      <sheetName val="ROIC"/>
      <sheetName val=" Cash Flow"/>
      <sheetName val="Sensible Indicator"/>
      <sheetName val="10현장조직"/>
      <sheetName val="전제조건"/>
      <sheetName val="관로내역원"/>
      <sheetName val="간지"/>
      <sheetName val="2006년 제조경비 추정"/>
      <sheetName val="제조경비 계획"/>
      <sheetName val="2006년 일반관리비 추정"/>
      <sheetName val="일반관리비계획"/>
      <sheetName val="지급수수료"/>
      <sheetName val="제작비"/>
      <sheetName val="잡급 (일반)"/>
      <sheetName val="복리후생비 (일반)"/>
      <sheetName val="여비교통비 (일반)"/>
      <sheetName val="통신비 (일반)"/>
      <sheetName val="세금과공과 (일반)"/>
      <sheetName val="지급임차료 (일반)"/>
      <sheetName val="감가상각비 (일반)"/>
      <sheetName val="수선비 (일반)"/>
      <sheetName val="보험료 (일반)"/>
      <sheetName val="접대비 (일반)"/>
      <sheetName val="광고선전비(일반)"/>
      <sheetName val="지급수수료 (일반)"/>
      <sheetName val="교육훈련비 (일반)"/>
      <sheetName val="도서인쇄비 (일반)"/>
      <sheetName val="사무비 (일반)"/>
      <sheetName val="소모품비 (일반)"/>
      <sheetName val="운반비 (일반)"/>
      <sheetName val="지급용역비 (일반)"/>
      <sheetName val="2000년1차"/>
      <sheetName val="2000전체분"/>
      <sheetName val="RE9604"/>
      <sheetName val="자금운용계획표"/>
      <sheetName val="자료"/>
      <sheetName val="101동"/>
      <sheetName val="조립지적"/>
      <sheetName val="해외 기술훈련비 (합계)"/>
      <sheetName val="첨부1"/>
      <sheetName val="Assumption"/>
      <sheetName val="종가"/>
      <sheetName val="당월금액"/>
      <sheetName val="자금운용표"/>
      <sheetName val="조명율표"/>
      <sheetName val="1유리"/>
      <sheetName val="재료집계표3"/>
      <sheetName val="매입"/>
      <sheetName val="지질조사"/>
      <sheetName val="견적조건"/>
      <sheetName val="잡철물"/>
      <sheetName val="조명일위"/>
      <sheetName val="세부내역"/>
      <sheetName val="비교손익계산서"/>
      <sheetName val="97출고현황(SEC)"/>
      <sheetName val="97입고현황(사내)"/>
      <sheetName val="97출고현황(매출분)"/>
      <sheetName val="채권채무조회서CS"/>
      <sheetName val="점유현황"/>
      <sheetName val="회사정보"/>
      <sheetName val="982월원안"/>
      <sheetName val="DATE"/>
      <sheetName val="8월차잔"/>
      <sheetName val="99총공사내역서"/>
      <sheetName val="controll"/>
      <sheetName val="1 자원총괄"/>
      <sheetName val="#REF!"/>
      <sheetName val="2000.05"/>
      <sheetName val="99년하반기"/>
      <sheetName val="호봉피치"/>
      <sheetName val="견적"/>
      <sheetName val="수 량 명 세 서 - 1"/>
      <sheetName val="4.전기"/>
      <sheetName val="설비2차"/>
      <sheetName val="배수내역"/>
      <sheetName val="무늬목판넬단가분석_(2)5"/>
      <sheetName val="_견적서4"/>
      <sheetName val="220_(2)4"/>
      <sheetName val="설산1_나4"/>
      <sheetName val="6PILE__(돌출)4"/>
      <sheetName val="전기_내역서(1차)4"/>
      <sheetName val="0_0ControlSheet3"/>
      <sheetName val="공종별집계표_0단계3"/>
      <sheetName val="Project_Brief3"/>
      <sheetName val="아파트_3"/>
      <sheetName val="경량공사물량산출서_05_10_xlsx3"/>
      <sheetName val="TRE_TABLE3"/>
      <sheetName val="3_공통공사대비3"/>
      <sheetName val="1_취수장3"/>
      <sheetName val="일위대가_(호표)2"/>
      <sheetName val="입찰내역_발주처_양식2"/>
      <sheetName val="TOWER_12TON1"/>
      <sheetName val="TOWER_10TON1"/>
      <sheetName val="JIB_CRANE,HOIST1"/>
      <sheetName val="MTO_REV_2(ARMOR)1"/>
      <sheetName val="RAB_AR&amp;STR1"/>
      <sheetName val="본선_토공_분배표1"/>
      <sheetName val="8_PILE__(돌출)"/>
      <sheetName val="ÁD¾Ç¬XÕÄ³_®È°ÀÔX1"/>
      <sheetName val="급수_(LPM)"/>
      <sheetName val="_냉각수펌프"/>
      <sheetName val="D-623D"/>
      <sheetName val="member design"/>
      <sheetName val="예가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refreshError="1"/>
      <sheetData sheetId="197"/>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refreshError="1"/>
      <sheetData sheetId="274" refreshError="1"/>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입찰안"/>
      <sheetName val="노임이"/>
      <sheetName val="노무비"/>
      <sheetName val="공통가설"/>
      <sheetName val="C-A(취합)파리"/>
      <sheetName val="첨부1"/>
      <sheetName val="시멘트"/>
      <sheetName val="ADR"/>
      <sheetName val="A4288"/>
      <sheetName val="수입"/>
      <sheetName val="간접"/>
      <sheetName val="집계표"/>
      <sheetName val="손익"/>
      <sheetName val="현금흐름"/>
      <sheetName val="SG"/>
      <sheetName val="수정시산표"/>
      <sheetName val="주택"/>
      <sheetName val="주택(백만원)"/>
      <sheetName val="신공항A-9(원가수정)"/>
      <sheetName val="손익분석"/>
      <sheetName val="KUNGDEVI"/>
      <sheetName val="자바라1"/>
      <sheetName val="그래프"/>
      <sheetName val="관로내역원"/>
      <sheetName val="SUMMARY"/>
      <sheetName val="PAINT"/>
      <sheetName val="GDP"/>
      <sheetName val="손익기01"/>
      <sheetName val="5Traffic1"/>
      <sheetName val="부문인원3"/>
      <sheetName val="CTEMCOST"/>
      <sheetName val="ELECTRIC"/>
      <sheetName val="COL"/>
      <sheetName val="Sheet1"/>
      <sheetName val="동선(을)"/>
      <sheetName val="전계가"/>
      <sheetName val="예가표"/>
      <sheetName val="원가계산서"/>
      <sheetName val="금액내역서"/>
      <sheetName val="인사자료총집계"/>
      <sheetName val="Training"/>
      <sheetName val="Facility Information"/>
      <sheetName val="General"/>
      <sheetName val="Instructions"/>
      <sheetName val="People"/>
      <sheetName val="Quality"/>
      <sheetName val="Risk"/>
      <sheetName val="주차"/>
      <sheetName val="설계내역서"/>
      <sheetName val="공사개요"/>
      <sheetName val="실행내역"/>
      <sheetName val="내역"/>
      <sheetName val="금융비용"/>
      <sheetName val="공통비총괄표"/>
      <sheetName val="기계경비(시간당)"/>
      <sheetName val="램머"/>
      <sheetName val="호프"/>
      <sheetName val="현장관리비"/>
      <sheetName val="수주현황2월"/>
      <sheetName val="산근"/>
      <sheetName val="여흥"/>
      <sheetName val="감독1130"/>
      <sheetName val="APT"/>
      <sheetName val="b_balju (2)"/>
      <sheetName val="b_gunmul"/>
      <sheetName val="  한국 AMP ASP-23 판매가격  "/>
      <sheetName val="금융"/>
      <sheetName val="결재인"/>
      <sheetName val="변경실행(2차) "/>
      <sheetName val="CC Down load 0716"/>
      <sheetName val="화물2팀"/>
      <sheetName val="bm(CIcable)"/>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01"/>
      <sheetName val="단가"/>
      <sheetName val="나.출고"/>
      <sheetName val="나.입고"/>
      <sheetName val="8월차잔"/>
      <sheetName val="유동성사채"/>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공사비집계"/>
      <sheetName val="SCHEDULE"/>
      <sheetName val="ABUT수량-A1"/>
      <sheetName val="갑지(추정)"/>
      <sheetName val="견적의뢰"/>
      <sheetName val="화의-현금흐름"/>
      <sheetName val="#REF"/>
      <sheetName val="유림골조"/>
      <sheetName val="기본DATA"/>
      <sheetName val="추가예산"/>
      <sheetName val="노임단가"/>
      <sheetName val="982월원안"/>
      <sheetName val="내역서"/>
      <sheetName val="TR제작사양"/>
      <sheetName val="실행철강하도"/>
      <sheetName val="재료"/>
      <sheetName val="시산표(매출조정전)"/>
      <sheetName val="요약"/>
      <sheetName val="감가상각"/>
      <sheetName val="인원계획-미화"/>
      <sheetName val="Sheet13"/>
      <sheetName val="Sheet14"/>
      <sheetName val="회사정보"/>
      <sheetName val="A"/>
      <sheetName val="Prices"/>
      <sheetName val="Calen"/>
      <sheetName val="물량표"/>
      <sheetName val="장기대여금1"/>
      <sheetName val="表21 净利润调节表"/>
      <sheetName val="월말명세0912"/>
      <sheetName val="11.외화채무증권(AFS,HTM)08"/>
      <sheetName val="Hedge09"/>
      <sheetName val="13.감액TEST_08"/>
      <sheetName val="해외채권"/>
      <sheetName val="BS09"/>
      <sheetName val="상각스케쥴(조정)"/>
      <sheetName val="Variables"/>
      <sheetName val="제조원가 원단위 분석"/>
      <sheetName val="종합표양식(품의 &amp; 입고)_2"/>
      <sheetName val="JUCKEYK"/>
      <sheetName val="원가관리 (동월대비)"/>
      <sheetName val="45,46"/>
      <sheetName val="방배동내역(리라)"/>
      <sheetName val="총괄내역서"/>
      <sheetName val="익월수주전망"/>
      <sheetName val="980731"/>
      <sheetName val="광곡세부내역"/>
      <sheetName val="DATA"/>
      <sheetName val="실적공사"/>
      <sheetName val="업무처리전"/>
      <sheetName val="2연암거"/>
      <sheetName val="경사수로집계표"/>
      <sheetName val="경사수로"/>
      <sheetName val="진입교량"/>
      <sheetName val="S&amp;R"/>
      <sheetName val="점수계산1-2"/>
      <sheetName val="6PILE  (돌출)"/>
      <sheetName val="기성청구 공문"/>
      <sheetName val="IW-LIST"/>
      <sheetName val="SO416"/>
      <sheetName val="개발비자산성검토"/>
      <sheetName val="가공MH"/>
      <sheetName val="08년(Form1)"/>
      <sheetName val="입찰내역서"/>
      <sheetName val="지점장"/>
      <sheetName val="부서코드표"/>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93"/>
      <sheetName val="2-2.매출분석"/>
      <sheetName val="중기조종사 단위단가"/>
      <sheetName val="완제품3"/>
      <sheetName val="영동(D)"/>
      <sheetName val="비가동-20"/>
      <sheetName val="손익현황"/>
      <sheetName val="현황CODE"/>
      <sheetName val="SIL98"/>
      <sheetName val="예정(3)"/>
      <sheetName val="동원(3)"/>
      <sheetName val="시산표"/>
      <sheetName val="역T형"/>
      <sheetName val="woo(mac)"/>
      <sheetName val="MIBK원단위"/>
      <sheetName val="RECIMAKE"/>
      <sheetName val="Proposal"/>
      <sheetName val="일위대가표"/>
      <sheetName val="MIJIBI"/>
      <sheetName val="Total"/>
      <sheetName val="XZLC004_PART2"/>
      <sheetName val="XZLC003_PART1"/>
      <sheetName val="토목검측서"/>
      <sheetName val="A-100전제"/>
      <sheetName val="몰드시스템 리스트"/>
      <sheetName val="정비손익"/>
      <sheetName val="200"/>
      <sheetName val="Borrower"/>
      <sheetName val="7 (2)"/>
      <sheetName val="원가(통신)"/>
      <sheetName val="중요02월25일"/>
      <sheetName val="정산표"/>
      <sheetName val="단가추이"/>
      <sheetName val="경유량추이"/>
      <sheetName val="단가산출"/>
      <sheetName val="Sheet1 (2)"/>
      <sheetName val="공통부대관리"/>
      <sheetName val="표지"/>
      <sheetName val="설비원가"/>
      <sheetName val="A-4"/>
      <sheetName val="SM1-09"/>
      <sheetName val="SM2-09"/>
      <sheetName val="BD-09"/>
      <sheetName val="CAUDIT"/>
      <sheetName val="조명시설"/>
      <sheetName val="원가계산하도"/>
      <sheetName val="총내역서"/>
      <sheetName val="2.총괄표"/>
      <sheetName val="일위대가"/>
      <sheetName val="LinerWt"/>
      <sheetName val="37개월"/>
      <sheetName val="주형"/>
      <sheetName val="sum1 (2)"/>
      <sheetName val="적격"/>
      <sheetName val="RE9604"/>
      <sheetName val="평가제외"/>
      <sheetName val="하수급견적대비"/>
      <sheetName val="12년 CF(9월)"/>
      <sheetName val="13월별BS"/>
      <sheetName val="집행내역"/>
      <sheetName val="양식3"/>
      <sheetName val="97년추정손익계산서"/>
      <sheetName val="대비표"/>
      <sheetName val="골조시행"/>
      <sheetName val="업무연락"/>
      <sheetName val="Ethylene"/>
      <sheetName val="월별매출"/>
      <sheetName val="ChlorAlkali"/>
      <sheetName val="VXXXXXXX"/>
      <sheetName val="월별수입"/>
      <sheetName val="차수"/>
      <sheetName val="담보"/>
      <sheetName val="1유리"/>
      <sheetName val="예적금"/>
      <sheetName val="월별손익"/>
      <sheetName val="매출"/>
      <sheetName val="퇴충"/>
      <sheetName val="Utility Usage YTN TOWER"/>
      <sheetName val="Data Validation"/>
      <sheetName val="118.세금과공과"/>
      <sheetName val="수선비"/>
      <sheetName val="재고현황"/>
      <sheetName val="발행제기"/>
      <sheetName val="2.대외공문"/>
      <sheetName val="BEST"/>
      <sheetName val="통장출금액"/>
      <sheetName val="카메라"/>
      <sheetName val="미드수량"/>
      <sheetName val="참조"/>
      <sheetName val="DATE"/>
      <sheetName val="실적"/>
      <sheetName val="단가표"/>
      <sheetName val="물량표(신)"/>
      <sheetName val="대공종"/>
      <sheetName val="CC_Down_load_0716"/>
      <sheetName val="변경실행(2차)_"/>
      <sheetName val="나_출고"/>
      <sheetName val="나_입고"/>
      <sheetName val="09년_인건비(속리산)"/>
      <sheetName val="합산목표(감가+57_5)"/>
      <sheetName val="기성청구_공문"/>
      <sheetName val="부하계산서"/>
      <sheetName val="자재단가"/>
      <sheetName val="3.바닥판설계"/>
      <sheetName val="504전기실 동부하-L"/>
      <sheetName val="Sheet15"/>
      <sheetName val="Sheet9"/>
      <sheetName val="DUT-BAT1"/>
      <sheetName val="적용건축"/>
      <sheetName val="감가상각비"/>
      <sheetName val="양식(직판용)"/>
      <sheetName val="部署名"/>
      <sheetName val="車両別燃費及び油類単価"/>
      <sheetName val="1_종합손익(도급)1"/>
      <sheetName val="slipsumpR"/>
      <sheetName val="推移グラフ"/>
      <sheetName val="참조시트"/>
      <sheetName val="BAND(200)"/>
      <sheetName val="OUTER AREA(겹침없음)"/>
      <sheetName val="EG-09"/>
      <sheetName val="M3산출"/>
      <sheetName val="EL 표면적"/>
      <sheetName val="현장지지물물량"/>
      <sheetName val="FAB"/>
      <sheetName val="Year"/>
      <sheetName val="조정내역"/>
      <sheetName val="CF6"/>
      <sheetName val="P.M 별"/>
      <sheetName val="FRQ"/>
      <sheetName val="기준"/>
      <sheetName val="공정"/>
      <sheetName val="요약PL"/>
      <sheetName val="교각계산"/>
      <sheetName val="세부내역서"/>
      <sheetName val="D-623D"/>
      <sheetName val="BQMPALOC"/>
      <sheetName val="조경"/>
      <sheetName val="TRE TABLE"/>
      <sheetName val="C3"/>
      <sheetName val="입찰보고"/>
      <sheetName val="공통비(전체)"/>
      <sheetName val="토목공사"/>
      <sheetName val="새공통(96임금인상기준)"/>
      <sheetName val="비교1"/>
      <sheetName val="유림총괄"/>
      <sheetName val="산출근거"/>
      <sheetName val="일위(토목)"/>
      <sheetName val="품셈TABLE"/>
      <sheetName val="슬래브"/>
      <sheetName val="품셈표"/>
      <sheetName val="갑근세납세필증명원"/>
      <sheetName val="주현(해보)"/>
      <sheetName val="주현(영광)"/>
      <sheetName val="_x0018__x0000_"/>
      <sheetName val=""/>
      <sheetName val="입출재고현황 (2)"/>
      <sheetName val="입찰내역 발주처 양식"/>
      <sheetName val="실행간접비용"/>
      <sheetName val="부속동"/>
      <sheetName val="설산1.나"/>
      <sheetName val="본사S"/>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__한국_AMP_ASP-23_판매가격__"/>
      <sheetName val="b_balju_(2)"/>
      <sheetName val="Facility_Information"/>
      <sheetName val="제조원가_원단위_분석"/>
      <sheetName val="종합표양식(품의_&amp;_입고)_2"/>
      <sheetName val="원가관리_(동월대비)"/>
      <sheetName val="2-2_매출분석"/>
      <sheetName val="6PILE__(돌출)"/>
      <sheetName val="중기조종사_단위단가"/>
      <sheetName val="몰드시스템_리스트"/>
      <sheetName val="7_(2)"/>
      <sheetName val="11_외화채무증권(AFS,HTM)08"/>
      <sheetName val="13_감액TEST_08"/>
      <sheetName val="Sheet1_(2)"/>
      <sheetName val="表21_净利润调节表"/>
      <sheetName val="0001new"/>
      <sheetName val="단가(반정3교-원주)"/>
      <sheetName val="월별예산"/>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설계명세서"/>
      <sheetName val="전신환매도율"/>
      <sheetName val="경비"/>
      <sheetName val="CC16-내역서"/>
      <sheetName val="Y-WORK"/>
      <sheetName val="건축내역"/>
      <sheetName val="공사비예산서(토목분)"/>
      <sheetName val="일위대가(계측기설치)"/>
      <sheetName val="목록"/>
      <sheetName val="중기"/>
      <sheetName val="연돌일위집계"/>
      <sheetName val="原価センタ"/>
      <sheetName val="수지"/>
      <sheetName val="국내총괄"/>
      <sheetName val="특판제외"/>
      <sheetName val="건축공사실행"/>
      <sheetName val="건축원가"/>
      <sheetName val="5사남"/>
      <sheetName val="020114"/>
      <sheetName val="0111월"/>
      <sheetName val="Sheet4"/>
      <sheetName val="주행"/>
      <sheetName val="신공"/>
      <sheetName val="Project Brief"/>
      <sheetName val="INPUT"/>
      <sheetName val="2.주요계수총괄"/>
      <sheetName val="현금"/>
      <sheetName val="자금추ȕ"/>
      <sheetName val="찍기"/>
      <sheetName val="단가일람"/>
      <sheetName val="단위량당중기"/>
      <sheetName val="수량집계표(舊)"/>
      <sheetName val="단면 (2)"/>
      <sheetName val="한강운반비"/>
      <sheetName val="05년말(건재)"/>
      <sheetName val="동절기투입(자재)"/>
      <sheetName val="부대공"/>
      <sheetName val="GAEYO"/>
      <sheetName val="22철거수량"/>
      <sheetName val="합천내역"/>
      <sheetName val="전기단가조사서"/>
      <sheetName val="MEMORY"/>
      <sheetName val="물량표S"/>
      <sheetName val="내역표지"/>
      <sheetName val="원가서"/>
      <sheetName val="공사비증감"/>
      <sheetName val="자금운용계획표"/>
      <sheetName val="cp-e1"/>
      <sheetName val="일위(PN)"/>
      <sheetName val="1.본사계정별"/>
      <sheetName val="YES-T"/>
      <sheetName val="1_종합손익(도급)2"/>
      <sheetName val="변경실행(2차)_1"/>
      <sheetName val="CC_Down_load_07161"/>
      <sheetName val="나_출고1"/>
      <sheetName val="나_입고1"/>
      <sheetName val="09년_인건비(속리산)1"/>
      <sheetName val="합산목표(감가+57_5)1"/>
      <sheetName val="12년_CF(9월)"/>
      <sheetName val="기성청구_공문1"/>
      <sheetName val="2_대외공문"/>
      <sheetName val="sum1_(2)"/>
      <sheetName val="3_바닥판설계"/>
      <sheetName val="504전기실_동부하-L"/>
      <sheetName val="2_총괄표"/>
      <sheetName val="OUTER_AREA(겹침없음)"/>
      <sheetName val="EL_표면적"/>
      <sheetName val="KAM설비"/>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Back Data 1"/>
      <sheetName val="1. 작성방식"/>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전도품의"/>
      <sheetName val="음료실행"/>
      <sheetName val="내역(한신APT)"/>
      <sheetName val="철골공사"/>
      <sheetName val="구성비"/>
      <sheetName val="분전함신설"/>
      <sheetName val="접지1종"/>
      <sheetName val="Sheet5"/>
      <sheetName val="설계명세서(선로)"/>
      <sheetName val="정부노임단가"/>
      <sheetName val="P-산#1-1(WOWA1)"/>
      <sheetName val="PIPE"/>
      <sheetName val="FLANGE"/>
      <sheetName val="VALVE"/>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09~10년 매출계획"/>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공정단가계약"/>
      <sheetName val="병"/>
      <sheetName val="64061000"/>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제1호"/>
      <sheetName val="차액보증"/>
      <sheetName val="공사내역"/>
      <sheetName val="1. 시공측량"/>
      <sheetName val="_x005f_x0018__x005f_x0000_"/>
      <sheetName val="자재목록"/>
      <sheetName val="BOX-1510"/>
      <sheetName val="경비2내역"/>
      <sheetName val="2_총괄표1"/>
      <sheetName val="OUTER_AREA(겹침없음)1"/>
      <sheetName val="EL_표면적1"/>
      <sheetName val="P_M_별"/>
      <sheetName val="근거 및 가정"/>
      <sheetName val="2 카드채권(대출포함)"/>
      <sheetName val="터파기및재료"/>
      <sheetName val="시화점실행"/>
      <sheetName val="품목"/>
      <sheetName val="FB25JN"/>
      <sheetName val="도"/>
      <sheetName val="의정부문예회관변경내역"/>
      <sheetName val="건축2"/>
      <sheetName val="직재"/>
      <sheetName val="PAD TR보호대기초"/>
      <sheetName val="HANDHOLE(2)"/>
      <sheetName val="가로등기초"/>
      <sheetName val="상가지급현황"/>
      <sheetName val="3본사"/>
      <sheetName val="98지급계획"/>
      <sheetName val="기초"/>
      <sheetName val="재무상태표"/>
      <sheetName val="대구경북"/>
      <sheetName val="월별손익현황"/>
      <sheetName val="서울서부"/>
      <sheetName val="부산경남"/>
      <sheetName val="서울동부"/>
      <sheetName val="인천경기"/>
      <sheetName val="중부본부"/>
      <sheetName val="호남본부"/>
      <sheetName val="15년"/>
      <sheetName val="16년"/>
      <sheetName val="총괄표"/>
      <sheetName val="수종별수량 (2)"/>
      <sheetName val="구간별수량"/>
      <sheetName val="_x005f_x0018_"/>
      <sheetName val="1.차입금"/>
      <sheetName val="choose"/>
      <sheetName val="위탁매매_1103"/>
      <sheetName val="자기매매_1103"/>
      <sheetName val="위탁매매_1109"/>
      <sheetName val="자기매매_1109"/>
      <sheetName val="FILE1"/>
      <sheetName val="FILE2"/>
      <sheetName val="6-5공구원본"/>
      <sheetName val="부대시행1"/>
      <sheetName val="부대시행1 (2)"/>
      <sheetName val="부대시행2"/>
      <sheetName val="부대토공"/>
      <sheetName val="부대철콘"/>
      <sheetName val="부대토공실"/>
      <sheetName val="부대철콘실"/>
      <sheetName val="Sheet8"/>
      <sheetName val="입찰내역_발주처_양식"/>
      <sheetName val="Data_Validation"/>
      <sheetName val="품목코드표"/>
      <sheetName val="해외 기술훈련비 (합계)"/>
      <sheetName val="접대비"/>
      <sheetName val="Bond"/>
      <sheetName val="최소가치(간편)-회계"/>
      <sheetName val="회사제시"/>
      <sheetName val="_x0018_?"/>
      <sheetName val="__"/>
      <sheetName val="Master"/>
      <sheetName val="Macro1"/>
      <sheetName val="설문 평가"/>
      <sheetName val="sheet6"/>
      <sheetName val="약품공급2"/>
      <sheetName val="인수기간별S"/>
      <sheetName val="본부유지율"/>
      <sheetName val="4-2물건누계"/>
      <sheetName val="자동차추정자료"/>
      <sheetName val="손해감소유형"/>
      <sheetName val="7"/>
      <sheetName val=" 견적서"/>
      <sheetName val="수량산출"/>
      <sheetName val="전선 및 전선관"/>
      <sheetName val="항목"/>
      <sheetName val="본문"/>
      <sheetName val="ETC"/>
      <sheetName val="95하U$가격"/>
      <sheetName val="3.6.2남양주택배"/>
      <sheetName val="Manual"/>
      <sheetName val="슬래԰"/>
      <sheetName val="슬래"/>
      <sheetName val="슬래렀"/>
      <sheetName val="슬래㰀"/>
      <sheetName val="슬래밀"/>
      <sheetName val="선급비용"/>
      <sheetName val="1월 예산"/>
      <sheetName val="슬래　"/>
      <sheetName val="슬래尀"/>
      <sheetName val="슬래⠀"/>
      <sheetName val="특외대"/>
      <sheetName val="슬래"/>
      <sheetName val="슬래堌"/>
      <sheetName val="슬래䰀"/>
      <sheetName val="11월"/>
      <sheetName val="슬래퀀"/>
      <sheetName val="슬래簀"/>
      <sheetName val="슬래瀀"/>
      <sheetName val="BD%_70s"/>
      <sheetName val="슬래鰀"/>
      <sheetName val="슬래뀀"/>
      <sheetName val="#1) 투자 구분"/>
      <sheetName val="전체철근집계"/>
      <sheetName val="명단원자료(이전)"/>
      <sheetName val="설치원가"/>
      <sheetName val="RAW"/>
      <sheetName val="노동부"/>
      <sheetName val="감액총괄표"/>
      <sheetName val="9GNG운반"/>
      <sheetName val="납부내역총괄표 (수정)"/>
      <sheetName val="배수공"/>
      <sheetName val="125PIECE"/>
      <sheetName val="부서별집계표"/>
      <sheetName val="금년실적"/>
      <sheetName val="원본"/>
      <sheetName val="B-1.기본정보"/>
      <sheetName val="소총괄표"/>
      <sheetName val="아파트연면적비율(참고1)"/>
      <sheetName val="연습"/>
      <sheetName val="기초정보"/>
      <sheetName val="1_종합손익(도급)4"/>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CC_Down_load_07163"/>
      <sheetName val="변경실행(2차)_3"/>
      <sheetName val="나_출고3"/>
      <sheetName val="나_입고3"/>
      <sheetName val="09년_인건비(속리산)3"/>
      <sheetName val="합산목표(감가+57_5)3"/>
      <sheetName val="b_balju_(2)2"/>
      <sheetName val="__한국_AMP_ASP-23_판매가격__2"/>
      <sheetName val="중기조종사_단위단가2"/>
      <sheetName val="6PILE__(돌출)2"/>
      <sheetName val="기성청구_공문3"/>
      <sheetName val="2_주요계수총괄"/>
      <sheetName val="제조원가_원단위_분석2"/>
      <sheetName val="종합표양식(품의_&amp;_입고)_22"/>
      <sheetName val="원가관리_(동월대비)2"/>
      <sheetName val="7_(2)2"/>
      <sheetName val="2-2_매출분석2"/>
      <sheetName val="몰드시스템_리스트2"/>
      <sheetName val="sum1_(2)2"/>
      <sheetName val="11_외화채무증권(AFS,HTM)082"/>
      <sheetName val="13_감액TEST_082"/>
      <sheetName val="Sheet1_(2)2"/>
      <sheetName val="3_바닥판설계2"/>
      <sheetName val="2_총괄표2"/>
      <sheetName val="12년_CF(9월)2"/>
      <sheetName val="Project_Brief"/>
      <sheetName val="表21_净利润调节表2"/>
      <sheetName val="입출재고현황_(2)"/>
      <sheetName val="2_대외공문2"/>
      <sheetName val="TRE_TABLE"/>
      <sheetName val="504전기실_동부하-L2"/>
      <sheetName val="OUTER_AREA(겹침없음)2"/>
      <sheetName val="EL_표면적2"/>
      <sheetName val="P_M_별1"/>
      <sheetName val="단면_(2)"/>
      <sheetName val="1_본사계정별"/>
      <sheetName val="전사_PL1"/>
      <sheetName val="자금_제외_PL1"/>
      <sheetName val="자금_PL1"/>
      <sheetName val="전사_BS1"/>
      <sheetName val="자금_제외_BS1"/>
      <sheetName val="자금_BS1"/>
      <sheetName val="BS_계정_설명1"/>
      <sheetName val="_Cash_Flow(전사)1"/>
      <sheetName val="_Cash_Flow(자금제외)1"/>
      <sheetName val="_Cash_Flow(자금)1"/>
      <sheetName val="ROIC_1"/>
      <sheetName val="인건비_명세1"/>
      <sheetName val="판관비_명세1"/>
      <sheetName val="OH_Cost경비(내역)1"/>
      <sheetName val="OH_Cost경비(배부기준)1"/>
      <sheetName val="기타수지&amp;특별손익_명세1"/>
      <sheetName val="Process_List"/>
      <sheetName val="제시_손익계산서"/>
      <sheetName val="업무연락_(2)"/>
      <sheetName val="M_7회차_담금_계획"/>
      <sheetName val="01_02월_성과급1"/>
      <sheetName val="09~10년_매출계획"/>
      <sheetName val="97_사업추정(WEKI)"/>
      <sheetName val="팀별_실적"/>
      <sheetName val="팀별_실적_(환산)"/>
      <sheetName val="6월_공정외주"/>
      <sheetName val="Tong_hop"/>
      <sheetName val="95_1_1이후취득자산(숨기기상태)"/>
      <sheetName val="1_MDF1공장"/>
      <sheetName val="Weekly Progress(계장)"/>
      <sheetName val="부하(성남)"/>
      <sheetName val="판가반영"/>
      <sheetName val="개산공사비"/>
      <sheetName val="선평원내역"/>
      <sheetName val="기둥(원형)"/>
      <sheetName val="화전내"/>
      <sheetName val="수량산출내역1115"/>
      <sheetName val="BID"/>
      <sheetName val="식재품셈"/>
      <sheetName val="表21_净利润夐#奜#"/>
      <sheetName val="要員用master"/>
      <sheetName val="TB"/>
      <sheetName val="PL"/>
      <sheetName val="CS"/>
      <sheetName val="예산계정INDEX"/>
      <sheetName val="환율change"/>
      <sheetName val="일반관리비"/>
      <sheetName val="보고서"/>
      <sheetName val="대투_보관자료 변경"/>
      <sheetName val="내수자재"/>
      <sheetName val="코드"/>
      <sheetName val="표)CFT장 조직별 배분"/>
      <sheetName val="Remark"/>
      <sheetName val="기술분류체계"/>
      <sheetName val="20180214 P&amp;T"/>
      <sheetName val="Ref. 중점 추진 과제별 상세"/>
      <sheetName val="작성요령"/>
      <sheetName val="호남본"/>
      <sheetName val="원가1"/>
      <sheetName val="원가2"/>
      <sheetName val="견적"/>
      <sheetName val="실행기성 갑지"/>
      <sheetName val="Eq. Mobilization"/>
      <sheetName val="TYPE-1"/>
      <sheetName val="선택창"/>
      <sheetName val="외주현황.wq1"/>
      <sheetName val="compare2"/>
      <sheetName val="Krw"/>
      <sheetName val="BS"/>
      <sheetName val="선택지"/>
      <sheetName val="Congfig"/>
      <sheetName val="Bank code"/>
      <sheetName val="총수율"/>
      <sheetName val="11"/>
      <sheetName val="予算実績管理現況"/>
      <sheetName val="Drop-down RAW"/>
      <sheetName val="조직필터"/>
      <sheetName val="Basic Information"/>
      <sheetName val="IS"/>
      <sheetName val="손익실적"/>
      <sheetName val="손익실적(매출원가)"/>
      <sheetName val="당년사별실적"/>
      <sheetName val="VXXXX"/>
      <sheetName val="탄산"/>
      <sheetName val="CODE生成机"/>
      <sheetName val="RE"/>
      <sheetName val="FP"/>
      <sheetName val="Exchange rate"/>
      <sheetName val="U_TYPE_1_"/>
      <sheetName val="설계조건"/>
      <sheetName val="기초견적가"/>
      <sheetName val="TANK"/>
      <sheetName val="조건표"/>
      <sheetName val="결과조달"/>
      <sheetName val="견적대비표"/>
      <sheetName val="포장복구집계"/>
      <sheetName val="간선계산"/>
      <sheetName val="AS복구"/>
      <sheetName val="2000년1차"/>
      <sheetName val="Code"/>
      <sheetName val="전기"/>
      <sheetName val="데이타"/>
      <sheetName val="ITEM"/>
      <sheetName val="일반공사"/>
      <sheetName val="터널조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변수값"/>
      <sheetName val="청천내"/>
      <sheetName val="요율"/>
      <sheetName val="2공구하도급내역서"/>
      <sheetName val="시설물"/>
      <sheetName val="연결임시"/>
      <sheetName val="구조물공"/>
      <sheetName val="부대tu"/>
      <sheetName val="9509"/>
      <sheetName val="투찰추정"/>
      <sheetName val="하부철근수량"/>
      <sheetName val="식재출력용"/>
      <sheetName val="가로등내역서"/>
      <sheetName val="저"/>
      <sheetName val="Baby일위대가"/>
      <sheetName val="실행대비"/>
      <sheetName val="지급자재"/>
      <sheetName val="노무비단가"/>
      <sheetName val="관리,공감"/>
      <sheetName val="식재인부"/>
      <sheetName val="입찰"/>
      <sheetName val="산출내역서"/>
      <sheetName val="4차원가계산서"/>
      <sheetName val="중기상차"/>
      <sheetName val="단가결정"/>
      <sheetName val="유지관리"/>
      <sheetName val="내역아"/>
      <sheetName val="여과지동"/>
      <sheetName val="울타리"/>
      <sheetName val="기초자료"/>
      <sheetName val="자재대"/>
      <sheetName val="조명율표"/>
      <sheetName val="원가"/>
      <sheetName val="공정코드"/>
      <sheetName val="토공"/>
      <sheetName val="총괄-1"/>
      <sheetName val="도급"/>
      <sheetName val="포장공"/>
      <sheetName val="설 계"/>
      <sheetName val="현경"/>
      <sheetName val="단가대비표"/>
      <sheetName val="소야공정계획표"/>
      <sheetName val="기계"/>
      <sheetName val="정화조"/>
      <sheetName val="토목"/>
      <sheetName val="F 월별기성수금현황 "/>
      <sheetName val="준검 내역서"/>
      <sheetName val="MAT"/>
      <sheetName val="설치자재"/>
      <sheetName val="종단계산"/>
      <sheetName val="산출근거(S4)"/>
      <sheetName val="2013.2월 연결대상"/>
      <sheetName val="BS_Package_내부거래"/>
      <sheetName val="PL_Package_내부거래"/>
      <sheetName val="최적단면"/>
      <sheetName val="기계경비"/>
      <sheetName val="배수내역"/>
      <sheetName val="터널전기"/>
      <sheetName val="토목주소"/>
      <sheetName val="프랜트면허"/>
      <sheetName val="Rev. Recon 1"/>
      <sheetName val="1.고객불만건수"/>
      <sheetName val="1.변경범위"/>
      <sheetName val="CF表示組替表"/>
      <sheetName val="FA-LISTING"/>
      <sheetName val="대투_보관자료_변경"/>
      <sheetName val="Back_Data_1"/>
      <sheetName val="※유형구분분류"/>
      <sheetName val="※类型区分分类"/>
      <sheetName val="첨부1(손익관리)"/>
      <sheetName val="카메라2"/>
      <sheetName val="카메라1"/>
      <sheetName val="첨부11(기계정지개선)"/>
      <sheetName val="카메라3"/>
      <sheetName val="카메라-생산실적"/>
      <sheetName val="카메라-생산실적분석"/>
      <sheetName val="고정자산-회사제시"/>
      <sheetName val="해외_기술훈련비_(합계)"/>
      <sheetName val="118_세금과공과"/>
      <sheetName val="수량산출서 갑지"/>
      <sheetName val="I一般比"/>
      <sheetName val="제-노임"/>
      <sheetName val="N賃率-職"/>
      <sheetName val="추정pl"/>
      <sheetName val="공사비_NDE"/>
      <sheetName val="도급예산내역서봉투"/>
      <sheetName val="공사원가계산서"/>
      <sheetName val="설계산출표지"/>
      <sheetName val="도급예산내역서총괄표"/>
      <sheetName val="을부담운반비"/>
      <sheetName val="운반비산출"/>
      <sheetName val="현장경비"/>
      <sheetName val="세금자료"/>
      <sheetName val="98수문일위"/>
      <sheetName val="KEY CODE"/>
      <sheetName val="2-1.강사료,교통비 지급명세"/>
      <sheetName val="13.포장용역비표준"/>
      <sheetName val="9.가공부자재표준"/>
      <sheetName val="8.ROLL표준(TSW)"/>
      <sheetName val="4.톤당조관량표준"/>
      <sheetName val="5.조관부자재표준"/>
      <sheetName val="97년"/>
      <sheetName val="????"/>
      <sheetName val="규"/>
      <sheetName val="규(3)"/>
      <sheetName val="소"/>
      <sheetName val="RE(2)"/>
      <sheetName val="4. Inj 투자상세내역"/>
      <sheetName val="3. Blow 투자 상세내역"/>
      <sheetName val="4__Inj_투자상세내역"/>
      <sheetName val="3__Blow_투자_상세내역"/>
      <sheetName val="Jul-Sep Actual cost (2)"/>
      <sheetName val="97실적"/>
      <sheetName val="을지"/>
      <sheetName val="npv"/>
      <sheetName val="13손익(실적)"/>
      <sheetName val="이름표시"/>
      <sheetName val="요일 테이블"/>
      <sheetName val="요일테이블"/>
      <sheetName val="요일_테이블"/>
      <sheetName val="요일 테이블 (2)"/>
      <sheetName val="TO Data Base"/>
      <sheetName val="YTD Summary"/>
      <sheetName val="Month Summary"/>
      <sheetName val="Trial Balance MAY 2009"/>
      <sheetName val="TB Pivot"/>
      <sheetName val="Freight"/>
      <sheetName val="Freight-loc"/>
      <sheetName val="Freight-Mat"/>
      <sheetName val="Rebates"/>
      <sheetName val="total per LB LB2"/>
      <sheetName val="Trial Balance Vlookup"/>
      <sheetName val="Trial Balance APRIL 2009"/>
      <sheetName val="目录"/>
      <sheetName val="Lists"/>
      <sheetName val="Step2_Correlation"/>
      <sheetName val="Step2_Histogram"/>
      <sheetName val="Roll Out_AQ"/>
      <sheetName val="DePara"/>
      <sheetName val="2004"/>
      <sheetName val="VPO"/>
      <sheetName val="Evolução mandamentos"/>
      <sheetName val="Prod"/>
      <sheetName val="Eficiencia"/>
      <sheetName val="Tabelas"/>
      <sheetName val="Planilha resultados"/>
      <sheetName val="Custos"/>
      <sheetName val="Historico 2003"/>
      <sheetName val="BH"/>
      <sheetName val="Ferias"/>
      <sheetName val="Sig Cycles_Accts &amp; Processes"/>
      <sheetName val="TO_Data_Base"/>
      <sheetName val="YTD_Summary"/>
      <sheetName val="Month_Summary"/>
      <sheetName val="Trial_Balance_MAY_2009"/>
      <sheetName val="TB_Pivot"/>
      <sheetName val="total_per_LB_LB2"/>
      <sheetName val="Trial_Balance_Vlookup"/>
      <sheetName val="Trial_Balance_APRIL_2009"/>
      <sheetName val="Roll_Out_AQ"/>
      <sheetName val="Evolução_mandamentos"/>
      <sheetName val="3 ISo YTD"/>
      <sheetName val="GuV"/>
      <sheetName val="E 法规NC"/>
      <sheetName val="KPI与VIC"/>
      <sheetName val="Données LMU"/>
      <sheetName val="Brazil Sovereign"/>
      <sheetName val="Gauge"/>
      <sheetName val="Resumen Costo"/>
      <sheetName val="Production_REP_CURR"/>
      <sheetName val="Dropdownlists"/>
      <sheetName val="Tabs"/>
      <sheetName val="padajuća_lista"/>
      <sheetName val="Controls_data"/>
      <sheetName val="Assiduidade"/>
      <sheetName val="Fixed ZBB"/>
      <sheetName val="TO_Data_Base1"/>
      <sheetName val="STARTSHEET"/>
      <sheetName val="Base_PEF2"/>
      <sheetName val="CADASTRO"/>
      <sheetName val="dados"/>
      <sheetName val="DIST"/>
      <sheetName val="MALHAD"/>
      <sheetName val="MUG"/>
      <sheetName val="packages"/>
      <sheetName val="Curve"/>
      <sheetName val="PUXADIA"/>
      <sheetName val="Controls_data2"/>
      <sheetName val="5.1"/>
      <sheetName val="Extract Loss"/>
      <sheetName val="QA 跟踪记录表"/>
      <sheetName val="RG Depots"/>
      <sheetName val="Overview"/>
      <sheetName val="material data"/>
      <sheetName val="other data"/>
      <sheetName val="Como Estamos"/>
      <sheetName val="Front"/>
      <sheetName val="#REF!"/>
      <sheetName val="Database (RUR)Mar YTD"/>
      <sheetName val="参数"/>
      <sheetName val="数据"/>
      <sheetName val="Mapping"/>
      <sheetName val="SKU Mapping"/>
      <sheetName val="参数表"/>
      <sheetName val="Drop Down"/>
      <sheetName val="相关字段"/>
      <sheetName val="产品层次"/>
      <sheetName val="Drops"/>
      <sheetName val="HuNan"/>
      <sheetName val="销售组织"/>
      <sheetName val="物料类型清单"/>
      <sheetName val="评估级别"/>
      <sheetName val="Volumen"/>
      <sheetName val="Parameters"/>
      <sheetName val="Cases"/>
      <sheetName val="Revenues"/>
      <sheetName val="Assumptions"/>
      <sheetName val="Raw Data"/>
      <sheetName val="10年KPI预算"/>
      <sheetName val="数据源"/>
      <sheetName val="EBM-2 GHQ"/>
      <sheetName val="Base PEF"/>
      <sheetName val="Canal"/>
      <sheetName val="Ajustes"/>
      <sheetName val="Placas"/>
      <sheetName val="TO_Data_Base3"/>
      <sheetName val="YTD_Summary3"/>
      <sheetName val="Month_Summary3"/>
      <sheetName val="Trial_Balance_MAY_20093"/>
      <sheetName val="TB_Pivot3"/>
      <sheetName val="total_per_LB_LB23"/>
      <sheetName val="Trial_Balance_Vlookup3"/>
      <sheetName val="Trial_Balance_APRIL_20093"/>
      <sheetName val="Evolução_mandamentos3"/>
      <sheetName val="Roll_Out_AQ3"/>
      <sheetName val="Planilha_resultados2"/>
      <sheetName val="Historico_20032"/>
      <sheetName val="Sig_Cycles_Accts_&amp;_Processes2"/>
      <sheetName val="YTD_Summary1"/>
      <sheetName val="Month_Summary1"/>
      <sheetName val="Trial_Balance_MAY_20091"/>
      <sheetName val="TB_Pivot1"/>
      <sheetName val="total_per_LB_LB21"/>
      <sheetName val="Trial_Balance_Vlookup1"/>
      <sheetName val="Trial_Balance_APRIL_20091"/>
      <sheetName val="Evolução_mandamentos1"/>
      <sheetName val="Roll_Out_AQ1"/>
      <sheetName val="Planilha_resultados"/>
      <sheetName val="Historico_2003"/>
      <sheetName val="Sig_Cycles_Accts_&amp;_Processes"/>
      <sheetName val="Feriados"/>
      <sheetName val="Crit"/>
      <sheetName val="Unidades_SAC-REVENDA1"/>
      <sheetName val="Engine"/>
      <sheetName val="REALxMETA_-_CERVEJA"/>
      <sheetName val="menu"/>
      <sheetName val="Principal"/>
      <sheetName val="PM"/>
      <sheetName val="Empresas"/>
      <sheetName val="REALxMETA_-_CERVEJA1"/>
      <sheetName val="Validate"/>
      <sheetName val="Premissas"/>
      <sheetName val="CDI"/>
      <sheetName val="Setup"/>
      <sheetName val="M-Quest"/>
      <sheetName val="Dev_SAC_"/>
      <sheetName val="Fab2"/>
      <sheetName val="MêsBase"/>
      <sheetName val="PREVISÃO"/>
      <sheetName val="12_1"/>
      <sheetName val="CVsku"/>
      <sheetName val="Financials"/>
      <sheetName val="Plan3"/>
      <sheetName val="Anual"/>
      <sheetName val="fabricas"/>
      <sheetName val="Plan1"/>
      <sheetName val="FRA"/>
      <sheetName val="COUPOM"/>
      <sheetName val="Brainstorming1"/>
      <sheetName val="aux"/>
      <sheetName val="Set_Up1"/>
      <sheetName val="BD"/>
      <sheetName val="Listas"/>
      <sheetName val="Meta"/>
      <sheetName val="Months_and_Countries"/>
      <sheetName val="Resumo"/>
      <sheetName val="Entrada_de_Dados1"/>
      <sheetName val="Projects_list"/>
      <sheetName val="Dev_Mercado"/>
      <sheetName val="Nossa_Meta"/>
      <sheetName val="Participantes"/>
      <sheetName val="EI_Calc1"/>
      <sheetName val="Controle"/>
      <sheetName val="9"/>
      <sheetName val="qyrMetas_Real"/>
      <sheetName val="REALxMETA_-_REFRI1"/>
      <sheetName val="Sispec99"/>
      <sheetName val="SispecPSAP"/>
      <sheetName val="Tab_Aux1"/>
      <sheetName val="Custo_Variável"/>
      <sheetName val="Bloomberg"/>
      <sheetName val="Dados_do_Packaging"/>
      <sheetName val="Tendência"/>
      <sheetName val="Perda_Lata"/>
      <sheetName val="Unidades_SAC-REVENDA"/>
      <sheetName val="JUNIO"/>
      <sheetName val="TO_Data_Base2"/>
      <sheetName val="YTD_Summary2"/>
      <sheetName val="Month_Summary2"/>
      <sheetName val="Trial_Balance_MAY_20092"/>
      <sheetName val="TB_Pivot2"/>
      <sheetName val="total_per_LB_LB22"/>
      <sheetName val="Trial_Balance_Vlookup2"/>
      <sheetName val="Trial_Balance_APRIL_20092"/>
      <sheetName val="Evolução_mandamentos2"/>
      <sheetName val="Roll_Out_AQ2"/>
      <sheetName val="Planilha_resultados1"/>
      <sheetName val="Historico_20031"/>
      <sheetName val="Sig_Cycles_Accts_&amp;_Processes1"/>
      <sheetName val="TO_Data_Base4"/>
      <sheetName val="YTD_Summary4"/>
      <sheetName val="Month_Summary4"/>
      <sheetName val="Trial_Balance_MAY_20094"/>
      <sheetName val="TB_Pivot4"/>
      <sheetName val="total_per_LB_LB24"/>
      <sheetName val="Trial_Balance_Vlookup4"/>
      <sheetName val="Trial_Balance_APRIL_20094"/>
      <sheetName val="Evolução_mandamentos4"/>
      <sheetName val="Roll_Out_AQ4"/>
      <sheetName val="Planilha_resultados3"/>
      <sheetName val="Historico_20033"/>
      <sheetName val="Sig_Cycles_Accts_&amp;_Processes3"/>
      <sheetName val="TO_Data_Base5"/>
      <sheetName val="YTD_Summary5"/>
      <sheetName val="Month_Summary5"/>
      <sheetName val="Trial_Balance_MAY_20095"/>
      <sheetName val="TB_Pivot5"/>
      <sheetName val="total_per_LB_LB25"/>
      <sheetName val="Trial_Balance_Vlookup5"/>
      <sheetName val="Trial_Balance_APRIL_20095"/>
      <sheetName val="Evolução_mandamentos5"/>
      <sheetName val="Roll_Out_AQ5"/>
      <sheetName val="Planilha_resultados4"/>
      <sheetName val="Historico_20034"/>
      <sheetName val="Sig_Cycles_Accts_&amp;_Processes4"/>
      <sheetName val="POA"/>
      <sheetName val="Parâmetros"/>
      <sheetName val="Base de Dados"/>
      <sheetName val="Margem_OE"/>
      <sheetName val="Testing Template Guidance"/>
      <sheetName val="Test Programs"/>
      <sheetName val="List"/>
      <sheetName val="VIC"/>
      <sheetName val="VLC"/>
      <sheetName val="BaseDados"/>
      <sheetName val="TO_Data_Base6"/>
      <sheetName val="YTD_Summary6"/>
      <sheetName val="Month_Summary6"/>
      <sheetName val="Trial_Balance_MAY_20096"/>
      <sheetName val="TB_Pivot6"/>
      <sheetName val="total_per_LB_LB26"/>
      <sheetName val="Trial_Balance_Vlookup6"/>
      <sheetName val="Trial_Balance_APRIL_20096"/>
      <sheetName val="Evolução_mandamentos6"/>
      <sheetName val="Roll_Out_AQ6"/>
      <sheetName val="Planilha_resultados5"/>
      <sheetName val="Historico_20035"/>
      <sheetName val="Sig_Cycles_Accts_&amp;_Processes5"/>
      <sheetName val="Back-up"/>
      <sheetName val="MOL"/>
      <sheetName val="Dados BLP"/>
      <sheetName val="Controls data"/>
      <sheetName val="核心经销商销量"/>
      <sheetName val="ValidDataDrops"/>
      <sheetName val="BLP"/>
      <sheetName val="FJJX Bud_IB"/>
      <sheetName val="DATOS"/>
      <sheetName val="look-up data"/>
      <sheetName val="Tabela1"/>
      <sheetName val="[손익기01.XL_x0000__x0000_DePara"/>
      <sheetName val="JOB PROFILE - LAS"/>
      <sheetName val="ARdistr (2)"/>
      <sheetName val="MonthlyChart_Budget"/>
      <sheetName val="Forecast_Chart"/>
      <sheetName val="Forecast_Chart_2"/>
      <sheetName val="Monthly_Forecast"/>
      <sheetName val="MonthlyChart_Simple"/>
      <sheetName val="MonthlyChart_Sloped"/>
      <sheetName val="lookup"/>
      <sheetName val="基本信息"/>
      <sheetName val="SKU_Profile"/>
      <sheetName val="Prd.Hierarchy(产品层级)"/>
      <sheetName val="600ML"/>
      <sheetName val="producto"/>
      <sheetName val="Com (2PK)"/>
      <sheetName val="ctmg"/>
      <sheetName val="Asset"/>
      <sheetName val="MODELO"/>
      <sheetName val="ANS-Ap_Result_2003"/>
      <sheetName val="SupplyChainData"/>
      <sheetName val="Reasons"/>
      <sheetName val="Fun_Bl_Prod"/>
      <sheetName val="Calculos"/>
      <sheetName val="backlog"/>
      <sheetName val="Prd.Hierarchy(产品层次)"/>
      <sheetName val="Project Code"/>
      <sheetName val="Base_PEF"/>
      <sheetName val="Нарушения"/>
      <sheetName val="15년 BL 사계"/>
      <sheetName val="_손익기01.XL"/>
      <sheetName val="TargIS"/>
      <sheetName val="drop down list"/>
      <sheetName val="источник"/>
      <sheetName val="Fixed_ZBB"/>
      <sheetName val="E_法规NC"/>
      <sheetName val="3_ISo_YTD"/>
      <sheetName val="Données_LMU"/>
      <sheetName val="Brazil_Sovereign"/>
      <sheetName val="Base_de_Dados"/>
      <sheetName val="Resumen_Costo"/>
      <sheetName val="Extract_Loss"/>
      <sheetName val="TO_Data_Base7"/>
      <sheetName val="Groupings"/>
      <sheetName val="cat&amp;ee"/>
      <sheetName val="SKU"/>
      <sheetName val="[손익기01.XL_x005f_x0000__x005f_x0000_DePara"/>
      <sheetName val="ES部行动跟踪记录"/>
      <sheetName val="TO_Data_Base8"/>
      <sheetName val="YTD_Summary7"/>
      <sheetName val="Month_Summary7"/>
      <sheetName val="Trial_Balance_MAY_20097"/>
      <sheetName val="TB_Pivot7"/>
      <sheetName val="total_per_LB_LB27"/>
      <sheetName val="Trial_Balance_Vlookup7"/>
      <sheetName val="Trial_Balance_APRIL_20097"/>
      <sheetName val="Roll_Out_AQ7"/>
      <sheetName val="Evolução_mandamentos7"/>
      <sheetName val="Planilha_resultados6"/>
      <sheetName val="Historico_20036"/>
      <sheetName val="[손익기01.XL"/>
      <sheetName val="Sig_Cycles_Accts_&amp;_Processes6"/>
      <sheetName val="Como_Estamos"/>
      <sheetName val="ARdistr_(2)"/>
      <sheetName val="QA_跟踪记录表"/>
      <sheetName val="5_1"/>
      <sheetName val="Controls_data1"/>
      <sheetName val="RG_Depots"/>
      <sheetName val="material_data"/>
      <sheetName val="other_data"/>
      <sheetName val="Database_(RUR)Mar_YTD"/>
      <sheetName val="SKU_Mapping"/>
      <sheetName val="Drop_Down"/>
      <sheetName val="Raw_Data"/>
      <sheetName val="EBM-2_GHQ"/>
      <sheetName val="Testing_Template_Guidance"/>
      <sheetName val="Test_Programs"/>
      <sheetName val="Dados_BLP"/>
      <sheetName val="[손익기01_XLDePara"/>
      <sheetName val="Execution"/>
      <sheetName val="Tablas"/>
      <sheetName val="Income Stmt"/>
      <sheetName val="JOB_PROFILE_-_LAS"/>
      <sheetName val="Quarterly LBO Model"/>
      <sheetName val="_손익기01.XL_x005f_x0000__x005f_x0000_DePara"/>
      <sheetName val="전사_PL2"/>
      <sheetName val="자금_제외_PL2"/>
      <sheetName val="자금_PL2"/>
      <sheetName val="전사_BS2"/>
      <sheetName val="자금_제외_BS2"/>
      <sheetName val="자금_BS2"/>
      <sheetName val="BS_계정_설명2"/>
      <sheetName val="_Cash_Flow(전사)2"/>
      <sheetName val="_Cash_Flow(자금제외)2"/>
      <sheetName val="_Cash_Flow(자금)2"/>
      <sheetName val="ROIC_2"/>
      <sheetName val="인건비_명세2"/>
      <sheetName val="판관비_명세2"/>
      <sheetName val="OH_Cost경비(내역)2"/>
      <sheetName val="OH_Cost경비(배부기준)2"/>
      <sheetName val="기타수지&amp;특별손익_명세2"/>
      <sheetName val="업무연락_(2)1"/>
      <sheetName val="제시_손익계산서1"/>
      <sheetName val="01_02월_성과급2"/>
      <sheetName val="M_7회차_담금_계획1"/>
      <sheetName val="팀별_실적1"/>
      <sheetName val="팀별_실적_(환산)1"/>
      <sheetName val="4__Inj_투자상세내역1"/>
      <sheetName val="3__Blow_투자_상세내역1"/>
      <sheetName val="Process_List1"/>
      <sheetName val="요일_테이블1"/>
      <sheetName val="요일_테이블_(2)"/>
      <sheetName val="TO_Data_Base9"/>
      <sheetName val="YTD_Summary8"/>
      <sheetName val="Month_Summary8"/>
      <sheetName val="Trial_Balance_MAY_20098"/>
      <sheetName val="TB_Pivot8"/>
      <sheetName val="total_per_LB_LB28"/>
      <sheetName val="Trial_Balance_Vlookup8"/>
      <sheetName val="Trial_Balance_APRIL_20098"/>
      <sheetName val="Roll_Out_AQ8"/>
      <sheetName val="Evolução_mandamentos8"/>
      <sheetName val="Planilha_resultados7"/>
      <sheetName val="Historico_20037"/>
      <sheetName val="Sig_Cycles_Accts_&amp;_Processes7"/>
      <sheetName val="3_ISo_YTD1"/>
      <sheetName val="E_法规NC1"/>
      <sheetName val="Données_LMU1"/>
      <sheetName val="Brazil_Sovereign1"/>
      <sheetName val="Resumen_Costo1"/>
      <sheetName val="Fixed_ZBB1"/>
      <sheetName val="5_11"/>
      <sheetName val="Extract_Loss1"/>
      <sheetName val="QA_跟踪记录表1"/>
      <sheetName val="RG_Depots1"/>
      <sheetName val="material_data1"/>
      <sheetName val="other_data1"/>
      <sheetName val="Como_Estamos1"/>
      <sheetName val="Database_(RUR)Mar_YTD1"/>
      <sheetName val="SKU_Mapping1"/>
      <sheetName val="Drop_Down1"/>
      <sheetName val="Raw_Data1"/>
      <sheetName val="EBM-2_GHQ1"/>
      <sheetName val="Base_PEF1"/>
      <sheetName val="Base_de_Dados1"/>
      <sheetName val="Testing_Template_Guidance1"/>
      <sheetName val="Test_Programs1"/>
      <sheetName val="Dados_BLP1"/>
      <sheetName val="Controls_data3"/>
      <sheetName val="FJJX_Bud_IB"/>
      <sheetName val="look-up_data"/>
      <sheetName val="JOB_PROFILE_-_LAS1"/>
      <sheetName val="ARdistr_(2)1"/>
      <sheetName val="Prd_Hierarchy(产品层级)"/>
      <sheetName val="15년_BL_사계"/>
      <sheetName val="Com_(2PK)"/>
      <sheetName val="Prd_Hierarchy(产品层次)"/>
      <sheetName val="Project_Code"/>
      <sheetName val="_손익기01_XL"/>
      <sheetName val="drop_down_list"/>
      <sheetName val="[손익기01_XL_x005f_x0000__x005f_x0000_DePara"/>
      <sheetName val="Income_Stmt"/>
      <sheetName val="Quarterly_LBO_Model"/>
      <sheetName val="_손익기01_XL_x005f_x0000__x005f_x0000_DePara"/>
      <sheetName val="[손익기01_XL"/>
      <sheetName val="986월원안"/>
      <sheetName val="오승"/>
      <sheetName val="팀별"/>
      <sheetName val="Action-Log"/>
      <sheetName val="Classification 分类"/>
      <sheetName val="Figures Report"/>
      <sheetName val="Set Up"/>
      <sheetName val="CONFIG"/>
      <sheetName val="Fare prices"/>
      <sheetName val="Hotel prices"/>
      <sheetName val="Intro"/>
      <sheetName val="DropDowns"/>
      <sheetName val="CPT倒罐记录"/>
      <sheetName val="extent"/>
      <sheetName val="Tab"/>
      <sheetName val="Arm_PNP"/>
      <sheetName val="cl"/>
      <sheetName val="XLRpt_TempSheet"/>
      <sheetName val="Suporte_2"/>
      <sheetName val="tab STATUS DO PROCESSO "/>
      <sheetName val="Results"/>
      <sheetName val="Perf. Plan. Diário1"/>
      <sheetName val="In (2)"/>
      <sheetName val="slide 24 cat A"/>
      <sheetName val="slide 82 cat b"/>
      <sheetName val="Prog"/>
      <sheetName val="PLANNER6"/>
      <sheetName val="Hoja2"/>
      <sheetName val="Hoja3"/>
      <sheetName val="범주"/>
      <sheetName val="Incident 유형구분표"/>
      <sheetName val="Macro"/>
      <sheetName val="광주"/>
      <sheetName val="TNC(1안)"/>
      <sheetName val="CLASIFICACION DE AI"/>
      <sheetName val="Base da Datos"/>
      <sheetName val="Apoio"/>
      <sheetName val="SAM"/>
      <sheetName val="DAG"/>
      <sheetName val="Dados dos Produtos"/>
      <sheetName val="Maestro"/>
      <sheetName val="DD list"/>
      <sheetName val="3YP2016-Bottom up"/>
      <sheetName val="부서별12월추계액"/>
      <sheetName val="One_Pager"/>
      <sheetName val="DE-PARA"/>
      <sheetName val="FornecD"/>
      <sheetName val="FornecDAjustado"/>
      <sheetName val="Detalle"/>
      <sheetName val="auxiliar"/>
      <sheetName val="MASTER APP"/>
      <sheetName val="Hoja1"/>
      <sheetName val="Cond. Inseguros"/>
      <sheetName val="Comp. Inseguros"/>
      <sheetName val="Lista de datos"/>
      <sheetName val="Base de Datos"/>
      <sheetName val="Motivos"/>
      <sheetName val="Parametros"/>
      <sheetName val="Actionlog"/>
      <sheetName val="_손익기01.XL_x0000__x0000_DePara"/>
      <sheetName val="_손익기01_XLDePara"/>
      <sheetName val="link"/>
      <sheetName val="Vol-Rev"/>
      <sheetName val="来源"/>
      <sheetName val=" DD List"/>
      <sheetName val="Formula"/>
      <sheetName val="各支柱模块清单"/>
      <sheetName val="Share Price 2002"/>
      <sheetName val="隐患分析"/>
      <sheetName val="安全隐患"/>
      <sheetName val="班组分析"/>
      <sheetName val="源"/>
      <sheetName val="Clasif."/>
      <sheetName val="Lista CI"/>
      <sheetName val="Resumen"/>
      <sheetName val="BBDD"/>
      <sheetName val="Farol Acciones"/>
      <sheetName val="Lista de Entrenamientos"/>
      <sheetName val="Package-SubPackage"/>
      <sheetName val="Supply Cost Centers"/>
      <sheetName val="Basetables"/>
      <sheetName val="BEP 加薪 KPI"/>
      <sheetName val="유형(분류표)"/>
      <sheetName val="PREMISAS"/>
      <sheetName val="ACTION"/>
      <sheetName val="LE"/>
      <sheetName val="表3筛选项"/>
      <sheetName val="진천"/>
      <sheetName val="중연"/>
      <sheetName val="용연"/>
      <sheetName val="울산"/>
      <sheetName val="대구"/>
      <sheetName val="구미"/>
      <sheetName val="언양"/>
      <sheetName val="대차대조표"/>
      <sheetName val="입력자료"/>
      <sheetName val="기본"/>
      <sheetName val="10월_vs_12월_채권잔액"/>
      <sheetName val="2-2.투자"/>
      <sheetName val="기본연봉"/>
      <sheetName val="사원"/>
      <sheetName val="9-1차이내역"/>
      <sheetName val="Proj. Fin."/>
      <sheetName val="ITS Assumptions"/>
      <sheetName val="Proj__Fin_"/>
      <sheetName val="2-2_투자"/>
      <sheetName val="Master Data"/>
      <sheetName val="Bonuses"/>
      <sheetName val="HQ 급여 "/>
      <sheetName val="OF 급여"/>
      <sheetName val="F.Ma급여"/>
      <sheetName val="SMT 급여"/>
      <sheetName val="QC 급여"/>
      <sheetName val="Sam sung 급여"/>
      <sheetName val="Dlock 급여"/>
      <sheetName val=" thôi việc 급여"/>
      <sheetName val="Công smt"/>
      <sheetName val="Công smt (2)"/>
      <sheetName val="Detail smt"/>
      <sheetName val="Công QC"/>
      <sheetName val="Detail QC "/>
      <sheetName val="Công SS"/>
      <sheetName val="Detail SS"/>
      <sheetName val="Công FMa"/>
      <sheetName val="Detail FMa"/>
      <sheetName val="Công OF"/>
      <sheetName val="Detail OF"/>
      <sheetName val="Công Dlock"/>
      <sheetName val="Detail Dlock"/>
      <sheetName val="Công thôi việc"/>
      <sheetName val="Detail thôi"/>
      <sheetName val="EPOXY"/>
      <sheetName val="2007전체투자세액공제_2008년처분"/>
      <sheetName val="득점현황"/>
      <sheetName val="#5"/>
      <sheetName val="#3"/>
      <sheetName val="Appendix(권장,단체)"/>
      <sheetName val="환율표"/>
      <sheetName val="세액계산"/>
      <sheetName val="현용"/>
      <sheetName val="현장"/>
      <sheetName val="MH_생산"/>
      <sheetName val="구분List"/>
      <sheetName val="表21_净利润墨-닑⿕"/>
      <sheetName val="TO"/>
      <sheetName val="C2121"/>
      <sheetName val="C2123"/>
      <sheetName val="C2124"/>
      <sheetName val="C2125"/>
      <sheetName val="C2127"/>
      <sheetName val="C2122"/>
      <sheetName val="7.Utility Analysis"/>
      <sheetName val="Operational Activities"/>
      <sheetName val="상품입력"/>
      <sheetName val="월별자료"/>
      <sheetName val="기초정보 코드"/>
      <sheetName val="계좌정보"/>
      <sheetName val="수목단가"/>
      <sheetName val="시설수량표"/>
      <sheetName val="식재수량표"/>
      <sheetName val="조도계산서 (도서)"/>
      <sheetName val="날개수량1.5"/>
      <sheetName val="FitOutConfCentre"/>
      <sheetName val="전기자료"/>
      <sheetName val="Sheet10"/>
      <sheetName val="을-ATYPE"/>
      <sheetName val="대전-교대(A1-A2)"/>
      <sheetName val="CAT_5"/>
      <sheetName val="배열수식"/>
      <sheetName val="1"/>
      <sheetName val="EP0618"/>
      <sheetName val="C1.3.1"/>
      <sheetName val="부대공Ⅱ"/>
      <sheetName val="입찰내역 Ĉ_x0000__x0000_ᇆ"/>
      <sheetName val="입찰내역 Ĉ_x0000__x0000_ᇆ"/>
      <sheetName val="정보화기기매출"/>
      <sheetName val="Index"/>
      <sheetName val="중기일위대가"/>
      <sheetName val="sum_x0008__x0000__x000d__x0000__x0006__x0000_"/>
      <sheetName val="Ѐ܀ऀ܀؀਀؀Ԁ̀Ѐ̀Ѐࠀ܀ఀ؀܀"/>
      <sheetName val="진행 DATA (2)"/>
      <sheetName val="NG Item"/>
      <sheetName val="4.1 월별 에너지 사용량"/>
      <sheetName val="MEMO"/>
      <sheetName val="민감도분석"/>
      <sheetName val="LOG"/>
      <sheetName val="보고서 표"/>
      <sheetName val="0. 가정 및 결론"/>
      <sheetName val="1. 투자비"/>
      <sheetName val="2. Rent-roll"/>
      <sheetName val="3. Funding"/>
      <sheetName val="4. 운영수익"/>
      <sheetName val="5. 운영비용"/>
      <sheetName val="6.1 N+1년차 NOI 산정"/>
      <sheetName val="6. 부동산매각"/>
      <sheetName val="7. 보유세"/>
      <sheetName val="8. 교통유발부담금"/>
      <sheetName val="9. BS부속"/>
      <sheetName val="10. CF(M)"/>
      <sheetName val="11. IS(M)"/>
      <sheetName val="12. BS(M)"/>
      <sheetName val="14. IS(FY)"/>
      <sheetName val="13. CF(FY)"/>
      <sheetName val="15. BS(FY)"/>
      <sheetName val="16. RE(FY)"/>
      <sheetName val="코드관리"/>
      <sheetName val="오류항목"/>
      <sheetName val="입찰내역_발주처_양식1"/>
      <sheetName val="Data_Validation1"/>
      <sheetName val="부대시행1_(2)"/>
      <sheetName val="근거_및_가정"/>
      <sheetName val="2_카드채권(대출포함)"/>
      <sheetName val="1_차입금"/>
      <sheetName val="Utility_Usage_YTN_TOWER"/>
      <sheetName val="B-1_기본정보"/>
      <sheetName val="?"/>
      <sheetName val="PAD_TR보호대기초"/>
      <sheetName val="설문_평가"/>
      <sheetName val="_견적서"/>
      <sheetName val="カテゴリ表"/>
      <sheetName val="数据有效性"/>
      <sheetName val="Worker List"/>
      <sheetName val="GB-IC Villingen GG"/>
      <sheetName val="MC&amp;다변화"/>
      <sheetName val="Library"/>
      <sheetName val="BM_NEW2"/>
      <sheetName val="97손익계획"/>
      <sheetName val="가정"/>
      <sheetName val="공시용PL"/>
      <sheetName val="예산대실적_작성"/>
      <sheetName val="표시트"/>
      <sheetName val="SALE"/>
      <sheetName val="조정분개"/>
      <sheetName val="이테크_손익"/>
      <sheetName val="군장_손익"/>
      <sheetName val="에스엠지_손익"/>
      <sheetName val="인프라_손익"/>
      <sheetName val="중국연결_손익"/>
      <sheetName val="사우디_손익"/>
      <sheetName val="말레이_손익"/>
      <sheetName val="인니_손익"/>
      <sheetName val="연결손익요약(기획차이)"/>
      <sheetName val="연결손익요약(보고용)"/>
      <sheetName val="연결재무"/>
      <sheetName val="이테크_재무"/>
      <sheetName val="군장_재무"/>
      <sheetName val="에스엠지_재무"/>
      <sheetName val="인프라_재무"/>
      <sheetName val="중국연결_재무"/>
      <sheetName val="사우디_재무"/>
      <sheetName val="말레이_재무"/>
      <sheetName val="인니_재무"/>
      <sheetName val="CE(공)"/>
      <sheetName val="연결손익"/>
      <sheetName val="building"/>
      <sheetName val="TOWER 12TON"/>
      <sheetName val="TOWER 10TON"/>
      <sheetName val="JIB CRANE,HOIST"/>
      <sheetName val="6월 공嚺㓶가"/>
      <sheetName val="갑지"/>
      <sheetName val="부산제일극장"/>
      <sheetName val="MTP"/>
      <sheetName val="1_종합손익(도급)5"/>
      <sheetName val="1_종합손익(주택,개발)4"/>
      <sheetName val="2_실행예산4"/>
      <sheetName val="2_2과부족4"/>
      <sheetName val="2_3원가절감4"/>
      <sheetName val="8_외주비집행현황4"/>
      <sheetName val="9_자재비4"/>
      <sheetName val="10_현장집행4"/>
      <sheetName val="3_추가원가4"/>
      <sheetName val="3_추가원가_(2)4"/>
      <sheetName val="4_사전공사4"/>
      <sheetName val="5_추정공사비4"/>
      <sheetName val="6_금융비용4"/>
      <sheetName val="7_공사비집행현황(총괄)4"/>
      <sheetName val="11_1생산성4"/>
      <sheetName val="11_2인원산출4"/>
      <sheetName val="변경실행(2차)_4"/>
      <sheetName val="CC_Down_load_07164"/>
      <sheetName val="나_출고4"/>
      <sheetName val="나_입고4"/>
      <sheetName val="09년_인건비(속리산)4"/>
      <sheetName val="합산목표(감가+57_5)4"/>
      <sheetName val="__한국_AMP_ASP-23_판매가격__3"/>
      <sheetName val="제조원가_원단위_분석3"/>
      <sheetName val="종합표양식(품의_&amp;_입고)_23"/>
      <sheetName val="원가관리_(동월대비)3"/>
      <sheetName val="b_balju_(2)3"/>
      <sheetName val="2-2_매출분석3"/>
      <sheetName val="몰드시스템_리스트3"/>
      <sheetName val="7_(2)3"/>
      <sheetName val="11_외화채무증권(AFS,HTM)083"/>
      <sheetName val="13_감액TEST_083"/>
      <sheetName val="12년_CF(9월)3"/>
      <sheetName val="중기조종사_단위단가3"/>
      <sheetName val="6PILE__(돌출)3"/>
      <sheetName val="기성청구_공문4"/>
      <sheetName val="Sheet1_(2)3"/>
      <sheetName val="2_대외공문3"/>
      <sheetName val="表21_净利润调节表3"/>
      <sheetName val="sum1_(2)3"/>
      <sheetName val="3_바닥판설계3"/>
      <sheetName val="504전기실_동부하-L3"/>
      <sheetName val="2_총괄표3"/>
      <sheetName val="OUTER_AREA(겹침없음)3"/>
      <sheetName val="EL_표면적3"/>
      <sheetName val="P_M_별2"/>
      <sheetName val="09~10년_매출계획1"/>
      <sheetName val="전사_PL3"/>
      <sheetName val="자금_제외_PL3"/>
      <sheetName val="자금_PL3"/>
      <sheetName val="전사_BS3"/>
      <sheetName val="자금_제외_BS3"/>
      <sheetName val="자금_BS3"/>
      <sheetName val="BS_계정_설명3"/>
      <sheetName val="_Cash_Flow(전사)3"/>
      <sheetName val="_Cash_Flow(자금제외)3"/>
      <sheetName val="_Cash_Flow(자금)3"/>
      <sheetName val="ROIC_3"/>
      <sheetName val="인건비_명세3"/>
      <sheetName val="판관비_명세3"/>
      <sheetName val="OH_Cost경비(내역)3"/>
      <sheetName val="OH_Cost경비(배부기준)3"/>
      <sheetName val="기타수지&amp;특별손익_명세3"/>
      <sheetName val="입출재고현황_(2)1"/>
      <sheetName val="TRE_TABLE1"/>
      <sheetName val="Process_List2"/>
      <sheetName val="제시_손익계산서2"/>
      <sheetName val="업무연락_(2)2"/>
      <sheetName val="M_7회차_담금_계획2"/>
      <sheetName val="01_02월_성과급3"/>
      <sheetName val="97_사업추정(WEKI)1"/>
      <sheetName val="팀별_실적2"/>
      <sheetName val="팀별_실적_(환산)2"/>
      <sheetName val="6월_공정외주1"/>
      <sheetName val="2_주요계수총괄1"/>
      <sheetName val="1_본사계정별1"/>
      <sheetName val="118_세금과공과1"/>
      <sheetName val="Tong_hop1"/>
      <sheetName val="95_1_1이후취득자산(숨기기상태)1"/>
      <sheetName val="1_MDF1공장1"/>
      <sheetName val="3_6_2남양주택배"/>
      <sheetName val="Project_Brief1"/>
      <sheetName val="Back_Data_11"/>
      <sheetName val="Facility_Information1"/>
      <sheetName val="단면_(2)1"/>
      <sheetName val="1월_예산"/>
      <sheetName val="해외_기술훈련비_(합계)1"/>
      <sheetName val="#1)_투자_구분"/>
      <sheetName val="1__시공측량"/>
      <sheetName val="수종별수량_(2)"/>
      <sheetName val="설산1_나"/>
      <sheetName val="Weekly_Progress(계장)"/>
      <sheetName val="납부내역총괄표_(수정)"/>
      <sheetName val="전선_및_전선관"/>
      <sheetName val="KEY_CODE"/>
      <sheetName val="2013_2월_연결대상"/>
      <sheetName val="외주현황_wq1"/>
      <sheetName val="2-1_강사료,교통비_지급명세"/>
      <sheetName val="13_포장용역비표준"/>
      <sheetName val="9_가공부자재표준"/>
      <sheetName val="8_ROLL표준(TSW)"/>
      <sheetName val="4_톤당조관량표준"/>
      <sheetName val="5_조관부자재표준"/>
      <sheetName val="실행기성_갑지"/>
      <sheetName val="4__Inj_투자상세내역2"/>
      <sheetName val="3__Blow_투자_상세내역2"/>
      <sheetName val="Jul-Sep_Actual_cost_(2)"/>
      <sheetName val="요일_테이블2"/>
      <sheetName val="요일_테이블_(2)1"/>
      <sheetName val="TO_Data_Base10"/>
      <sheetName val="YTD_Summary9"/>
      <sheetName val="Month_Summary9"/>
      <sheetName val="Trial_Balance_MAY_20099"/>
      <sheetName val="TB_Pivot9"/>
      <sheetName val="total_per_LB_LB29"/>
      <sheetName val="Trial_Balance_Vlookup9"/>
      <sheetName val="Trial_Balance_APRIL_20099"/>
      <sheetName val="Roll_Out_AQ9"/>
      <sheetName val="Evolução_mandamentos9"/>
      <sheetName val="Planilha_resultados8"/>
      <sheetName val="Historico_20038"/>
      <sheetName val="Sig_Cycles_Accts_&amp;_Processes8"/>
      <sheetName val="3_ISo_YTD2"/>
      <sheetName val="E_法规NC2"/>
      <sheetName val="Données_LMU2"/>
      <sheetName val="Brazil_Sovereign2"/>
      <sheetName val="Resumen_Costo2"/>
      <sheetName val="Fixed_ZBB2"/>
      <sheetName val="5_12"/>
      <sheetName val="Extract_Loss2"/>
      <sheetName val="QA_跟踪记录表2"/>
      <sheetName val="RG_Depots2"/>
      <sheetName val="material_data2"/>
      <sheetName val="other_data2"/>
      <sheetName val="Como_Estamos2"/>
      <sheetName val="Database_(RUR)Mar_YTD2"/>
      <sheetName val="SKU_Mapping2"/>
      <sheetName val="Drop_Down2"/>
      <sheetName val="Raw_Data2"/>
      <sheetName val="EBM-2_GHQ2"/>
      <sheetName val="Base_PEF3"/>
      <sheetName val="Base_de_Dados2"/>
      <sheetName val="Testing_Template_Guidance2"/>
      <sheetName val="Test_Programs2"/>
      <sheetName val="Dados_BLP2"/>
      <sheetName val="Controls_data4"/>
      <sheetName val="FJJX_Bud_IB1"/>
      <sheetName val="look-up_data1"/>
      <sheetName val="JOB_PROFILE_-_LAS2"/>
      <sheetName val="ARdistr_(2)2"/>
      <sheetName val="Prd_Hierarchy(产品层级)1"/>
      <sheetName val="Com_(2PK)1"/>
      <sheetName val="Prd_Hierarchy(产品层次)1"/>
      <sheetName val="Project_Code1"/>
      <sheetName val="15년_BL_사계1"/>
      <sheetName val="_손익기01_XL1"/>
      <sheetName val="drop_down_list1"/>
      <sheetName val="[손익기01_XL_x005f_x0000__x005f_x0000_DePara1"/>
      <sheetName val="[손익기01_XL1"/>
      <sheetName val="Income_Stmt1"/>
      <sheetName val="Quarterly_LBO_Model1"/>
      <sheetName val="_손익기01_XL_x005f_x0000__x005f_x0000_DePara1"/>
      <sheetName val="Classification_分类"/>
      <sheetName val="Figures_Report"/>
      <sheetName val="Set_Up"/>
      <sheetName val="Fare_prices"/>
      <sheetName val="Hotel_prices"/>
      <sheetName val="tab_STATUS_DO_PROCESSO_"/>
      <sheetName val="Perf__Plan__Diário1"/>
      <sheetName val="In_(2)"/>
      <sheetName val="slide_24_cat_A"/>
      <sheetName val="slide_82_cat_b"/>
      <sheetName val="Incident_유형구분표"/>
      <sheetName val="CLASIFICACION_DE_AI"/>
      <sheetName val="Base_da_Datos"/>
      <sheetName val="Dados_dos_Produtos"/>
      <sheetName val="DD_list"/>
      <sheetName val="3YP2016-Bottom_up"/>
      <sheetName val="MASTER_APP"/>
      <sheetName val="Cond__Inseguros"/>
      <sheetName val="Comp__Inseguros"/>
      <sheetName val="Lista_de_datos"/>
      <sheetName val="Base_de_Datos"/>
      <sheetName val="_DD_List"/>
      <sheetName val="Share_Price_2002"/>
      <sheetName val="Clasif_"/>
      <sheetName val="Lista_CI"/>
      <sheetName val="Farol_Acciones"/>
      <sheetName val="Lista_de_Entrenamientos"/>
      <sheetName val="Supply_Cost_Centers"/>
      <sheetName val="BEP_加薪_KPI"/>
      <sheetName val="기본일위"/>
      <sheetName val="M&amp;Q Lead"/>
      <sheetName val="견적을지"/>
      <sheetName val="목록!"/>
      <sheetName val="마스터0919"/>
      <sheetName val="T6-6(7)"/>
      <sheetName val="月度設定"/>
      <sheetName val="카드채권(대출포함)"/>
      <sheetName val="공통"/>
      <sheetName val="STANDARD"/>
      <sheetName val="유효성검사"/>
      <sheetName val="support"/>
      <sheetName val="그룹자료"/>
      <sheetName val="임율자료"/>
      <sheetName val="7상품수"/>
      <sheetName val="생산성(2차)"/>
      <sheetName val="요약(1차)"/>
      <sheetName val="1월~9월"/>
      <sheetName val="한계원가"/>
      <sheetName val="공시용CF"/>
      <sheetName val="000000"/>
      <sheetName val="안산기계장치"/>
      <sheetName val="일위대가목차"/>
      <sheetName val="숨김"/>
      <sheetName val="A(Rev.3)"/>
      <sheetName val="분석가정"/>
      <sheetName val="설비등록׃⼫"/>
      <sheetName val="설비등록_x0010__x0000_"/>
      <sheetName val="_x0018__"/>
      <sheetName val="기성현황집계표"/>
      <sheetName val="특수선일위대가"/>
      <sheetName val="일위대가(목록)"/>
      <sheetName val="재료비"/>
      <sheetName val="견적내역서"/>
      <sheetName val="6호기"/>
      <sheetName val="pg15"/>
      <sheetName val="2.6 三无 (2)"/>
      <sheetName val="노임단가(공사)"/>
      <sheetName val="RES"/>
      <sheetName val="2.FM Fee_2차년도"/>
      <sheetName val="3.감가장비"/>
      <sheetName val="드롭다운"/>
      <sheetName val="Desal-E&amp;I"/>
      <sheetName val="Month-Report"/>
      <sheetName val="10매출"/>
      <sheetName val="_x005f_x005f_x005f_x0000__x005f_x005f_x005f_x0000_"/>
      <sheetName val="Cntmrs"/>
      <sheetName val="_x005f_x005f_x005f_x0000__x005f"/>
      <sheetName val="소주(苏州)"/>
      <sheetName val="공통부대비"/>
      <sheetName val="3.일반사상"/>
      <sheetName val="외부자료"/>
      <sheetName val="슬래_xd800_"/>
      <sheetName val="DCY"/>
      <sheetName val="DHS"/>
      <sheetName val="HHJ"/>
      <sheetName val="SWS-1"/>
      <sheetName val="부재료 비교(11년 vs 10년)"/>
      <sheetName val="INDICE"/>
      <sheetName val="Dashboard Prevención Riesgos "/>
      <sheetName val="Seguimiento"/>
      <sheetName val="TOP KPIs MTM"/>
      <sheetName val="PLAN DE ACCION"/>
      <sheetName val="Faro de Indicadores"/>
      <sheetName val="ORGANIGRAMA"/>
      <sheetName val="Catalog_Zone"/>
      <sheetName val="DropList"/>
      <sheetName val="Unidades SAC-REVENDA"/>
      <sheetName val="FornecM Check"/>
      <sheetName val="下拉清单"/>
      <sheetName val="工伤分类"/>
      <sheetName val="菜单"/>
      <sheetName val="Hazards Analysis-隐患分析"/>
      <sheetName val="요일_테이블3"/>
      <sheetName val="요일_테이블_(2)2"/>
      <sheetName val="TO_Data_Base11"/>
      <sheetName val="YTD_Summary10"/>
      <sheetName val="Month_Summary10"/>
      <sheetName val="Trial_Balance_MAY_200910"/>
      <sheetName val="TB_Pivot10"/>
      <sheetName val="total_per_LB_LB210"/>
      <sheetName val="Trial_Balance_Vlookup10"/>
      <sheetName val="Trial_Balance_APRIL_200910"/>
      <sheetName val="Roll_Out_AQ10"/>
      <sheetName val="Evolução_mandamentos10"/>
      <sheetName val="Planilha_resultados9"/>
      <sheetName val="Historico_20039"/>
      <sheetName val="Sig_Cycles_Accts_&amp;_Processes9"/>
      <sheetName val="Fixed_ZBB3"/>
      <sheetName val="E_法规NC3"/>
      <sheetName val="3_ISo_YTD3"/>
      <sheetName val="Données_LMU3"/>
      <sheetName val="Brazil_Sovereign3"/>
      <sheetName val="Resumen_Costo3"/>
      <sheetName val="Base_de_Dados3"/>
      <sheetName val="Extract_Loss3"/>
      <sheetName val="5_13"/>
      <sheetName val="QA_跟踪记录表3"/>
      <sheetName val="RG_Depots3"/>
      <sheetName val="material_data3"/>
      <sheetName val="other_data3"/>
      <sheetName val="Como_Estamos3"/>
      <sheetName val="Database_(RUR)Mar_YTD3"/>
      <sheetName val="SKU_Mapping3"/>
      <sheetName val="Drop_Down3"/>
      <sheetName val="Raw_Data3"/>
      <sheetName val="EBM-2_GHQ3"/>
      <sheetName val="Base_PEF4"/>
      <sheetName val="Controls_data5"/>
      <sheetName val="Dados_BLP3"/>
      <sheetName val="Testing_Template_Guidance3"/>
      <sheetName val="Test_Programs3"/>
      <sheetName val="FJJX_Bud_IB2"/>
      <sheetName val="JOB_PROFILE_-_LAS3"/>
      <sheetName val="ARdistr_(2)3"/>
      <sheetName val="look-up_data2"/>
      <sheetName val="Prd_Hierarchy(产品层级)2"/>
      <sheetName val="Com_(2PK)2"/>
      <sheetName val="전사_PL4"/>
      <sheetName val="자금_제외_PL4"/>
      <sheetName val="자금_PL4"/>
      <sheetName val="전사_BS4"/>
      <sheetName val="자금_제외_BS4"/>
      <sheetName val="자금_BS4"/>
      <sheetName val="BS_계정_설명4"/>
      <sheetName val="_Cash_Flow(전사)4"/>
      <sheetName val="_Cash_Flow(자금제외)4"/>
      <sheetName val="_Cash_Flow(자금)4"/>
      <sheetName val="ROIC_4"/>
      <sheetName val="인건비_명세4"/>
      <sheetName val="판관비_명세4"/>
      <sheetName val="OH_Cost경비(내역)4"/>
      <sheetName val="OH_Cost경비(배부기준)4"/>
      <sheetName val="기타수지&amp;특별손익_명세4"/>
      <sheetName val="업무연락_(2)3"/>
      <sheetName val="제시_손익계산서3"/>
      <sheetName val="01_02월_성과급4"/>
      <sheetName val="M_7회차_담금_계획3"/>
      <sheetName val="팀별_실적3"/>
      <sheetName val="팀별_실적_(환산)3"/>
      <sheetName val="4__Inj_투자상세내역3"/>
      <sheetName val="3__Blow_투자_상세내역3"/>
      <sheetName val="Process_List3"/>
      <sheetName val="Prd_Hierarchy(产品层次)2"/>
      <sheetName val="Project_Code2"/>
      <sheetName val="_손익기01_XL2"/>
      <sheetName val="drop_down_list2"/>
      <sheetName val="[손익기01_XL_x005f_x0000__x005f_x0000_DePara2"/>
      <sheetName val="Income_Stmt2"/>
      <sheetName val="Quarterly_LBO_Model2"/>
      <sheetName val="[손익기01_XL2"/>
      <sheetName val="_손익기01_XL_x005f_x0000__x005f_x0000_DePara2"/>
      <sheetName val="15년_BL_사계2"/>
      <sheetName val="Classification_分类1"/>
      <sheetName val="Figures_Report1"/>
      <sheetName val="Set_Up2"/>
      <sheetName val="Fare_prices1"/>
      <sheetName val="Hotel_prices1"/>
      <sheetName val="tab_STATUS_DO_PROCESSO_1"/>
      <sheetName val="Perf__Plan__Diário11"/>
      <sheetName val="In_(2)1"/>
      <sheetName val="slide_24_cat_A1"/>
      <sheetName val="slide_82_cat_b1"/>
      <sheetName val="Incident_유형구분표1"/>
      <sheetName val="CLASIFICACION_DE_AI1"/>
      <sheetName val="Base_da_Datos1"/>
      <sheetName val="Dados_dos_Produtos1"/>
      <sheetName val="DD_list1"/>
      <sheetName val="F08 - Asia Pac Full Year Q3"/>
      <sheetName val="Actions"/>
      <sheetName val="Listco"/>
      <sheetName val="Intl"/>
      <sheetName val="Procurement"/>
      <sheetName val="Top Priorities"/>
      <sheetName val="SLOB"/>
      <sheetName val="Listco Stock"/>
      <sheetName val="SOH"/>
      <sheetName val="Intl Purchase"/>
      <sheetName val="GTME"/>
      <sheetName val="FY outlook"/>
      <sheetName val="CY outlook"/>
      <sheetName val="FY"/>
      <sheetName val="CY"/>
      <sheetName val="Cash metrics"/>
      <sheetName val="Listco-Tony"/>
      <sheetName val="Intl-Ming"/>
      <sheetName val="Procurement-Jeff"/>
      <sheetName val="Hierarchy"/>
      <sheetName val="P6 7"/>
      <sheetName val="Top_Priorities"/>
      <sheetName val="Listco_Stock"/>
      <sheetName val="Intl_Purchase"/>
      <sheetName val="FY_outlook"/>
      <sheetName val="CY_outlook"/>
      <sheetName val="Cash_metrics"/>
      <sheetName val="F08_-_Asia_Pac_Full_Year_Q3"/>
      <sheetName val="TABLA"/>
      <sheetName val="_ExportMetadata"/>
      <sheetName val="Valor_Actual_2002"/>
      <sheetName val="Vtas2000"/>
      <sheetName val="Liquidacion_Julio_2002"/>
      <sheetName val="icos0502"/>
      <sheetName val="pplay_load3"/>
      <sheetName val="tabla_fcst_unid"/>
      <sheetName val="P6_7"/>
      <sheetName val="DATOS BASE"/>
      <sheetName val="Estatus"/>
      <sheetName val="Info"/>
      <sheetName val="Estratificación AI"/>
      <sheetName val="Dashboard"/>
      <sheetName val="condicion inseguras"/>
      <sheetName val="Actos Inseguros"/>
      <sheetName val="Control de incidentes"/>
      <sheetName val="Plan de Acción"/>
      <sheetName val="备注"/>
      <sheetName val="_손익기01.XL_x005f_x005f_x005f_x0000__x005f_x005f_x0"/>
      <sheetName val="연료전력(군포)"/>
      <sheetName val="적립수신"/>
      <sheetName val="순수통장"/>
      <sheetName val="일별"/>
      <sheetName val="加薪规则排序"/>
      <sheetName val="Analysis"/>
      <sheetName val="索引表"/>
      <sheetName val="Control"/>
      <sheetName val="引用"/>
      <sheetName val="담당자Raw"/>
      <sheetName val="支柱模块源数据--请勿更改或删除"/>
      <sheetName val="MasterData"/>
      <sheetName val="条件表"/>
      <sheetName val="下拉菜单"/>
      <sheetName val="Issues List_Payments"/>
      <sheetName val="drop-down_lists"/>
      <sheetName val="数据库"/>
      <sheetName val="turnover reason퇴직사유"/>
      <sheetName val="Grafica Actos"/>
      <sheetName val="PGK-1610"/>
      <sheetName val="POC LIST"/>
      <sheetName val="Condiciones SyE"/>
      <sheetName val="DETALLE MENSUAL"/>
      <sheetName val="do not delete"/>
      <sheetName val="NA"/>
      <sheetName val="MidAm"/>
      <sheetName val="LAN"/>
      <sheetName val="LAS"/>
      <sheetName val="COPEC"/>
      <sheetName val="EUR"/>
      <sheetName val="Africa"/>
      <sheetName val="APAC S"/>
      <sheetName val="APAC N"/>
      <sheetName val="Slide output"/>
      <sheetName val="[손익기01.XL??DePara"/>
      <sheetName val="Farol Metas"/>
      <sheetName val="Preview2"/>
      <sheetName val="Agenda"/>
      <sheetName val="Cadastros"/>
      <sheetName val="Base_Cobertura_WP"/>
      <sheetName val="TOTAL_HL"/>
      <sheetName val="99"/>
      <sheetName val="BASE_APOIO"/>
      <sheetName val="AO"/>
      <sheetName val="2"/>
      <sheetName val="BG"/>
      <sheetName val="Farol"/>
      <sheetName val="Base_Farol_Manual_Consolidada"/>
      <sheetName val="Árvore"/>
      <sheetName val="Tela_Inicial"/>
      <sheetName val="XLR_NoRangeSheet"/>
      <sheetName val="GVs"/>
      <sheetName val="Cadastro_Comercial"/>
      <sheetName val="2-Instalações"/>
      <sheetName val="RESUMO_MC"/>
      <sheetName val="Organization"/>
      <sheetName val="EMPREGADOS"/>
      <sheetName val="4-Estrutura_da_Área_de_Vendas"/>
      <sheetName val="5-Vendas-5_4-5_5-5_6"/>
      <sheetName val="FE"/>
      <sheetName val="BD_-_Realizado"/>
      <sheetName val="Cadastro_de_Veículos"/>
      <sheetName val="3-Equipamentos_e_Meios"/>
      <sheetName val="Cálculo_TMEF-TMR"/>
      <sheetName val="Liberação_Juros_Set_2004"/>
      <sheetName val="Lista_de_Feriados"/>
      <sheetName val="BASE"/>
      <sheetName val="Base_Graf"/>
      <sheetName val="Aderencia_Algoritmo_SIV"/>
      <sheetName val="Árvore_3v"/>
      <sheetName val="Sistema"/>
      <sheetName val="Dados_Dev"/>
      <sheetName val="Cxs_Int"/>
      <sheetName val="Pilares"/>
      <sheetName val="IC's"/>
      <sheetName val="Rel_Histórico"/>
      <sheetName val="TMEF_-_TMR_151"/>
      <sheetName val="Entrada_de_Dados"/>
      <sheetName val="EI_Calc"/>
      <sheetName val="Produtos"/>
      <sheetName val="PV"/>
      <sheetName val="Base_Críticas_de_Pedidos"/>
      <sheetName val="REALxMETA_-_REFRI"/>
      <sheetName val="Planificador"/>
      <sheetName val="8-Procedimentos"/>
      <sheetName val="Gráfico_3"/>
      <sheetName val="Gráfico"/>
      <sheetName val="Gráfico_Anual"/>
      <sheetName val="GR"/>
      <sheetName val="Tabela_Preço"/>
      <sheetName val="Tab_Aux"/>
      <sheetName val="Produtos_e_Custos"/>
      <sheetName val="TI"/>
      <sheetName val="Plan2"/>
      <sheetName val="BASE_GV"/>
      <sheetName val="Matriz_Unidade"/>
      <sheetName val="Variavel"/>
      <sheetName val="Mod Relac."/>
      <sheetName val="Vlookup"/>
      <sheetName val="REALxMETA - CERVEJA"/>
      <sheetName val="REALxMETA - REFRI"/>
      <sheetName val="Catalogo"/>
      <sheetName val="MD"/>
      <sheetName val="Directrices de Metas 2017"/>
      <sheetName val="SKU Basic Data"/>
      <sheetName val="数据验证"/>
      <sheetName val="Лист2"/>
      <sheetName val="L1_L2_Lookup"/>
      <sheetName val="Entity Target"/>
      <sheetName val="条件"/>
      <sheetName val="Matriz"/>
      <sheetName val="Pareto"/>
      <sheetName val="Hoja5"/>
      <sheetName val="Personal"/>
      <sheetName val="VALIDACION DE DATOS"/>
      <sheetName val="Hoja4"/>
      <sheetName val="Drop-down List"/>
      <sheetName val="by DD"/>
      <sheetName val="Ba"/>
      <sheetName val="分类统计"/>
      <sheetName val="隐患分类"/>
      <sheetName val="Check Qualidade"/>
      <sheetName val="Lista"/>
      <sheetName val="De_Para"/>
      <sheetName val="De Para"/>
      <sheetName val="FornecM_Check"/>
      <sheetName val="Unidades_SAC-REVENDA2"/>
      <sheetName val="[손익기01_XL??DePara"/>
      <sheetName val="Farol_Metas"/>
      <sheetName val="Mod_Relac_"/>
      <sheetName val="Estratificación_AI"/>
      <sheetName val="condicion_inseguras"/>
      <sheetName val="Actos_Inseguros"/>
      <sheetName val="Control_de_incidentes"/>
      <sheetName val="Plan_de_Acción"/>
      <sheetName val="Feuil2"/>
      <sheetName val="Check Aderencia"/>
      <sheetName val="원부재료1"/>
      <sheetName val="시험장S자로가로등공사"/>
      <sheetName val="_x005f_x005f_x005f_x0018__x005f_x005f_x005f_x0000_"/>
      <sheetName val="_x005f_x0018_?"/>
      <sheetName val="지장물C"/>
      <sheetName val="01_02월_성B_x0000_"/>
      <sheetName val="Sheet17"/>
      <sheetName val="1-1"/>
      <sheetName val="첨부#2.Cash Flow(현장작성)"/>
      <sheetName val="STRAT PLAN WKSHT"/>
      <sheetName val="Sales Plan &amp; other"/>
      <sheetName val="ConsolidateUSD"/>
      <sheetName val="STRAT_PLAN_WKSHT"/>
      <sheetName val="Sales_Plan_&amp;_other"/>
      <sheetName val="ref"/>
      <sheetName val="drop downs"/>
      <sheetName val="Project Count"/>
      <sheetName val="Index1"/>
      <sheetName val="STRAT_PLAN_WKSHT1"/>
      <sheetName val="Sales_Plan_&amp;_other1"/>
      <sheetName val="drop_downs"/>
      <sheetName val="XREF"/>
      <sheetName val="손익계산서"/>
      <sheetName val="단기차입금(200006)"/>
      <sheetName val="有型区分分类"/>
      <sheetName val="업무 분류(Category)"/>
      <sheetName val="작성양식"/>
      <sheetName val="수정양식"/>
      <sheetName val="#1 Basic"/>
      <sheetName val="만기"/>
      <sheetName val="월별비교(물리)"/>
      <sheetName val="산자사 운전용품"/>
      <sheetName val="Ref. Spec Review 양식"/>
      <sheetName val="Ref. 시험항목 테이블"/>
      <sheetName val="Ref. Search Result 테이블"/>
      <sheetName val="1__작성방식"/>
      <sheetName val="표)CFT장_조직별_배분"/>
      <sheetName val="20180214_P&amp;T"/>
      <sheetName val="Ref__중점_추진_과제별_상세"/>
      <sheetName val="Bank_code"/>
      <sheetName val="Drop-down_RAW"/>
      <sheetName val="Basic_Information"/>
      <sheetName val="Exchange_rate"/>
      <sheetName val="견적서"/>
      <sheetName val="hiddenSheet"/>
      <sheetName val="필요면적"/>
      <sheetName val="PUR-12K"/>
      <sheetName val="TSCLFEB"/>
      <sheetName val="7300-1000.11"/>
      <sheetName val="7300-1000_11"/>
      <sheetName val="기준Data"/>
      <sheetName val="PJT 현황"/>
      <sheetName val="euc"/>
      <sheetName val="1o_Sem"/>
      <sheetName val="2o_Sem"/>
      <sheetName val="ID_Ano"/>
      <sheetName val="BaseReal"/>
      <sheetName val="Devolução_Cx_Mês"/>
      <sheetName val="Base_Fornec_M_AS_Hl"/>
      <sheetName val="Acompanhamento_Devolução"/>
      <sheetName val="Base_%_VD"/>
      <sheetName val="Ta_x0005_"/>
      <sheetName val="Base Farol"/>
      <sheetName val="Gerencial IL"/>
      <sheetName val="Ventas Campo"/>
      <sheetName val="Graficos"/>
      <sheetName val="MASTER_APP1"/>
      <sheetName val="Cond__Inseguros1"/>
      <sheetName val="Comp__Inseguros1"/>
      <sheetName val="Base_de_Datos1"/>
      <sheetName val="3YP2016-Bottom_up1"/>
      <sheetName val="Farol_Acciones1"/>
      <sheetName val="Lista_de_datos1"/>
      <sheetName val="FornecM_Check1"/>
      <sheetName val="Unidades_SAC-REVENDA3"/>
      <sheetName val="Clasif_1"/>
      <sheetName val="Lista_de_Entrenamientos1"/>
      <sheetName val="Supply_Cost_Centers1"/>
      <sheetName val="[손익기01_XL??DePara1"/>
      <sheetName val="Farol_Metas1"/>
      <sheetName val="Lista_CI1"/>
      <sheetName val="2_카드채권(대출포함)1"/>
      <sheetName val="Mod_Relac_1"/>
      <sheetName val="Estratificación_AI1"/>
      <sheetName val="condicion_inseguras1"/>
      <sheetName val="Actos_Inseguros1"/>
      <sheetName val="Control_de_incidentes1"/>
      <sheetName val="Plan_de_Acción1"/>
      <sheetName val="_DD_List1"/>
      <sheetName val="Share_Price_20021"/>
      <sheetName val="TOP_KPIs_MTM"/>
      <sheetName val="PLAN_DE_ACCION"/>
      <sheetName val="Faro_de_Indicadores"/>
      <sheetName val="Grafica_Actos"/>
      <sheetName val="Condiciones_SyE"/>
      <sheetName val="REALxMETA_-_CERVEJA2"/>
      <sheetName val="REALxMETA_-_REFRI2"/>
      <sheetName val="Dashboard_Prevención_Riesgos_"/>
      <sheetName val="POC_LIST"/>
      <sheetName val="Entity_Target"/>
      <sheetName val="Issues_List_Payments"/>
      <sheetName val="ACTOS POR RIESGO"/>
      <sheetName val="drop lists"/>
      <sheetName val="MRL NON SUPPLY URU"/>
      <sheetName val="AIIM - Empresas Ext 2012"/>
      <sheetName val="Blad2"/>
      <sheetName val="KPIs Hana"/>
      <sheetName val="CausasProblemasFolios"/>
      <sheetName val="Catalago de refacciones "/>
      <sheetName val="Existencias al 07-Nov-2012"/>
      <sheetName val="GAP"/>
      <sheetName val="Check GG"/>
      <sheetName val="요일_테이블4"/>
      <sheetName val="요일_테이블_(2)3"/>
      <sheetName val="TO_Data_Base12"/>
      <sheetName val="YTD_Summary11"/>
      <sheetName val="Month_Summary11"/>
      <sheetName val="Trial_Balance_MAY_200911"/>
      <sheetName val="TB_Pivot11"/>
      <sheetName val="total_per_LB_LB211"/>
      <sheetName val="Trial_Balance_Vlookup11"/>
      <sheetName val="Trial_Balance_APRIL_200911"/>
      <sheetName val="Roll_Out_AQ11"/>
      <sheetName val="Evolução_mandamentos11"/>
      <sheetName val="Planilha_resultados10"/>
      <sheetName val="Historico_200310"/>
      <sheetName val="Sig_Cycles_Accts_&amp;_Processes10"/>
      <sheetName val="Fixed_ZBB4"/>
      <sheetName val="E_法规NC4"/>
      <sheetName val="3_ISo_YTD4"/>
      <sheetName val="Données_LMU4"/>
      <sheetName val="Brazil_Sovereign4"/>
      <sheetName val="Resumen_Costo4"/>
      <sheetName val="Base_de_Dados4"/>
      <sheetName val="Extract_Loss4"/>
      <sheetName val="5_14"/>
      <sheetName val="QA_跟踪记录表4"/>
      <sheetName val="RG_Depots4"/>
      <sheetName val="material_data4"/>
      <sheetName val="other_data4"/>
      <sheetName val="Como_Estamos4"/>
      <sheetName val="Database_(RUR)Mar_YTD4"/>
      <sheetName val="SKU_Mapping4"/>
      <sheetName val="Drop_Down4"/>
      <sheetName val="Raw_Data4"/>
      <sheetName val="EBM-2_GHQ4"/>
      <sheetName val="Base_PEF5"/>
      <sheetName val="Controls_data6"/>
      <sheetName val="Dados_BLP4"/>
      <sheetName val="Testing_Template_Guidance4"/>
      <sheetName val="Test_Programs4"/>
      <sheetName val="FJJX_Bud_IB3"/>
      <sheetName val="JOB_PROFILE_-_LAS4"/>
      <sheetName val="ARdistr_(2)4"/>
      <sheetName val="look-up_data3"/>
      <sheetName val="Prd_Hierarchy(产品层级)3"/>
      <sheetName val="Com_(2PK)3"/>
      <sheetName val="전사_PL5"/>
      <sheetName val="자금_제외_PL5"/>
      <sheetName val="자금_PL5"/>
      <sheetName val="전사_BS5"/>
      <sheetName val="자금_제외_BS5"/>
      <sheetName val="자금_BS5"/>
      <sheetName val="BS_계정_설명5"/>
      <sheetName val="_Cash_Flow(전사)5"/>
      <sheetName val="_Cash_Flow(자금제외)5"/>
      <sheetName val="_Cash_Flow(자금)5"/>
      <sheetName val="ROIC_5"/>
      <sheetName val="인건비_명세5"/>
      <sheetName val="판관비_명세5"/>
      <sheetName val="OH_Cost경비(내역)5"/>
      <sheetName val="OH_Cost경비(배부기준)5"/>
      <sheetName val="기타수지&amp;특별손익_명세5"/>
      <sheetName val="업무연락_(2)4"/>
      <sheetName val="제시_손익계산서4"/>
      <sheetName val="01_02월_성과급5"/>
      <sheetName val="M_7회차_담금_계획4"/>
      <sheetName val="팀별_실적4"/>
      <sheetName val="팀별_실적_(환산)4"/>
      <sheetName val="4__Inj_투자상세내역4"/>
      <sheetName val="3__Blow_투자_상세내역4"/>
      <sheetName val="Process_List4"/>
      <sheetName val="7_(2)4"/>
      <sheetName val="Prd_Hierarchy(产品层次)3"/>
      <sheetName val="Project_Code3"/>
      <sheetName val="_손익기01_XL3"/>
      <sheetName val="drop_down_list3"/>
      <sheetName val="[손익기01_XL_x005f_x0000__x005f_x0000_DePara3"/>
      <sheetName val="Income_Stmt3"/>
      <sheetName val="Quarterly_LBO_Model3"/>
      <sheetName val="[손익기01_XL3"/>
      <sheetName val="_손익기01_XL_x005f_x0000__x005f_x0000_DePara3"/>
      <sheetName val="15년_BL_사계3"/>
      <sheetName val="Classification_分类2"/>
      <sheetName val="Figures_Report2"/>
      <sheetName val="Set_Up3"/>
      <sheetName val="Fare_prices2"/>
      <sheetName val="Hotel_prices2"/>
      <sheetName val="tab_STATUS_DO_PROCESSO_2"/>
      <sheetName val="Perf__Plan__Diário12"/>
      <sheetName val="In_(2)2"/>
      <sheetName val="slide_24_cat_A2"/>
      <sheetName val="slide_82_cat_b2"/>
      <sheetName val="09~10년_매출계획2"/>
      <sheetName val="1_MDF1공장2"/>
      <sheetName val="Incident_유형구분표2"/>
      <sheetName val="CLASIFICACION_DE_AI2"/>
      <sheetName val="Base_da_Datos2"/>
      <sheetName val="Dados_dos_Produtos2"/>
      <sheetName val="DD_list2"/>
      <sheetName val="F08_-_Asia_Pac_Full_Year_Q31"/>
      <sheetName val="Top_Priorities1"/>
      <sheetName val="Listco_Stock1"/>
      <sheetName val="Intl_Purchase1"/>
      <sheetName val="FY_outlook1"/>
      <sheetName val="CY_outlook1"/>
      <sheetName val="Cash_metrics1"/>
      <sheetName val="P6_71"/>
      <sheetName val="DATOS_BASE"/>
      <sheetName val="Hazards_Analysis-隐患分析"/>
      <sheetName val="_손익기01_XL_x005f_x005f_x005f_x0000__x005f_x005f_x0"/>
      <sheetName val="turnover_reason퇴직사유"/>
      <sheetName val="SKU_Basic_Data"/>
      <sheetName val="DETALLE_MENSUAL"/>
      <sheetName val="do_not_delete"/>
      <sheetName val="APAC_S"/>
      <sheetName val="APAC_N"/>
      <sheetName val="Slide_output"/>
      <sheetName val="Directrices_de_Metas_2017"/>
      <sheetName val="구분"/>
      <sheetName val="요일_테이블5"/>
      <sheetName val="요일_테이블_(2)4"/>
      <sheetName val="TO_Data_Base13"/>
      <sheetName val="YTD_Summary12"/>
      <sheetName val="Month_Summary12"/>
      <sheetName val="Trial_Balance_MAY_200912"/>
      <sheetName val="TB_Pivot12"/>
      <sheetName val="total_per_LB_LB212"/>
      <sheetName val="Trial_Balance_Vlookup12"/>
      <sheetName val="Trial_Balance_APRIL_200912"/>
      <sheetName val="Roll_Out_AQ12"/>
      <sheetName val="Evolução_mandamentos12"/>
      <sheetName val="Planilha_resultados11"/>
      <sheetName val="Historico_200311"/>
      <sheetName val="Sig_Cycles_Accts_&amp;_Processes11"/>
      <sheetName val="Fixed_ZBB5"/>
      <sheetName val="E_法规NC5"/>
      <sheetName val="3_ISo_YTD5"/>
      <sheetName val="Données_LMU5"/>
      <sheetName val="Brazil_Sovereign5"/>
      <sheetName val="Resumen_Costo5"/>
      <sheetName val="Base_de_Dados5"/>
      <sheetName val="Extract_Loss5"/>
      <sheetName val="5_15"/>
      <sheetName val="QA_跟踪记录表5"/>
      <sheetName val="RG_Depots5"/>
      <sheetName val="material_data5"/>
      <sheetName val="other_data5"/>
      <sheetName val="Como_Estamos5"/>
      <sheetName val="Database_(RUR)Mar_YTD5"/>
      <sheetName val="SKU_Mapping5"/>
      <sheetName val="Drop_Down5"/>
      <sheetName val="Raw_Data5"/>
      <sheetName val="EBM-2_GHQ5"/>
      <sheetName val="Base_PEF6"/>
      <sheetName val="Controls_data7"/>
      <sheetName val="Dados_BLP5"/>
      <sheetName val="Testing_Template_Guidance5"/>
      <sheetName val="Test_Programs5"/>
      <sheetName val="FJJX_Bud_IB4"/>
      <sheetName val="JOB_PROFILE_-_LAS5"/>
      <sheetName val="ARdistr_(2)5"/>
      <sheetName val="look-up_data4"/>
      <sheetName val="Prd_Hierarchy(产品层级)4"/>
      <sheetName val="Com_(2PK)4"/>
      <sheetName val="전사_PL6"/>
      <sheetName val="자금_제외_PL6"/>
      <sheetName val="자금_PL6"/>
      <sheetName val="전사_BS6"/>
      <sheetName val="자금_제외_BS6"/>
      <sheetName val="자금_BS6"/>
      <sheetName val="BS_계정_설명6"/>
      <sheetName val="_Cash_Flow(전사)6"/>
      <sheetName val="_Cash_Flow(자금제외)6"/>
      <sheetName val="_Cash_Flow(자금)6"/>
      <sheetName val="ROIC_6"/>
      <sheetName val="인건비_명세6"/>
      <sheetName val="판관비_명세6"/>
      <sheetName val="OH_Cost경비(내역)6"/>
      <sheetName val="OH_Cost경비(배부기준)6"/>
      <sheetName val="기타수지&amp;특별손익_명세6"/>
      <sheetName val="업무연락_(2)5"/>
      <sheetName val="제시_손익계산서5"/>
      <sheetName val="01_02월_성과급6"/>
      <sheetName val="M_7회차_담금_계획5"/>
      <sheetName val="팀별_실적5"/>
      <sheetName val="팀별_실적_(환산)5"/>
      <sheetName val="4__Inj_투자상세내역5"/>
      <sheetName val="3__Blow_투자_상세내역5"/>
      <sheetName val="Process_List5"/>
      <sheetName val="7_(2)5"/>
      <sheetName val="Prd_Hierarchy(产品层次)4"/>
      <sheetName val="Project_Code4"/>
      <sheetName val="_손익기01_XL4"/>
      <sheetName val="drop_down_list4"/>
      <sheetName val="[손익기01_XL_x005f_x0000__x005f_x0000_DePara4"/>
      <sheetName val="Income_Stmt4"/>
      <sheetName val="Quarterly_LBO_Model4"/>
      <sheetName val="[손익기01_XL4"/>
      <sheetName val="_손익기01_XL_x005f_x0000__x005f_x0000_DePara4"/>
      <sheetName val="15년_BL_사계4"/>
      <sheetName val="Classification_分类3"/>
      <sheetName val="Figures_Report3"/>
      <sheetName val="Set_Up4"/>
      <sheetName val="Fare_prices3"/>
      <sheetName val="Hotel_prices3"/>
      <sheetName val="tab_STATUS_DO_PROCESSO_3"/>
      <sheetName val="Perf__Plan__Diário13"/>
      <sheetName val="In_(2)3"/>
      <sheetName val="slide_24_cat_A3"/>
      <sheetName val="slide_82_cat_b3"/>
      <sheetName val="09~10년_매출계획3"/>
      <sheetName val="1_MDF1공장3"/>
      <sheetName val="Incident_유형구분표3"/>
      <sheetName val="CLASIFICACION_DE_AI3"/>
      <sheetName val="Base_da_Datos3"/>
      <sheetName val="Dados_dos_Produtos3"/>
      <sheetName val="DD_list3"/>
      <sheetName val="3YP2016-Bottom_up2"/>
      <sheetName val="2_카드채권(대출포함)2"/>
      <sheetName val="MASTER_APP2"/>
      <sheetName val="Cond__Inseguros2"/>
      <sheetName val="Comp__Inseguros2"/>
      <sheetName val="Lista_de_datos2"/>
      <sheetName val="Base_de_Datos2"/>
      <sheetName val="_DD_List2"/>
      <sheetName val="Share_Price_20022"/>
      <sheetName val="Clasif_2"/>
      <sheetName val="Lista_CI2"/>
      <sheetName val="Farol_Acciones2"/>
      <sheetName val="Lista_de_Entrenamientos2"/>
      <sheetName val="Supply_Cost_Centers2"/>
      <sheetName val="BEP_加薪_KPI1"/>
      <sheetName val="F08_-_Asia_Pac_Full_Year_Q32"/>
      <sheetName val="Top_Priorities2"/>
      <sheetName val="Listco_Stock2"/>
      <sheetName val="Intl_Purchase2"/>
      <sheetName val="FY_outlook2"/>
      <sheetName val="CY_outlook2"/>
      <sheetName val="Cash_metrics2"/>
      <sheetName val="P6_72"/>
      <sheetName val="DATOS_BASE1"/>
      <sheetName val="Hazards_Analysis-隐患分析1"/>
      <sheetName val="_손익기01_XL_x005f_x005f_x005f_x0000__x005f_x005f_x1"/>
      <sheetName val="Dashboard_Prevención_Riesgos_1"/>
      <sheetName val="TOP_KPIs_MTM1"/>
      <sheetName val="PLAN_DE_ACCION1"/>
      <sheetName val="Faro_de_Indicadores1"/>
      <sheetName val="Issues_List_Payments1"/>
      <sheetName val="Grafica_Actos1"/>
      <sheetName val="Condiciones_SyE1"/>
      <sheetName val="turnover_reason퇴직사유1"/>
      <sheetName val="POC_LIST1"/>
      <sheetName val="SKU_Basic_Data1"/>
      <sheetName val="DETALLE_MENSUAL1"/>
      <sheetName val="do_not_delete1"/>
      <sheetName val="REALxMETA_-_CERVEJA3"/>
      <sheetName val="REALxMETA_-_REFRI3"/>
      <sheetName val="APAC_S1"/>
      <sheetName val="APAC_N1"/>
      <sheetName val="Slide_output1"/>
      <sheetName val="Directrices_de_Metas_20171"/>
      <sheetName val="Entity_Target1"/>
      <sheetName val="VALIDACION_DE_DATOS"/>
      <sheetName val="Drop-down_List"/>
      <sheetName val="by_DD"/>
      <sheetName val="_손익기01.XL_x005f_x0000__x0"/>
      <sheetName val="工作表2"/>
      <sheetName val="条件格式选项"/>
      <sheetName val="单位信息"/>
      <sheetName val="条件格式"/>
      <sheetName val="요일 테이블 "/>
      <sheetName val="Nombre de SOP"/>
      <sheetName val="Vermelha"/>
      <sheetName val="Список"/>
      <sheetName val="targets"/>
      <sheetName val=" mngt Pillar"/>
      <sheetName val="2. Indicadores"/>
      <sheetName val="Ta¨"/>
      <sheetName val="Ta "/>
      <sheetName val="Sheet3 (2)"/>
      <sheetName val="Hoegaarden"/>
      <sheetName val="Lao &amp; Cam"/>
      <sheetName val="Hoegaarden 2019"/>
      <sheetName val="Lao &amp; Cam 2019"/>
      <sheetName val="Malaysia"/>
      <sheetName val="Malaysia 2019"/>
      <sheetName val="Singapore"/>
      <sheetName val="Singapore 2019"/>
      <sheetName val="Sheet2 (2)"/>
      <sheetName val="下拉菜单选项"/>
      <sheetName val="Key"/>
      <sheetName val="Lookups"/>
      <sheetName val="Other Listings"/>
      <sheetName val="Registros"/>
      <sheetName val="Lista de Entrenamientos RSO"/>
      <sheetName val="Tablero SDG"/>
      <sheetName val="Lista Areas"/>
      <sheetName val="One Page"/>
      <sheetName val="Tablero_SDG"/>
      <sheetName val="Lista_Areas"/>
      <sheetName val="One_Page"/>
      <sheetName val="Tablero_SDG1"/>
      <sheetName val="Lista_Areas1"/>
      <sheetName val="One_Page1"/>
      <sheetName val="Sub-Productos HN"/>
      <sheetName val="SDG"/>
      <sheetName val="Eficiencia linea"/>
      <sheetName val="Tablero_SDG2"/>
      <sheetName val="Lista_Areas2"/>
      <sheetName val="One_Page2"/>
      <sheetName val="Sub-Productos_HN"/>
      <sheetName val="Capa"/>
      <sheetName val="Reference"/>
      <sheetName val="Dropdown"/>
      <sheetName val="[손익기01_XL_x0000__x0000_DePara2"/>
      <sheetName val="_손익기01_XL_x0000__x0000_DePara2"/>
      <sheetName val="[손익기01_XL_x0000__x0000_DePara1"/>
      <sheetName val="_손익기01_XL_x0000__x0000_DePara1"/>
      <sheetName val="有效性"/>
      <sheetName val="基础信息"/>
      <sheetName val="dd"/>
      <sheetName val="隐患统计图"/>
      <sheetName val="Refs"/>
      <sheetName val="Unidades_SAC-REVENDA4"/>
      <sheetName val="FornecM_Check2"/>
      <sheetName val="Mod_Relac_2"/>
      <sheetName val="[손익기01_XL??DePara2"/>
      <sheetName val="Farol_Metas2"/>
      <sheetName val="Estratificación_AI2"/>
      <sheetName val="condicion_inseguras2"/>
      <sheetName val="Actos_Inseguros2"/>
      <sheetName val="Control_de_incidentes2"/>
      <sheetName val="Plan_de_Acción2"/>
      <sheetName val="Check_Qualidade"/>
      <sheetName val="De_Para1"/>
      <sheetName val="Check_Aderencia"/>
      <sheetName val="Ta"/>
      <sheetName val="Base_Farol"/>
      <sheetName val="Ventas_Campo"/>
      <sheetName val="Gerencial_IL"/>
      <sheetName val="Ta_"/>
      <sheetName val="ACTOS_POR_RIESGO"/>
      <sheetName val="Nombre_de_SOP"/>
      <sheetName val="drop_lists"/>
      <sheetName val="Check_GG"/>
      <sheetName val="KPIs_Hana"/>
      <sheetName val="Catalago_de_refacciones_"/>
      <sheetName val="Existencias_al_07-Nov-2012"/>
      <sheetName val="MRL_NON_SUPPLY_URU"/>
      <sheetName val="AIIM_-_Empresas_Ext_2012"/>
      <sheetName val="Pauta RPS Distribuição"/>
      <sheetName val="BaseGrupo"/>
      <sheetName val="RProd"/>
      <sheetName val="Planilha1"/>
      <sheetName val="Planilha2"/>
      <sheetName val="Estoque"/>
      <sheetName val="Estoque (2)"/>
      <sheetName val="ajuda"/>
      <sheetName val="Adm"/>
      <sheetName val="Controls"/>
      <sheetName val="菜单联动"/>
      <sheetName val="不安全行为库"/>
      <sheetName val="KPI标准"/>
      <sheetName val="Motorista"/>
      <sheetName val="[손익기01_XL_x0000__x0000_DePara3"/>
      <sheetName val="_손익기01_XL_x0000__x0000_DePara3"/>
      <sheetName val="_손익기01.XL_x0000__x0"/>
      <sheetName val="[손익기01_XL_x0000__x0000_DePara4"/>
      <sheetName val="_손익기01_XL_x0000__x0000_DePara4"/>
      <sheetName val="_손익기01_XL_x005f_x0000__x0"/>
      <sheetName val="_손익기01_XL_x005f_x0000__x1"/>
      <sheetName val="Julio"/>
      <sheetName val="CONTADOR"/>
      <sheetName val="DROP"/>
      <sheetName val="INGRESO"/>
      <sheetName val="DATOS DE VALIDACIÓN"/>
      <sheetName val="clasificación"/>
      <sheetName val="Datos con"/>
      <sheetName val="Dato"/>
      <sheetName val="Enero(11)"/>
      <sheetName val="Respel-RAEE"/>
      <sheetName val="Asistencia"/>
      <sheetName val=" Datos Cond."/>
      <sheetName val="CRITERIOS"/>
      <sheetName val="참조용"/>
      <sheetName val="이상욱"/>
      <sheetName val="최창원"/>
      <sheetName val="권순오"/>
      <sheetName val="유윤선"/>
      <sheetName val="서유덕"/>
      <sheetName val="이창훈"/>
      <sheetName val="이도현"/>
      <sheetName val="진형수"/>
      <sheetName val="원영훈"/>
      <sheetName val="정진광"/>
      <sheetName val="강승권"/>
      <sheetName val="마민호"/>
      <sheetName val="주차통행료"/>
      <sheetName val="이상욱2"/>
      <sheetName val="Comp Inseguros"/>
      <sheetName val="BNR_2012 в ящике"/>
      <sheetName val="Legend"/>
      <sheetName val="INGRESO (2)"/>
      <sheetName val="PG-K1610 (UEN Areas)MNG"/>
      <sheetName val="DATOS GEN."/>
      <sheetName val="NUEVOS CRITERIOS"/>
      <sheetName val="Condiciones Agua"/>
      <sheetName val="筛选列表"/>
      <sheetName val="ETD"/>
      <sheetName val="Cons"/>
      <sheetName val="TO_Data_Base14"/>
      <sheetName val="YTD_Summary13"/>
      <sheetName val="Month_Summary13"/>
      <sheetName val="Trial_Balance_MAY_200913"/>
      <sheetName val="TB_Pivot13"/>
      <sheetName val="total_per_LB_LB213"/>
      <sheetName val="Trial_Balance_Vlookup13"/>
      <sheetName val="Trial_Balance_APRIL_200913"/>
      <sheetName val="Roll_Out_AQ13"/>
      <sheetName val="Evolução_mandamentos13"/>
      <sheetName val="Planilha_resultados12"/>
      <sheetName val="Historico_200312"/>
      <sheetName val="Sig_Cycles_Accts_&amp;_Processes12"/>
      <sheetName val="Fixed_ZBB6"/>
      <sheetName val="E_法规NC6"/>
      <sheetName val="3_ISo_YTD6"/>
      <sheetName val="Données_LMU6"/>
      <sheetName val="Brazil_Sovereign6"/>
      <sheetName val="Resumen_Costo6"/>
      <sheetName val="Extract_Loss6"/>
      <sheetName val="QA_跟踪记录表6"/>
      <sheetName val="5_16"/>
      <sheetName val="Base_de_Dados6"/>
      <sheetName val="Como_Estamos6"/>
      <sheetName val="Controls_data8"/>
      <sheetName val="RG_Depots6"/>
      <sheetName val="material_data6"/>
      <sheetName val="other_data6"/>
      <sheetName val="Database_(RUR)Mar_YTD6"/>
      <sheetName val="SKU_Mapping6"/>
      <sheetName val="Drop_Down6"/>
      <sheetName val="Raw_Data6"/>
      <sheetName val="EBM-2_GHQ6"/>
      <sheetName val="Base_PEF7"/>
      <sheetName val="Testing_Template_Guidance6"/>
      <sheetName val="Test_Programs6"/>
      <sheetName val="Dados_BLP6"/>
      <sheetName val="FJJX_Bud_IB5"/>
      <sheetName val="JOB_PROFILE_-_LAS6"/>
      <sheetName val="ARdistr_(2)6"/>
      <sheetName val="look-up_data5"/>
      <sheetName val="Prd_Hierarchy(产品层级)5"/>
      <sheetName val="Com_(2PK)5"/>
      <sheetName val="Project_Code5"/>
      <sheetName val="요일_테이블6"/>
      <sheetName val="요일_테이블_(2)5"/>
      <sheetName val="Prd_Hierarchy(产品层次)5"/>
      <sheetName val="전사_PL7"/>
      <sheetName val="자금_제외_PL7"/>
      <sheetName val="자금_PL7"/>
      <sheetName val="전사_BS7"/>
      <sheetName val="자금_제외_BS7"/>
      <sheetName val="자금_BS7"/>
      <sheetName val="BS_계정_설명7"/>
      <sheetName val="_Cash_Flow(전사)7"/>
      <sheetName val="_Cash_Flow(자금제외)7"/>
      <sheetName val="_Cash_Flow(자금)7"/>
      <sheetName val="ROIC_7"/>
      <sheetName val="인건비_명세7"/>
      <sheetName val="판관비_명세7"/>
      <sheetName val="OH_Cost경비(내역)7"/>
      <sheetName val="OH_Cost경비(배부기준)7"/>
      <sheetName val="기타수지&amp;특별손익_명세7"/>
      <sheetName val="업무연락_(2)6"/>
      <sheetName val="제시_손익계산서6"/>
      <sheetName val="01_02월_성과급7"/>
      <sheetName val="M_7회차_담금_계획6"/>
      <sheetName val="팀별_실적6"/>
      <sheetName val="팀별_실적_(환산)6"/>
      <sheetName val="4__Inj_투자상세내역6"/>
      <sheetName val="3__Blow_투자_상세내역6"/>
      <sheetName val="Process_List6"/>
      <sheetName val="7_(2)6"/>
      <sheetName val="_손익기01_XL5"/>
      <sheetName val="Income_Stmt5"/>
      <sheetName val="drop_down_list5"/>
      <sheetName val="[손익기01_XL_x005f_x0000__x005f_x0000_DePara5"/>
      <sheetName val="Quarterly_LBO_Model5"/>
      <sheetName val="Figures_Report4"/>
      <sheetName val="[손익기01_XL5"/>
      <sheetName val="_손익기01_XL_x005f_x0000__x005f_x0000_DePara5"/>
      <sheetName val="Fare_prices4"/>
      <sheetName val="Hotel_prices4"/>
      <sheetName val="Set_Up5"/>
      <sheetName val="15년_BL_사계5"/>
      <sheetName val="1_종합손익(주택,개발)5"/>
      <sheetName val="2_실행예산5"/>
      <sheetName val="2_2과부족5"/>
      <sheetName val="2_3원가절감5"/>
      <sheetName val="8_외주비집행현황5"/>
      <sheetName val="9_자재비5"/>
      <sheetName val="10_현장집행5"/>
      <sheetName val="3_추가원가5"/>
      <sheetName val="3_추가원가_(2)5"/>
      <sheetName val="4_사전공사5"/>
      <sheetName val="5_추정공사비5"/>
      <sheetName val="6_금융비용5"/>
      <sheetName val="7_공사비집행현황(총괄)5"/>
      <sheetName val="11_1생산성5"/>
      <sheetName val="11_2인원산출5"/>
      <sheetName val="Classification_分类4"/>
      <sheetName val="tab_STATUS_DO_PROCESSO_4"/>
      <sheetName val="Perf__Plan__Diário14"/>
      <sheetName val="In_(2)4"/>
      <sheetName val="__한국_AMP_ASP-23_판매가격__4"/>
      <sheetName val="제조원가_원단위_분석4"/>
      <sheetName val="종합표양식(품의_&amp;_입고)_24"/>
      <sheetName val="원가관리_(동월대비)4"/>
      <sheetName val="b_balju_(2)4"/>
      <sheetName val="2-2_매출분석4"/>
      <sheetName val="몰드시스템_리스트4"/>
      <sheetName val="11_외화채무증권(AFS,HTM)084"/>
      <sheetName val="13_감액TEST_084"/>
      <sheetName val="12년_CF(9월)4"/>
      <sheetName val="중기조종사_단위단가4"/>
      <sheetName val="6PILE__(돌출)4"/>
      <sheetName val="Sheet1_(2)4"/>
      <sheetName val="CLASIFICACION_DE_AI4"/>
      <sheetName val="Base_da_Datos4"/>
      <sheetName val="slide_24_cat_A4"/>
      <sheetName val="slide_82_cat_b4"/>
      <sheetName val="Dados_dos_Produtos4"/>
      <sheetName val="09~10년_매출계획4"/>
      <sheetName val="1_MDF1공장4"/>
      <sheetName val="Incident_유형구분표4"/>
      <sheetName val="3YP2016-Bottom_up3"/>
      <sheetName val="DD_list4"/>
      <sheetName val="Base_de_Datos3"/>
      <sheetName val="Clasif_3"/>
      <sheetName val="Supply_Cost_Centers3"/>
      <sheetName val="Cond__Inseguros3"/>
      <sheetName val="Comp__Inseguros3"/>
      <sheetName val="Lista_de_datos3"/>
      <sheetName val="MASTER_APP3"/>
      <sheetName val="2_카드채권(대출포함)3"/>
      <sheetName val="Lista_CI3"/>
      <sheetName val="Dashboard_Prevención_Riesgos_2"/>
      <sheetName val="TOP_KPIs_MTM2"/>
      <sheetName val="PLAN_DE_ACCION2"/>
      <sheetName val="Faro_de_Indicadores2"/>
      <sheetName val="Farol_Acciones3"/>
      <sheetName val="Lista_de_Entrenamientos3"/>
      <sheetName val="Share_Price_20023"/>
      <sheetName val="_DD_List3"/>
      <sheetName val="BEP_加薪_KPI2"/>
      <sheetName val="Issues_List_Payments2"/>
      <sheetName val="do_not_delete2"/>
      <sheetName val="Grafica_Actos2"/>
      <sheetName val="APAC_S2"/>
      <sheetName val="APAC_N2"/>
      <sheetName val="Slide_output2"/>
      <sheetName val="Condiciones_SyE2"/>
      <sheetName val="REALxMETA_-_CERVEJA4"/>
      <sheetName val="REALxMETA_-_REFRI4"/>
      <sheetName val="Directrices_de_Metas_20172"/>
      <sheetName val="Data_validation2"/>
      <sheetName val="_손익기01_XL_x005f_x005f_x005f_x0000__x005f_x005f_x2"/>
      <sheetName val="Hazards_Analysis-隐患分析2"/>
      <sheetName val="F08_-_Asia_Pac_Full_Year_Q33"/>
      <sheetName val="Top_Priorities3"/>
      <sheetName val="Listco_Stock3"/>
      <sheetName val="Intl_Purchase3"/>
      <sheetName val="FY_outlook3"/>
      <sheetName val="CY_outlook3"/>
      <sheetName val="Cash_metrics3"/>
      <sheetName val="P6_73"/>
      <sheetName val="DATOS_BASE2"/>
      <sheetName val="97_사업추정(WEKI)2"/>
      <sheetName val="Tong_hop2"/>
      <sheetName val="95_1_1이후취득자산(숨기기상태)2"/>
      <sheetName val="6월_공정외주2"/>
      <sheetName val="입출재고현황_(2)2"/>
      <sheetName val="TRE_TABLE2"/>
      <sheetName val="입찰내역_발주처_양식2"/>
      <sheetName val="POC_LIST2"/>
      <sheetName val="turnover_reason퇴직사유2"/>
      <sheetName val="SKU_Basic_Data2"/>
      <sheetName val="Entity_Target2"/>
      <sheetName val="DETALLE_MENSUAL2"/>
      <sheetName val="Drop-down_List1"/>
      <sheetName val="by_DD1"/>
      <sheetName val="VALIDACION_DE_DATOS1"/>
      <sheetName val="Jul-Sep_Actual_cost_(2)1"/>
      <sheetName val="부재료_비교(11년_vs_10년)"/>
      <sheetName val="Sheet3_(2)"/>
      <sheetName val="Lao_&amp;_Cam"/>
      <sheetName val="Hoegaarden_2019"/>
      <sheetName val="Lao_&amp;_Cam_2019"/>
      <sheetName val="Malaysia_2019"/>
      <sheetName val="Singapore_2019"/>
      <sheetName val="Sheet2_(2)"/>
      <sheetName val="요일_테이블_"/>
      <sheetName val="Other_Listings"/>
      <sheetName val="2__Indicadores"/>
      <sheetName val="Lista_de_Entrenamientos_RSO"/>
      <sheetName val="Tablero_SDG3"/>
      <sheetName val="Lista_Areas3"/>
      <sheetName val="One_Page3"/>
      <sheetName val="Sub-Productos_HN1"/>
      <sheetName val="Eficiencia_linea"/>
      <sheetName val="_mngt_Pillar"/>
      <sheetName val="Un"/>
      <sheetName val="Justificativas"/>
      <sheetName val="DO NOT MOVE"/>
      <sheetName val="PINC汇总"/>
      <sheetName val="Note"/>
      <sheetName val="物料主数据"/>
      <sheetName val="选项"/>
      <sheetName val="品牌填写下拉菜单"/>
      <sheetName val="Dropdown list"/>
      <sheetName val="Liste"/>
      <sheetName val="清单"/>
      <sheetName val="beerflow"/>
      <sheetName val="요일_테이블7"/>
      <sheetName val="요일_테이블_(2)6"/>
      <sheetName val="TO_Data_Base15"/>
      <sheetName val="YTD_Summary14"/>
      <sheetName val="Month_Summary14"/>
      <sheetName val="Trial_Balance_MAY_200914"/>
      <sheetName val="TB_Pivot14"/>
      <sheetName val="total_per_LB_LB214"/>
      <sheetName val="Trial_Balance_Vlookup14"/>
      <sheetName val="Trial_Balance_APRIL_200914"/>
      <sheetName val="Roll_Out_AQ14"/>
      <sheetName val="Evolução_mandamentos14"/>
      <sheetName val="Planilha_resultados13"/>
      <sheetName val="Historico_200313"/>
      <sheetName val="Sig_Cycles_Accts_&amp;_Processes13"/>
      <sheetName val="3_ISo_YTD7"/>
      <sheetName val="E_法规NC7"/>
      <sheetName val="Données_LMU7"/>
      <sheetName val="Brazil_Sovereign7"/>
      <sheetName val="Resumen_Costo7"/>
      <sheetName val="Fixed_ZBB7"/>
      <sheetName val="5_17"/>
      <sheetName val="Extract_Loss7"/>
      <sheetName val="QA_跟踪记录表7"/>
      <sheetName val="RG_Depots7"/>
      <sheetName val="material_data7"/>
      <sheetName val="other_data7"/>
      <sheetName val="Como_Estamos7"/>
      <sheetName val="Database_(RUR)Mar_YTD7"/>
      <sheetName val="SKU_Mapping7"/>
      <sheetName val="Drop_Down7"/>
      <sheetName val="Raw_Data7"/>
      <sheetName val="EBM-2_GHQ7"/>
      <sheetName val="Base_PEF8"/>
      <sheetName val="Base_de_Dados7"/>
      <sheetName val="Testing_Template_Guidance7"/>
      <sheetName val="Test_Programs7"/>
      <sheetName val="Dados_BLP7"/>
      <sheetName val="Controls_data9"/>
      <sheetName val="FJJX_Bud_IB6"/>
      <sheetName val="look-up_data6"/>
      <sheetName val="JOB_PROFILE_-_LAS7"/>
      <sheetName val="ARdistr_(2)7"/>
      <sheetName val="Prd_Hierarchy(产品层级)6"/>
      <sheetName val="Com_(2PK)6"/>
      <sheetName val="전사_PL8"/>
      <sheetName val="자금_제외_PL8"/>
      <sheetName val="자금_PL8"/>
      <sheetName val="전사_BS8"/>
      <sheetName val="자금_제외_BS8"/>
      <sheetName val="자금_BS8"/>
      <sheetName val="BS_계정_설명8"/>
      <sheetName val="_Cash_Flow(전사)8"/>
      <sheetName val="_Cash_Flow(자금제외)8"/>
      <sheetName val="_Cash_Flow(자금)8"/>
      <sheetName val="ROIC_8"/>
      <sheetName val="인건비_명세8"/>
      <sheetName val="판관비_명세8"/>
      <sheetName val="OH_Cost경비(내역)8"/>
      <sheetName val="OH_Cost경비(배부기준)8"/>
      <sheetName val="기타수지&amp;특별손익_명세8"/>
      <sheetName val="업무연락_(2)7"/>
      <sheetName val="제시_손익계산서7"/>
      <sheetName val="01_02월_성과급8"/>
      <sheetName val="M_7회차_담금_계획7"/>
      <sheetName val="팀별_실적7"/>
      <sheetName val="팀별_실적_(환산)7"/>
      <sheetName val="4__Inj_투자상세내역7"/>
      <sheetName val="3__Blow_투자_상세내역7"/>
      <sheetName val="Process_List7"/>
      <sheetName val="7_(2)7"/>
      <sheetName val="Prd_Hierarchy(产品层次)6"/>
      <sheetName val="Project_Code6"/>
      <sheetName val="_손익기01_XL6"/>
      <sheetName val="drop_down_list6"/>
      <sheetName val="[손익기01_XL_x005f_x0000__x005f_x0000_DePara6"/>
      <sheetName val="Income_Stmt6"/>
      <sheetName val="Quarterly_LBO_Model6"/>
      <sheetName val="_손익기01_XL_x005f_x0000__x005f_x0000_DePara6"/>
      <sheetName val="[손익기01_XL6"/>
      <sheetName val="15년_BL_사계6"/>
      <sheetName val="1_종합손익(도급)6"/>
      <sheetName val="1_종합손익(주택,개발)6"/>
      <sheetName val="2_실행예산6"/>
      <sheetName val="2_2과부족6"/>
      <sheetName val="2_3원가절감6"/>
      <sheetName val="8_외주비집행현황6"/>
      <sheetName val="9_자재비6"/>
      <sheetName val="10_현장집행6"/>
      <sheetName val="3_추가원가6"/>
      <sheetName val="3_추가원가_(2)6"/>
      <sheetName val="4_사전공사6"/>
      <sheetName val="5_추정공사비6"/>
      <sheetName val="6_금융비용6"/>
      <sheetName val="7_공사비집행현황(총괄)6"/>
      <sheetName val="11_1생산성6"/>
      <sheetName val="11_2인원산출6"/>
      <sheetName val="Classification_分类5"/>
      <sheetName val="Figures_Report5"/>
      <sheetName val="Set_Up6"/>
      <sheetName val="Fare_prices5"/>
      <sheetName val="Hotel_prices5"/>
      <sheetName val="__한국_AMP_ASP-23_판매가격__5"/>
      <sheetName val="CC_Down_load_07165"/>
      <sheetName val="변경실행(2차)_5"/>
      <sheetName val="나_출고5"/>
      <sheetName val="나_입고5"/>
      <sheetName val="09년_인건비(속리산)5"/>
      <sheetName val="합산목표(감가+57_5)5"/>
      <sheetName val="제조원가_원단위_분석5"/>
      <sheetName val="종합표양식(품의_&amp;_입고)_25"/>
      <sheetName val="원가관리_(동월대비)5"/>
      <sheetName val="b_balju_(2)5"/>
      <sheetName val="2-2_매출분석5"/>
      <sheetName val="몰드시스템_리스트5"/>
      <sheetName val="11_외화채무증권(AFS,HTM)085"/>
      <sheetName val="13_감액TEST_085"/>
      <sheetName val="12년_CF(9월)5"/>
      <sheetName val="중기조종사_단위단가5"/>
      <sheetName val="6PILE__(돌출)5"/>
      <sheetName val="기성청구_공문5"/>
      <sheetName val="Sheet1_(2)5"/>
      <sheetName val="09~10년_매출계획5"/>
      <sheetName val="1_MDF1공장5"/>
      <sheetName val="tab_STATUS_DO_PROCESSO_5"/>
      <sheetName val="Perf__Plan__Diário15"/>
      <sheetName val="In_(2)5"/>
      <sheetName val="slide_24_cat_A5"/>
      <sheetName val="slide_82_cat_b5"/>
      <sheetName val="Incident_유형구분표5"/>
      <sheetName val="CLASIFICACION_DE_AI5"/>
      <sheetName val="Base_da_Datos5"/>
      <sheetName val="Dados_dos_Produtos5"/>
      <sheetName val="DD_list5"/>
      <sheetName val="3YP2016-Bottom_up4"/>
      <sheetName val="2_카드채권(대출포함)4"/>
      <sheetName val="表21_净利润调节表4"/>
      <sheetName val="MASTER_APP4"/>
      <sheetName val="Cond__Inseguros4"/>
      <sheetName val="Comp__Inseguros4"/>
      <sheetName val="Lista_de_datos4"/>
      <sheetName val="Base_de_Datos4"/>
      <sheetName val="_DD_List4"/>
      <sheetName val="Share_Price_20024"/>
      <sheetName val="Clasif_4"/>
      <sheetName val="Lista_CI4"/>
      <sheetName val="Farol_Acciones4"/>
      <sheetName val="Lista_de_Entrenamientos4"/>
      <sheetName val="Supply_Cost_Centers4"/>
      <sheetName val="BEP_加薪_KPI3"/>
      <sheetName val="F08_-_Asia_Pac_Full_Year_Q34"/>
      <sheetName val="Top_Priorities4"/>
      <sheetName val="Listco_Stock4"/>
      <sheetName val="Intl_Purchase4"/>
      <sheetName val="FY_outlook4"/>
      <sheetName val="CY_outlook4"/>
      <sheetName val="Cash_metrics4"/>
      <sheetName val="P6_74"/>
      <sheetName val="DATOS_BASE3"/>
      <sheetName val="Unidades_SAC-REVENDA5"/>
      <sheetName val="FornecM_Check3"/>
      <sheetName val="Estratificación_AI3"/>
      <sheetName val="condicion_inseguras3"/>
      <sheetName val="Actos_Inseguros3"/>
      <sheetName val="Control_de_incidentes3"/>
      <sheetName val="Plan_de_Acción3"/>
      <sheetName val="Dashboard_Prevención_Riesgos_3"/>
      <sheetName val="TOP_KPIs_MTM3"/>
      <sheetName val="PLAN_DE_ACCION3"/>
      <sheetName val="Faro_de_Indicadores3"/>
      <sheetName val="Hazards_Analysis-隐患分析3"/>
      <sheetName val="_손익기01_XL_x005f_x005f_x005f_x0000__x005f_x005f_x3"/>
      <sheetName val="97_사업추정(WEKI)3"/>
      <sheetName val="Tong_hop3"/>
      <sheetName val="95_1_1이후취득자산(숨기기상태)3"/>
      <sheetName val="6월_공정외주3"/>
      <sheetName val="입출재고현황_(2)3"/>
      <sheetName val="TRE_TABLE3"/>
      <sheetName val="입찰내역_발주처_양식3"/>
      <sheetName val="Jul-Sep_Actual_cost_(2)2"/>
      <sheetName val="Issues_List_Payments3"/>
      <sheetName val="turnover_reason퇴직사유3"/>
      <sheetName val="Grafica_Actos3"/>
      <sheetName val="POC_LIST3"/>
      <sheetName val="부재료_비교(11년_vs_10년)1"/>
      <sheetName val="Condiciones_SyE3"/>
      <sheetName val="DETALLE_MENSUAL3"/>
      <sheetName val="do_not_delete3"/>
      <sheetName val="APAC_S3"/>
      <sheetName val="APAC_N3"/>
      <sheetName val="Slide_output3"/>
      <sheetName val="[손익기01_XL??DePara3"/>
      <sheetName val="Farol_Metas3"/>
      <sheetName val="Mod_Relac_3"/>
      <sheetName val="REALxMETA_-_CERVEJA5"/>
      <sheetName val="REALxMETA_-_REFRI5"/>
      <sheetName val="Directrices_de_Metas_20173"/>
      <sheetName val="Data_validation3"/>
      <sheetName val="SKU_Basic_Data3"/>
      <sheetName val="Entity_Target3"/>
      <sheetName val="VALIDACION_DE_DATOS2"/>
      <sheetName val="Drop-down_List2"/>
      <sheetName val="by_DD2"/>
      <sheetName val="Check_Qualidade1"/>
      <sheetName val="De_Para2"/>
      <sheetName val="Check_Aderencia1"/>
      <sheetName val="_손익기01_XL_x005f_x0000__x01"/>
      <sheetName val="Base_Farol1"/>
      <sheetName val="Gerencial_IL1"/>
      <sheetName val="Ventas_Campo1"/>
      <sheetName val="ACTOS_POR_RIESGO1"/>
      <sheetName val="drop_lists1"/>
      <sheetName val="MRL_NON_SUPPLY_URU1"/>
      <sheetName val="AIIM_-_Empresas_Ext_20121"/>
      <sheetName val="KPIs_Hana1"/>
      <sheetName val="Catalago_de_refacciones_1"/>
      <sheetName val="Existencias_al_07-Nov-20121"/>
      <sheetName val="Check_GG1"/>
      <sheetName val="Sheet3_(2)1"/>
      <sheetName val="요일_테이블_1"/>
      <sheetName val="Nombre_de_SOP1"/>
      <sheetName val="_mngt_Pillar1"/>
      <sheetName val="2__Indicadores1"/>
      <sheetName val="Ta_1"/>
      <sheetName val="Lao_&amp;_Cam1"/>
      <sheetName val="Hoegaarden_20191"/>
      <sheetName val="Lao_&amp;_Cam_20191"/>
      <sheetName val="Malaysia_20191"/>
      <sheetName val="Singapore_20191"/>
      <sheetName val="Sheet2_(2)1"/>
      <sheetName val="Other_Listings1"/>
      <sheetName val="Lista_de_Entrenamientos_RSO1"/>
      <sheetName val="Tablero_SDG4"/>
      <sheetName val="Lista_Areas4"/>
      <sheetName val="One_Page4"/>
      <sheetName val="Sub-Productos_HN2"/>
      <sheetName val="Eficiencia_linea1"/>
      <sheetName val="Pauta_RPS_Distribuição"/>
      <sheetName val="Estoque_(2)"/>
      <sheetName val="_손익기01_XL_x0"/>
      <sheetName val="Comp_Inseguros"/>
      <sheetName val="BNR_2012_в_ящике"/>
      <sheetName val="DATOS_DE_VALIDACIÓN"/>
      <sheetName val="Datos_con"/>
      <sheetName val="_Datos_Cond_"/>
      <sheetName val="DO_NOT_MOVE"/>
      <sheetName val="INGRESO_(2)"/>
      <sheetName val="PG-K1610_(UEN_Areas)MNG"/>
      <sheetName val="DATOS_GEN_"/>
      <sheetName val="NUEVOS_CRITERIOS"/>
      <sheetName val="Condiciones_Agua"/>
      <sheetName val="[손익기01_XLDePara5"/>
      <sheetName val="_손익기01_XLDePara5"/>
      <sheetName val="Control de Fallas"/>
      <sheetName val="Setup for Templates"/>
      <sheetName val="Datos emp"/>
      <sheetName val="Проверки"/>
      <sheetName val="Drop list"/>
      <sheetName val="FX Rates"/>
      <sheetName val="Proced."/>
      <sheetName val="PTN"/>
      <sheetName val="Cut Machine Summary"/>
      <sheetName val="Validation lists"/>
      <sheetName val="Planilha_relts_xdb75__xdb62_eos7"/>
      <sheetName val="Testing_Template_Huidance1"/>
      <sheetName val="  한국 AMP ASP-23 판㧤가격  "/>
      <sheetName val="11.䡸화채무줝ⴌ(AFS,HTM)08"/>
      <sheetName val="status"/>
      <sheetName val="TIPO DE ACTO"/>
      <sheetName val="Marcas"/>
      <sheetName val="Concentrado"/>
      <sheetName val="CRITICIDAD DE CI"/>
      <sheetName val="Catálogo de CI"/>
      <sheetName val="% CUMPLIMIENTO"/>
      <sheetName val="% cumplimiento "/>
      <sheetName val="CALIFICACIONES 2019"/>
      <sheetName val="Lev 4 360 deg check Crit Task"/>
      <sheetName val="Lev 4 Chk IC Stock Crit Task"/>
      <sheetName val="Lev 4 WMS Putaway Crit Task"/>
      <sheetName val="Final_Summary-All"/>
      <sheetName val="Auxiliary"/>
      <sheetName val="PREENCHIMENTO"/>
      <sheetName val="Vagas x Candidatos"/>
      <sheetName val="Listas y equipos a evaluar"/>
      <sheetName val="NH3"/>
      <sheetName val="Hoja7"/>
      <sheetName val="Data Reporte"/>
      <sheetName val="Read me"/>
      <sheetName val="_x0000__x0005__x0000__x0001__x0000__x0000__x0000_"/>
      <sheetName val="_x0000__x0005__x0000_ÿ_x000f__x0000_ÿ"/>
      <sheetName val="Imputs"/>
      <sheetName val="Champions List"/>
      <sheetName val="Guidelines"/>
      <sheetName val="NAZ Strategy"/>
      <sheetName val="Daily Dashboard"/>
      <sheetName val="TO_Data_Base16"/>
      <sheetName val="YTD_Summary15"/>
      <sheetName val="Month_Summary15"/>
      <sheetName val="Trial_Balance_MAY_200915"/>
      <sheetName val="TB_Pivot15"/>
      <sheetName val="total_per_LB_LB215"/>
      <sheetName val="Trial_Balance_Vlookup15"/>
      <sheetName val="Trial_Balance_APRIL_200915"/>
      <sheetName val="Roll_Out_AQ15"/>
      <sheetName val="Evolução_mandamentos15"/>
      <sheetName val="Planilha_resultados14"/>
      <sheetName val="Historico_200314"/>
      <sheetName val="Sig_Cycles_Accts_&amp;_Processes14"/>
      <sheetName val="Fixed_ZBB8"/>
      <sheetName val="Como_Estamos8"/>
      <sheetName val="3_ISo_YTD8"/>
      <sheetName val="E_法规NC8"/>
      <sheetName val="Données_LMU8"/>
      <sheetName val="Brazil_Sovereign8"/>
      <sheetName val="Resumen_Costo8"/>
      <sheetName val="Base_de_Dados8"/>
      <sheetName val="Extract_Loss8"/>
      <sheetName val="5_18"/>
      <sheetName val="QA_跟踪记录表8"/>
      <sheetName val="RG_Depots8"/>
      <sheetName val="material_data8"/>
      <sheetName val="other_data8"/>
      <sheetName val="JOB_PROFILE_-_LAS8"/>
      <sheetName val="Database_(RUR)Mar_YTD8"/>
      <sheetName val="SKU_Mapping8"/>
      <sheetName val="Drop_Down8"/>
      <sheetName val="Raw_Data8"/>
      <sheetName val="EBM-2_GHQ8"/>
      <sheetName val="Base_PEF9"/>
      <sheetName val="Testing_Template_Guidance8"/>
      <sheetName val="Test_Programs8"/>
      <sheetName val="Controls_data10"/>
      <sheetName val="Dados_BLP8"/>
      <sheetName val="FJJX_Bud_IB7"/>
      <sheetName val="ARdistr_(2)8"/>
      <sheetName val="look-up_data7"/>
      <sheetName val="Prd_Hierarchy(产品层级)7"/>
      <sheetName val="Com_(2PK)7"/>
      <sheetName val="요일_테이블8"/>
      <sheetName val="요일_테이블_(2)7"/>
      <sheetName val="Prd_Hierarchy(产品层次)7"/>
      <sheetName val="Project_Code7"/>
      <sheetName val="전사_PL9"/>
      <sheetName val="자금_제외_PL9"/>
      <sheetName val="자금_PL9"/>
      <sheetName val="전사_BS9"/>
      <sheetName val="자금_제외_BS9"/>
      <sheetName val="자금_BS9"/>
      <sheetName val="BS_계정_설명9"/>
      <sheetName val="_Cash_Flow(전사)9"/>
      <sheetName val="_Cash_Flow(자금제외)9"/>
      <sheetName val="_Cash_Flow(자금)9"/>
      <sheetName val="ROIC_9"/>
      <sheetName val="인건비_명세9"/>
      <sheetName val="판관비_명세9"/>
      <sheetName val="OH_Cost경비(내역)9"/>
      <sheetName val="OH_Cost경비(배부기준)9"/>
      <sheetName val="기타수지&amp;특별손익_명세9"/>
      <sheetName val="업무연락_(2)8"/>
      <sheetName val="제시_손익계산서8"/>
      <sheetName val="01_02월_성과급9"/>
      <sheetName val="M_7회차_담금_계획8"/>
      <sheetName val="팀별_실적8"/>
      <sheetName val="팀별_실적_(환산)8"/>
      <sheetName val="4__Inj_투자상세내역8"/>
      <sheetName val="3__Blow_투자_상세내역8"/>
      <sheetName val="Process_List8"/>
      <sheetName val="7_(2)8"/>
      <sheetName val="_손익기01_XL7"/>
      <sheetName val="drop_down_list7"/>
      <sheetName val="[손익기01_XL_x005f_x0000__x005f_x0000_DePara7"/>
      <sheetName val="Income_Stmt7"/>
      <sheetName val="Quarterly_LBO_Model7"/>
      <sheetName val="Figures_Report6"/>
      <sheetName val="Set_Up7"/>
      <sheetName val="[손익기01_XL7"/>
      <sheetName val="tab_STATUS_DO_PROCESSO_6"/>
      <sheetName val="_손익기01_XL_x005f_x0000__x005f_x0000_DePara7"/>
      <sheetName val="Perf__Plan__Diário16"/>
      <sheetName val="In_(2)6"/>
      <sheetName val="Fare_prices6"/>
      <sheetName val="Hotel_prices6"/>
      <sheetName val="15년_BL_사계7"/>
      <sheetName val="Classification_分类6"/>
      <sheetName val="1_종합손익(도급)7"/>
      <sheetName val="1_종합손익(주택,개발)7"/>
      <sheetName val="2_실행예산7"/>
      <sheetName val="2_2과부족7"/>
      <sheetName val="2_3원가절감7"/>
      <sheetName val="8_외주비집행현황7"/>
      <sheetName val="9_자재비7"/>
      <sheetName val="10_현장집행7"/>
      <sheetName val="3_추가원가7"/>
      <sheetName val="3_추가원가_(2)7"/>
      <sheetName val="4_사전공사7"/>
      <sheetName val="5_추정공사비7"/>
      <sheetName val="6_금융비용7"/>
      <sheetName val="7_공사비집행현황(총괄)7"/>
      <sheetName val="11_1생산성7"/>
      <sheetName val="11_2인원산출7"/>
      <sheetName val="Clasif_5"/>
      <sheetName val="Cond__Inseguros5"/>
      <sheetName val="Comp__Inseguros5"/>
      <sheetName val="Lista_de_datos5"/>
      <sheetName val="MASTER_APP5"/>
      <sheetName val="CLASIFICACION_DE_AI6"/>
      <sheetName val="Base_da_Datos6"/>
      <sheetName val="__한국_AMP_ASP-23_판매가격__6"/>
      <sheetName val="CC_Down_load_07166"/>
      <sheetName val="변경실행(2차)_6"/>
      <sheetName val="나_출고6"/>
      <sheetName val="나_입고6"/>
      <sheetName val="09년_인건비(속리산)6"/>
      <sheetName val="합산목표(감가+57_5)6"/>
      <sheetName val="제조원가_원단위_분석6"/>
      <sheetName val="종합표양식(품의_&amp;_입고)_26"/>
      <sheetName val="원가관리_(동월대비)6"/>
      <sheetName val="b_balju_(2)6"/>
      <sheetName val="2-2_매출분석6"/>
      <sheetName val="몰드시스템_리스트6"/>
      <sheetName val="11_외화채무증권(AFS,HTM)086"/>
      <sheetName val="13_감액TEST_086"/>
      <sheetName val="12년_CF(9월)6"/>
      <sheetName val="중기조종사_단위단가6"/>
      <sheetName val="6PILE__(돌출)6"/>
      <sheetName val="기성청구_공문6"/>
      <sheetName val="Sheet1_(2)6"/>
      <sheetName val="slide_24_cat_A6"/>
      <sheetName val="slide_82_cat_b6"/>
      <sheetName val="Dados_dos_Produtos6"/>
      <sheetName val="09~10년_매출계획6"/>
      <sheetName val="1_MDF1공장6"/>
      <sheetName val="Incident_유형구분표6"/>
      <sheetName val="3YP2016-Bottom_up5"/>
      <sheetName val="DD_list6"/>
      <sheetName val="Lista_CI5"/>
      <sheetName val="Base_de_Datos5"/>
      <sheetName val="Dashboard_Prevención_Riesgos_4"/>
      <sheetName val="TOP_KPIs_MTM4"/>
      <sheetName val="PLAN_DE_ACCION4"/>
      <sheetName val="Faro_de_Indicadores4"/>
      <sheetName val="2_카드채권(대출포함)5"/>
      <sheetName val="表21_净利润调节表5"/>
      <sheetName val="DETALLE_MENSUAL4"/>
      <sheetName val="Farol_Acciones5"/>
      <sheetName val="FornecM_Check4"/>
      <sheetName val="Unidades_SAC-REVENDA6"/>
      <sheetName val="Lista_de_Entrenamientos5"/>
      <sheetName val="Supply_Cost_Centers5"/>
      <sheetName val="Estratificación_AI4"/>
      <sheetName val="condicion_inseguras4"/>
      <sheetName val="Actos_Inseguros4"/>
      <sheetName val="Control_de_incidentes4"/>
      <sheetName val="Plan_de_Acción4"/>
      <sheetName val="_DD_List5"/>
      <sheetName val="Share_Price_20025"/>
      <sheetName val="Grafica_Actos4"/>
      <sheetName val="Condiciones_SyE4"/>
      <sheetName val="REALxMETA_-_CERVEJA6"/>
      <sheetName val="REALxMETA_-_REFRI6"/>
      <sheetName val="BEP_加薪_KPI4"/>
      <sheetName val="[손익기01_XL??DePara4"/>
      <sheetName val="Farol_Metas4"/>
      <sheetName val="Mod_Relac_4"/>
      <sheetName val="Issues_List_Payments4"/>
      <sheetName val="Directrices_de_Metas_20174"/>
      <sheetName val="POC_LIST4"/>
      <sheetName val="Entity_Target4"/>
      <sheetName val="F08_-_Asia_Pac_Full_Year_Q35"/>
      <sheetName val="Top_Priorities5"/>
      <sheetName val="Listco_Stock5"/>
      <sheetName val="Intl_Purchase5"/>
      <sheetName val="FY_outlook5"/>
      <sheetName val="CY_outlook5"/>
      <sheetName val="Cash_metrics5"/>
      <sheetName val="P6_75"/>
      <sheetName val="DATOS_BASE4"/>
      <sheetName val="Hazards_Analysis-隐患分析4"/>
      <sheetName val="_손익기01_XL_x005f_x005f_x005f_x0000__x005f_x005f_x4"/>
      <sheetName val="SKU_Basic_Data4"/>
      <sheetName val="97_사업추정(WEKI)4"/>
      <sheetName val="Tong_hop4"/>
      <sheetName val="95_1_1이후취득자산(숨기기상태)4"/>
      <sheetName val="sum1_(2)4"/>
      <sheetName val="3_바닥판설계4"/>
      <sheetName val="6월_공정외주4"/>
      <sheetName val="2_대외공문4"/>
      <sheetName val="2_총괄표4"/>
      <sheetName val="입출재고현황_(2)4"/>
      <sheetName val="504전기실_동부하-L4"/>
      <sheetName val="OUTER_AREA(겹침없음)4"/>
      <sheetName val="EL_표면적4"/>
      <sheetName val="TRE_TABLE4"/>
      <sheetName val="입찰내역_발주처_양식4"/>
      <sheetName val="ACTOS_POR_RIESGO2"/>
      <sheetName val="do_not_delete4"/>
      <sheetName val="Check_Qualidade2"/>
      <sheetName val="De_Para3"/>
      <sheetName val="Nombre_de_SOP2"/>
      <sheetName val="drop_lists2"/>
      <sheetName val="APAC_S4"/>
      <sheetName val="APAC_N4"/>
      <sheetName val="Slide_output4"/>
      <sheetName val="turnover_reason퇴직사유4"/>
      <sheetName val="Data_validation4"/>
      <sheetName val="MRL_NON_SUPPLY_URU2"/>
      <sheetName val="Drop-down_List3"/>
      <sheetName val="by_DD3"/>
      <sheetName val="VALIDACION_DE_DATOS3"/>
      <sheetName val="Jul-Sep_Actual_cost_(2)3"/>
      <sheetName val="Check_Aderencia2"/>
      <sheetName val="Base_Farol2"/>
      <sheetName val="Gerencial_IL2"/>
      <sheetName val="Ventas_Campo2"/>
      <sheetName val="AIIM_-_Empresas_Ext_20122"/>
      <sheetName val="KPIs_Hana2"/>
      <sheetName val="Catalago_de_refacciones_2"/>
      <sheetName val="Existencias_al_07-Nov-20122"/>
      <sheetName val="Check_GG2"/>
      <sheetName val="Ta_2"/>
      <sheetName val="2__Indicadores2"/>
      <sheetName val="_손익기01_XL_x005f_x0000__x02"/>
      <sheetName val="부재료_비교(11년_vs_10년)2"/>
      <sheetName val="Sheet3_(2)2"/>
      <sheetName val="Lao_&amp;_Cam2"/>
      <sheetName val="Hoegaarden_20192"/>
      <sheetName val="Lao_&amp;_Cam_20192"/>
      <sheetName val="Malaysia_20192"/>
      <sheetName val="Singapore_20192"/>
      <sheetName val="Sheet2_(2)2"/>
      <sheetName val="Comp_Inseguros1"/>
      <sheetName val="Lista_de_Entrenamientos_RSO2"/>
      <sheetName val="_mngt_Pillar2"/>
      <sheetName val="Tablero_SDG5"/>
      <sheetName val="Lista_Areas5"/>
      <sheetName val="One_Page5"/>
      <sheetName val="Sub-Productos_HN3"/>
      <sheetName val="Eficiencia_linea2"/>
      <sheetName val="Pauta_RPS_Distribuição1"/>
      <sheetName val="Estoque_(2)1"/>
      <sheetName val="요일_테이블_2"/>
      <sheetName val="Other_Listings2"/>
      <sheetName val="BNR_2012_в_ящике1"/>
      <sheetName val="FX_Rates"/>
      <sheetName val="Vagas_x_Candidatos"/>
      <sheetName val="DO_NOT_MOVE1"/>
      <sheetName val="DATOS_DE_VALIDACIÓN1"/>
      <sheetName val="Datos_con1"/>
      <sheetName val="_Datos_Cond_1"/>
      <sheetName val="INGRESO_(2)1"/>
      <sheetName val="PG-K1610_(UEN_Areas)MNG1"/>
      <sheetName val="DATOS_GEN_1"/>
      <sheetName val="NUEVOS_CRITERIOS1"/>
      <sheetName val="Condiciones_Agua1"/>
      <sheetName val="__한국_AMP_ASP-23_판㧤가격__"/>
      <sheetName val="11_䡸화채무줝ⴌ(AFS,HTM)08"/>
      <sheetName val="Drop_list"/>
      <sheetName val="Dropdown_list"/>
      <sheetName val="Proced_"/>
      <sheetName val="Control_de_Fallas"/>
      <sheetName val="Setup_for_Templates"/>
      <sheetName val="Datos_emp"/>
      <sheetName val="TIPO_DE_ACTO"/>
      <sheetName val="%_cumplimiento_"/>
      <sheetName val="%_CUMPLIMIENTO"/>
      <sheetName val="Listas_y_equipos_a_evaluar"/>
      <sheetName val="CRITICIDAD_DE_CI"/>
      <sheetName val="Catálogo_de_CI"/>
      <sheetName val="Data_Reporte"/>
      <sheetName val="Read_me"/>
      <sheetName val="ÿÿ"/>
      <sheetName val="Validation_lists"/>
      <sheetName val="Cut_Machine_Summary"/>
      <sheetName val="Daily_Dashboard"/>
      <sheetName val="YTD_Summary16"/>
      <sheetName val="Month_Summary16"/>
      <sheetName val="Trial_Balance_MAY_200916"/>
      <sheetName val="TB_Pivot16"/>
      <sheetName val="total_per_LB_LB216"/>
      <sheetName val="Trial_Balance_Vlookup16"/>
      <sheetName val="Trial_Balance_APRIL_200916"/>
      <sheetName val="TO_Data_Base17"/>
      <sheetName val="Roll_Out_AQ16"/>
      <sheetName val="Evolução_mandamentos16"/>
      <sheetName val="Planilha_resultados15"/>
      <sheetName val="Historico_200315"/>
      <sheetName val="Sig_Cycles_Accts_&amp;_Processes15"/>
      <sheetName val="Fixed_ZBB9"/>
      <sheetName val="3_ISo_YTD9"/>
      <sheetName val="E_法规NC9"/>
      <sheetName val="Données_LMU9"/>
      <sheetName val="Brazil_Sovereign9"/>
      <sheetName val="Resumen_Costo9"/>
      <sheetName val="Extract_Loss9"/>
      <sheetName val="QA_跟踪记录表9"/>
      <sheetName val="5_19"/>
      <sheetName val="Como_Estamos9"/>
      <sheetName val="Base_de_Dados9"/>
      <sheetName val="RG_Depots9"/>
      <sheetName val="material_data9"/>
      <sheetName val="other_data9"/>
      <sheetName val="Database_(RUR)Mar_YTD9"/>
      <sheetName val="SKU_Mapping9"/>
      <sheetName val="Drop_Down9"/>
      <sheetName val="Raw_Data9"/>
      <sheetName val="EBM-2_GHQ9"/>
      <sheetName val="Base_PEF10"/>
      <sheetName val="Testing_Template_Guidance9"/>
      <sheetName val="Test_Programs9"/>
      <sheetName val="Controls_data11"/>
      <sheetName val="Dados_BLP9"/>
      <sheetName val="ARdistr_(2)9"/>
      <sheetName val="FJJX_Bud_IB8"/>
      <sheetName val="look-up_data8"/>
      <sheetName val="Prd_Hierarchy(产品层级)8"/>
      <sheetName val="Com_(2PK)8"/>
      <sheetName val="JOB_PROFILE_-_LAS9"/>
      <sheetName val="요일_테이블9"/>
      <sheetName val="요일_테이블_(2)8"/>
      <sheetName val="Prd_Hierarchy(产品层次)8"/>
      <sheetName val="Project_Code8"/>
      <sheetName val="전사_PL10"/>
      <sheetName val="자금_제외_PL10"/>
      <sheetName val="자금_PL10"/>
      <sheetName val="전사_BS10"/>
      <sheetName val="자금_제외_BS10"/>
      <sheetName val="자금_BS10"/>
      <sheetName val="BS_계정_설명10"/>
      <sheetName val="_Cash_Flow(전사)10"/>
      <sheetName val="_Cash_Flow(자금제외)10"/>
      <sheetName val="_Cash_Flow(자금)10"/>
      <sheetName val="ROIC_10"/>
      <sheetName val="인건비_명세10"/>
      <sheetName val="판관비_명세10"/>
      <sheetName val="OH_Cost경비(내역)10"/>
      <sheetName val="OH_Cost경비(배부기준)10"/>
      <sheetName val="기타수지&amp;특별손익_명세10"/>
      <sheetName val="업무연락_(2)9"/>
      <sheetName val="제시_손익계산서9"/>
      <sheetName val="01_02월_성과급10"/>
      <sheetName val="M_7회차_담금_계획9"/>
      <sheetName val="팀별_실적9"/>
      <sheetName val="팀별_실적_(환산)9"/>
      <sheetName val="4__Inj_투자상세내역9"/>
      <sheetName val="3__Blow_투자_상세내역9"/>
      <sheetName val="Process_List9"/>
      <sheetName val="7_(2)9"/>
      <sheetName val="_손익기01_XL8"/>
      <sheetName val="Income_Stmt8"/>
      <sheetName val="drop_down_list8"/>
      <sheetName val="Figures_Report7"/>
      <sheetName val="[손익기01_XL_x005f_x0000__x005f_x0000_DePara8"/>
      <sheetName val="Quarterly_LBO_Model8"/>
      <sheetName val="[손익기01_XL8"/>
      <sheetName val="_손익기01_XL_x005f_x0000__x005f_x0000_DePara8"/>
      <sheetName val="15년_BL_사계8"/>
      <sheetName val="1_종합손익(도급)8"/>
      <sheetName val="1_종합손익(주택,개발)8"/>
      <sheetName val="2_실행예산8"/>
      <sheetName val="2_2과부족8"/>
      <sheetName val="2_3원가절감8"/>
      <sheetName val="8_외주비집행현황8"/>
      <sheetName val="9_자재비8"/>
      <sheetName val="10_현장집행8"/>
      <sheetName val="3_추가원가8"/>
      <sheetName val="3_추가원가_(2)8"/>
      <sheetName val="4_사전공사8"/>
      <sheetName val="5_추정공사비8"/>
      <sheetName val="6_금융비용8"/>
      <sheetName val="7_공사비집행현황(총괄)8"/>
      <sheetName val="11_1생산성8"/>
      <sheetName val="11_2인원산출8"/>
      <sheetName val="Classification_分类7"/>
      <sheetName val="Set_Up8"/>
      <sheetName val="Fare_prices7"/>
      <sheetName val="Hotel_prices7"/>
      <sheetName val="tab_STATUS_DO_PROCESSO_7"/>
      <sheetName val="Perf__Plan__Diário17"/>
      <sheetName val="In_(2)7"/>
      <sheetName val="__한국_AMP_ASP-23_판매가격__7"/>
      <sheetName val="CC_Down_load_07167"/>
      <sheetName val="변경실행(2차)_7"/>
      <sheetName val="나_출고7"/>
      <sheetName val="나_입고7"/>
      <sheetName val="09년_인건비(속리산)7"/>
      <sheetName val="합산목표(감가+57_5)7"/>
      <sheetName val="제조원가_원단위_분석7"/>
      <sheetName val="종합표양식(품의_&amp;_입고)_27"/>
      <sheetName val="원가관리_(동월대비)7"/>
      <sheetName val="b_balju_(2)7"/>
      <sheetName val="2-2_매출분석7"/>
      <sheetName val="몰드시스템_리스트7"/>
      <sheetName val="11_외화채무증권(AFS,HTM)087"/>
      <sheetName val="13_감액TEST_087"/>
      <sheetName val="12년_CF(9월)7"/>
      <sheetName val="중기조종사_단위단가7"/>
      <sheetName val="6PILE__(돌출)7"/>
      <sheetName val="기성청구_공문7"/>
      <sheetName val="Sheet1_(2)7"/>
      <sheetName val="CLASIFICACION_DE_AI7"/>
      <sheetName val="Base_da_Datos7"/>
      <sheetName val="slide_24_cat_A7"/>
      <sheetName val="slide_82_cat_b7"/>
      <sheetName val="Dados_dos_Produtos7"/>
      <sheetName val="09~10년_매출계획7"/>
      <sheetName val="1_MDF1공장7"/>
      <sheetName val="Incident_유형구분표7"/>
      <sheetName val="3YP2016-Bottom_up6"/>
      <sheetName val="DD_list7"/>
      <sheetName val="Base_de_Datos6"/>
      <sheetName val="Supply_Cost_Centers6"/>
      <sheetName val="2_카드채권(대출포함)6"/>
      <sheetName val="表21_净利润调节表6"/>
      <sheetName val="Cond__Inseguros6"/>
      <sheetName val="Comp__Inseguros6"/>
      <sheetName val="Lista_de_datos6"/>
      <sheetName val="MASTER_APP6"/>
      <sheetName val="Clasif_6"/>
      <sheetName val="Farol_Acciones6"/>
      <sheetName val="Lista_de_Entrenamientos6"/>
      <sheetName val="Unidades_SAC-REVENDA7"/>
      <sheetName val="FornecM_Check5"/>
      <sheetName val="Lista_CI6"/>
      <sheetName val="Estratificación_AI5"/>
      <sheetName val="condicion_inseguras5"/>
      <sheetName val="Actos_Inseguros5"/>
      <sheetName val="Control_de_incidentes5"/>
      <sheetName val="Plan_de_Acción5"/>
      <sheetName val="_DD_List6"/>
      <sheetName val="Share_Price_20026"/>
      <sheetName val="Issues_List_Payments5"/>
      <sheetName val="BEP_加薪_KPI5"/>
      <sheetName val="Faro_de_Indicadores5"/>
      <sheetName val="TOP_KPIs_MTM5"/>
      <sheetName val="PLAN_DE_ACCION5"/>
      <sheetName val="Grafica_Actos5"/>
      <sheetName val="POC_LIST5"/>
      <sheetName val="Dashboard_Prevención_Riesgos_5"/>
      <sheetName val="APAC_S5"/>
      <sheetName val="APAC_N5"/>
      <sheetName val="Slide_output5"/>
      <sheetName val="do_not_delete5"/>
      <sheetName val="[손익기01_XL??DePara5"/>
      <sheetName val="Farol_Metas5"/>
      <sheetName val="Mod_Relac_5"/>
      <sheetName val="Condiciones_SyE5"/>
      <sheetName val="REALxMETA_-_CERVEJA7"/>
      <sheetName val="REALxMETA_-_REFRI7"/>
      <sheetName val="Directrices_de_Metas_20175"/>
      <sheetName val="F08_-_Asia_Pac_Full_Year_Q36"/>
      <sheetName val="Top_Priorities6"/>
      <sheetName val="Listco_Stock6"/>
      <sheetName val="Intl_Purchase6"/>
      <sheetName val="FY_outlook6"/>
      <sheetName val="CY_outlook6"/>
      <sheetName val="Cash_metrics6"/>
      <sheetName val="P6_76"/>
      <sheetName val="DATOS_BASE5"/>
      <sheetName val="DETALLE_MENSUAL5"/>
      <sheetName val="Entity_Target5"/>
      <sheetName val="VALIDACION_DE_DATOS4"/>
      <sheetName val="_손익기01_XL_x005f_x005f_x005f_x0000__x005f_x005f_x5"/>
      <sheetName val="Hazards_Analysis-隐患分析5"/>
      <sheetName val="97_사업추정(WEKI)5"/>
      <sheetName val="Tong_hop5"/>
      <sheetName val="95_1_1이후취득자산(숨기기상태)5"/>
      <sheetName val="sum1_(2)5"/>
      <sheetName val="3_바닥판설계5"/>
      <sheetName val="6월_공정외주5"/>
      <sheetName val="2_대외공문5"/>
      <sheetName val="2_총괄표5"/>
      <sheetName val="입출재고현황_(2)5"/>
      <sheetName val="504전기실_동부하-L5"/>
      <sheetName val="OUTER_AREA(겹침없음)5"/>
      <sheetName val="EL_표면적5"/>
      <sheetName val="TRE_TABLE5"/>
      <sheetName val="입찰내역_발주처_양식5"/>
      <sheetName val="Data_validation5"/>
      <sheetName val="turnover_reason퇴직사유5"/>
      <sheetName val="SKU_Basic_Data5"/>
      <sheetName val="Jul-Sep_Actual_cost_(2)4"/>
      <sheetName val="Drop-down_List4"/>
      <sheetName val="by_DD4"/>
      <sheetName val="Check_Qualidade3"/>
      <sheetName val="Check_Aderencia3"/>
      <sheetName val="De_Para4"/>
      <sheetName val="Base_Farol3"/>
      <sheetName val="Gerencial_IL3"/>
      <sheetName val="Ventas_Campo3"/>
      <sheetName val="ACTOS_POR_RIESGO3"/>
      <sheetName val="drop_lists3"/>
      <sheetName val="MRL_NON_SUPPLY_URU3"/>
      <sheetName val="AIIM_-_Empresas_Ext_20123"/>
      <sheetName val="KPIs_Hana3"/>
      <sheetName val="Catalago_de_refacciones_3"/>
      <sheetName val="Existencias_al_07-Nov-20123"/>
      <sheetName val="Check_GG3"/>
      <sheetName val="Nombre_de_SOP3"/>
      <sheetName val="Ta_3"/>
      <sheetName val="2__Indicadores3"/>
      <sheetName val="부재료_비교(11년_vs_10년)3"/>
      <sheetName val="_손익기01_XL_x005f_x0000__x03"/>
      <sheetName val="_mngt_Pillar3"/>
      <sheetName val="Sheet3_(2)3"/>
      <sheetName val="Lista_de_Entrenamientos_RSO3"/>
      <sheetName val="Tablero_SDG6"/>
      <sheetName val="Lista_Areas6"/>
      <sheetName val="One_Page6"/>
      <sheetName val="Sub-Productos_HN4"/>
      <sheetName val="Eficiencia_linea3"/>
      <sheetName val="요일_테이블_3"/>
      <sheetName val="Sheet2_(2)3"/>
      <sheetName val="Lao_&amp;_Cam3"/>
      <sheetName val="Hoegaarden_20193"/>
      <sheetName val="Lao_&amp;_Cam_20193"/>
      <sheetName val="Malaysia_20193"/>
      <sheetName val="Singapore_20193"/>
      <sheetName val="Other_Listings3"/>
      <sheetName val="Pauta_RPS_Distribuição2"/>
      <sheetName val="Estoque_(2)2"/>
      <sheetName val="Comp_Inseguros2"/>
      <sheetName val="BNR_2012_в_ящике2"/>
      <sheetName val="DATOS_DE_VALIDACIÓN2"/>
      <sheetName val="Datos_con2"/>
      <sheetName val="_Datos_Cond_2"/>
      <sheetName val="DO_NOT_MOVE2"/>
      <sheetName val="INGRESO_(2)2"/>
      <sheetName val="PG-K1610_(UEN_Areas)MNG2"/>
      <sheetName val="DATOS_GEN_2"/>
      <sheetName val="NUEVOS_CRITERIOS2"/>
      <sheetName val="Condiciones_Agua2"/>
      <sheetName val="Dropdown_list1"/>
      <sheetName val="FX_Rates1"/>
      <sheetName val="Vagas_x_Candidatos1"/>
      <sheetName val="__한국_AMP_ASP-23_판㧤가격__1"/>
      <sheetName val="11_䡸화채무줝ⴌ(AFS,HTM)081"/>
      <sheetName val="Drop_list1"/>
      <sheetName val="Proced_1"/>
      <sheetName val="Control_de_Fallas1"/>
      <sheetName val="Setup_for_Templates1"/>
      <sheetName val="Datos_emp1"/>
      <sheetName val="TIPO_DE_ACTO1"/>
      <sheetName val="%_cumplimiento_1"/>
      <sheetName val="%_CUMPLIMIENTO1"/>
      <sheetName val="Listas_y_equipos_a_evaluar1"/>
      <sheetName val="CRITICIDAD_DE_CI1"/>
      <sheetName val="Catálogo_de_CI1"/>
      <sheetName val="Data_Reporte1"/>
      <sheetName val="Read_me1"/>
      <sheetName val="Validation_lists1"/>
      <sheetName val="Cut_Machine_Summary1"/>
      <sheetName val="Daily_Dashboard1"/>
      <sheetName val="Champions_List"/>
      <sheetName val="_손익기01_XL_x0000__x1"/>
      <sheetName val="_손익기01_XL_x005f_x0000__x2"/>
      <sheetName val="费用指引"/>
      <sheetName val="进货时间"/>
      <sheetName val="参考字段（不许更改）"/>
      <sheetName val="Mapeo SKUs"/>
      <sheetName val="Vol.(Ds)"/>
      <sheetName val="Vol.(Ka)"/>
      <sheetName val="Vol.(Oth)"/>
      <sheetName val="Vol.(Oth) Cortesias"/>
      <sheetName val="INPUT-$Intervention(Ds)"/>
      <sheetName val="INPUT-ICO"/>
      <sheetName val="INPUT-Cust.Sugg.Margin(Ds)"/>
      <sheetName val="On Invoice"/>
      <sheetName val="INPUT-$Intervention(Ka)"/>
      <sheetName val="INPUT-Cust.Sugg.Margin(Ka)"/>
      <sheetName val="INPUT SKUs"/>
      <sheetName val="清單"/>
      <sheetName val="Brand P&amp;L"/>
      <sheetName val="MALTA"/>
      <sheetName val="SPARK"/>
      <sheetName val="SUPERMONT"/>
      <sheetName val="SUPERMONT P"/>
      <sheetName val="Mapeo_SKUs"/>
      <sheetName val="Vol_(Ds)"/>
      <sheetName val="Vol_(Ka)"/>
      <sheetName val="Vol_(Oth)"/>
      <sheetName val="Vol_(Oth)_Cortesias"/>
      <sheetName val="INPUT-Cust_Sugg_Margin(Ds)"/>
      <sheetName val="On_Invoice"/>
      <sheetName val="INPUT-Cust_Sugg_Margin(Ka)"/>
      <sheetName val="INPUT_SKUs"/>
      <sheetName val="Mapeo_SKUs1"/>
      <sheetName val="Vol_(Ds)1"/>
      <sheetName val="Vol_(Ka)1"/>
      <sheetName val="Vol_(Oth)1"/>
      <sheetName val="Vol_(Oth)_Cortesias1"/>
      <sheetName val="INPUT-Cust_Sugg_Margin(Ds)1"/>
      <sheetName val="On_Invoice1"/>
      <sheetName val="INPUT-Cust_Sugg_Margin(Ka)1"/>
      <sheetName val="INPUT_SKUs1"/>
      <sheetName val="유효성목록"/>
      <sheetName val="Data selection"/>
      <sheetName val="BMU_H"/>
      <sheetName val="1."/>
      <sheetName val="Customer &amp; SO"/>
      <sheetName val="Session Proposal"/>
      <sheetName val="社員リスト"/>
      <sheetName val="생산성"/>
      <sheetName val="Book1"/>
      <sheetName val="数据分类"/>
      <sheetName val="Dropdown Menu"/>
      <sheetName val="Territory"/>
      <sheetName val="MMR12活动类型"/>
      <sheetName val="经销商"/>
      <sheetName val="Region"/>
      <sheetName val="SalesPkg_TR_KHCode_TR_KHCode"/>
      <sheetName val="填写内容参考"/>
      <sheetName val="Análise Tempos"/>
      <sheetName val="Incentivo Automóvil"/>
      <sheetName val="EQR"/>
      <sheetName val="CNQ"/>
      <sheetName val="Справочник"/>
      <sheetName val="PDA BOP"/>
      <sheetName val="Referencias"/>
      <sheetName val="Códigos"/>
      <sheetName val="Validação de Dados"/>
      <sheetName val="No llenar "/>
      <sheetName val="0-info"/>
      <sheetName val="FAI分析"/>
      <sheetName val="미관리업소"/>
      <sheetName val="유류대 현황"/>
      <sheetName val="정평화"/>
      <sheetName val="김익성"/>
      <sheetName val="최일수"/>
      <sheetName val="정원구"/>
      <sheetName val="문공식"/>
      <sheetName val="박현일"/>
      <sheetName val="김진생"/>
      <sheetName val="Overdue(Feb)"/>
      <sheetName val="Overdue(Jan)"/>
      <sheetName val="취합"/>
      <sheetName val="PN+Extension"/>
      <sheetName val="1. 템플릿"/>
      <sheetName val="2. 작성 참고사항"/>
      <sheetName val="1월"/>
      <sheetName val="2월"/>
      <sheetName val="3월"/>
      <sheetName val="4월"/>
      <sheetName val="거리"/>
      <sheetName val="架构"/>
      <sheetName val="库存模板"/>
      <sheetName val="陈列明细"/>
      <sheetName val="mapping (2)"/>
      <sheetName val="Ref."/>
      <sheetName val="折扣类型"/>
      <sheetName val="目标SKU"/>
      <sheetName val="Backup"/>
      <sheetName val="匹配"/>
      <sheetName val="序列"/>
      <sheetName val="Lista de Motivos"/>
      <sheetName val="Ponto Crítico - Resp. Plano"/>
      <sheetName val="Lista Funcionários (2)"/>
      <sheetName val="PIRÂMIDE"/>
      <sheetName val="Consolidator"/>
      <sheetName val="2.3 Projects Status"/>
      <sheetName val="YTD_Summary17"/>
      <sheetName val="Month_Summary17"/>
      <sheetName val="Trial_Balance_MAY_200917"/>
      <sheetName val="TB_Pivot17"/>
      <sheetName val="total_per_LB_LB217"/>
      <sheetName val="Trial_Balance_Vlookup17"/>
      <sheetName val="Trial_Balance_APRIL_200917"/>
      <sheetName val="TO_Data_Base18"/>
      <sheetName val="Roll_Out_AQ17"/>
      <sheetName val="Evolução_mandamentos17"/>
      <sheetName val="Planilha_resultados16"/>
      <sheetName val="Historico_200316"/>
      <sheetName val="Sig_Cycles_Accts_&amp;_Processes16"/>
      <sheetName val="Fixed_ZBB10"/>
      <sheetName val="3_ISo_YTD10"/>
      <sheetName val="E_法规NC10"/>
      <sheetName val="Données_LMU10"/>
      <sheetName val="Brazil_Sovereign10"/>
      <sheetName val="Resumen_Costo10"/>
      <sheetName val="Extract_Loss10"/>
      <sheetName val="QA_跟踪记录表10"/>
      <sheetName val="5_110"/>
      <sheetName val="Como_Estamos10"/>
      <sheetName val="Base_de_Dados10"/>
      <sheetName val="RG_Depots10"/>
      <sheetName val="material_data10"/>
      <sheetName val="other_data10"/>
      <sheetName val="Database_(RUR)Mar_YTD10"/>
      <sheetName val="SKU_Mapping10"/>
      <sheetName val="Drop_Down10"/>
      <sheetName val="Raw_Data10"/>
      <sheetName val="EBM-2_GHQ10"/>
      <sheetName val="Base_PEF11"/>
      <sheetName val="Testing_Template_Guidance10"/>
      <sheetName val="Test_Programs10"/>
      <sheetName val="Controls_data12"/>
      <sheetName val="Dados_BLP10"/>
      <sheetName val="ARdistr_(2)10"/>
      <sheetName val="FJJX_Bud_IB9"/>
      <sheetName val="look-up_data9"/>
      <sheetName val="Prd_Hierarchy(产品层级)9"/>
      <sheetName val="Com_(2PK)9"/>
      <sheetName val="JOB_PROFILE_-_LAS10"/>
      <sheetName val="요일_테이블10"/>
      <sheetName val="요일_테이블_(2)9"/>
      <sheetName val="Prd_Hierarchy(产品层次)9"/>
      <sheetName val="Project_Code9"/>
      <sheetName val="전사_PL11"/>
      <sheetName val="자금_제외_PL11"/>
      <sheetName val="자금_PL11"/>
      <sheetName val="전사_BS11"/>
      <sheetName val="자금_제외_BS11"/>
      <sheetName val="자금_BS11"/>
      <sheetName val="BS_계정_설명11"/>
      <sheetName val="_Cash_Flow(전사)11"/>
      <sheetName val="_Cash_Flow(자금제외)11"/>
      <sheetName val="_Cash_Flow(자금)11"/>
      <sheetName val="ROIC_11"/>
      <sheetName val="인건비_명세11"/>
      <sheetName val="판관비_명세11"/>
      <sheetName val="OH_Cost경비(내역)11"/>
      <sheetName val="OH_Cost경비(배부기준)11"/>
      <sheetName val="기타수지&amp;특별손익_명세11"/>
      <sheetName val="업무연락_(2)10"/>
      <sheetName val="제시_손익계산서10"/>
      <sheetName val="01_02월_성과급11"/>
      <sheetName val="M_7회차_담금_계획10"/>
      <sheetName val="팀별_실적10"/>
      <sheetName val="팀별_실적_(환산)10"/>
      <sheetName val="4__Inj_투자상세내역10"/>
      <sheetName val="3__Blow_투자_상세내역10"/>
      <sheetName val="Process_List10"/>
      <sheetName val="7_(2)10"/>
      <sheetName val="_손익기01_XL9"/>
      <sheetName val="Income_Stmt9"/>
      <sheetName val="drop_down_list9"/>
      <sheetName val="Figures_Report8"/>
      <sheetName val="[손익기01_XL_x005f_x0000__x005f_x0000_DePara9"/>
      <sheetName val="Quarterly_LBO_Model9"/>
      <sheetName val="[손익기01_XL9"/>
      <sheetName val="_손익기01_XL_x005f_x0000__x005f_x0000_DePara9"/>
      <sheetName val="15년_BL_사계9"/>
      <sheetName val="1_종합손익(도급)9"/>
      <sheetName val="1_종합손익(주택,개발)9"/>
      <sheetName val="2_실행예산9"/>
      <sheetName val="2_2과부족9"/>
      <sheetName val="2_3원가절감9"/>
      <sheetName val="8_외주비집행현황9"/>
      <sheetName val="9_자재비9"/>
      <sheetName val="10_현장집행9"/>
      <sheetName val="3_추가원가9"/>
      <sheetName val="3_추가원가_(2)9"/>
      <sheetName val="4_사전공사9"/>
      <sheetName val="5_추정공사비9"/>
      <sheetName val="6_금융비용9"/>
      <sheetName val="7_공사비집행현황(총괄)9"/>
      <sheetName val="11_1생산성9"/>
      <sheetName val="11_2인원산출9"/>
      <sheetName val="Classification_分类8"/>
      <sheetName val="Set_Up9"/>
      <sheetName val="Fare_prices8"/>
      <sheetName val="Hotel_prices8"/>
      <sheetName val="tab_STATUS_DO_PROCESSO_8"/>
      <sheetName val="Perf__Plan__Diário18"/>
      <sheetName val="In_(2)8"/>
      <sheetName val="__한국_AMP_ASP-23_판매가격__8"/>
      <sheetName val="CC_Down_load_07168"/>
      <sheetName val="변경실행(2차)_8"/>
      <sheetName val="나_출고8"/>
      <sheetName val="나_입고8"/>
      <sheetName val="09년_인건비(속리산)8"/>
      <sheetName val="합산목표(감가+57_5)8"/>
      <sheetName val="제조원가_원단위_분석8"/>
      <sheetName val="종합표양식(품의_&amp;_입고)_28"/>
      <sheetName val="원가관리_(동월대비)8"/>
      <sheetName val="b_balju_(2)8"/>
      <sheetName val="2-2_매출분석8"/>
      <sheetName val="몰드시스템_리스트8"/>
      <sheetName val="11_외화채무증권(AFS,HTM)088"/>
      <sheetName val="13_감액TEST_088"/>
      <sheetName val="12년_CF(9월)8"/>
      <sheetName val="중기조종사_단위단가8"/>
      <sheetName val="6PILE__(돌출)8"/>
      <sheetName val="기성청구_공문8"/>
      <sheetName val="Sheet1_(2)8"/>
      <sheetName val="CLASIFICACION_DE_AI8"/>
      <sheetName val="Base_da_Datos8"/>
      <sheetName val="slide_24_cat_A8"/>
      <sheetName val="slide_82_cat_b8"/>
      <sheetName val="Dados_dos_Produtos8"/>
      <sheetName val="09~10년_매출계획8"/>
      <sheetName val="1_MDF1공장8"/>
      <sheetName val="Incident_유형구분표8"/>
      <sheetName val="3YP2016-Bottom_up7"/>
      <sheetName val="DD_list8"/>
      <sheetName val="Base_de_Datos7"/>
      <sheetName val="2_카드채권(대출포함)7"/>
      <sheetName val="表21_净利润调节表7"/>
      <sheetName val="MASTER_APP7"/>
      <sheetName val="Cond__Inseguros7"/>
      <sheetName val="Comp__Inseguros7"/>
      <sheetName val="Lista_de_datos7"/>
      <sheetName val="Supply_Cost_Centers7"/>
      <sheetName val="Clasif_7"/>
      <sheetName val="Farol_Acciones7"/>
      <sheetName val="Lista_de_Entrenamientos7"/>
      <sheetName val="Unidades_SAC-REVENDA8"/>
      <sheetName val="FornecM_Check6"/>
      <sheetName val="Lista_CI7"/>
      <sheetName val="Estratificación_AI6"/>
      <sheetName val="condicion_inseguras6"/>
      <sheetName val="Actos_Inseguros6"/>
      <sheetName val="Control_de_incidentes6"/>
      <sheetName val="Plan_de_Acción6"/>
      <sheetName val="_DD_List7"/>
      <sheetName val="Share_Price_20027"/>
      <sheetName val="BEP_加薪_KPI6"/>
      <sheetName val="F08_-_Asia_Pac_Full_Year_Q37"/>
      <sheetName val="Top_Priorities7"/>
      <sheetName val="Listco_Stock7"/>
      <sheetName val="Intl_Purchase7"/>
      <sheetName val="FY_outlook7"/>
      <sheetName val="CY_outlook7"/>
      <sheetName val="Cash_metrics7"/>
      <sheetName val="P6_77"/>
      <sheetName val="DATOS_BASE6"/>
      <sheetName val="Issues_List_Payments6"/>
      <sheetName val="Faro_de_Indicadores6"/>
      <sheetName val="TOP_KPIs_MTM6"/>
      <sheetName val="PLAN_DE_ACCION6"/>
      <sheetName val="Grafica_Actos6"/>
      <sheetName val="POC_LIST6"/>
      <sheetName val="Dashboard_Prevención_Riesgos_6"/>
      <sheetName val="APAC_S6"/>
      <sheetName val="APAC_N6"/>
      <sheetName val="Slide_output6"/>
      <sheetName val="do_not_delete6"/>
      <sheetName val="[손익기01_XL??DePara6"/>
      <sheetName val="Farol_Metas6"/>
      <sheetName val="Mod_Relac_6"/>
      <sheetName val="Condiciones_SyE6"/>
      <sheetName val="REALxMETA_-_CERVEJA8"/>
      <sheetName val="REALxMETA_-_REFRI8"/>
      <sheetName val="Directrices_de_Metas_20176"/>
      <sheetName val="DETALLE_MENSUAL6"/>
      <sheetName val="Entity_Target6"/>
      <sheetName val="VALIDACION_DE_DATOS5"/>
      <sheetName val="_손익기01_XL_x005f_x005f_x005f_x0000__x005f_x005f_x6"/>
      <sheetName val="Hazards_Analysis-隐患分析6"/>
      <sheetName val="97_사업추정(WEKI)6"/>
      <sheetName val="Tong_hop6"/>
      <sheetName val="95_1_1이후취득자산(숨기기상태)6"/>
      <sheetName val="sum1_(2)6"/>
      <sheetName val="3_바닥판설계6"/>
      <sheetName val="6월_공정외주6"/>
      <sheetName val="2_대외공문6"/>
      <sheetName val="2_총괄표6"/>
      <sheetName val="PAR"/>
      <sheetName val="订单追踪_信阳市区_0825"/>
      <sheetName val="Data_validation6"/>
      <sheetName val="입출재고현황_(2)6"/>
      <sheetName val="504전기실_동부하-L6"/>
      <sheetName val="OUTER_AREA(겹침없음)6"/>
      <sheetName val="EL_표면적6"/>
      <sheetName val="TRE_TABLE6"/>
      <sheetName val="입찰내역_발주처_양식6"/>
      <sheetName val="turnover_reason퇴직사유6"/>
      <sheetName val="SKU_Basic_Data6"/>
      <sheetName val="Check_Qualidade4"/>
      <sheetName val="De_Para5"/>
      <sheetName val="Check_Aderencia4"/>
      <sheetName val="Drop-down_List5"/>
      <sheetName val="by_DD5"/>
      <sheetName val="Jul-Sep_Actual_cost_(2)5"/>
      <sheetName val="Base_Farol4"/>
      <sheetName val="Gerencial_IL4"/>
      <sheetName val="Ventas_Campo4"/>
      <sheetName val="ACTOS_POR_RIESGO4"/>
      <sheetName val="drop_lists4"/>
      <sheetName val="MRL_NON_SUPPLY_URU4"/>
      <sheetName val="AIIM_-_Empresas_Ext_20124"/>
      <sheetName val="KPIs_Hana4"/>
      <sheetName val="Catalago_de_refacciones_4"/>
      <sheetName val="Existencias_al_07-Nov-20124"/>
      <sheetName val="Check_GG4"/>
      <sheetName val="Nombre_de_SOP4"/>
      <sheetName val="NAZ_Strategy"/>
      <sheetName val="Ta_4"/>
      <sheetName val="2__Indicadores4"/>
      <sheetName val="부재료_비교(11년_vs_10년)4"/>
      <sheetName val="_손익기01_XL_x005f_x0000__x04"/>
      <sheetName val="Lista_de_Entrenamientos_RSO4"/>
      <sheetName val="Tablero_SDG7"/>
      <sheetName val="Lista_Areas7"/>
      <sheetName val="One_Page7"/>
      <sheetName val="Sub-Productos_HN5"/>
      <sheetName val="Eficiencia_linea4"/>
      <sheetName val="_mngt_Pillar4"/>
      <sheetName val="Sheet3_(2)4"/>
      <sheetName val="요일_테이블_4"/>
      <sheetName val="Sheet2_(2)4"/>
      <sheetName val="Lao_&amp;_Cam4"/>
      <sheetName val="Hoegaarden_20194"/>
      <sheetName val="Lao_&amp;_Cam_20194"/>
      <sheetName val="Malaysia_20194"/>
      <sheetName val="Singapore_20194"/>
      <sheetName val="Other_Listings4"/>
      <sheetName val="Pauta_RPS_Distribuição3"/>
      <sheetName val="Estoque_(2)3"/>
      <sheetName val="Comp_Inseguros3"/>
      <sheetName val="BNR_2012_в_ящике3"/>
      <sheetName val="DATOS_DE_VALIDACIÓN3"/>
      <sheetName val="Datos_con3"/>
      <sheetName val="_Datos_Cond_3"/>
      <sheetName val="DO_NOT_MOVE3"/>
      <sheetName val="INGRESO_(2)3"/>
      <sheetName val="PG-K1610_(UEN_Areas)MNG3"/>
      <sheetName val="DATOS_GEN_3"/>
      <sheetName val="NUEVOS_CRITERIOS3"/>
      <sheetName val="Condiciones_Agua3"/>
      <sheetName val="Dropdown_list2"/>
      <sheetName val="Proced_2"/>
      <sheetName val="Drop_list2"/>
      <sheetName val="FX_Rates2"/>
      <sheetName val="Vagas_x_Candidatos2"/>
      <sheetName val="__한국_AMP_ASP-23_판㧤가격__2"/>
      <sheetName val="11_䡸화채무줝ⴌ(AFS,HTM)082"/>
      <sheetName val="Control_de_Fallas2"/>
      <sheetName val="Setup_for_Templates2"/>
      <sheetName val="Datos_emp2"/>
      <sheetName val="TIPO_DE_ACTO2"/>
      <sheetName val="%_cumplimiento_2"/>
      <sheetName val="%_CUMPLIMIENTO2"/>
      <sheetName val="Listas_y_equipos_a_evaluar2"/>
      <sheetName val="CRITICIDAD_DE_CI2"/>
      <sheetName val="Catálogo_de_CI2"/>
      <sheetName val="Data_Reporte2"/>
      <sheetName val="Read_me2"/>
      <sheetName val="Validation_lists2"/>
      <sheetName val="Cut_Machine_Summary2"/>
      <sheetName val="Daily_Dashboard2"/>
      <sheetName val="Champions_List1"/>
      <sheetName val="CALIFICACIONES_2019"/>
      <sheetName val="Lev_4_360_deg_check_Crit_Task"/>
      <sheetName val="Lev_4_Chk_IC_Stock_Crit_Task"/>
      <sheetName val="Lev_4_WMS_Putaway_Crit_Task"/>
      <sheetName val="Mapeo_SKUs2"/>
      <sheetName val="Vol_(Ds)2"/>
      <sheetName val="Vol_(Ka)2"/>
      <sheetName val="Vol_(Oth)2"/>
      <sheetName val="Vol_(Oth)_Cortesias2"/>
      <sheetName val="INPUT-Cust_Sugg_Margin(Ds)2"/>
      <sheetName val="On_Invoice2"/>
      <sheetName val="INPUT-Cust_Sugg_Margin(Ka)2"/>
      <sheetName val="INPUT_SKUs2"/>
      <sheetName val="Brand_P&amp;L"/>
      <sheetName val="SUPERMONT_P"/>
      <sheetName val="Data_selection"/>
      <sheetName val="1_"/>
      <sheetName val="Customer_&amp;_SO"/>
      <sheetName val="Session_Proposal"/>
      <sheetName val="PROCESS MD"/>
      <sheetName val="Table"/>
      <sheetName val="Consolidated_Project List"/>
      <sheetName val="Fixed Cost"/>
      <sheetName val="[손익기01_XL_x0000__x0000_DePara6"/>
      <sheetName val="_손익기01_XL_x0000__x0000_DePara6"/>
      <sheetName val="_손익기01_XL_x005f_x0000__x3"/>
      <sheetName val="_손익기01_XL_x0000__x01"/>
      <sheetName val="_손익기01_XL_x0000__x2"/>
      <sheetName val="_손익기01_XL_x0000__x3"/>
      <sheetName val="Project List"/>
      <sheetName val="概览"/>
      <sheetName val="Выпадающие списки"/>
      <sheetName val="Списки"/>
      <sheetName val="Listas desplegables"/>
      <sheetName val="Resumen General"/>
      <sheetName val="Cátalogo de CI"/>
      <sheetName val="Hoja2 (2)"/>
      <sheetName val="Technology check list"/>
      <sheetName val="Status de Usuario"/>
      <sheetName val="pel_nvo"/>
      <sheetName val="SST"/>
      <sheetName val="Actos y Condiciones "/>
      <sheetName val="Settings"/>
      <sheetName val="NO BORRAR"/>
      <sheetName val="CUMPLIMIENTO"/>
      <sheetName val="Formato checklist Lab"/>
      <sheetName val="SOP Freshness"/>
      <sheetName val="PAINEL RECOLHA CRÉDITO"/>
      <sheetName val="Gráficos - CDD"/>
      <sheetName val="Values"/>
      <sheetName val="Industries"/>
      <sheetName val="监控探头清单"/>
      <sheetName val="下拉选项"/>
      <sheetName val="不安全行为分类"/>
      <sheetName val="IQ_SALE_REAL_ESTATE_CF_FIN"/>
      <sheetName val="IQ_SALE_REAL_ESTATE_CF_INS"/>
      <sheetName val="IQ_SALE_REAL_ESTATE_CF_UTI"/>
      <sheetName val="IQ_SHORT_INTEREST_PERCENT"/>
      <sheetName val="IQ_TAX_EQUIV_NET_INT_INC"/>
      <sheetName val="IQ_TOTAL_DEBT_ISSUED_BNK"/>
      <sheetName val="IQ_TOTAL_DEBT_ISSUED_FIN"/>
      <sheetName val="IQ_TOTAL_DEBT_ISSUED_REIT"/>
      <sheetName val="IQ_TOTAL_DEBT_ISSUED_UTI"/>
      <sheetName val="IQ_TOTAL_DEBT_ISSUES_INS"/>
      <sheetName val="IQ_TOTAL_DEBT_OVER_EBITDA"/>
      <sheetName val="Text"/>
      <sheetName val="3. Training &amp; travel"/>
      <sheetName val="Mapeo_SKUs4"/>
      <sheetName val="Vol_(Ds)4"/>
      <sheetName val="Vol_(Ka)4"/>
      <sheetName val="Vol_(Oth)4"/>
      <sheetName val="Vol_(Oth)_Cortesias4"/>
      <sheetName val="INPUT-Cust_Sugg_Margin(Ds)4"/>
      <sheetName val="On_Invoice4"/>
      <sheetName val="INPUT-Cust_Sugg_Margin(Ka)4"/>
      <sheetName val="INPUT_SKUs4"/>
      <sheetName val="SUPERMONT_P2"/>
      <sheetName val="Brand_P&amp;L1"/>
      <sheetName val="Mapeo_SKUs3"/>
      <sheetName val="Vol_(Ds)3"/>
      <sheetName val="Vol_(Ka)3"/>
      <sheetName val="Vol_(Oth)3"/>
      <sheetName val="Vol_(Oth)_Cortesias3"/>
      <sheetName val="INPUT-Cust_Sugg_Margin(Ds)3"/>
      <sheetName val="On_Invoice3"/>
      <sheetName val="INPUT-Cust_Sugg_Margin(Ka)3"/>
      <sheetName val="INPUT_SKUs3"/>
      <sheetName val="SUPERMONT_P1"/>
      <sheetName val="Source"/>
      <sheetName val="Dimension IN Sheet1!D1912"/>
      <sheetName val="Dimension IN 1912"/>
      <sheetName val="Introduction"/>
      <sheetName val="Manage to Sustain"/>
      <sheetName val="Meeting List"/>
      <sheetName val="DropLists"/>
      <sheetName val="Packages Info"/>
      <sheetName val="Preferred Option"/>
      <sheetName val="TO_Data_Base19"/>
      <sheetName val="YTD_Summary18"/>
      <sheetName val="Month_Summary18"/>
      <sheetName val="Trial_Balance_MAY_200918"/>
      <sheetName val="TB_Pivot18"/>
      <sheetName val="total_per_LB_LB218"/>
      <sheetName val="Trial_Balance_Vlookup18"/>
      <sheetName val="Trial_Balance_APRIL_200918"/>
      <sheetName val="Roll_Out_AQ18"/>
      <sheetName val="Evolução_mandamentos18"/>
      <sheetName val="Planilha_resultados17"/>
      <sheetName val="Historico_200317"/>
      <sheetName val="Sig_Cycles_Accts_&amp;_Processes17"/>
      <sheetName val="Fixed_ZBB11"/>
      <sheetName val="E_法规NC11"/>
      <sheetName val="3_ISo_YTD11"/>
      <sheetName val="Données_LMU11"/>
      <sheetName val="Brazil_Sovereign11"/>
      <sheetName val="Resumen_Costo11"/>
      <sheetName val="Base_de_Dados11"/>
      <sheetName val="Extract_Loss11"/>
      <sheetName val="5_111"/>
      <sheetName val="QA_跟踪记录表11"/>
      <sheetName val="RG_Depots11"/>
      <sheetName val="material_data11"/>
      <sheetName val="other_data11"/>
      <sheetName val="Como_Estamos11"/>
      <sheetName val="Database_(RUR)Mar_YTD11"/>
      <sheetName val="SKU_Mapping11"/>
      <sheetName val="Drop_Down11"/>
      <sheetName val="Raw_Data11"/>
      <sheetName val="EBM-2_GHQ11"/>
      <sheetName val="Base_PEF12"/>
      <sheetName val="Controls_data13"/>
      <sheetName val="Testing_Template_Guidance11"/>
      <sheetName val="Test_Programs11"/>
      <sheetName val="Dados_BLP11"/>
      <sheetName val="JOB_PROFILE_-_LAS11"/>
      <sheetName val="ARdistr_(2)11"/>
      <sheetName val="FJJX_Bud_IB10"/>
      <sheetName val="look-up_data10"/>
      <sheetName val="Prd_Hierarchy(产品层级)10"/>
      <sheetName val="Com_(2PK)10"/>
      <sheetName val="Project_Code10"/>
      <sheetName val="[손익기01_XL10"/>
      <sheetName val="요일_테이블11"/>
      <sheetName val="요일_테이블_(2)10"/>
      <sheetName val="Prd_Hierarchy(产品层次)10"/>
      <sheetName val="전사_PL12"/>
      <sheetName val="자금_제외_PL12"/>
      <sheetName val="자금_PL12"/>
      <sheetName val="전사_BS12"/>
      <sheetName val="자금_제외_BS12"/>
      <sheetName val="자금_BS12"/>
      <sheetName val="BS_계정_설명12"/>
      <sheetName val="_Cash_Flow(전사)12"/>
      <sheetName val="_Cash_Flow(자금제외)12"/>
      <sheetName val="_Cash_Flow(자금)12"/>
      <sheetName val="ROIC_12"/>
      <sheetName val="인건비_명세12"/>
      <sheetName val="판관비_명세12"/>
      <sheetName val="OH_Cost경비(내역)12"/>
      <sheetName val="OH_Cost경비(배부기준)12"/>
      <sheetName val="기타수지&amp;특별손익_명세12"/>
      <sheetName val="업무연락_(2)11"/>
      <sheetName val="제시_손익계산서11"/>
      <sheetName val="01_02월_성과급12"/>
      <sheetName val="M_7회차_담금_계획11"/>
      <sheetName val="팀별_실적11"/>
      <sheetName val="팀별_실적_(환산)11"/>
      <sheetName val="4__Inj_투자상세내역11"/>
      <sheetName val="3__Blow_투자_상세내역11"/>
      <sheetName val="Process_List11"/>
      <sheetName val="7_(2)11"/>
      <sheetName val="_손익기01_XL10"/>
      <sheetName val="drop_down_list10"/>
      <sheetName val="Income_Stmt10"/>
      <sheetName val="[손익기01_XL_x005f_x0000__x005f_x0000_DePara10"/>
      <sheetName val="Quarterly_LBO_Model10"/>
      <sheetName val="_손익기01_XL_x005f_x0000__x005f_x0000_DePara10"/>
      <sheetName val="15년_BL_사계10"/>
      <sheetName val="1_종합손익(도급)10"/>
      <sheetName val="1_종합손익(주택,개발)10"/>
      <sheetName val="2_실행예산10"/>
      <sheetName val="2_2과부족10"/>
      <sheetName val="2_3원가절감10"/>
      <sheetName val="8_외주비집행현황10"/>
      <sheetName val="9_자재비10"/>
      <sheetName val="10_현장집행10"/>
      <sheetName val="3_추가원가10"/>
      <sheetName val="3_추가원가_(2)10"/>
      <sheetName val="4_사전공사10"/>
      <sheetName val="5_추정공사비10"/>
      <sheetName val="6_금융비용10"/>
      <sheetName val="7_공사비집행현황(총괄)10"/>
      <sheetName val="11_1생산성10"/>
      <sheetName val="11_2인원산출10"/>
      <sheetName val="Figures_Report9"/>
      <sheetName val="Classification_分类9"/>
      <sheetName val="Set_Up10"/>
      <sheetName val="Fare_prices9"/>
      <sheetName val="Hotel_prices9"/>
      <sheetName val="tab_STATUS_DO_PROCESSO_9"/>
      <sheetName val="slide_24_cat_A9"/>
      <sheetName val="slide_82_cat_b9"/>
      <sheetName val="__한국_AMP_ASP-23_판매가격__9"/>
      <sheetName val="CC_Down_load_07169"/>
      <sheetName val="변경실행(2차)_9"/>
      <sheetName val="나_출고9"/>
      <sheetName val="나_입고9"/>
      <sheetName val="09년_인건비(속리산)9"/>
      <sheetName val="합산목표(감가+57_5)9"/>
      <sheetName val="제조원가_원단위_분석9"/>
      <sheetName val="종합표양식(품의_&amp;_입고)_29"/>
      <sheetName val="원가관리_(동월대비)9"/>
      <sheetName val="b_balju_(2)9"/>
      <sheetName val="2-2_매출분석9"/>
      <sheetName val="몰드시스템_리스트9"/>
      <sheetName val="11_외화채무증권(AFS,HTM)089"/>
      <sheetName val="13_감액TEST_089"/>
      <sheetName val="12년_CF(9월)9"/>
      <sheetName val="중기조종사_단위단가9"/>
      <sheetName val="6PILE__(돌출)9"/>
      <sheetName val="기성청구_공문9"/>
      <sheetName val="Sheet1_(2)9"/>
      <sheetName val="Perf__Plan__Diário19"/>
      <sheetName val="In_(2)9"/>
      <sheetName val="CLASIFICACION_DE_AI9"/>
      <sheetName val="Base_da_Datos9"/>
      <sheetName val="Dados_dos_Produtos9"/>
      <sheetName val="09~10년_매출계획9"/>
      <sheetName val="1_MDF1공장9"/>
      <sheetName val="Incident_유형구분표9"/>
      <sheetName val="3YP2016-Bottom_up8"/>
      <sheetName val="DD_list9"/>
      <sheetName val="Base_de_Datos8"/>
      <sheetName val="Clasif_8"/>
      <sheetName val="Supply_Cost_Centers8"/>
      <sheetName val="Cond__Inseguros8"/>
      <sheetName val="Comp__Inseguros8"/>
      <sheetName val="Lista_de_datos8"/>
      <sheetName val="MASTER_APP8"/>
      <sheetName val="2_카드채권(대출포함)8"/>
      <sheetName val="表21_净利润调节表8"/>
      <sheetName val="Lista_CI8"/>
      <sheetName val="Dashboard_Prevención_Riesgos_7"/>
      <sheetName val="TOP_KPIs_MTM7"/>
      <sheetName val="PLAN_DE_ACCION7"/>
      <sheetName val="Faro_de_Indicadores7"/>
      <sheetName val="Farol_Acciones8"/>
      <sheetName val="Lista_de_Entrenamientos8"/>
      <sheetName val="Unidades_SAC-REVENDA9"/>
      <sheetName val="FornecM_Check7"/>
      <sheetName val="Share_Price_20028"/>
      <sheetName val="_DD_List8"/>
      <sheetName val="BEP_加薪_KPI7"/>
      <sheetName val="_손익기01_XL_x005f_x005f_x005f_x0000__x005f_x005f_x7"/>
      <sheetName val="F08_-_Asia_Pac_Full_Year_Q38"/>
      <sheetName val="Top_Priorities8"/>
      <sheetName val="Listco_Stock8"/>
      <sheetName val="Intl_Purchase8"/>
      <sheetName val="FY_outlook8"/>
      <sheetName val="CY_outlook8"/>
      <sheetName val="Cash_metrics8"/>
      <sheetName val="P6_78"/>
      <sheetName val="DATOS_BASE7"/>
      <sheetName val="Estratificación_AI7"/>
      <sheetName val="condicion_inseguras7"/>
      <sheetName val="Actos_Inseguros7"/>
      <sheetName val="Control_de_incidentes7"/>
      <sheetName val="Plan_de_Acción7"/>
      <sheetName val="Hazards_Analysis-隐患分析7"/>
      <sheetName val="97_사업추정(WEKI)7"/>
      <sheetName val="Tong_hop7"/>
      <sheetName val="95_1_1이후취득자산(숨기기상태)7"/>
      <sheetName val="sum1_(2)7"/>
      <sheetName val="3_바닥판설계7"/>
      <sheetName val="6월_공정외주7"/>
      <sheetName val="2_대외공문7"/>
      <sheetName val="2_총괄표7"/>
      <sheetName val="입출재고현황_(2)7"/>
      <sheetName val="504전기실_동부하-L7"/>
      <sheetName val="OUTER_AREA(겹침없음)7"/>
      <sheetName val="EL_표면적7"/>
      <sheetName val="TRE_TABLE7"/>
      <sheetName val="입찰내역_발주처_양식7"/>
      <sheetName val="Issues_List_Payments7"/>
      <sheetName val="turnover_reason퇴직사유7"/>
      <sheetName val="Grafica_Actos7"/>
      <sheetName val="POC_LIST7"/>
      <sheetName val="Condiciones_SyE7"/>
      <sheetName val="DETALLE_MENSUAL7"/>
      <sheetName val="SKU_Basic_Data7"/>
      <sheetName val="do_not_delete7"/>
      <sheetName val="APAC_S7"/>
      <sheetName val="APAC_N7"/>
      <sheetName val="Slide_output7"/>
      <sheetName val="[손익기01_XL??DePara7"/>
      <sheetName val="Farol_Metas7"/>
      <sheetName val="Mod_Relac_7"/>
      <sheetName val="REALxMETA_-_CERVEJA9"/>
      <sheetName val="REALxMETA_-_REFRI9"/>
      <sheetName val="Directrices_de_Metas_20177"/>
      <sheetName val="Data_validation7"/>
      <sheetName val="Drop-down_List6"/>
      <sheetName val="by_DD6"/>
      <sheetName val="VALIDACION_DE_DATOS6"/>
      <sheetName val="Entity_Target7"/>
      <sheetName val="Jul-Sep_Actual_cost_(2)6"/>
      <sheetName val="Check_Qualidade5"/>
      <sheetName val="De_Para6"/>
      <sheetName val="Check_Aderencia5"/>
      <sheetName val="부재료_비교(11년_vs_10년)5"/>
      <sheetName val="_손익기01_XL_x005f_x0000__x05"/>
      <sheetName val="Base_Farol5"/>
      <sheetName val="Gerencial_IL5"/>
      <sheetName val="Ventas_Campo5"/>
      <sheetName val="ACTOS_POR_RIESGO5"/>
      <sheetName val="drop_lists5"/>
      <sheetName val="MRL_NON_SUPPLY_URU5"/>
      <sheetName val="AIIM_-_Empresas_Ext_20125"/>
      <sheetName val="KPIs_Hana5"/>
      <sheetName val="Catalago_de_refacciones_5"/>
      <sheetName val="Existencias_al_07-Nov-20125"/>
      <sheetName val="Check_GG5"/>
      <sheetName val="Sheet3_(2)5"/>
      <sheetName val="Nombre_de_SOP5"/>
      <sheetName val="Lao_&amp;_Cam5"/>
      <sheetName val="Hoegaarden_20195"/>
      <sheetName val="Lao_&amp;_Cam_20195"/>
      <sheetName val="Malaysia_20195"/>
      <sheetName val="Singapore_20195"/>
      <sheetName val="_mngt_Pillar5"/>
      <sheetName val="2__Indicadores5"/>
      <sheetName val="Ta_5"/>
      <sheetName val="요일_테이블_5"/>
      <sheetName val="Sheet2_(2)5"/>
      <sheetName val="Other_Listings5"/>
      <sheetName val="Lista_de_Entrenamientos_RSO5"/>
      <sheetName val="Tablero_SDG8"/>
      <sheetName val="Lista_Areas8"/>
      <sheetName val="One_Page8"/>
      <sheetName val="Sub-Productos_HN6"/>
      <sheetName val="Eficiencia_linea5"/>
      <sheetName val="Pauta_RPS_Distribuição4"/>
      <sheetName val="Estoque_(2)4"/>
      <sheetName val="Comp_Inseguros4"/>
      <sheetName val="BNR_2012_в_ящике4"/>
      <sheetName val="DATOS_DE_VALIDACIÓN4"/>
      <sheetName val="Datos_con4"/>
      <sheetName val="_Datos_Cond_4"/>
      <sheetName val="DO_NOT_MOVE4"/>
      <sheetName val="INGRESO_(2)4"/>
      <sheetName val="PG-K1610_(UEN_Areas)MNG4"/>
      <sheetName val="DATOS_GEN_4"/>
      <sheetName val="NUEVOS_CRITERIOS4"/>
      <sheetName val="Condiciones_Agua4"/>
      <sheetName val="Dropdown_list3"/>
      <sheetName val="Proced_3"/>
      <sheetName val="Drop_list3"/>
      <sheetName val="FX_Rates3"/>
      <sheetName val="Cut_Machine_Summary3"/>
      <sheetName val="__한국_AMP_ASP-23_판㧤가격__3"/>
      <sheetName val="11_䡸화채무줝ⴌ(AFS,HTM)083"/>
      <sheetName val="Control_de_Fallas3"/>
      <sheetName val="Setup_for_Templates3"/>
      <sheetName val="Datos_emp3"/>
      <sheetName val="Validation_lists3"/>
      <sheetName val="TIPO_DE_ACTO3"/>
      <sheetName val="CRITICIDAD_DE_CI3"/>
      <sheetName val="Catálogo_de_CI3"/>
      <sheetName val="%_CUMPLIMIENTO3"/>
      <sheetName val="%_cumplimiento_3"/>
      <sheetName val="CALIFICACIONES_20191"/>
      <sheetName val="Lev_4_360_deg_check_Crit_Task1"/>
      <sheetName val="Lev_4_Chk_IC_Stock_Crit_Task1"/>
      <sheetName val="Lev_4_WMS_Putaway_Crit_Task1"/>
      <sheetName val="Data_selection1"/>
      <sheetName val="1_1"/>
      <sheetName val="Customer_&amp;_SO1"/>
      <sheetName val="Session_Proposal1"/>
      <sheetName val="Vagas_x_Candidatos3"/>
      <sheetName val="Listas_y_equipos_a_evaluar3"/>
      <sheetName val="Data_Reporte3"/>
      <sheetName val="Read_me3"/>
      <sheetName val="Champions_List2"/>
      <sheetName val="NAZ_Strategy1"/>
      <sheetName val="Daily_Dashboard3"/>
      <sheetName val="Dropdown_Menu"/>
      <sheetName val="Análise_Tempos"/>
      <sheetName val="PDA_BOP"/>
      <sheetName val="Validação_de_Dados"/>
      <sheetName val="No_llenar_"/>
      <sheetName val="Incentivo_Automóvil"/>
      <sheetName val="유류대_현황"/>
      <sheetName val="mapping_(2)"/>
      <sheetName val="Ref_"/>
      <sheetName val="2_3_Projects_Status"/>
      <sheetName val="Lista_de_Motivos"/>
      <sheetName val="Ponto_Crítico_-_Resp__Plano"/>
      <sheetName val="Lista_Funcionários_(2)"/>
      <sheetName val="Project_List"/>
      <sheetName val="PROCESS_MD"/>
      <sheetName val="Выпадающие_списки"/>
      <sheetName val="1__템플릿"/>
      <sheetName val="2__작성_참고사항"/>
      <sheetName val="Listas_desplegables"/>
      <sheetName val="Resumen_General"/>
      <sheetName val="Cátalogo_de_CI"/>
      <sheetName val="Hoja2_(2)"/>
      <sheetName val="Technology_check_list"/>
      <sheetName val="Status_de_Usuario"/>
      <sheetName val="Actos_y_Condiciones_"/>
      <sheetName val="NO_BORRAR"/>
      <sheetName val="Formato_checklist_Lab"/>
      <sheetName val="Consolidated_Project_List"/>
      <sheetName val="Fixed_Cost"/>
      <sheetName val="Supporting"/>
      <sheetName val="입문 트랜드(종합분석)"/>
      <sheetName val="Maestras"/>
      <sheetName val="Master CE"/>
      <sheetName val="CE_Final "/>
      <sheetName val="CALENDAR"/>
      <sheetName val="OL LIST"/>
      <sheetName val="YTD GUEST LIST"/>
      <sheetName val="Session Full list"/>
      <sheetName val="FOOD PAYMENT update JAN"/>
      <sheetName val="Rate card F19 "/>
      <sheetName val="Master Plan  (update)"/>
      <sheetName val="The KPI "/>
      <sheetName val="Mentor Plan "/>
      <sheetName val="Master Plan "/>
      <sheetName val="Tier 1 GOV_PC Networking "/>
      <sheetName val="Tier 1 LBO "/>
      <sheetName val="工作表7"/>
      <sheetName val="自定义"/>
      <sheetName val="[손익기01_XL_x0000__x0000_DePara7"/>
      <sheetName val="_손익기01_XL_x0000__x0000_DePara7"/>
      <sheetName val="_손익기01_XL_x0000__x02"/>
      <sheetName val="[손익기01_XL_x0000__x0000_DePara8"/>
      <sheetName val="_손익기01_XL_x0000__x0000_DePara8"/>
      <sheetName val="_손익기01_XL_x0000__x03"/>
      <sheetName val="[손익기01_XL_x0000__x0000_DePara9"/>
      <sheetName val="_손익기01_XL_x0000__x0000_DePara9"/>
      <sheetName val="_손익기01_XL_x0000__x04"/>
      <sheetName val="_손익기01_XL_x005f_x0000__x4"/>
      <sheetName val="_손익기01_XL_x005f_x0000__x5"/>
      <sheetName val="_손익기01_XL_x005f_x0000__x6"/>
      <sheetName val="链接数据"/>
      <sheetName val="类型"/>
      <sheetName val="2020 MMR12"/>
      <sheetName val="不安全行为分析"/>
      <sheetName val="Razão Social"/>
      <sheetName val="MOTOSxCONDUTOR"/>
      <sheetName val="Plan4"/>
      <sheetName val="filtros"/>
      <sheetName val="Relatorio"/>
      <sheetName val="Codes"/>
      <sheetName val="PAINEL_RECOLHA_CRÉDITO"/>
      <sheetName val="Gráficos_-_CDD"/>
      <sheetName val="YTD_Summary19"/>
      <sheetName val="Month_Summary19"/>
      <sheetName val="Trial_Balance_MAY_200919"/>
      <sheetName val="TB_Pivot19"/>
      <sheetName val="total_per_LB_LB219"/>
      <sheetName val="Trial_Balance_Vlookup19"/>
      <sheetName val="Trial_Balance_APRIL_200919"/>
      <sheetName val="TO_Data_Base20"/>
      <sheetName val="Roll_Out_AQ19"/>
      <sheetName val="Evolução_mandamentos19"/>
      <sheetName val="Planilha_resultados18"/>
      <sheetName val="Historico_200318"/>
      <sheetName val="Sig_Cycles_Accts_&amp;_Processes18"/>
      <sheetName val="Fixed_ZBB12"/>
      <sheetName val="3_ISo_YTD12"/>
      <sheetName val="E_法规NC12"/>
      <sheetName val="Données_LMU12"/>
      <sheetName val="Brazil_Sovereign12"/>
      <sheetName val="Resumen_Costo12"/>
      <sheetName val="Extract_Loss12"/>
      <sheetName val="QA_跟踪记录表12"/>
      <sheetName val="5_112"/>
      <sheetName val="Como_Estamos12"/>
      <sheetName val="Base_de_Dados12"/>
      <sheetName val="RG_Depots12"/>
      <sheetName val="material_data12"/>
      <sheetName val="other_data12"/>
      <sheetName val="Database_(RUR)Mar_YTD12"/>
      <sheetName val="SKU_Mapping12"/>
      <sheetName val="Drop_Down12"/>
      <sheetName val="Raw_Data12"/>
      <sheetName val="EBM-2_GHQ12"/>
      <sheetName val="Base_PEF13"/>
      <sheetName val="Testing_Template_Guidance12"/>
      <sheetName val="Test_Programs12"/>
      <sheetName val="Controls_data14"/>
      <sheetName val="Dados_BLP12"/>
      <sheetName val="ARdistr_(2)12"/>
      <sheetName val="FJJX_Bud_IB11"/>
      <sheetName val="look-up_data11"/>
      <sheetName val="Prd_Hierarchy(产品层级)11"/>
      <sheetName val="Com_(2PK)11"/>
      <sheetName val="JOB_PROFILE_-_LAS12"/>
      <sheetName val="요일_테이블12"/>
      <sheetName val="요일_테이블_(2)11"/>
      <sheetName val="Prd_Hierarchy(产品层次)11"/>
      <sheetName val="Project_Code11"/>
      <sheetName val="전사_PL13"/>
      <sheetName val="자금_제외_PL13"/>
      <sheetName val="자금_PL13"/>
      <sheetName val="전사_BS13"/>
      <sheetName val="자금_제외_BS13"/>
      <sheetName val="자금_BS13"/>
      <sheetName val="BS_계정_설명13"/>
      <sheetName val="_Cash_Flow(전사)13"/>
      <sheetName val="_Cash_Flow(자금제외)13"/>
      <sheetName val="_Cash_Flow(자금)13"/>
      <sheetName val="ROIC_13"/>
      <sheetName val="인건비_명세13"/>
      <sheetName val="판관비_명세13"/>
      <sheetName val="OH_Cost경비(내역)13"/>
      <sheetName val="OH_Cost경비(배부기준)13"/>
      <sheetName val="기타수지&amp;특별손익_명세13"/>
      <sheetName val="업무연락_(2)12"/>
      <sheetName val="제시_손익계산서12"/>
      <sheetName val="01_02월_성과급13"/>
      <sheetName val="M_7회차_담금_계획12"/>
      <sheetName val="팀별_실적12"/>
      <sheetName val="팀별_실적_(환산)12"/>
      <sheetName val="4__Inj_투자상세내역12"/>
      <sheetName val="3__Blow_투자_상세내역12"/>
      <sheetName val="Process_List12"/>
      <sheetName val="7_(2)12"/>
      <sheetName val="_손익기01_XL11"/>
      <sheetName val="Income_Stmt11"/>
      <sheetName val="drop_down_list11"/>
      <sheetName val="Figures_Report10"/>
      <sheetName val="[손익기01_XL_x005f_x0000__x005f_x0000_DePara11"/>
      <sheetName val="Quarterly_LBO_Model11"/>
      <sheetName val="[손익기01_XL11"/>
      <sheetName val="_손익기01_XL_x005f_x0000__x005f_x0000_DePara11"/>
      <sheetName val="15년_BL_사계11"/>
      <sheetName val="1_종합손익(도급)11"/>
      <sheetName val="1_종합손익(주택,개발)11"/>
      <sheetName val="2_실행예산11"/>
      <sheetName val="2_2과부족11"/>
      <sheetName val="2_3원가절감11"/>
      <sheetName val="8_외주비집행현황11"/>
      <sheetName val="9_자재비11"/>
      <sheetName val="10_현장집행11"/>
      <sheetName val="3_추가원가11"/>
      <sheetName val="3_추가원가_(2)11"/>
      <sheetName val="4_사전공사11"/>
      <sheetName val="5_추정공사비11"/>
      <sheetName val="6_금융비용11"/>
      <sheetName val="7_공사비집행현황(총괄)11"/>
      <sheetName val="11_1생산성11"/>
      <sheetName val="11_2인원산출11"/>
      <sheetName val="Classification_分类10"/>
      <sheetName val="Set_Up11"/>
      <sheetName val="Fare_prices10"/>
      <sheetName val="Hotel_prices10"/>
      <sheetName val="tab_STATUS_DO_PROCESSO_10"/>
      <sheetName val="Perf__Plan__Diário110"/>
      <sheetName val="In_(2)10"/>
      <sheetName val="__한국_AMP_ASP-23_판매가격__10"/>
      <sheetName val="CC_Down_load_071610"/>
      <sheetName val="변경실행(2차)_10"/>
      <sheetName val="나_출고10"/>
      <sheetName val="나_입고10"/>
      <sheetName val="09년_인건비(속리산)10"/>
      <sheetName val="합산목표(감가+57_5)10"/>
      <sheetName val="제조원가_원단위_분석10"/>
      <sheetName val="종합표양식(품의_&amp;_입고)_210"/>
      <sheetName val="원가관리_(동월대비)10"/>
      <sheetName val="b_balju_(2)10"/>
      <sheetName val="2-2_매출분석10"/>
      <sheetName val="몰드시스템_리스트10"/>
      <sheetName val="11_외화채무증권(AFS,HTM)0810"/>
      <sheetName val="13_감액TEST_0810"/>
      <sheetName val="12년_CF(9월)10"/>
      <sheetName val="중기조종사_단위단가10"/>
      <sheetName val="6PILE__(돌출)10"/>
      <sheetName val="기성청구_공문10"/>
      <sheetName val="Sheet1_(2)10"/>
      <sheetName val="CLASIFICACION_DE_AI10"/>
      <sheetName val="Base_da_Datos10"/>
      <sheetName val="slide_24_cat_A10"/>
      <sheetName val="slide_82_cat_b10"/>
      <sheetName val="Dados_dos_Produtos10"/>
      <sheetName val="09~10년_매출계획10"/>
      <sheetName val="1_MDF1공장10"/>
      <sheetName val="Incident_유형구분표10"/>
      <sheetName val="3YP2016-Bottom_up9"/>
      <sheetName val="DD_list10"/>
      <sheetName val="Base_de_Datos9"/>
      <sheetName val="Supply_Cost_Centers9"/>
      <sheetName val="2_카드채권(대출포함)9"/>
      <sheetName val="表21_净利润调节表9"/>
      <sheetName val="Cond__Inseguros9"/>
      <sheetName val="Comp__Inseguros9"/>
      <sheetName val="Lista_de_datos9"/>
      <sheetName val="MASTER_APP9"/>
      <sheetName val="Clasif_9"/>
      <sheetName val="Farol_Acciones9"/>
      <sheetName val="Lista_de_Entrenamientos9"/>
      <sheetName val="Unidades_SAC-REVENDA10"/>
      <sheetName val="FornecM_Check8"/>
      <sheetName val="Lista_CI9"/>
      <sheetName val="Estratificación_AI8"/>
      <sheetName val="condicion_inseguras8"/>
      <sheetName val="Actos_Inseguros8"/>
      <sheetName val="Control_de_incidentes8"/>
      <sheetName val="Plan_de_Acción8"/>
      <sheetName val="_DD_List9"/>
      <sheetName val="Share_Price_20029"/>
      <sheetName val="Issues_List_Payments8"/>
      <sheetName val="BEP_加薪_KPI8"/>
      <sheetName val="Faro_de_Indicadores8"/>
      <sheetName val="TOP_KPIs_MTM8"/>
      <sheetName val="PLAN_DE_ACCION8"/>
      <sheetName val="Grafica_Actos8"/>
      <sheetName val="POC_LIST8"/>
      <sheetName val="Dashboard_Prevención_Riesgos_8"/>
      <sheetName val="APAC_S8"/>
      <sheetName val="APAC_N8"/>
      <sheetName val="Slide_output8"/>
      <sheetName val="do_not_delete8"/>
      <sheetName val="[손익기01_XL??DePara8"/>
      <sheetName val="Farol_Metas8"/>
      <sheetName val="Mod_Relac_8"/>
      <sheetName val="Condiciones_SyE8"/>
      <sheetName val="REALxMETA_-_CERVEJA10"/>
      <sheetName val="REALxMETA_-_REFRI10"/>
      <sheetName val="Directrices_de_Metas_20178"/>
      <sheetName val="F08_-_Asia_Pac_Full_Year_Q39"/>
      <sheetName val="Top_Priorities9"/>
      <sheetName val="Listco_Stock9"/>
      <sheetName val="Intl_Purchase9"/>
      <sheetName val="FY_outlook9"/>
      <sheetName val="CY_outlook9"/>
      <sheetName val="Cash_metrics9"/>
      <sheetName val="P6_79"/>
      <sheetName val="DATOS_BASE8"/>
      <sheetName val="DETALLE_MENSUAL8"/>
      <sheetName val="Entity_Target8"/>
      <sheetName val="VALIDACION_DE_DATOS7"/>
      <sheetName val="_손익기01_XL_x005f_x005f_x005f_x0000__x005f_x005f_x8"/>
      <sheetName val="Hazards_Analysis-隐患分析8"/>
      <sheetName val="97_사업추정(WEKI)8"/>
      <sheetName val="Tong_hop8"/>
      <sheetName val="95_1_1이후취득자산(숨기기상태)8"/>
      <sheetName val="sum1_(2)8"/>
      <sheetName val="3_바닥판설계8"/>
      <sheetName val="6월_공정외주8"/>
      <sheetName val="2_대외공문8"/>
      <sheetName val="2_총괄표8"/>
      <sheetName val="입출재고현황_(2)8"/>
      <sheetName val="504전기실_동부하-L8"/>
      <sheetName val="OUTER_AREA(겹침없음)8"/>
      <sheetName val="EL_표면적8"/>
      <sheetName val="TRE_TABLE8"/>
      <sheetName val="입찰내역_발주처_양식8"/>
      <sheetName val="Data_validation8"/>
      <sheetName val="turnover_reason퇴직사유8"/>
      <sheetName val="SKU_Basic_Data8"/>
      <sheetName val="Jul-Sep_Actual_cost_(2)7"/>
      <sheetName val="Drop-down_List7"/>
      <sheetName val="by_DD7"/>
      <sheetName val="Check_Qualidade6"/>
      <sheetName val="Check_Aderencia6"/>
      <sheetName val="De_Para7"/>
      <sheetName val="Base_Farol6"/>
      <sheetName val="Gerencial_IL6"/>
      <sheetName val="Ventas_Campo6"/>
      <sheetName val="ACTOS_POR_RIESGO6"/>
      <sheetName val="drop_lists6"/>
      <sheetName val="MRL_NON_SUPPLY_URU6"/>
      <sheetName val="AIIM_-_Empresas_Ext_20126"/>
      <sheetName val="KPIs_Hana6"/>
      <sheetName val="Catalago_de_refacciones_6"/>
      <sheetName val="Existencias_al_07-Nov-20126"/>
      <sheetName val="Check_GG6"/>
      <sheetName val="Nombre_de_SOP6"/>
      <sheetName val="Ta_6"/>
      <sheetName val="2__Indicadores6"/>
      <sheetName val="부재료_비교(11년_vs_10년)6"/>
      <sheetName val="_손익기01_XL_x005f_x0000__x06"/>
      <sheetName val="Lista_de_Entrenamientos_RSO6"/>
      <sheetName val="Tablero_SDG9"/>
      <sheetName val="Lista_Areas9"/>
      <sheetName val="One_Page9"/>
      <sheetName val="Sub-Productos_HN7"/>
      <sheetName val="Eficiencia_linea6"/>
      <sheetName val="_mngt_Pillar6"/>
      <sheetName val="Sheet3_(2)6"/>
      <sheetName val="요일_테이블_6"/>
      <sheetName val="Sheet2_(2)6"/>
      <sheetName val="Lao_&amp;_Cam6"/>
      <sheetName val="Hoegaarden_20196"/>
      <sheetName val="Lao_&amp;_Cam_20196"/>
      <sheetName val="Malaysia_20196"/>
      <sheetName val="Singapore_20196"/>
      <sheetName val="Other_Listings6"/>
      <sheetName val="Pauta_RPS_Distribuição5"/>
      <sheetName val="Estoque_(2)5"/>
      <sheetName val="Comp_Inseguros5"/>
      <sheetName val="BNR_2012_в_ящике5"/>
      <sheetName val="DATOS_DE_VALIDACIÓN5"/>
      <sheetName val="Datos_con5"/>
      <sheetName val="_Datos_Cond_5"/>
      <sheetName val="DO_NOT_MOVE5"/>
      <sheetName val="INGRESO_(2)5"/>
      <sheetName val="PG-K1610_(UEN_Areas)MNG5"/>
      <sheetName val="DATOS_GEN_5"/>
      <sheetName val="NUEVOS_CRITERIOS5"/>
      <sheetName val="Condiciones_Agua5"/>
      <sheetName val="Dropdown_list4"/>
      <sheetName val="FX_Rates4"/>
      <sheetName val="Vagas_x_Candidatos4"/>
      <sheetName val="__한국_AMP_ASP-23_판㧤가격__4"/>
      <sheetName val="11_䡸화채무줝ⴌ(AFS,HTM)084"/>
      <sheetName val="Drop_list4"/>
      <sheetName val="Proced_4"/>
      <sheetName val="Control_de_Fallas4"/>
      <sheetName val="Setup_for_Templates4"/>
      <sheetName val="Datos_emp4"/>
      <sheetName val="TIPO_DE_ACTO4"/>
      <sheetName val="%_cumplimiento_4"/>
      <sheetName val="%_CUMPLIMIENTO4"/>
      <sheetName val="Listas_y_equipos_a_evaluar4"/>
      <sheetName val="CRITICIDAD_DE_CI4"/>
      <sheetName val="Catálogo_de_CI4"/>
      <sheetName val="Data_Reporte4"/>
      <sheetName val="Read_me4"/>
      <sheetName val="Validation_lists4"/>
      <sheetName val="Cut_Machine_Summary4"/>
      <sheetName val="Daily_Dashboard4"/>
      <sheetName val="Champions_List3"/>
      <sheetName val="NAZ_Strategy2"/>
      <sheetName val="CALIFICACIONES_20192"/>
      <sheetName val="Lev_4_360_deg_check_Crit_Task2"/>
      <sheetName val="Lev_4_Chk_IC_Stock_Crit_Task2"/>
      <sheetName val="Lev_4_WMS_Putaway_Crit_Task2"/>
      <sheetName val="Brand_P&amp;L2"/>
      <sheetName val="Data_selection2"/>
      <sheetName val="1_2"/>
      <sheetName val="Customer_&amp;_SO2"/>
      <sheetName val="Session_Proposal2"/>
      <sheetName val="Análise_Tempos1"/>
      <sheetName val="Validação_de_Dados1"/>
      <sheetName val="No_llenar_1"/>
      <sheetName val="PDA_BOP1"/>
      <sheetName val="Incentivo_Automóvil1"/>
      <sheetName val="PROCESS_MD1"/>
      <sheetName val="Lista_de_Motivos1"/>
      <sheetName val="Ponto_Crítico_-_Resp__Plano1"/>
      <sheetName val="Lista_Funcionários_(2)1"/>
      <sheetName val="PAINEL_RECOLHA_CRÉDITO1"/>
      <sheetName val="Gráficos_-_CDD1"/>
      <sheetName val="데이터유효성목록"/>
      <sheetName val="FAB별"/>
      <sheetName val="전기요금 산출내역"/>
      <sheetName val="입찰내역 Ĉ"/>
      <sheetName val="sum_x0008_"/>
      <sheetName val="시스템 개요 유효값"/>
      <sheetName val="관리자"/>
      <sheetName val="월간공정표(04월))"/>
      <sheetName val="문의내용 카테고리 분류(수정X)"/>
      <sheetName val="미계약2"/>
      <sheetName val="받을어음"/>
      <sheetName val="구분 Table"/>
      <sheetName val="역T형옹벽(3.0)"/>
      <sheetName val="외상매출금현황-수정분 A2"/>
      <sheetName val="상불"/>
      <sheetName val="Assign"/>
      <sheetName val="합잔_역사"/>
      <sheetName val="01현금및현금성자산(ok)"/>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NC"/>
      <sheetName val="2TM"/>
      <sheetName val="1TM"/>
      <sheetName val="Tong hop 1TM"/>
      <sheetName val="WBS"/>
      <sheetName val="DMKH"/>
      <sheetName val="NS Lán trại"/>
      <sheetName val="Check cong no NC"/>
      <sheetName val="1TL종점(1)"/>
      <sheetName val="기준재고"/>
      <sheetName val="수액원료4"/>
      <sheetName val="노원열병합  건축공사기성내역서"/>
      <sheetName val="Mot So Thuat Ngu EN-VI"/>
      <sheetName val="640ꠌ᜹렀㣃씃"/>
      <sheetName val="640ꠏ᜹쀀씃"/>
      <sheetName val="VNHA"/>
      <sheetName val="대차대조표-공시형"/>
      <sheetName val="참고) 기준정보"/>
      <sheetName val="회사전체"/>
      <sheetName val="이자"/>
      <sheetName val="Diesel Price "/>
      <sheetName val="$bhp"/>
      <sheetName val="업무분장 "/>
      <sheetName val="포지셔닝(유형별)"/>
      <sheetName val="채권(하반기)"/>
      <sheetName val="금액"/>
      <sheetName val="제품"/>
      <sheetName val="분류표"/>
      <sheetName val="Long Term Prices"/>
      <sheetName val="생산량"/>
      <sheetName val="BK_PPA"/>
      <sheetName val="간접비차이_PJT"/>
      <sheetName val="(참조)"/>
      <sheetName val="Investment Category"/>
      <sheetName val="견적 맵"/>
      <sheetName val="Asset9809CAK"/>
      <sheetName val="Sheet475"/>
      <sheetName val="갑지1"/>
      <sheetName val="JT3.0견적-구1"/>
      <sheetName val="Dropbox 목록"/>
      <sheetName val="네고14"/>
      <sheetName val="관리1"/>
      <sheetName val="연체리스료"/>
      <sheetName val="control sheet"/>
      <sheetName val="wall"/>
      <sheetName val="BATCH"/>
      <sheetName val="1.수인터널"/>
      <sheetName val="대환취급"/>
      <sheetName val="1711월"/>
      <sheetName val="OH _x000f__x0000__x000c__x0000__x0006__x0000__x0005__x0000__x000c__x0000_"/>
      <sheetName val="_x0000__x0004__x0000__x0002__x0000__x0002__x0000__x0005__x0000__x0008__x0000_"/>
      <sheetName val="ࠀ฀က฀Ԁ"/>
      <sheetName val="산출"/>
      <sheetName val="master(ZH)"/>
      <sheetName val="1공구산출내역서"/>
      <sheetName val="7_공사비집_x0000__x0000_Ā_x0000__x0005__x0000_翸_x0000_"/>
      <sheetName val="工완성공사율"/>
      <sheetName val="협가표"/>
      <sheetName val="집계"/>
      <sheetName val="아산추가1220"/>
      <sheetName val="가설공사내역"/>
      <sheetName val="401"/>
      <sheetName val="교량하부공"/>
      <sheetName val="1~9 하중계산"/>
      <sheetName val="정공공사"/>
      <sheetName val="1-2.설계변경요청서(갑지)"/>
      <sheetName val="사유집계"/>
      <sheetName val="설계변경내역서(주차관제)"/>
      <sheetName val="증감사유"/>
      <sheetName val="첨부1.(주차관제-.당공)"/>
      <sheetName val="첨부1-1.설계변경내역서(CCTV)"/>
      <sheetName val="첨부1-2.(주차관제-변공)"/>
      <sheetName val="2-6.변공량(추가공사)"/>
      <sheetName val=" 2-1.관제(물량산출서집계표)"/>
      <sheetName val=" 2-2.유도(물량산출서집계표)"/>
      <sheetName val="물량산출서(총괄)"/>
      <sheetName val="3-1.주차관제"/>
      <sheetName val="3-2.주차-광케이블"/>
      <sheetName val="3-3.층별LPR"/>
      <sheetName val="4-1.유도-광케이블"/>
      <sheetName val="4-2.주차키오스크"/>
      <sheetName val="4-3.4면카메라"/>
      <sheetName val="4-5.CCTV"/>
      <sheetName val="4-6.블럭유도등"/>
      <sheetName val="4-7.입구만차등"/>
      <sheetName val="4-8.비상벨"/>
      <sheetName val="증감대비"/>
      <sheetName val="공종단가"/>
      <sheetName val="PAD_TR보호대기초1"/>
      <sheetName val="1__시공측량1"/>
      <sheetName val="납부내역총괄표_(수정)1"/>
      <sheetName val="수종별수량_(2)1"/>
      <sheetName val="Weekly_Progress(계장)1"/>
      <sheetName val="근거_및_가정1"/>
      <sheetName val="1_차입금1"/>
      <sheetName val="부대시행1_(2)1"/>
      <sheetName val="3_6_2남양주택배1"/>
      <sheetName val="설산1_나1"/>
      <sheetName val="개발계획수립"/>
      <sheetName val="건축"/>
      <sheetName val="산근(목록)"/>
      <sheetName val="심사계산"/>
      <sheetName val="기초단가"/>
      <sheetName val="변수"/>
      <sheetName val="심사물량"/>
      <sheetName val="입력"/>
      <sheetName val="노임단"/>
      <sheetName val="단위수량"/>
      <sheetName val="예측단가간지"/>
      <sheetName val="환경일위대가"/>
      <sheetName val="1~69"/>
      <sheetName val="01_건설공사_투입인원수_산정"/>
      <sheetName val="운반공"/>
      <sheetName val="이형관중량"/>
      <sheetName val="일위목록"/>
      <sheetName val="자재단"/>
      <sheetName val="장비단"/>
      <sheetName val="고시단가"/>
      <sheetName val="지구단위계획"/>
      <sheetName val="단위모델"/>
      <sheetName val="2_주요계수총괄2"/>
      <sheetName val="Project_Brief2"/>
      <sheetName val="P_M_별3"/>
      <sheetName val="단면_(2)2"/>
      <sheetName val="1_본사계정별2"/>
      <sheetName val="Facility_Information2"/>
      <sheetName val="PAD_TR보호대기초2"/>
      <sheetName val="1__시공측량2"/>
      <sheetName val="납부내역총괄표_(수정)2"/>
      <sheetName val="수종별수량_(2)2"/>
      <sheetName val="Weekly_Progress(계장)2"/>
      <sheetName val="근거_및_가정2"/>
      <sheetName val="1_차입금2"/>
      <sheetName val="부대시행1_(2)2"/>
      <sheetName val="118_세금과공과2"/>
      <sheetName val="3_6_2남양주택배2"/>
      <sheetName val="설산1_나2"/>
      <sheetName val="2_실행ﶻĉ_x0000_"/>
      <sheetName val="2_실행䔭疖꜀"/>
      <sheetName val="2_실행ﶻ_x001e__x0000_"/>
      <sheetName val="3.공통공사대비"/>
      <sheetName val="2002년12월"/>
      <sheetName val="현장관리비 산출내역"/>
      <sheetName val="일일투입집계표"/>
      <sheetName val="평가데이터"/>
      <sheetName val="Macro3"/>
      <sheetName val="무형자산 LS11"/>
      <sheetName val="Global"/>
      <sheetName val="_x005f_x0018__"/>
      <sheetName val="_x005f_x0000_"/>
      <sheetName val="기타수지&amp;특별손익_ﹴÕ"/>
      <sheetName val="총괄집계표"/>
      <sheetName val="합계표"/>
      <sheetName val="공통비_x0000__x0000_ʯ"/>
      <sheetName val="공통비_x0000_í遘̩"/>
      <sheetName val="BQ"/>
      <sheetName val="Basic"/>
      <sheetName val="기성"/>
      <sheetName val="_x005f_x005f_x005f_x005f_x005f_x005f_x005f_x0018__x005f"/>
      <sheetName val="_x005f_x005f_x005f_x0018__"/>
      <sheetName val="간접비"/>
      <sheetName val="대구은행"/>
      <sheetName val="원재료"/>
      <sheetName val="비품"/>
      <sheetName val="PF 현황(11년12월)"/>
      <sheetName val="Sensitivity and GC Value"/>
      <sheetName val="FORM4"/>
      <sheetName val="FORM1"/>
      <sheetName val="FORM2"/>
      <sheetName val="FORM3"/>
      <sheetName val="FORM5"/>
      <sheetName val="FORM10"/>
      <sheetName val="FORM15"/>
      <sheetName val="FORM16"/>
      <sheetName val="main"/>
      <sheetName val="gr_val"/>
      <sheetName val="gr_sum"/>
      <sheetName val="Back_Data_12"/>
      <sheetName val="1월_예산1"/>
      <sheetName val="_견적서1"/>
      <sheetName val="해외_기술훈련비_(합계)2"/>
      <sheetName val="설문_평가1"/>
      <sheetName val="전선_및_전선관1"/>
      <sheetName val="#1)_투자_구분1"/>
      <sheetName val="2013_2월_연결대상1"/>
      <sheetName val="Utility_Usage_YTN_TOWER1"/>
      <sheetName val="B-1_기본정보1"/>
      <sheetName val="대투_보관자료_변경1"/>
      <sheetName val="G_R300경비"/>
      <sheetName val="AS포장복구_"/>
      <sheetName val="설_계"/>
      <sheetName val="수량산출서_갑지"/>
      <sheetName val="KEY_CODE1"/>
      <sheetName val="실행기성_갑지1"/>
      <sheetName val="Eq__Mobilization"/>
      <sheetName val="준검_내역서"/>
      <sheetName val="날개수량1_5"/>
      <sheetName val="Rev__Recon_1"/>
      <sheetName val="1_고객불만건수"/>
      <sheetName val="1_변경범위"/>
      <sheetName val="외주현황_wq11"/>
      <sheetName val="2-1_강사료,교통비_지급명세1"/>
      <sheetName val="13_포장용역비표준1"/>
      <sheetName val="9_가공부자재표준1"/>
      <sheetName val="8_ROLL표준(TSW)1"/>
      <sheetName val="4_톤당조관량표준1"/>
      <sheetName val="5_조관부자재표준1"/>
      <sheetName val="2-2_투자1"/>
      <sheetName val="Proj__Fin_1"/>
      <sheetName val="ITS_Assumptions"/>
      <sheetName val="Master_Data"/>
      <sheetName val="HQ_급여_"/>
      <sheetName val="OF_급여"/>
      <sheetName val="F_Ma급여"/>
      <sheetName val="SMT_급여"/>
      <sheetName val="QC_급여"/>
      <sheetName val="Sam_sung_급여"/>
      <sheetName val="Dlock_급여"/>
      <sheetName val="_thôi_việc_급여"/>
      <sheetName val="Công_smt"/>
      <sheetName val="Công_smt_(2)"/>
      <sheetName val="Detail_smt"/>
      <sheetName val="Công_QC"/>
      <sheetName val="Detail_QC_"/>
      <sheetName val="Công_SS"/>
      <sheetName val="Detail_SS"/>
      <sheetName val="Công_FMa"/>
      <sheetName val="Detail_FMa"/>
      <sheetName val="Công_OF"/>
      <sheetName val="Detail_OF"/>
      <sheetName val="Công_Dlock"/>
      <sheetName val="Detail_Dlock"/>
      <sheetName val="Công_thôi_việc"/>
      <sheetName val="Detail_thôi"/>
      <sheetName val="7_Utility_Analysis"/>
      <sheetName val="Operational_Activities"/>
      <sheetName val="F_월별기성수금현황_"/>
      <sheetName val="기초정보_코드"/>
      <sheetName val="조도계산서_(도서)"/>
      <sheetName val="C1_3_1"/>
      <sheetName val="입찰내역_Ĉᇆ"/>
      <sheetName val="입찰내역_Ĉᇆ"/>
      <sheetName val="6월_공嚺㓶가"/>
      <sheetName val="sum_x000a_"/>
      <sheetName val="_"/>
      <sheetName val="설비등록"/>
      <sheetName val="2_6_三无_(2)"/>
      <sheetName val="Worker_List"/>
      <sheetName val="GB-IC_Villingen_GG"/>
      <sheetName val="A(Rev_3)"/>
      <sheetName val="OUTER_A՜_x0000_缀_x0000__x0000__x0000_尀빙끯"/>
      <sheetName val="C1ㅇ"/>
      <sheetName val="단가조정"/>
      <sheetName val="나_출_x0000__x0000_"/>
      <sheetName val="입찰내역_Ĉ"/>
      <sheetName val="보고서_표"/>
      <sheetName val="0__가정_및_결론"/>
      <sheetName val="1__투자비"/>
      <sheetName val="2__Rent-roll"/>
      <sheetName val="3__Funding"/>
      <sheetName val="4__운영수익"/>
      <sheetName val="5__운영비용"/>
      <sheetName val="6_1_N+1년차_NOI_산정"/>
      <sheetName val="6__부동산매각"/>
      <sheetName val="7__보유세"/>
      <sheetName val="8__교통유발부담금"/>
      <sheetName val="9__BS부속"/>
      <sheetName val="10__CF(M)"/>
      <sheetName val="11__IS(M)"/>
      <sheetName val="12__BS(M)"/>
      <sheetName val="14__IS(FY)"/>
      <sheetName val="13__CF(FY)"/>
      <sheetName val="15__BS(FY)"/>
      <sheetName val="16__RE(FY)"/>
      <sheetName val="1_수인터널"/>
      <sheetName val="부대내역"/>
      <sheetName val="체신주조서"/>
      <sheetName val="자금_제_x0000__x0000_Ԁ_x0000_"/>
      <sheetName val="단독빌딩 총합계본"/>
      <sheetName val="OH _x000f_"/>
      <sheetName val="____"/>
      <sheetName val="本月预计"/>
      <sheetName val="1)추진현황"/>
      <sheetName val="매출회전"/>
      <sheetName val="소방사항"/>
      <sheetName val="TMPA"/>
      <sheetName val="TLoss"/>
      <sheetName val="예총"/>
      <sheetName val="0304"/>
      <sheetName val="이름표"/>
      <sheetName val="날개벽수량표"/>
      <sheetName val="001"/>
      <sheetName val="1__작성방식1"/>
      <sheetName val="표)CFT장_조직별_배분1"/>
      <sheetName val="20180214_P&amp;T1"/>
      <sheetName val="Ref__중점_추진_과제별_상세1"/>
      <sheetName val="Bank_code1"/>
      <sheetName val="Drop-down_RAW1"/>
      <sheetName val="Basic_Information1"/>
      <sheetName val="Exchange_rate1"/>
      <sheetName val="진행_DATA_(2)"/>
      <sheetName val="NG_Item"/>
      <sheetName val="Ref__Spec_Review_양식"/>
      <sheetName val="Ref__시험항목_테이블"/>
      <sheetName val="Ref__Search_Result_테이블"/>
      <sheetName val="4_1_월별_에너지_사용량"/>
      <sheetName val="TOWER_12TON"/>
      <sheetName val="TOWER_10TON"/>
      <sheetName val="JIB_CRANE,HOIST"/>
      <sheetName val="M&amp;Q_Lead"/>
      <sheetName val="경영비율 "/>
      <sheetName val="07.01"/>
      <sheetName val="수량산출서 (2)"/>
      <sheetName val="설계내역양식"/>
      <sheetName val="6F8"/>
      <sheetName val="NCR_HEC_6 Opens"/>
      <sheetName val="NCR_HEC_4 Open &amp; Vendor_2 Opens"/>
      <sheetName val="P_M_별4"/>
      <sheetName val="Back_Data_13"/>
      <sheetName val="Facility_Information3"/>
      <sheetName val="1__작성방식2"/>
      <sheetName val="2_주요계수총괄3"/>
      <sheetName val="Project_Brief3"/>
      <sheetName val="Utility_Usage_YTN_TOWER2"/>
      <sheetName val="118_세금과공과3"/>
      <sheetName val="1_본사계정별3"/>
      <sheetName val="단면_(2)3"/>
      <sheetName val="표)CFT장_조직별_배분2"/>
      <sheetName val="20180214_P&amp;T2"/>
      <sheetName val="Ref__중점_추진_과제별_상세2"/>
      <sheetName val="Bank_code2"/>
      <sheetName val="B-1_기본정보2"/>
      <sheetName val="해외_기술훈련비_(합계)3"/>
      <sheetName val="_견적서2"/>
      <sheetName val="1월_예산2"/>
      <sheetName val="Drop-down_RAW2"/>
      <sheetName val="설문_평가2"/>
      <sheetName val="Basic_Information2"/>
      <sheetName val="외주현황_wq12"/>
      <sheetName val="대투_보관자료_변경2"/>
      <sheetName val="#1)_투자_구분2"/>
      <sheetName val="전선_및_전선관2"/>
      <sheetName val="Exchange_rate2"/>
      <sheetName val="실행기성_갑지2"/>
      <sheetName val="Eq__Mobilization1"/>
      <sheetName val="진행_DATA_(2)1"/>
      <sheetName val="Ref__Spec_Review_양식1"/>
      <sheetName val="Ref__시험항목_테이블1"/>
      <sheetName val="Ref__Search_Result_테이블1"/>
      <sheetName val="NG_Item1"/>
      <sheetName val="2013_2월_연결대상2"/>
      <sheetName val="Rev__Recon_11"/>
      <sheetName val="1_고객불만건수1"/>
      <sheetName val="1_변경범위1"/>
      <sheetName val="2-2_투자2"/>
      <sheetName val="Proj__Fin_2"/>
      <sheetName val="ITS_Assumptions1"/>
      <sheetName val="Master_Data1"/>
      <sheetName val="C1_3_11"/>
      <sheetName val="7_Utility_Analysis1"/>
      <sheetName val="Operational_Activities1"/>
      <sheetName val="HQ_급여_1"/>
      <sheetName val="OF_급여1"/>
      <sheetName val="F_Ma급여1"/>
      <sheetName val="SMT_급여1"/>
      <sheetName val="QC_급여1"/>
      <sheetName val="Sam_sung_급여1"/>
      <sheetName val="Dlock_급여1"/>
      <sheetName val="_thôi_việc_급여1"/>
      <sheetName val="Công_smt1"/>
      <sheetName val="Công_smt_(2)1"/>
      <sheetName val="Detail_smt1"/>
      <sheetName val="Công_QC1"/>
      <sheetName val="Detail_QC_1"/>
      <sheetName val="Công_SS1"/>
      <sheetName val="Detail_SS1"/>
      <sheetName val="Công_FMa1"/>
      <sheetName val="Detail_FMa1"/>
      <sheetName val="Công_OF1"/>
      <sheetName val="Detail_OF1"/>
      <sheetName val="Công_Dlock1"/>
      <sheetName val="Detail_Dlock1"/>
      <sheetName val="Công_thôi_việc1"/>
      <sheetName val="Detail_thôi1"/>
      <sheetName val="2-1_강사료,교통비_지급명세2"/>
      <sheetName val="KEY_CODE2"/>
      <sheetName val="13_포장용역비표준2"/>
      <sheetName val="9_가공부자재표준2"/>
      <sheetName val="8_ROLL표준(TSW)2"/>
      <sheetName val="4_톤당조관량표준2"/>
      <sheetName val="5_조관부자재표준2"/>
      <sheetName val="F_월별기성수금현황_1"/>
      <sheetName val="준검_내역서1"/>
      <sheetName val="수량산출서_갑지1"/>
      <sheetName val="G_R300경비1"/>
      <sheetName val="AS포장복구_1"/>
      <sheetName val="설_계1"/>
      <sheetName val="조도계산서_(도서)1"/>
      <sheetName val="기초정보_코드1"/>
      <sheetName val="날개수량1_51"/>
      <sheetName val="6월_공嚺㓶가1"/>
      <sheetName val="2_6_三无_(2)1"/>
      <sheetName val="보고서_표1"/>
      <sheetName val="0__가정_및_결론1"/>
      <sheetName val="1__투자비1"/>
      <sheetName val="2__Rent-roll1"/>
      <sheetName val="3__Funding1"/>
      <sheetName val="4__운영수익1"/>
      <sheetName val="5__운영비용1"/>
      <sheetName val="6_1_N+1년차_NOI_산정1"/>
      <sheetName val="6__부동산매각1"/>
      <sheetName val="7__보유세1"/>
      <sheetName val="8__교통유발부담금1"/>
      <sheetName val="9__BS부속1"/>
      <sheetName val="10__CF(M)1"/>
      <sheetName val="11__IS(M)1"/>
      <sheetName val="12__BS(M)1"/>
      <sheetName val="14__IS(FY)1"/>
      <sheetName val="13__CF(FY)1"/>
      <sheetName val="15__BS(FY)1"/>
      <sheetName val="16__RE(FY)1"/>
      <sheetName val="4_1_월별_에너지_사용량1"/>
      <sheetName val="TOWER_12TON1"/>
      <sheetName val="TOWER_10TON1"/>
      <sheetName val="JIB_CRANE,HOIST1"/>
      <sheetName val="Worker_List1"/>
      <sheetName val="GB-IC_Villingen_GG1"/>
      <sheetName val="M&amp;Q_Lead1"/>
      <sheetName val="sum"/>
      <sheetName val="3_일반사상"/>
      <sheetName val="OH_"/>
      <sheetName val="업무_분류(Category)"/>
      <sheetName val="#1_Basic"/>
      <sheetName val="첨부#2_Cash_Flow(현장작성)"/>
      <sheetName val="산자사_운전용품"/>
      <sheetName val="경영비율_"/>
      <sheetName val="Dropbox_목록"/>
      <sheetName val="실행내역서 "/>
      <sheetName val="Sheet16"/>
      <sheetName val="Mot_So_Thuat_Ngu_EN-VI"/>
      <sheetName val="지급어음"/>
      <sheetName val="중속정보"/>
      <sheetName val="실행예산SHEET도장재검토"/>
      <sheetName val="0901"/>
      <sheetName val="식문화"/>
      <sheetName val="SRS 월별 BS"/>
      <sheetName val="SRS"/>
      <sheetName val="중기매출"/>
      <sheetName val="제조비(신청)"/>
      <sheetName val="경쟁사생산량추이"/>
      <sheetName val="12매출실적Copy"/>
      <sheetName val="매출액"/>
      <sheetName val="경영현황"/>
      <sheetName val="4월실적"/>
      <sheetName val="C"/>
      <sheetName val="평가&amp;선급.미지급"/>
      <sheetName val="지질조사"/>
      <sheetName val="07년10~12월"/>
      <sheetName val="EXC IND"/>
      <sheetName val="SRS_월별_BS"/>
      <sheetName val="평가&amp;선급_미지급"/>
      <sheetName val="COLOR별 인쇄"/>
      <sheetName val="일정표"/>
      <sheetName val="FED"/>
      <sheetName val="급여인상효과-연간부담분"/>
      <sheetName val="91"/>
      <sheetName val="생산1-2"/>
      <sheetName val="생산1-1"/>
      <sheetName val="매출계획"/>
      <sheetName val="품의서개정(갑)"/>
      <sheetName val="10.예산 및 원가 계획(02년)"/>
      <sheetName val="2.Consideration sheet"/>
      <sheetName val="3. Export"/>
      <sheetName val="_x005f_x0000___x0000__x0000__x0005__x0000_㴐ኰ"/>
      <sheetName val="_x005f_x0000___x0000__x0000__x0005__x0000_움ᕕ"/>
      <sheetName val="부대공사총괄"/>
      <sheetName val="건축공사집계표"/>
      <sheetName val="방배동내역 (총괄)"/>
      <sheetName val="BSD (2)"/>
      <sheetName val="유리단가"/>
      <sheetName val="DB"/>
      <sheetName val="자판실행"/>
      <sheetName val="단가조사표"/>
      <sheetName val="운반"/>
      <sheetName val="SS20"/>
      <sheetName val="SS10"/>
      <sheetName val="생산"/>
      <sheetName val="국내_x0000__x0000_"/>
      <sheetName val="날개벽(시점좌측)"/>
      <sheetName val="철거산출근거"/>
      <sheetName val="_Cash_Flow(자_x0000__x0000_"/>
      <sheetName val="파일의이용"/>
      <sheetName val="NKC (final)"/>
      <sheetName val="__Dscljh_c_EXCEL________1_96__2"/>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7_공사비집Ā翸"/>
      <sheetName val="NKC_(final)"/>
      <sheetName val="1-2_설계변경요청서(갑지)"/>
      <sheetName val="첨부1_(주차관제-_당공)"/>
      <sheetName val="첨부1-1_설계변경내역서(CCTV)"/>
      <sheetName val="첨부1-2_(주차관제-변공)"/>
      <sheetName val="2-6_변공량(추가공사)"/>
      <sheetName val="_2-1_관제(물량산출서집계표)"/>
      <sheetName val="_2-2_유도(물량산출서집계표)"/>
      <sheetName val="3-1_주차관제"/>
      <sheetName val="3-2_주차-광케이블"/>
      <sheetName val="3-3_층별LPR"/>
      <sheetName val="4-1_유도-광케이블"/>
      <sheetName val="4-2_주차키오스크"/>
      <sheetName val="4-3_4면카메라"/>
      <sheetName val="4-5_CCTV"/>
      <sheetName val="4-6_블럭유도등"/>
      <sheetName val="4-7_입구만차등"/>
      <sheetName val="4-8_비상벨"/>
      <sheetName val="항목(1)"/>
      <sheetName val="BOOK4"/>
      <sheetName val="증감내역서"/>
      <sheetName val="단면치수"/>
      <sheetName val="504전기실_x0000__x0000__x0001_Ԁ_x0000_"/>
      <sheetName val="상반기손익차2총괄"/>
      <sheetName val="OUTER_A՜"/>
      <sheetName val="7_공사비집"/>
      <sheetName val="_x005f_x0000__"/>
      <sheetName val="공통비"/>
      <sheetName val="자금_제"/>
      <sheetName val="504전기실"/>
      <sheetName val="건축갑지"/>
      <sheetName val="건축내역서"/>
      <sheetName val="견적보고서"/>
      <sheetName val="토공(우물통,기타) "/>
      <sheetName val="504전기실_Ç_x0000_Ԁ_x0000_瀀"/>
      <sheetName val="504전기실_Ç_x0000_Ԁ_x0000_退"/>
      <sheetName val="504전기실_壇멿︀ⳕԯ"/>
      <sheetName val="공기연장현황"/>
      <sheetName val="공종별집계"/>
      <sheetName val="오스피셔스제사차"/>
      <sheetName val="입찰내역 _x0000__x0000__x0000__x0001_Ԁ_x0000_"/>
      <sheetName val="지급제한자"/>
      <sheetName val="원가관리_(동월대-_x0000_Ԁ"/>
      <sheetName val="총 원가계산"/>
      <sheetName val="첨부1-2. 증감사유내역서(을)"/>
      <sheetName val="유효성 목록"/>
      <sheetName val="드롭다운(수정금지)"/>
      <sheetName val="23기-3분기결산PL"/>
      <sheetName val="类别"/>
      <sheetName val="(실사조정)총괄"/>
      <sheetName val="연결조정사항(2019)"/>
      <sheetName val="20년 동일기간 소테마"/>
      <sheetName val="2005조관부자재표준"/>
      <sheetName val="2005공정별직접노무비표준"/>
      <sheetName val="2005공정별전력비표준"/>
      <sheetName val="2005도금부자재표준"/>
      <sheetName val="2005톤당조관량표준"/>
      <sheetName val="2005인발표준"/>
      <sheetName val="4월 매출"/>
      <sheetName val="Stop"/>
      <sheetName val="Accueil"/>
      <sheetName val="C61X-BOM"/>
      <sheetName val="tifico"/>
      <sheetName val="신당동집계표"/>
      <sheetName val="통က_x0000_"/>
      <sheetName val="식재총괄"/>
      <sheetName val="조도"/>
      <sheetName val="방배2E"/>
      <sheetName val="1.설계조건"/>
      <sheetName val="1.설계기준"/>
      <sheetName val="경상직원"/>
      <sheetName val="6PILE__(Y_x0000__x0000_"/>
      <sheetName val="합산목표(감가+5_x0000__x0000_Ԁ_x0000_䀀"/>
      <sheetName val="6PILE__(剙_x0010__x0000_"/>
      <sheetName val="입찰내역 _x0000_⊍_x0000__x0000_∀的"/>
      <sheetName val="P-J"/>
      <sheetName val="참고3.DATA"/>
      <sheetName val=" Drop"/>
      <sheetName val="3.판관비명세서"/>
      <sheetName val="골조"/>
      <sheetName val="단가산출서"/>
      <sheetName val="4월25일실행"/>
      <sheetName val="경계석,골재외 (2)"/>
      <sheetName val="물가대비표"/>
      <sheetName val="ALK_Chi tiết công nợ"/>
      <sheetName val="Parem"/>
      <sheetName val="CHITIET VL-NC-TT1p"/>
      <sheetName val="TONGKE3p"/>
      <sheetName val="공사"/>
      <sheetName val="집계확_x0000_"/>
      <sheetName val="원가관리_(동월대-"/>
      <sheetName val="목록구분"/>
      <sheetName val="기본값"/>
      <sheetName val="BS준비"/>
      <sheetName val="7 _2_"/>
      <sheetName val="ALL"/>
      <sheetName val="LIDE"/>
      <sheetName val="7__2_"/>
      <sheetName val="부서실적"/>
      <sheetName val="xSeries255"/>
      <sheetName val="매출_비용"/>
      <sheetName val="조립지적"/>
      <sheetName val="1st"/>
      <sheetName val="krsec08"/>
      <sheetName val="Report Setup"/>
      <sheetName val="마력및원가표"/>
      <sheetName val="지성학원"/>
      <sheetName val="손익합산"/>
      <sheetName val="특정현금과예금"/>
      <sheetName val="현금과예금"/>
      <sheetName val="OWNER-1 (2)"/>
      <sheetName val="Sheet7"/>
      <sheetName val="유예기간"/>
      <sheetName val="07수주상세"/>
      <sheetName val="생산대일정"/>
      <sheetName val="pre-inv"/>
      <sheetName val="보조부문비배부"/>
      <sheetName val="1월말"/>
      <sheetName val="고객만족도 향상"/>
      <sheetName val="ScraRework"/>
      <sheetName val="생산계획"/>
      <sheetName val="판매계획"/>
      <sheetName val="IS_KGAAP"/>
      <sheetName val="통일"/>
      <sheetName val="3-3"/>
      <sheetName val="산출데이타(a)"/>
      <sheetName val="02"/>
      <sheetName val="3"/>
      <sheetName val="4"/>
      <sheetName val="08"/>
      <sheetName val="월확9601"/>
      <sheetName val="가격조사서"/>
      <sheetName val="108.수선비"/>
      <sheetName val="7__2_1"/>
      <sheetName val="Report_Setup"/>
      <sheetName val="OWNER-1_(2)"/>
      <sheetName val="MethodB"/>
      <sheetName val="제조부문배부"/>
      <sheetName val="자재코드"/>
      <sheetName val="DX220LC_M-BOM"/>
      <sheetName val="MethodC"/>
      <sheetName val="S225NLC-V"/>
      <sheetName val="S300V-MBOM"/>
      <sheetName val="WELDING"/>
      <sheetName val="프로젝트_LIST"/>
      <sheetName val="공정불량LIST"/>
      <sheetName val="입고단가기준"/>
      <sheetName val="7__2_2"/>
      <sheetName val="Report_Setup1"/>
      <sheetName val="#1_Basic1"/>
      <sheetName val="OWNER-1_(2)1"/>
      <sheetName val="BS준비.XLS"/>
      <sheetName val="BS%EC%A4%80%EB%B9%84.XLS"/>
      <sheetName val="ITEM-LIST"/>
      <sheetName val="출자한도"/>
      <sheetName val="CD-실적"/>
      <sheetName val="기초데이타"/>
      <sheetName val="품의"/>
      <sheetName val="동해title"/>
      <sheetName val="3210이연법인세"/>
      <sheetName val="0212"/>
      <sheetName val="comm"/>
      <sheetName val="리드"/>
      <sheetName val="기본사항"/>
      <sheetName val="CashFlow(중간집계)"/>
      <sheetName val="현재"/>
      <sheetName val="퇴직금추계(04.9.30)"/>
      <sheetName val="세율등"/>
      <sheetName val="1.경제설계"/>
      <sheetName val="해외생산"/>
      <sheetName val="경수97.02"/>
      <sheetName val="업무분장(현행)"/>
      <sheetName val="현금명세"/>
      <sheetName val="1995년 섹터별 매출"/>
      <sheetName val="현금및현금등가물"/>
      <sheetName val="GA"/>
      <sheetName val="서울(안)"/>
      <sheetName val="Lead"/>
      <sheetName val="Links"/>
      <sheetName val="실적분석"/>
      <sheetName val="SALE&amp;COST"/>
      <sheetName val="44-2Q 주석.xlsx"/>
      <sheetName val="고상실행"/>
      <sheetName val="MCS"/>
      <sheetName val="종합표"/>
      <sheetName val="팀_업체별 월기성실적"/>
      <sheetName val="팀_업체별 시공의뢰"/>
      <sheetName val="Discipline별"/>
      <sheetName val="수정추가"/>
      <sheetName val="호선별"/>
      <sheetName val="업체별_기능별"/>
      <sheetName val="참고용(시공)"/>
      <sheetName val="참고용(실적)"/>
      <sheetName val="월별인력"/>
      <sheetName val="손익계산서(전사)"/>
      <sheetName val="xxxxxx"/>
      <sheetName val="A(1)"/>
      <sheetName val="A (3)"/>
      <sheetName val="2공구산출내역"/>
      <sheetName val="회사제시BS"/>
      <sheetName val="대차대조"/>
      <sheetName val="DL08 DF 모드"/>
      <sheetName val="CRITERIA1"/>
      <sheetName val="CRITERIA2"/>
      <sheetName val="CRITERIA3"/>
      <sheetName val="재료비_매출원가"/>
      <sheetName val="견적구분"/>
      <sheetName val="99금액"/>
      <sheetName val="원지 수급가"/>
      <sheetName val="현금경비중역"/>
      <sheetName val="2.상각보정명세"/>
      <sheetName val="현금흐름Ⅰ"/>
      <sheetName val="Table_K7"/>
      <sheetName val="부재료입고집계"/>
      <sheetName val="YOEMAGUM"/>
      <sheetName val="다목적갑"/>
      <sheetName val="Warranty"/>
      <sheetName val="4b Consolidated PL"/>
      <sheetName val="C200"/>
      <sheetName val="TT List"/>
      <sheetName val="Planilha_relts??eos7"/>
      <sheetName val="sum "/>
      <sheetName val="SPT vs PHI"/>
      <sheetName val="목차 "/>
      <sheetName val="0. 물류비집계 rev1"/>
      <sheetName val="0. 물류비 집계"/>
      <sheetName val="(1-2) 국내 구간별 운송 견적 1"/>
      <sheetName val="(1-1) 국내 구간별 운송 실적  (2)"/>
      <sheetName val="(1) 국내 사이트 상세 주소 "/>
      <sheetName val="수입 건수 정리"/>
      <sheetName val="(2-1) 수출 해상 (LCL) "/>
      <sheetName val="(2-2) 수출 항공 "/>
      <sheetName val="(2-4) 수출 내륙 운송료"/>
      <sheetName val="(3-1) 수입 해상 (FCL)"/>
      <sheetName val="(3-2) 수입 해상 (LCL) "/>
      <sheetName val="(3-3) 수입 항공 "/>
      <sheetName val="(3-5) 수입 내륙 운송료"/>
      <sheetName val="물류비"/>
      <sheetName val="운송내역 "/>
      <sheetName val="간접경상비"/>
      <sheetName val="무역한도관리"/>
      <sheetName val="퇴직사유"/>
      <sheetName val="기준정보基准信息参考"/>
      <sheetName val="계정정보"/>
      <sheetName val="F4-F7"/>
      <sheetName val="Supplement2"/>
      <sheetName val="카테고리 분류 (수정X)"/>
      <sheetName val="__한국_AMP_ASP-23_판매가격_롟"/>
      <sheetName val="기타코드"/>
      <sheetName val="단기대여금"/>
      <sheetName val="장기대여금"/>
      <sheetName val="Menu_Link"/>
      <sheetName val="PH 5"/>
      <sheetName val="bar chart-rev"/>
      <sheetName val="CERTIFICATE"/>
      <sheetName val="B05"/>
      <sheetName val="B07"/>
      <sheetName val="A02"/>
      <sheetName val="A04"/>
      <sheetName val="A13"/>
      <sheetName val="B08"/>
      <sheetName val="B10"/>
      <sheetName val="STRAT_PLAN_WKSHT2"/>
      <sheetName val="Sales_Plan_&amp;_other2"/>
      <sheetName val="drop_downs1"/>
      <sheetName val="구분_Table"/>
      <sheetName val="역T형옹벽(3_0)"/>
      <sheetName val="외상매출금현황-수정분_A2"/>
      <sheetName val="Project_Count"/>
      <sheetName val="control_sheet"/>
      <sheetName val="PF_현황(11년12월)"/>
      <sheetName val="Diesel_Price_"/>
      <sheetName val="견적_맵"/>
      <sheetName val="업무분장_"/>
      <sheetName val="7300-1000_111"/>
      <sheetName val="PJT_현황"/>
      <sheetName val="참고)_기준정보"/>
      <sheetName val="Long_Term_Prices"/>
      <sheetName val="문의내용_카테고리_분류(수정X)"/>
      <sheetName val="Sensitivity_and_GC_Value"/>
      <sheetName val="Insight MTD QTD YTD DATA"/>
      <sheetName val="Working (PivotTable)"/>
      <sheetName val="Essbase (53 Weeks)"/>
      <sheetName val="Essbase (52 Weeks)"/>
      <sheetName val="Store Listing"/>
      <sheetName val="COMP Working"/>
      <sheetName val="Q1"/>
      <sheetName val="Q2"/>
      <sheetName val="Q3"/>
      <sheetName val="COMP LLY Working"/>
      <sheetName val="주주명부&lt;끝&gt;"/>
      <sheetName val="지역개발"/>
      <sheetName val="매입매출(입력)"/>
      <sheetName val="상표권"/>
      <sheetName val="품목리스트"/>
      <sheetName val="공사비지급"/>
      <sheetName val="사업단위"/>
      <sheetName val="운영경비 세부작성근거"/>
      <sheetName val="⑤항목별2"/>
      <sheetName val="산출기준(파견전산실)"/>
      <sheetName val="보빈규격"/>
      <sheetName val="변동률산출"/>
      <sheetName val="완성차 미수금"/>
      <sheetName val="토지평가조서(발송용)"/>
      <sheetName val="1_종합손익(도급)12"/>
      <sheetName val="1_종합손익(주택,개발)12"/>
      <sheetName val="2_실행예산12"/>
      <sheetName val="2_2과부족12"/>
      <sheetName val="2_3원가절감12"/>
      <sheetName val="8_외주비집행현황12"/>
      <sheetName val="9_자재비12"/>
      <sheetName val="10_현장집행12"/>
      <sheetName val="3_추가원가12"/>
      <sheetName val="3_추가원가_(2)12"/>
      <sheetName val="4_사전공사12"/>
      <sheetName val="5_추정공사비12"/>
      <sheetName val="6_금융비용12"/>
      <sheetName val="7_공사비집행현황(총괄)12"/>
      <sheetName val="11_1생산성12"/>
      <sheetName val="11_2인원산출12"/>
      <sheetName val="b_balju_(2)11"/>
      <sheetName val="__한국_AMP_ASP-23_판매가격__11"/>
      <sheetName val="변경실행(2차)_11"/>
      <sheetName val="CC_Down_load_071611"/>
      <sheetName val="나_출고11"/>
      <sheetName val="나_입고11"/>
      <sheetName val="09년_인건비(속리산)11"/>
      <sheetName val="합산목표(감가+57_5)11"/>
      <sheetName val="Facility_Information4"/>
      <sheetName val="6PILE__(돌출)11"/>
      <sheetName val="기성청구_공문11"/>
      <sheetName val="제조원가_원단위_분석11"/>
      <sheetName val="종합표양식(품의_&amp;_입고)_211"/>
      <sheetName val="원가관리_(동월대비)11"/>
      <sheetName val="2-2_매출분석11"/>
      <sheetName val="중기조종사_단위단가11"/>
      <sheetName val="몰드시스템_리스트11"/>
      <sheetName val="7_(2)13"/>
      <sheetName val="11_외화채무증권(AFS,HTM)0811"/>
      <sheetName val="13_감액TEST_0811"/>
      <sheetName val="Sheet1_(2)11"/>
      <sheetName val="表21_净利润调节表10"/>
      <sheetName val="2_총괄표9"/>
      <sheetName val="sum1_(2)9"/>
      <sheetName val="12년_CF(9월)11"/>
      <sheetName val="Utility_Usage_YTN_TOWER3"/>
      <sheetName val="118_세금과공과4"/>
      <sheetName val="2_대외공문9"/>
      <sheetName val="3_바닥판설계9"/>
      <sheetName val="504전기실_동부하-L9"/>
      <sheetName val="OUTER_AREA(겹침없음)9"/>
      <sheetName val="EL_표면적9"/>
      <sheetName val="P_M_별5"/>
      <sheetName val="TRE_TABLE9"/>
      <sheetName val="입출재고현황_(2)9"/>
      <sheetName val="입찰내역_발주처_양식9"/>
      <sheetName val="설산1_나3"/>
      <sheetName val="Back_Data_14"/>
      <sheetName val="1__작성방식3"/>
      <sheetName val="Project_Brief4"/>
      <sheetName val="2_주요계수총괄4"/>
      <sheetName val="단면_(2)4"/>
      <sheetName val="1_본사계정별4"/>
      <sheetName val="전사_PL14"/>
      <sheetName val="자금_제외_PL14"/>
      <sheetName val="자금_PL14"/>
      <sheetName val="전사_BS14"/>
      <sheetName val="자금_제외_BS14"/>
      <sheetName val="자금_BS14"/>
      <sheetName val="BS_계정_설명14"/>
      <sheetName val="_Cash_Flow(전사)14"/>
      <sheetName val="_Cash_Flow(자금제외)14"/>
      <sheetName val="_Cash_Flow(자금)14"/>
      <sheetName val="ROIC_14"/>
      <sheetName val="인건비_명세14"/>
      <sheetName val="판관비_명세14"/>
      <sheetName val="OH_Cost경비(내역)14"/>
      <sheetName val="OH_Cost경비(배부기준)14"/>
      <sheetName val="기타수지&amp;특별손익_명세14"/>
      <sheetName val="Process_List13"/>
      <sheetName val="제시_손익계산서13"/>
      <sheetName val="업무연락_(2)13"/>
      <sheetName val="M_7회차_담금_계획13"/>
      <sheetName val="01_02월_성과급14"/>
      <sheetName val="09~10년_매출계획11"/>
      <sheetName val="97_사업추정(WEKI)9"/>
      <sheetName val="팀별_실적13"/>
      <sheetName val="팀별_실적_(환산)13"/>
      <sheetName val="6월_공정외주9"/>
      <sheetName val="Tong_hop9"/>
      <sheetName val="95_1_1이후취득자산(숨기기상태)9"/>
      <sheetName val="1_MDF1공장11"/>
      <sheetName val="1__시공측량3"/>
      <sheetName val="근거_및_가정3"/>
      <sheetName val="2_카드채권(대출포함)10"/>
      <sheetName val="PAD_TR보호대기초3"/>
      <sheetName val="수종별수량_(2)3"/>
      <sheetName val="1_차입금3"/>
      <sheetName val="부대시행1_(2)3"/>
      <sheetName val="3_6_2남양주택배3"/>
      <sheetName val="해외_기술훈련비_(합계)4"/>
      <sheetName val="설문_평가3"/>
      <sheetName val="_견적서3"/>
      <sheetName val="전선_및_전선관3"/>
      <sheetName val="1월_예산3"/>
      <sheetName val="#1)_투자_구분3"/>
      <sheetName val="납부내역총괄표_(수정)3"/>
      <sheetName val="B-1_기본정보3"/>
      <sheetName val="Weekly_Progress(계장)3"/>
      <sheetName val="대투_보관자료_변경3"/>
      <sheetName val="표)CFT장_조직별_배분3"/>
      <sheetName val="20180214_P&amp;T3"/>
      <sheetName val="Ref__중점_추진_과제별_상세3"/>
      <sheetName val="실행기성_갑지3"/>
      <sheetName val="Eq__Mobilization2"/>
      <sheetName val="외주현황_wq13"/>
      <sheetName val="Bank_code3"/>
      <sheetName val="Drop-down_RAW3"/>
      <sheetName val="Basic_Information3"/>
      <sheetName val="Exchange_rate3"/>
      <sheetName val="2013_2월_연결대상3"/>
      <sheetName val="보고서_표2"/>
      <sheetName val="0__가정_및_결론2"/>
      <sheetName val="1__투자비2"/>
      <sheetName val="2__Rent-roll2"/>
      <sheetName val="3__Funding2"/>
      <sheetName val="4__운영수익2"/>
      <sheetName val="5__운영비용2"/>
      <sheetName val="6_1_N+1년차_NOI_산정2"/>
      <sheetName val="6__부동산매각2"/>
      <sheetName val="7__보유세2"/>
      <sheetName val="8__교통유발부담금2"/>
      <sheetName val="9__BS부속2"/>
      <sheetName val="10__CF(M)2"/>
      <sheetName val="11__IS(M)2"/>
      <sheetName val="12__BS(M)2"/>
      <sheetName val="14__IS(FY)2"/>
      <sheetName val="13__CF(FY)2"/>
      <sheetName val="15__BS(FY)2"/>
      <sheetName val="16__RE(FY)2"/>
      <sheetName val="G_R300경비2"/>
      <sheetName val="AS포장복구_2"/>
      <sheetName val="설_계2"/>
      <sheetName val="F_월별기성수금현황_2"/>
      <sheetName val="준검_내역서2"/>
      <sheetName val="Rev__Recon_12"/>
      <sheetName val="1_고객불만건수2"/>
      <sheetName val="1_변경범위2"/>
      <sheetName val="수량산출서_갑지2"/>
      <sheetName val="KEY_CODE3"/>
      <sheetName val="2-1_강사료,교통비_지급명세3"/>
      <sheetName val="13_포장용역비표준3"/>
      <sheetName val="9_가공부자재표준3"/>
      <sheetName val="8_ROLL표준(TSW)3"/>
      <sheetName val="4_톤당조관량표준3"/>
      <sheetName val="5_조관부자재표준3"/>
      <sheetName val="4__Inj_투자상세내역13"/>
      <sheetName val="3__Blow_투자_상세내역13"/>
      <sheetName val="Jul-Sep_Actual_cost_(2)8"/>
      <sheetName val="요일_테이블13"/>
      <sheetName val="요일_테이블_(2)12"/>
      <sheetName val="TO_Data_Base21"/>
      <sheetName val="YTD_Summary20"/>
      <sheetName val="Month_Summary20"/>
      <sheetName val="Trial_Balance_MAY_200920"/>
      <sheetName val="TB_Pivot20"/>
      <sheetName val="total_per_LB_LB220"/>
      <sheetName val="Trial_Balance_Vlookup20"/>
      <sheetName val="Trial_Balance_APRIL_200920"/>
      <sheetName val="Roll_Out_AQ20"/>
      <sheetName val="Evolução_mandamentos20"/>
      <sheetName val="Planilha_resultados19"/>
      <sheetName val="Historico_200319"/>
      <sheetName val="Sig_Cycles_Accts_&amp;_Processes19"/>
      <sheetName val="3_ISo_YTD13"/>
      <sheetName val="E_法规NC13"/>
      <sheetName val="Données_LMU13"/>
      <sheetName val="Brazil_Sovereign13"/>
      <sheetName val="Resumen_Costo13"/>
      <sheetName val="Fixed_ZBB13"/>
      <sheetName val="5_113"/>
      <sheetName val="Extract_Loss13"/>
      <sheetName val="QA_跟踪记录表13"/>
      <sheetName val="RG_Depots13"/>
      <sheetName val="material_data13"/>
      <sheetName val="other_data13"/>
      <sheetName val="Como_Estamos13"/>
      <sheetName val="Database_(RUR)Mar_YTD13"/>
      <sheetName val="SKU_Mapping13"/>
      <sheetName val="Drop_Down13"/>
      <sheetName val="Raw_Data13"/>
      <sheetName val="EBM-2_GHQ13"/>
      <sheetName val="Base_PEF14"/>
      <sheetName val="Base_de_Dados13"/>
      <sheetName val="Testing_Template_Guidance13"/>
      <sheetName val="Test_Programs13"/>
      <sheetName val="Dados_BLP13"/>
      <sheetName val="Controls_data15"/>
      <sheetName val="FJJX_Bud_IB12"/>
      <sheetName val="look-up_data12"/>
      <sheetName val="JOB_PROFILE_-_LAS13"/>
      <sheetName val="ARdistr_(2)13"/>
      <sheetName val="Prd_Hierarchy(产品层级)12"/>
      <sheetName val="Com_(2PK)12"/>
      <sheetName val="Prd_Hierarchy(产品层次)12"/>
      <sheetName val="Project_Code12"/>
      <sheetName val="15년_BL_사계12"/>
      <sheetName val="_손익기01_XL12"/>
      <sheetName val="drop_down_list12"/>
      <sheetName val="[손익기01_XL_x005f_x0000__x005f_x0000_DePara12"/>
      <sheetName val="[손익기01_XL12"/>
      <sheetName val="Income_Stmt12"/>
      <sheetName val="Quarterly_LBO_Model12"/>
      <sheetName val="_손익기01_XL_x005f_x0000__x005f_x0000_DePara12"/>
      <sheetName val="Classification_分类11"/>
      <sheetName val="Figures_Report11"/>
      <sheetName val="Set_Up12"/>
      <sheetName val="Fare_prices11"/>
      <sheetName val="Hotel_prices11"/>
      <sheetName val="tab_STATUS_DO_PROCESSO_11"/>
      <sheetName val="Perf__Plan__Diário111"/>
      <sheetName val="In_(2)11"/>
      <sheetName val="slide_24_cat_A11"/>
      <sheetName val="slide_82_cat_b11"/>
      <sheetName val="Incident_유형구분표11"/>
      <sheetName val="CLASIFICACION_DE_AI11"/>
      <sheetName val="Base_da_Datos11"/>
      <sheetName val="Dados_dos_Produtos11"/>
      <sheetName val="DD_list11"/>
      <sheetName val="3YP2016-Bottom_up10"/>
      <sheetName val="MASTER_APP10"/>
      <sheetName val="Cond__Inseguros10"/>
      <sheetName val="Comp__Inseguros10"/>
      <sheetName val="Lista_de_datos10"/>
      <sheetName val="Base_de_Datos10"/>
      <sheetName val="_DD_List10"/>
      <sheetName val="Share_Price_200210"/>
      <sheetName val="Clasif_10"/>
      <sheetName val="Lista_CI10"/>
      <sheetName val="Farol_Acciones10"/>
      <sheetName val="Lista_de_Entrenamientos10"/>
      <sheetName val="Supply_Cost_Centers10"/>
      <sheetName val="BEP_加薪_KPI9"/>
      <sheetName val="2-2_투자3"/>
      <sheetName val="Proj__Fin_3"/>
      <sheetName val="ITS_Assumptions2"/>
      <sheetName val="Master_Data2"/>
      <sheetName val="HQ_급여_2"/>
      <sheetName val="OF_급여2"/>
      <sheetName val="F_Ma급여2"/>
      <sheetName val="SMT_급여2"/>
      <sheetName val="QC_급여2"/>
      <sheetName val="Sam_sung_급여2"/>
      <sheetName val="Dlock_급여2"/>
      <sheetName val="_thôi_việc_급여2"/>
      <sheetName val="Công_smt2"/>
      <sheetName val="Công_smt_(2)2"/>
      <sheetName val="Detail_smt2"/>
      <sheetName val="Công_QC2"/>
      <sheetName val="Detail_QC_2"/>
      <sheetName val="Công_SS2"/>
      <sheetName val="Detail_SS2"/>
      <sheetName val="Công_FMa2"/>
      <sheetName val="Detail_FMa2"/>
      <sheetName val="Công_OF2"/>
      <sheetName val="Detail_OF2"/>
      <sheetName val="Công_Dlock2"/>
      <sheetName val="Detail_Dlock2"/>
      <sheetName val="Công_thôi_việc2"/>
      <sheetName val="Detail_thôi2"/>
      <sheetName val="7_Utility_Analysis2"/>
      <sheetName val="Operational_Activities2"/>
      <sheetName val="기초정보_코드2"/>
      <sheetName val="조도계산서_(도서)2"/>
      <sheetName val="날개수량1_52"/>
      <sheetName val="C1_3_12"/>
      <sheetName val="진행_DATA_(2)2"/>
      <sheetName val="NG_Item2"/>
      <sheetName val="4_1_월별_에너지_사용량2"/>
      <sheetName val="TOWER_12TON2"/>
      <sheetName val="TOWER_10TON2"/>
      <sheetName val="JIB_CRANE,HOIST2"/>
      <sheetName val="Worker_List2"/>
      <sheetName val="GB-IC_Villingen_GG2"/>
      <sheetName val="6월_공嚺㓶가2"/>
      <sheetName val="M&amp;Q_Lead2"/>
      <sheetName val="Ref__Spec_Review_양식2"/>
      <sheetName val="Ref__시험항목_테이블2"/>
      <sheetName val="Ref__Search_Result_테이블2"/>
      <sheetName val="2_6_三无_(2)2"/>
      <sheetName val="3_일반사상1"/>
      <sheetName val="부재료_비교(11년_vs_10년)7"/>
      <sheetName val="Dashboard_Prevención_Riesgos_9"/>
      <sheetName val="TOP_KPIs_MTM9"/>
      <sheetName val="PLAN_DE_ACCION9"/>
      <sheetName val="Faro_de_Indicadores9"/>
      <sheetName val="Unidades_SAC-REVENDA11"/>
      <sheetName val="FornecM_Check9"/>
      <sheetName val="Hazards_Analysis-隐患分析9"/>
      <sheetName val="F08_-_Asia_Pac_Full_Year_Q310"/>
      <sheetName val="Top_Priorities10"/>
      <sheetName val="Listco_Stock10"/>
      <sheetName val="Intl_Purchase10"/>
      <sheetName val="FY_outlook10"/>
      <sheetName val="CY_outlook10"/>
      <sheetName val="Cash_metrics10"/>
      <sheetName val="P6_710"/>
      <sheetName val="DATOS_BASE9"/>
      <sheetName val="Estratificación_AI9"/>
      <sheetName val="condicion_inseguras9"/>
      <sheetName val="Actos_Inseguros9"/>
      <sheetName val="Control_de_incidentes9"/>
      <sheetName val="Plan_de_Acción9"/>
      <sheetName val="_손익기01_XL_x005f_x005f_x005f_x0000__x005f_x005f_x9"/>
      <sheetName val="Issues_List_Payments9"/>
      <sheetName val="turnover_reason퇴직사유9"/>
      <sheetName val="Grafica_Actos9"/>
      <sheetName val="POC_LIST9"/>
      <sheetName val="Condiciones_SyE9"/>
      <sheetName val="DETALLE_MENSUAL9"/>
      <sheetName val="do_not_delete9"/>
      <sheetName val="APAC_S9"/>
      <sheetName val="APAC_N9"/>
      <sheetName val="Slide_output9"/>
      <sheetName val="[손익기01_XL??DePara9"/>
      <sheetName val="Farol_Metas9"/>
      <sheetName val="Mod_Relac_9"/>
      <sheetName val="REALxMETA_-_CERVEJA11"/>
      <sheetName val="REALxMETA_-_REFRI11"/>
      <sheetName val="Directrices_de_Metas_20179"/>
      <sheetName val="SKU_Basic_Data9"/>
      <sheetName val="Entity_Target9"/>
      <sheetName val="VALIDACION_DE_DATOS8"/>
      <sheetName val="Drop-down_List8"/>
      <sheetName val="by_DD8"/>
      <sheetName val="Check_Qualidade7"/>
      <sheetName val="De_Para8"/>
      <sheetName val="Check_Aderencia7"/>
      <sheetName val="A(Rev_3)1"/>
      <sheetName val="업무_분류(Category)1"/>
      <sheetName val="#1_Basic2"/>
      <sheetName val="첨부#2_Cash_Flow(현장작성)1"/>
      <sheetName val="산자사_운전용품1"/>
      <sheetName val="1_수인터널1"/>
      <sheetName val="입찰내역_Ĉ1"/>
      <sheetName val="Phieu_trinh_ky_cấu_tháp1"/>
      <sheetName val="Phieu_trinh_ky_VTP1"/>
      <sheetName val="KS-VL_rời1"/>
      <sheetName val="Tai_san1"/>
      <sheetName val="Check_dong_tien1"/>
      <sheetName val="Chi_phí_SDTS1"/>
      <sheetName val="Check_COST1"/>
      <sheetName val="DATA_HD1"/>
      <sheetName val="Tong_hop_1TM1"/>
      <sheetName val="NS_Lán_trại1"/>
      <sheetName val="Check_cong_no_NC1"/>
      <sheetName val="STRAT_PLAN_WKSHT3"/>
      <sheetName val="Sales_Plan_&amp;_other3"/>
      <sheetName val="drop_downs2"/>
      <sheetName val="전기요금_산출내역"/>
      <sheetName val="Project_Count1"/>
      <sheetName val="2_FM_Fee_2차년도"/>
      <sheetName val="3_감가장비"/>
      <sheetName val="시스템_개요_유효값"/>
      <sheetName val="문의내용_카테고리_분류(수정X)1"/>
      <sheetName val="업무분장_1"/>
      <sheetName val="7300-1000_112"/>
      <sheetName val="PJT_현황1"/>
      <sheetName val="참고)_기준정보1"/>
      <sheetName val="Long_Term_Prices1"/>
      <sheetName val="Diesel_Price_1"/>
      <sheetName val="견적_맵1"/>
      <sheetName val="_손익기01_XL_x005f_x0000__x07"/>
      <sheetName val="Base_Farol7"/>
      <sheetName val="Gerencial_IL7"/>
      <sheetName val="Ventas_Campo7"/>
      <sheetName val="ACTOS_POR_RIESGO7"/>
      <sheetName val="drop_lists7"/>
      <sheetName val="MRL_NON_SUPPLY_URU7"/>
      <sheetName val="AIIM_-_Empresas_Ext_20127"/>
      <sheetName val="KPIs_Hana7"/>
      <sheetName val="Catalago_de_refacciones_7"/>
      <sheetName val="Existencias_al_07-Nov-20127"/>
      <sheetName val="Check_GG7"/>
      <sheetName val="Sheet3_(2)7"/>
      <sheetName val="요일_테이블_7"/>
      <sheetName val="Nombre_de_SOP7"/>
      <sheetName val="_mngt_Pillar7"/>
      <sheetName val="2__Indicadores7"/>
      <sheetName val="Ta_7"/>
      <sheetName val="Lao_&amp;_Cam7"/>
      <sheetName val="Hoegaarden_20197"/>
      <sheetName val="Lao_&amp;_Cam_20197"/>
      <sheetName val="Malaysia_20197"/>
      <sheetName val="Singapore_20197"/>
      <sheetName val="Sheet2_(2)7"/>
      <sheetName val="Other_Listings7"/>
      <sheetName val="Lista_de_Entrenamientos_RSO7"/>
      <sheetName val="Tablero_SDG10"/>
      <sheetName val="Lista_Areas10"/>
      <sheetName val="One_Page10"/>
      <sheetName val="Sub-Productos_HN8"/>
      <sheetName val="Eficiencia_linea7"/>
      <sheetName val="Pauta_RPS_Distribuição6"/>
      <sheetName val="Estoque_(2)6"/>
      <sheetName val="Comp_Inseguros6"/>
      <sheetName val="BNR_2012_в_ящике6"/>
      <sheetName val="DATOS_DE_VALIDACIÓN6"/>
      <sheetName val="Datos_con6"/>
      <sheetName val="_Datos_Cond_6"/>
      <sheetName val="DO_NOT_MOVE6"/>
      <sheetName val="INGRESO_(2)6"/>
      <sheetName val="PG-K1610_(UEN_Areas)MNG6"/>
      <sheetName val="DATOS_GEN_6"/>
      <sheetName val="NUEVOS_CRITERIOS6"/>
      <sheetName val="Condiciones_Agua6"/>
      <sheetName val="control_sheet1"/>
      <sheetName val="구분_Table1"/>
      <sheetName val="PF_현황(11년12월)1"/>
      <sheetName val="역T형옹벽(3_0)1"/>
      <sheetName val="노원열병합__건축공사기성내역서"/>
      <sheetName val="Dropdown_list5"/>
      <sheetName val="Control_de_Fallas5"/>
      <sheetName val="Setup_for_Templates5"/>
      <sheetName val="Datos_emp5"/>
      <sheetName val="Drop_list5"/>
      <sheetName val="FX_Rates5"/>
      <sheetName val="Proced_5"/>
      <sheetName val="Cut_Machine_Summary5"/>
      <sheetName val="Validation_lists5"/>
      <sheetName val="__한국_AMP_ASP-23_판㧤가격__5"/>
      <sheetName val="11_䡸화채무줝ⴌ(AFS,HTM)085"/>
      <sheetName val="TIPO_DE_ACTO5"/>
      <sheetName val="CRITICIDAD_DE_CI5"/>
      <sheetName val="Catálogo_de_CI5"/>
      <sheetName val="%_CUMPLIMIENTO5"/>
      <sheetName val="%_cumplimiento_5"/>
      <sheetName val="CALIFICACIONES_20193"/>
      <sheetName val="Lev_4_360_deg_check_Crit_Task3"/>
      <sheetName val="Lev_4_Chk_IC_Stock_Crit_Task3"/>
      <sheetName val="Lev_4_WMS_Putaway_Crit_Task3"/>
      <sheetName val="Vagas_x_Candidatos5"/>
      <sheetName val="Listas_y_equipos_a_evaluar5"/>
      <sheetName val="Data_Reporte5"/>
      <sheetName val="Read_me5"/>
      <sheetName val="Champions_List4"/>
      <sheetName val="NAZ_Strategy3"/>
      <sheetName val="Daily_Dashboard5"/>
      <sheetName val="Mapeo_SKUs5"/>
      <sheetName val="Vol_(Ds)5"/>
      <sheetName val="Vol_(Ka)5"/>
      <sheetName val="Vol_(Oth)5"/>
      <sheetName val="Vol_(Oth)_Cortesias5"/>
      <sheetName val="INPUT-Cust_Sugg_Margin(Ds)5"/>
      <sheetName val="On_Invoice5"/>
      <sheetName val="INPUT-Cust_Sugg_Margin(Ka)5"/>
      <sheetName val="INPUT_SKUs5"/>
      <sheetName val="Brand_P&amp;L3"/>
      <sheetName val="SUPERMONT_P3"/>
      <sheetName val="Data_selection3"/>
      <sheetName val="1_3"/>
      <sheetName val="Customer_&amp;_SO3"/>
      <sheetName val="Session_Proposal3"/>
      <sheetName val="Dropdown_Menu1"/>
      <sheetName val="Análise_Tempos2"/>
      <sheetName val="Incentivo_Automóvil2"/>
      <sheetName val="PDA_BOP2"/>
      <sheetName val="Validação_de_Dados2"/>
      <sheetName val="No_llenar_2"/>
      <sheetName val="유류대_현황1"/>
      <sheetName val="1__템플릿1"/>
      <sheetName val="2__작성_참고사항1"/>
      <sheetName val="mapping_(2)1"/>
      <sheetName val="Ref_1"/>
      <sheetName val="Lista_de_Motivos2"/>
      <sheetName val="Ponto_Crítico_-_Resp__Plano2"/>
      <sheetName val="Lista_Funcionários_(2)2"/>
      <sheetName val="2_3_Projects_Status1"/>
      <sheetName val="PROCESS_MD2"/>
      <sheetName val="Consolidated_Project_List1"/>
      <sheetName val="Fixed_Cost1"/>
      <sheetName val="Project_List1"/>
      <sheetName val="Выпадающие_списки1"/>
      <sheetName val="Listas_desplegables1"/>
      <sheetName val="Resumen_General1"/>
      <sheetName val="Cátalogo_de_CI1"/>
      <sheetName val="Hoja2_(2)1"/>
      <sheetName val="Technology_check_list1"/>
      <sheetName val="Status_de_Usuario1"/>
      <sheetName val="Actos_y_Condiciones_1"/>
      <sheetName val="NO_BORRAR1"/>
      <sheetName val="Formato_checklist_Lab1"/>
      <sheetName val="SOP_Freshness"/>
      <sheetName val="PAINEL_RECOLHA_CRÉDITO2"/>
      <sheetName val="Gráficos_-_CDD2"/>
      <sheetName val="3__Training_&amp;_travel"/>
      <sheetName val="Dimension_IN_Sheet1!D1912"/>
      <sheetName val="Dimension_IN_1912"/>
      <sheetName val="Manage_to_Sustain"/>
      <sheetName val="Meeting_List"/>
      <sheetName val="Packages_Info"/>
      <sheetName val="Preferred_Option"/>
      <sheetName val="입문_트랜드(종합분석)"/>
      <sheetName val="Master_CE"/>
      <sheetName val="CE_Final_"/>
      <sheetName val="OL_LIST"/>
      <sheetName val="YTD_GUEST_LIST"/>
      <sheetName val="Session_Full_list"/>
      <sheetName val="FOOD_PAYMENT_update_JAN"/>
      <sheetName val="Rate_card_F19_"/>
      <sheetName val="Master_Plan__(update)"/>
      <sheetName val="The_KPI_"/>
      <sheetName val="Mentor_Plan_"/>
      <sheetName val="Master_Plan_"/>
      <sheetName val="Tier_1_GOV_PC_Networking_"/>
      <sheetName val="Tier_1_LBO_"/>
      <sheetName val="2020_MMR12"/>
      <sheetName val="Razão_Social"/>
      <sheetName val="외상매출금현황-수정분_A21"/>
      <sheetName val="1-2_설계변경요청서(갑지)1"/>
      <sheetName val="첨부1_(주차관제-_당공)1"/>
      <sheetName val="첨부1-1_설계변경내역서(CCTV)1"/>
      <sheetName val="첨부1-2_(주차관제-변공)1"/>
      <sheetName val="2-6_변공량(추가공사)1"/>
      <sheetName val="_2-1_관제(물량산출서집계표)1"/>
      <sheetName val="_2-2_유도(물량산출서집계표)1"/>
      <sheetName val="3-1_주차관제1"/>
      <sheetName val="3-2_주차-광케이블1"/>
      <sheetName val="3-3_층별LPR1"/>
      <sheetName val="4-1_유도-광케이블1"/>
      <sheetName val="4-2_주차키오스크1"/>
      <sheetName val="4-3_4면카메라1"/>
      <sheetName val="4-5_CCTV1"/>
      <sheetName val="4-6_블럭유도등1"/>
      <sheetName val="4-7_입구만차등1"/>
      <sheetName val="4-8_비상벨1"/>
      <sheetName val="1~9_하중계산"/>
      <sheetName val="JT3_0견적-구1"/>
      <sheetName val="Dropbox_목록1"/>
      <sheetName val="경영비율_1"/>
      <sheetName val="07_01"/>
      <sheetName val="수량산출서_(2)"/>
      <sheetName val="2_실행ﶻ"/>
      <sheetName val="NCR_HEC_6_Opens"/>
      <sheetName val="NCR_HEC_4_Open_&amp;_Vendor_2_Opens"/>
      <sheetName val="Mot_So_Thuat_Ngu_EN-VI1"/>
      <sheetName val="Investment_Category"/>
      <sheetName val="3_공통공사대비"/>
      <sheetName val="현장관리비_산출내역"/>
      <sheetName val="무형자산_LS11"/>
      <sheetName val="실행내역서_"/>
      <sheetName val="SRS_월별_BS1"/>
      <sheetName val="평가&amp;선급_미지급1"/>
      <sheetName val="EXC_IND"/>
      <sheetName val="COLOR별_인쇄"/>
      <sheetName val="10_예산_및_원가_계획(02년)"/>
      <sheetName val="Sensitivity_and_GC_Value1"/>
      <sheetName val="2_Consideration_sheet"/>
      <sheetName val="3__Export"/>
      <sheetName val="_x005f_x0000__㴐ኰ"/>
      <sheetName val="_x005f_x0000__움ᕕ"/>
      <sheetName val="방배동내역_(총괄)"/>
      <sheetName val="BSD_(2)"/>
      <sheetName val="NKC_(final)1"/>
      <sheetName val="504전기실Ԁ"/>
      <sheetName val="토공(우물통,기타)_"/>
      <sheetName val="입찰내역_Ԁ"/>
      <sheetName val="총_원가계산"/>
      <sheetName val="첨부1-2__증감사유내역서(을)"/>
      <sheetName val="유효성_목록"/>
      <sheetName val="20년_동일기간_소테마"/>
      <sheetName val="4월_매출"/>
      <sheetName val="1_설계조건"/>
      <sheetName val="1_설계기준"/>
      <sheetName val="6PILE__(剙"/>
      <sheetName val="입찰내역_⊍∀的"/>
      <sheetName val="단독빌딩_총합계본"/>
      <sheetName val="참고3_DATA"/>
      <sheetName val="_Drop"/>
      <sheetName val="3_판관비명세서"/>
      <sheetName val="경계석,골재외_(2)"/>
      <sheetName val="ALK_Chi_tiết_công_nợ"/>
      <sheetName val="CHITIET_VL-NC-TT1p"/>
      <sheetName val="7__2_3"/>
      <sheetName val="Report_Setup2"/>
      <sheetName val="OWNER-1_(2)2"/>
      <sheetName val="고객만족도_향상"/>
      <sheetName val="108_수선비"/>
      <sheetName val="BS준비_XLS"/>
      <sheetName val="BS%EC%A4%80%EB%B9%84_XLS"/>
      <sheetName val="퇴직금추계(04_9_30)"/>
      <sheetName val="1_경제설계"/>
      <sheetName val="경수97_02"/>
      <sheetName val="1995년_섹터별_매출"/>
      <sheetName val="44-2Q_주석_xlsx"/>
      <sheetName val="팀_업체별_월기성실적"/>
      <sheetName val="팀_업체별_시공의뢰"/>
      <sheetName val="A_(3)"/>
      <sheetName val="DL08_DF_모드"/>
      <sheetName val="원지_수급가"/>
      <sheetName val="2_상각보정명세"/>
      <sheetName val="4b_Consolidated_PL"/>
      <sheetName val="TT_List"/>
      <sheetName val="sum_"/>
      <sheetName val="SPT_vs_PHI"/>
      <sheetName val="목차_"/>
      <sheetName val="0__물류비집계_rev1"/>
      <sheetName val="0__물류비_집계"/>
      <sheetName val="(1-2)_국내_구간별_운송_견적_1"/>
      <sheetName val="(1-1)_국내_구간별_운송_실적__(2)"/>
      <sheetName val="(1)_국내_사이트_상세_주소_"/>
      <sheetName val="수입_건수_정리"/>
      <sheetName val="(2-1)_수출_해상_(LCL)_"/>
      <sheetName val="(2-2)_수출_항공_"/>
      <sheetName val="(2-4)_수출_내륙_운송료"/>
      <sheetName val="(3-1)_수입_해상_(FCL)"/>
      <sheetName val="(3-2)_수입_해상_(LCL)_"/>
      <sheetName val="(3-3)_수입_항공_"/>
      <sheetName val="(3-5)_수입_내륙_운송료"/>
      <sheetName val="운송내역_"/>
      <sheetName val="카테고리_분류_(수정X)"/>
      <sheetName val="PH_5"/>
      <sheetName val="bar_chart-rev"/>
      <sheetName val="Insight_MTD_QTD_YTD_DATA"/>
      <sheetName val="Working_(PivotTable)"/>
      <sheetName val="Essbase_(53_Weeks)"/>
      <sheetName val="Essbase_(52_Weeks)"/>
      <sheetName val="Store_Listing"/>
      <sheetName val="COMP_Working"/>
      <sheetName val="COMP_LLY_Working"/>
      <sheetName val="운영경비_세부작성근거"/>
      <sheetName val="완성차_미수금"/>
      <sheetName val="가설전기별첨"/>
      <sheetName val="SAP_Role"/>
      <sheetName val="cctr"/>
      <sheetName val="계정_H100"/>
      <sheetName val="계정_1000"/>
      <sheetName val="계정_7000"/>
      <sheetName val="계정_8000"/>
      <sheetName val="AP_H100"/>
      <sheetName val="AP_1000"/>
      <sheetName val="AP_7000"/>
      <sheetName val="AP_8000"/>
      <sheetName val="KEBHANA(평균환율)"/>
      <sheetName val="SAP 검증(평균환율)"/>
      <sheetName val="KEBHANA(월말환율)"/>
      <sheetName val="SAP 검증(월말환율)"/>
      <sheetName val="환율"/>
      <sheetName val="작성방법"/>
      <sheetName val="전분기말 정산표(PQE)"/>
      <sheetName val="전년동기 정산표"/>
      <sheetName val="전기말 정산표(PYE)"/>
      <sheetName val="당기말 정산표(CPE)"/>
      <sheetName val="회사명"/>
      <sheetName val="목차(Contents)"/>
      <sheetName val="연결정산표"/>
      <sheetName val="범주별"/>
      <sheetName val="A01-1"/>
      <sheetName val="A01-2"/>
      <sheetName val="A01-3"/>
      <sheetName val="A01-3 조정내역"/>
      <sheetName val="A01-3 단순합산"/>
      <sheetName val="현금등"/>
      <sheetName val="A02-1"/>
      <sheetName val="A02-2"/>
      <sheetName val="CF_refer"/>
      <sheetName val="매출채권 및 금융자산"/>
      <sheetName val="A03-1"/>
      <sheetName val="A03-2"/>
      <sheetName val="A03-3"/>
      <sheetName val="A03-3 연결조정"/>
      <sheetName val="A04-1"/>
      <sheetName val="A04-2"/>
      <sheetName val="A04-3"/>
      <sheetName val="A04-4"/>
      <sheetName val="재고"/>
      <sheetName val="A05"/>
      <sheetName val="기타자산"/>
      <sheetName val="A06"/>
      <sheetName val="유형자산"/>
      <sheetName val="A07"/>
      <sheetName val="A07. 유형자산 차기이월, 미실현"/>
      <sheetName val="A07. 유형자산 감가상각"/>
      <sheetName val="A08"/>
      <sheetName val="A08. 연결 조정"/>
      <sheetName val="A09"/>
      <sheetName val="A09. 연결 조정"/>
      <sheetName val="A10"/>
      <sheetName val="A11"/>
      <sheetName val="차입금(완)"/>
      <sheetName val="B01-1"/>
      <sheetName val="B01-2"/>
      <sheetName val="B01-3"/>
      <sheetName val="B01-4"/>
      <sheetName val="B02"/>
      <sheetName val="B03"/>
      <sheetName val="B01 연결 조정"/>
      <sheetName val="순확정급여부채"/>
      <sheetName val="B04"/>
      <sheetName val="B04-1"/>
      <sheetName val="B04 연결 조정"/>
      <sheetName val="충당,계약부채"/>
      <sheetName val="B05 연결 조정"/>
      <sheetName val="B06"/>
      <sheetName val="납입자본(연결자본변동표 참조 작성)"/>
      <sheetName val="이익잉여금(연결자본변동표 참조 작성)"/>
      <sheetName val="기타포괄손익누계액(연결자본변동표 참조 작성)"/>
      <sheetName val="C01(신)"/>
      <sheetName val="C01(구)"/>
      <sheetName val="C02"/>
      <sheetName val="비용의성격"/>
      <sheetName val="D01-1"/>
      <sheetName val="D01-2"/>
      <sheetName val="D01 연결 조정"/>
      <sheetName val="판관비기타금융"/>
      <sheetName val="D02"/>
      <sheetName val="E01"/>
      <sheetName val="E02"/>
      <sheetName val="F01"/>
      <sheetName val="주당손익(개별파일 작성)"/>
      <sheetName val="우발약정"/>
      <sheetName val="G01"/>
      <sheetName val="G02"/>
      <sheetName val="G03"/>
      <sheetName val="G04"/>
      <sheetName val="특관자"/>
      <sheetName val="H01"/>
      <sheetName val="H02"/>
      <sheetName val="H03"/>
      <sheetName val="H04"/>
      <sheetName val="H05"/>
      <sheetName val="H06"/>
      <sheetName val="위험관리"/>
      <sheetName val="I01"/>
      <sheetName val="I02"/>
      <sheetName val="I03"/>
      <sheetName val="I04-1"/>
      <sheetName val="I04-2(내부거래)"/>
      <sheetName val="I04-3(내부거래)"/>
      <sheetName val="I04-4(내부거래)"/>
      <sheetName val="I04-5(장기리스)"/>
      <sheetName val="I05"/>
      <sheetName val="I06"/>
      <sheetName val="J01"/>
      <sheetName val="J01-1"/>
      <sheetName val="K01"/>
      <sheetName val="K02"/>
      <sheetName val="K03"/>
      <sheetName val="K03-1"/>
      <sheetName val="K04"/>
      <sheetName val="Name"/>
      <sheetName val="CIP"/>
      <sheetName val="Essbase"/>
      <sheetName val="철거공사1"/>
      <sheetName val="제조원가_원단ၒ_x0000__x0000__x0000_"/>
      <sheetName val="제조원가_원단_x0000_좏_x0000__x0000_"/>
      <sheetName val="제조원가_원단_x0000_泀_x0000__x0000_"/>
      <sheetName val="제조원가_원단_x0010__x0000_༘֜"/>
      <sheetName val="제조원가_원단_x0000_ī_x0000_"/>
      <sheetName val="3_ReasonCode"/>
      <sheetName val="_손익기01.XL_x005f_x0000__x005f_x005f_x0"/>
      <sheetName val="pp"/>
      <sheetName val="Data_validation9"/>
      <sheetName val="Admin"/>
      <sheetName val="KPIs- TTP, PTP, People Turnover"/>
      <sheetName val="部门"/>
      <sheetName val="1월 목표"/>
      <sheetName val="FILIAL MINAS"/>
      <sheetName val="info for drop box"/>
      <sheetName val="[손익기01_XL_x0000__x0000_DePara10"/>
      <sheetName val="_손익기01_XL_x0000__x0000_DePara10"/>
      <sheetName val="_손익기01_XL_x0000__x05"/>
      <sheetName val="_손익기01_XL_x005f_x0000__x7"/>
      <sheetName val="POCM 배송지"/>
      <sheetName val="IT_CHNG_01-K"/>
      <sheetName val="IPE"/>
      <sheetName val="GBP_BODS"/>
      <sheetName val="GFP_CFIN"/>
      <sheetName val="GDP_MDG"/>
      <sheetName val="GUP_SLT"/>
      <sheetName val="GAP_SOL"/>
      <sheetName val="GXP_PO"/>
      <sheetName val="%_Automation_Analysis_Business"/>
      <sheetName val="Curvas"/>
      <sheetName val="BD_Geral"/>
      <sheetName val="Produtos_e_Custos1"/>
      <sheetName val="EE"/>
      <sheetName val="BD_-_Realizado1"/>
      <sheetName val="Cadastro_de_Veículos1"/>
      <sheetName val="Sispec"/>
      <sheetName val="公式页面"/>
      <sheetName val="CC"/>
      <sheetName val="데이터 유효성 목록"/>
      <sheetName val="Mapping "/>
      <sheetName val="WS DB"/>
      <sheetName val="Region "/>
      <sheetName val="SKU DB"/>
      <sheetName val="SKU信息"/>
      <sheetName val="销售项费用项"/>
      <sheetName val="陈列描述"/>
      <sheetName val="大组压仓"/>
      <sheetName val="CPR用Rate&amp;Mix"/>
      <sheetName val="Pivot"/>
      <sheetName val="TO_Data_Base22"/>
      <sheetName val="YTD_Summary21"/>
      <sheetName val="Month_Summary21"/>
      <sheetName val="Trial_Balance_MAY_200921"/>
      <sheetName val="TB_Pivot21"/>
      <sheetName val="total_per_LB_LB221"/>
      <sheetName val="Trial_Balance_Vlookup21"/>
      <sheetName val="Trial_Balance_APRIL_200921"/>
      <sheetName val="Roll_Out_AQ21"/>
      <sheetName val="Evolução_mandamentos21"/>
      <sheetName val="Planilha_resultados20"/>
      <sheetName val="Historico_200320"/>
      <sheetName val="Sig_Cycles_Accts_&amp;_Processes20"/>
      <sheetName val="Fixed_ZBB14"/>
      <sheetName val="E_法规NC14"/>
      <sheetName val="3_ISo_YTD14"/>
      <sheetName val="Données_LMU14"/>
      <sheetName val="Brazil_Sovereign14"/>
      <sheetName val="Resumen_Costo14"/>
      <sheetName val="Extract_Loss14"/>
      <sheetName val="QA_跟踪记录表14"/>
      <sheetName val="5_114"/>
      <sheetName val="Base_de_Dados14"/>
      <sheetName val="Como_Estamos14"/>
      <sheetName val="Controls_data16"/>
      <sheetName val="RG_Depots14"/>
      <sheetName val="material_data14"/>
      <sheetName val="other_data14"/>
      <sheetName val="Database_(RUR)Mar_YTD14"/>
      <sheetName val="SKU_Mapping14"/>
      <sheetName val="Drop_Down14"/>
      <sheetName val="Raw_Data14"/>
      <sheetName val="EBM-2_GHQ14"/>
      <sheetName val="Base_PEF15"/>
      <sheetName val="Testing_Template_Guidance14"/>
      <sheetName val="Test_Programs14"/>
      <sheetName val="Dados_BLP14"/>
      <sheetName val="FJJX_Bud_IB13"/>
      <sheetName val="JOB_PROFILE_-_LAS14"/>
      <sheetName val="ARdistr_(2)14"/>
      <sheetName val="look-up_data13"/>
      <sheetName val="Prd_Hierarchy(产品层级)13"/>
      <sheetName val="Com_(2PK)13"/>
      <sheetName val="Project_Code13"/>
      <sheetName val="요일_테이블14"/>
      <sheetName val="요일_테이블_(2)13"/>
      <sheetName val="Prd_Hierarchy(产品层次)13"/>
      <sheetName val="전사_PL15"/>
      <sheetName val="자금_제외_PL15"/>
      <sheetName val="자금_PL15"/>
      <sheetName val="전사_BS15"/>
      <sheetName val="자금_제외_BS15"/>
      <sheetName val="자금_BS15"/>
      <sheetName val="BS_계정_설명15"/>
      <sheetName val="_Cash_Flow(전사)15"/>
      <sheetName val="_Cash_Flow(자금제외)15"/>
      <sheetName val="_Cash_Flow(자금)15"/>
      <sheetName val="ROIC_15"/>
      <sheetName val="인건비_명세15"/>
      <sheetName val="판관비_명세15"/>
      <sheetName val="OH_Cost경비(내역)15"/>
      <sheetName val="OH_Cost경비(배부기준)15"/>
      <sheetName val="기타수지&amp;특별손익_명세15"/>
      <sheetName val="업무연락_(2)14"/>
      <sheetName val="제시_손익계산서14"/>
      <sheetName val="01_02월_성과급15"/>
      <sheetName val="M_7회차_담금_계획14"/>
      <sheetName val="팀별_실적14"/>
      <sheetName val="팀별_실적_(환산)14"/>
      <sheetName val="4__Inj_투자상세내역14"/>
      <sheetName val="3__Blow_투자_상세내역14"/>
      <sheetName val="Process_List14"/>
      <sheetName val="7_(2)14"/>
      <sheetName val="_손익기01_XL13"/>
      <sheetName val="Income_Stmt13"/>
      <sheetName val="drop_down_list13"/>
      <sheetName val="[손익기01_XL_x005f_x0000__x005f_x0000_DePara13"/>
      <sheetName val="Quarterly_LBO_Model13"/>
      <sheetName val="Figures_Report12"/>
      <sheetName val="[손익기01_XL13"/>
      <sheetName val="_손익기01_XL_x005f_x0000__x005f_x0000_DePara13"/>
      <sheetName val="Fare_prices12"/>
      <sheetName val="Hotel_prices12"/>
      <sheetName val="Set_Up13"/>
      <sheetName val="15년_BL_사계13"/>
      <sheetName val="1_종합손익(도급)13"/>
      <sheetName val="1_종합손익(주택,개발)13"/>
      <sheetName val="2_실행예산13"/>
      <sheetName val="2_2과부족13"/>
      <sheetName val="2_3원가절감13"/>
      <sheetName val="8_외주비집행현황13"/>
      <sheetName val="9_자재비13"/>
      <sheetName val="10_현장집행13"/>
      <sheetName val="3_추가원가13"/>
      <sheetName val="3_추가원가_(2)13"/>
      <sheetName val="4_사전공사13"/>
      <sheetName val="5_추정공사비13"/>
      <sheetName val="6_금융비용13"/>
      <sheetName val="7_공사비집행현황(총괄)13"/>
      <sheetName val="11_1생산성13"/>
      <sheetName val="11_2인원산출13"/>
      <sheetName val="Classification_分类12"/>
      <sheetName val="tab_STATUS_DO_PROCESSO_12"/>
      <sheetName val="Perf__Plan__Diário112"/>
      <sheetName val="In_(2)12"/>
      <sheetName val="__한국_AMP_ASP-23_판매가격__12"/>
      <sheetName val="CC_Down_load_071612"/>
      <sheetName val="변경실행(2차)_12"/>
      <sheetName val="나_출고12"/>
      <sheetName val="나_입고12"/>
      <sheetName val="09년_인건비(속리산)12"/>
      <sheetName val="합산목표(감가+57_5)12"/>
      <sheetName val="제조원가_원단위_분석12"/>
      <sheetName val="종합표양식(품의_&amp;_입고)_212"/>
      <sheetName val="원가관리_(동월대비)12"/>
      <sheetName val="b_balju_(2)12"/>
      <sheetName val="2-2_매출분석12"/>
      <sheetName val="몰드시스템_리스트12"/>
      <sheetName val="11_외화채무증권(AFS,HTM)0812"/>
      <sheetName val="13_감액TEST_0812"/>
      <sheetName val="12년_CF(9월)12"/>
      <sheetName val="중기조종사_단위단가12"/>
      <sheetName val="6PILE__(돌출)12"/>
      <sheetName val="기성청구_공문12"/>
      <sheetName val="Sheet1_(2)12"/>
      <sheetName val="CLASIFICACION_DE_AI12"/>
      <sheetName val="Base_da_Datos12"/>
      <sheetName val="slide_24_cat_A12"/>
      <sheetName val="slide_82_cat_b12"/>
      <sheetName val="Dados_dos_Produtos12"/>
      <sheetName val="09~10년_매출계획12"/>
      <sheetName val="1_MDF1공장12"/>
      <sheetName val="Incident_유형구분표12"/>
      <sheetName val="3YP2016-Bottom_up11"/>
      <sheetName val="DD_list12"/>
      <sheetName val="Base_de_Datos11"/>
      <sheetName val="Clasif_11"/>
      <sheetName val="Supply_Cost_Centers11"/>
      <sheetName val="Cond__Inseguros11"/>
      <sheetName val="Comp__Inseguros11"/>
      <sheetName val="Lista_de_datos11"/>
      <sheetName val="MASTER_APP11"/>
      <sheetName val="2_카드채권(대출포함)11"/>
      <sheetName val="表21_净利润调节表11"/>
      <sheetName val="Lista_CI11"/>
      <sheetName val="Dashboard_Prevención_Riesgos_10"/>
      <sheetName val="TOP_KPIs_MTM10"/>
      <sheetName val="PLAN_DE_ACCION10"/>
      <sheetName val="Faro_de_Indicadores10"/>
      <sheetName val="Farol_Acciones11"/>
      <sheetName val="Lista_de_Entrenamientos11"/>
      <sheetName val="Unidades_SAC-REVENDA12"/>
      <sheetName val="FornecM_Check10"/>
      <sheetName val="Share_Price_200211"/>
      <sheetName val="_DD_List11"/>
      <sheetName val="BEP_加薪_KPI10"/>
      <sheetName val="Estratificación_AI10"/>
      <sheetName val="condicion_inseguras10"/>
      <sheetName val="Actos_Inseguros10"/>
      <sheetName val="Control_de_incidentes10"/>
      <sheetName val="Plan_de_Acción10"/>
      <sheetName val="Issues_List_Payments10"/>
      <sheetName val="do_not_delete10"/>
      <sheetName val="Grafica_Actos10"/>
      <sheetName val="APAC_S10"/>
      <sheetName val="APAC_N10"/>
      <sheetName val="Slide_output10"/>
      <sheetName val="[손익기01_XL??DePara10"/>
      <sheetName val="Farol_Metas10"/>
      <sheetName val="Mod_Relac_10"/>
      <sheetName val="Condiciones_SyE10"/>
      <sheetName val="REALxMETA_-_CERVEJA12"/>
      <sheetName val="REALxMETA_-_REFRI12"/>
      <sheetName val="Directrices_de_Metas_201710"/>
      <sheetName val="Data_validation10"/>
      <sheetName val="_손익기01_XL_x005f_x005f_x005f_x0000__x005f_x005f_10"/>
      <sheetName val="Hazards_Analysis-隐患分析10"/>
      <sheetName val="F08_-_Asia_Pac_Full_Year_Q311"/>
      <sheetName val="Top_Priorities11"/>
      <sheetName val="Listco_Stock11"/>
      <sheetName val="Intl_Purchase11"/>
      <sheetName val="FY_outlook11"/>
      <sheetName val="CY_outlook11"/>
      <sheetName val="Cash_metrics11"/>
      <sheetName val="P6_711"/>
      <sheetName val="DATOS_BASE10"/>
      <sheetName val="97_사업추정(WEKI)10"/>
      <sheetName val="Tong_hop10"/>
      <sheetName val="95_1_1이후취득자산(숨기기상태)10"/>
      <sheetName val="sum1_(2)10"/>
      <sheetName val="3_바닥판설계10"/>
      <sheetName val="6월_공정외주10"/>
      <sheetName val="2_대외공문10"/>
      <sheetName val="2_총괄표10"/>
      <sheetName val="입출재고현황_(2)10"/>
      <sheetName val="504전기실_동부하-L10"/>
      <sheetName val="OUTER_AREA(겹침없음)10"/>
      <sheetName val="EL_표면적10"/>
      <sheetName val="TRE_TABLE10"/>
      <sheetName val="입찰내역_발주처_양식10"/>
      <sheetName val="POC_LIST10"/>
      <sheetName val="turnover_reason퇴직사유10"/>
      <sheetName val="SKU_Basic_Data10"/>
      <sheetName val="Entity_Target10"/>
      <sheetName val="DETALLE_MENSUAL10"/>
      <sheetName val="Drop-down_List9"/>
      <sheetName val="by_DD9"/>
      <sheetName val="VALIDACION_DE_DATOS9"/>
      <sheetName val="Jul-Sep_Actual_cost_(2)9"/>
      <sheetName val="Check_Qualidade8"/>
      <sheetName val="De_Para9"/>
      <sheetName val="Check_Aderencia8"/>
      <sheetName val="_손익기01_XL_x005f_x0000__x08"/>
      <sheetName val="부재료_비교(11년_vs_10년)8"/>
      <sheetName val="Base_Farol8"/>
      <sheetName val="Gerencial_IL8"/>
      <sheetName val="Ventas_Campo8"/>
      <sheetName val="ACTOS_POR_RIESGO8"/>
      <sheetName val="drop_lists8"/>
      <sheetName val="MRL_NON_SUPPLY_URU8"/>
      <sheetName val="AIIM_-_Empresas_Ext_20128"/>
      <sheetName val="KPIs_Hana8"/>
      <sheetName val="Catalago_de_refacciones_8"/>
      <sheetName val="Existencias_al_07-Nov-20128"/>
      <sheetName val="Check_GG8"/>
      <sheetName val="Sheet3_(2)8"/>
      <sheetName val="Nombre_de_SOP8"/>
      <sheetName val="Lao_&amp;_Cam8"/>
      <sheetName val="Hoegaarden_20198"/>
      <sheetName val="Lao_&amp;_Cam_20198"/>
      <sheetName val="Malaysia_20198"/>
      <sheetName val="Singapore_20198"/>
      <sheetName val="Sheet2_(2)8"/>
      <sheetName val="요일_테이블_8"/>
      <sheetName val="Other_Listings8"/>
      <sheetName val="2__Indicadores8"/>
      <sheetName val="Ta_8"/>
      <sheetName val="Lista_de_Entrenamientos_RSO8"/>
      <sheetName val="Tablero_SDG11"/>
      <sheetName val="Lista_Areas11"/>
      <sheetName val="One_Page11"/>
      <sheetName val="Sub-Productos_HN9"/>
      <sheetName val="Eficiencia_linea8"/>
      <sheetName val="_mngt_Pillar8"/>
      <sheetName val="Pauta_RPS_Distribuição7"/>
      <sheetName val="Estoque_(2)7"/>
      <sheetName val="BNR_2012_в_ящике7"/>
      <sheetName val="Comp_Inseguros7"/>
      <sheetName val="DO_NOT_MOVE7"/>
      <sheetName val="DATOS_DE_VALIDACIÓN7"/>
      <sheetName val="Datos_con7"/>
      <sheetName val="_Datos_Cond_7"/>
      <sheetName val="INGRESO_(2)7"/>
      <sheetName val="PG-K1610_(UEN_Areas)MNG7"/>
      <sheetName val="DATOS_GEN_7"/>
      <sheetName val="NUEVOS_CRITERIOS7"/>
      <sheetName val="Condiciones_Agua7"/>
      <sheetName val="__한국_AMP_ASP-23_판㧤가격__6"/>
      <sheetName val="11_䡸화채무줝ⴌ(AFS,HTM)086"/>
      <sheetName val="Drop_list6"/>
      <sheetName val="FX_Rates6"/>
      <sheetName val="Dropdown_list6"/>
      <sheetName val="Vagas_x_Candidatos6"/>
      <sheetName val="Proced_6"/>
      <sheetName val="Cut_Machine_Summary6"/>
      <sheetName val="Control_de_Fallas6"/>
      <sheetName val="Setup_for_Templates6"/>
      <sheetName val="Datos_emp6"/>
      <sheetName val="Validation_lists6"/>
      <sheetName val="TIPO_DE_ACTO6"/>
      <sheetName val="CRITICIDAD_DE_CI6"/>
      <sheetName val="Catálogo_de_CI6"/>
      <sheetName val="%_CUMPLIMIENTO6"/>
      <sheetName val="%_cumplimiento_6"/>
      <sheetName val="CALIFICACIONES_20194"/>
      <sheetName val="Lev_4_360_deg_check_Crit_Task4"/>
      <sheetName val="Lev_4_Chk_IC_Stock_Crit_Task4"/>
      <sheetName val="Lev_4_WMS_Putaway_Crit_Task4"/>
      <sheetName val="Listas_y_equipos_a_evaluar6"/>
      <sheetName val="Data_Reporte6"/>
      <sheetName val="Read_me6"/>
      <sheetName val="NAZ_Strategy4"/>
      <sheetName val="Champions_List5"/>
      <sheetName val="Daily_Dashboard6"/>
      <sheetName val="Mapeo_SKUs6"/>
      <sheetName val="Vol_(Ds)6"/>
      <sheetName val="Vol_(Ka)6"/>
      <sheetName val="Vol_(Oth)6"/>
      <sheetName val="Vol_(Oth)_Cortesias6"/>
      <sheetName val="INPUT-Cust_Sugg_Margin(Ds)6"/>
      <sheetName val="On_Invoice6"/>
      <sheetName val="INPUT-Cust_Sugg_Margin(Ka)6"/>
      <sheetName val="INPUT_SKUs6"/>
      <sheetName val="Brand_P&amp;L4"/>
      <sheetName val="SUPERMONT_P4"/>
      <sheetName val="Data_selection4"/>
      <sheetName val="1_4"/>
      <sheetName val="Customer_&amp;_SO4"/>
      <sheetName val="Session_Proposal4"/>
      <sheetName val="Análise_Tempos3"/>
      <sheetName val="Incentivo_Automóvil3"/>
      <sheetName val="Dropdown_Menu2"/>
      <sheetName val="PDA_BOP3"/>
      <sheetName val="Validação_de_Dados3"/>
      <sheetName val="No_llenar_3"/>
      <sheetName val="PROCESS_MD3"/>
      <sheetName val="Lista_de_Motivos3"/>
      <sheetName val="Ponto_Crítico_-_Resp__Plano3"/>
      <sheetName val="Lista_Funcionários_(2)3"/>
      <sheetName val="PAINEL_RECOLHA_CRÉDITO3"/>
      <sheetName val="Gráficos_-_CDD3"/>
      <sheetName val="Project_List2"/>
      <sheetName val="Выпадающие_списки2"/>
      <sheetName val="SOP_Freshness1"/>
      <sheetName val="Dimension_IN_Sheet1!D19121"/>
      <sheetName val="Dimension_IN_19121"/>
      <sheetName val="辅助表格"/>
      <sheetName val="10 麦汁CIP清洗标准水量"/>
      <sheetName val="BU"/>
      <sheetName val="Tipo Viaje"/>
      <sheetName val="Flota y Personal"/>
      <sheetName val="_손익기01_XL_x0000__x4"/>
      <sheetName val="_손익기01_XL_x0000__x5"/>
      <sheetName val="_손익기01_XL_x0000__x6"/>
      <sheetName val="_손익기01_XL_x0000__x7"/>
      <sheetName val="SAP info"/>
      <sheetName val="Target Book"/>
      <sheetName val="后台"/>
      <sheetName val="AL来源"/>
      <sheetName val="Name List"/>
      <sheetName val="Ref_New Contract Model"/>
      <sheetName val="Dec"/>
      <sheetName val="리스트용"/>
      <sheetName val="Mapeo_SKUs7"/>
      <sheetName val="Vol_(Ds)7"/>
      <sheetName val="Vol_(Ka)7"/>
      <sheetName val="Vol_(Oth)7"/>
      <sheetName val="Vol_(Oth)_Cortesias7"/>
      <sheetName val="INPUT-Cust_Sugg_Margin(Ds)7"/>
      <sheetName val="On_Invoice7"/>
      <sheetName val="INPUT-Cust_Sugg_Margin(Ka)7"/>
      <sheetName val="INPUT_SKUs7"/>
      <sheetName val="SUPERMONT_P5"/>
      <sheetName val="3__Training_&amp;_travel2"/>
      <sheetName val="3__Training_&amp;_travel1"/>
      <sheetName val="Mapeo_SKUs8"/>
      <sheetName val="Vol_(Ds)8"/>
      <sheetName val="Vol_(Ka)8"/>
      <sheetName val="Vol_(Oth)8"/>
      <sheetName val="Vol_(Oth)_Cortesias8"/>
      <sheetName val="INPUT-Cust_Sugg_Margin(Ds)8"/>
      <sheetName val="On_Invoice8"/>
      <sheetName val="INPUT-Cust_Sugg_Margin(Ka)8"/>
      <sheetName val="INPUT_SKUs8"/>
      <sheetName val="Brand_P&amp;L5"/>
      <sheetName val="SUPERMONT_P6"/>
      <sheetName val="3__Training_&amp;_travel3"/>
      <sheetName val="DIAGEO VENTURE"/>
      <sheetName val="Mapeo_SKUs9"/>
      <sheetName val="Vol_(Ds)9"/>
      <sheetName val="Vol_(Ka)9"/>
      <sheetName val="Vol_(Oth)9"/>
      <sheetName val="Vol_(Oth)_Cortesias9"/>
      <sheetName val="INPUT-Cust_Sugg_Margin(Ds)9"/>
      <sheetName val="On_Invoice9"/>
      <sheetName val="INPUT-Cust_Sugg_Margin(Ka)9"/>
      <sheetName val="INPUT_SKUs9"/>
      <sheetName val="Brand_P&amp;L6"/>
      <sheetName val="SUPERMONT_P7"/>
      <sheetName val="Data_selection5"/>
      <sheetName val="1_5"/>
      <sheetName val="3__Training_&amp;_travel4"/>
      <sheetName val="MAESTRO CODIGOS"/>
      <sheetName val="Por regional"/>
      <sheetName val="Por Proveedor"/>
      <sheetName val="X Categoria"/>
      <sheetName val="Por Vendedor"/>
      <sheetName val="Por Mayoristas"/>
      <sheetName val="Por Cliente"/>
      <sheetName val="Por producto"/>
      <sheetName val="Por producto cant."/>
      <sheetName val="Por producto cant. (2)"/>
      <sheetName val="Por Vendedor X Ciudad"/>
      <sheetName val="Act por cliente"/>
      <sheetName val="Act por Proveedor"/>
      <sheetName val="Act por producto"/>
      <sheetName val="토지조서(원본)"/>
      <sheetName val="4Q주석"/>
      <sheetName val="T13(P68~72,78)"/>
      <sheetName val="책임준비금"/>
      <sheetName val="예산관리대장"/>
      <sheetName val="Xunit (단위환산)"/>
      <sheetName val="기준표"/>
      <sheetName val="inter"/>
      <sheetName val="UPA(Part C,D,E,G,H)"/>
      <sheetName val="UPA(Part F)"/>
      <sheetName val="Materials"/>
      <sheetName val="일위대가 (Part C,D,E,G,H)"/>
      <sheetName val="Insulation_Utl_Off"/>
      <sheetName val="Note_Piping"/>
      <sheetName val="실행"/>
      <sheetName val="1_종합손익(주택,绘ÿ헾⽊"/>
      <sheetName val="504전기실__x0000_Ԁ_x0000_"/>
      <sheetName val="504전기실__x0000_Ԁ_x0000_က"/>
      <sheetName val="표준공사비-조명제외x10%up"/>
      <sheetName val="anaysis_sheet"/>
      <sheetName val="주관사업"/>
      <sheetName val="영업보증금"/>
      <sheetName val="GL"/>
      <sheetName val="2003FX"/>
      <sheetName val="#88"/>
      <sheetName val="#10"/>
      <sheetName val="#100"/>
      <sheetName val="#101"/>
      <sheetName val="#102"/>
      <sheetName val="#103"/>
      <sheetName val="#104"/>
      <sheetName val="#105"/>
      <sheetName val="#106"/>
      <sheetName val="#107"/>
      <sheetName val="#108"/>
      <sheetName val="#11"/>
      <sheetName val="#21"/>
      <sheetName val="#22"/>
      <sheetName val="#95"/>
      <sheetName val="#60"/>
      <sheetName val="#61"/>
      <sheetName val="#62"/>
      <sheetName val="#63"/>
      <sheetName val="#64"/>
      <sheetName val="#65"/>
      <sheetName val="#70"/>
      <sheetName val="#71"/>
      <sheetName val="#72"/>
      <sheetName val="#73"/>
      <sheetName val="#74"/>
      <sheetName val="#75"/>
      <sheetName val="#76"/>
      <sheetName val="#77"/>
      <sheetName val="#82"/>
      <sheetName val="#83"/>
      <sheetName val="#84"/>
      <sheetName val="#87"/>
      <sheetName val="#90"/>
      <sheetName val="#91"/>
      <sheetName val="#92"/>
      <sheetName val="#93"/>
      <sheetName val="#94"/>
      <sheetName val="#98"/>
      <sheetName val="암거날개벽"/>
      <sheetName val="Process Li"/>
      <sheetName val="합산목표(감가+5"/>
      <sheetName val="MTP1"/>
      <sheetName val="북마크"/>
      <sheetName val="금액집계(리포트)"/>
      <sheetName val="HERO01"/>
      <sheetName val="인건비"/>
      <sheetName val="04_4월말_합병시_지분변동차액"/>
      <sheetName val="2007"/>
      <sheetName val="연간점유"/>
      <sheetName val="업무계획1"/>
      <sheetName val="입찰내역 "/>
      <sheetName val="예산입력방법"/>
      <sheetName val="예산간사조직표"/>
      <sheetName val="특수,항공 부서코드표"/>
      <sheetName val="본부별예산편성총괄표"/>
      <sheetName val="집행부서별예산계획표"/>
      <sheetName val="집행부서별예산산출내역표"/>
      <sheetName val="본부별인원인건비총괄표"/>
      <sheetName val="부서별인원인건비계획"/>
      <sheetName val="용역인원인건비계획"/>
      <sheetName val="예산조정신청서 양식"/>
      <sheetName val="96예산신청을 위한 양식및 공문"/>
      <sheetName val="특수,항공_부서코드표"/>
      <sheetName val="예산조정신청서_양식"/>
      <sheetName val="96예산신청을_위한_양식및_공문"/>
      <sheetName val="세계수요종합OK"/>
      <sheetName val="사양조정"/>
      <sheetName val="투입분"/>
      <sheetName val="LASER"/>
      <sheetName val="PLASMA"/>
      <sheetName val="96예산신청을%20위한%20양식및%20공문.XLS"/>
      <sheetName val="96%EC%98%88%EC%82%B0%EC%8B%A0%E"/>
      <sheetName val="특수,항공_부서코드표1"/>
      <sheetName val="예산조정신청서_양식1"/>
      <sheetName val="96예산신청을_위한_양식및_공문1"/>
      <sheetName val="96예산신청을%20위한%20양식및%20공문_XLS"/>
      <sheetName val="특수,항공_부서코드표2"/>
      <sheetName val="예산조정신청서_양식2"/>
      <sheetName val="96예산신청을_위한_양식및_공문2"/>
      <sheetName val="_x005f_x005f_x005f_x0018_"/>
      <sheetName val="입찰내역 Ĉ_x005f_x0000__x005f_x0000_ᇆ"/>
      <sheetName val="입찰내역 Ĉ_x005f_x0000__x005f_x0000_ᇆ"/>
      <sheetName val="_x005f_x005f_x005f_x005f_x005f_x005f_x005f_x0000__x005f"/>
      <sheetName val="Noncurrent assets"/>
      <sheetName val="2장(1사업부)ERP"/>
      <sheetName val="유림콘도"/>
      <sheetName val="경영혁신본부"/>
      <sheetName val="504전기실_Ç"/>
      <sheetName val="견적 (2)"/>
      <sheetName val="▶ 일일출역 집계_20210819143316"/>
      <sheetName val="Ⅴ-2.공종별내역"/>
      <sheetName val="ITB COST"/>
      <sheetName val="Quantity"/>
      <sheetName val="장비명"/>
      <sheetName val="Ext. Stone-P"/>
      <sheetName val="Process Li 鸴"/>
      <sheetName val="DRUM"/>
      <sheetName val="L형옹벽"/>
      <sheetName val="물가정보"/>
      <sheetName val="정부노임"/>
      <sheetName val="입찰내역"/>
      <sheetName val="돈암사업"/>
      <sheetName val="직종부호"/>
      <sheetName val="Salary(해외)"/>
      <sheetName val="OH_Cost경비(배부呸2닑"/>
      <sheetName val="ENE-CAL"/>
      <sheetName val="제임스짐 예상매출 for 2023B"/>
      <sheetName val="97노임단가"/>
      <sheetName val="입력란"/>
      <sheetName val="자료입력"/>
      <sheetName val="sum_x0008__x0000_ _x0000__x0006__x0000_"/>
      <sheetName val="슬래?"/>
      <sheetName val="_x005f_x0000__x005f"/>
      <sheetName val="[손익기01_XL_x0000__x0000_DePara11"/>
      <sheetName val="_손익기01_XL_x0000__x0000_DePara11"/>
      <sheetName val="_손익기01_XL_x0000__x06"/>
      <sheetName val="_x0000___x0000__x0000__x0005__x0000_㴐ኰ"/>
      <sheetName val="_x0000___x0000__x0000__x0005__x0000_움ᕕ"/>
      <sheetName val="_x005f_x005f_x005f_x0018__x005f"/>
      <sheetName val="단양 00 아파트-세부내역"/>
      <sheetName val="수량이동"/>
      <sheetName val="Rate Analysis"/>
      <sheetName val="EE-PROP"/>
      <sheetName val="집계표(OPTION)"/>
      <sheetName val="일위"/>
      <sheetName val="Act vs. budget"/>
      <sheetName val="화기9901매출"/>
      <sheetName val="a.연결정리"/>
      <sheetName val="loading"/>
      <sheetName val="2014"/>
      <sheetName val="2018"/>
      <sheetName val="선택옵션"/>
      <sheetName val="옵션"/>
      <sheetName val="CriteriaUpdate"/>
      <sheetName val="주간남10대순위1"/>
      <sheetName val="주간여30대순위1"/>
      <sheetName val="건강_미결"/>
      <sheetName val="제조원가_원단"/>
      <sheetName val="제조원가_원단_x0010_"/>
      <sheetName val="CO"/>
      <sheetName val="@공통코드"/>
      <sheetName val="매출내역"/>
      <sheetName val="방법론선택및업로드"/>
      <sheetName val="건축개요_"/>
      <sheetName val="07~08 PL"/>
      <sheetName val="본사공가현황"/>
      <sheetName val="argl(1)"/>
      <sheetName val="表21_净利润釘×㜀࠷"/>
      <sheetName val="2담당0113"/>
      <sheetName val="1담당0113"/>
      <sheetName val="ASALTOTA"/>
      <sheetName val="국민연금"/>
      <sheetName val="추정99"/>
      <sheetName val="기준정보"/>
      <sheetName val="기성및원가"/>
      <sheetName val="Cash2"/>
      <sheetName val="Z"/>
      <sheetName val="major"/>
      <sheetName val="제조원가_원단_x0000_ǻ_x0000_"/>
      <sheetName val="원형1호맨홀토공수량"/>
      <sheetName val="시공비2"/>
      <sheetName val="DOOR"/>
      <sheetName val="STEEL"/>
      <sheetName val="비교표"/>
      <sheetName val="예산표 "/>
      <sheetName val="시공비"/>
      <sheetName val="M-UP"/>
      <sheetName val="상주비"/>
      <sheetName val="특수"/>
      <sheetName val="GLASS"/>
      <sheetName val="GRANITE"/>
      <sheetName val="PAINT (2)"/>
      <sheetName val="VOLUMN"/>
      <sheetName val="물량표 (2)"/>
      <sheetName val="MOCK-UP"/>
      <sheetName val="종합표양식(품의좲_xdd02_쒥⠀쮎_x001d__x0000__x0000_"/>
      <sheetName val="G2설비도급"/>
      <sheetName val="일위목차"/>
      <sheetName val="SS215065"/>
      <sheetName val="제주환경순환센터"/>
      <sheetName val="참고(3)고정비"/>
      <sheetName val="Requirement(Work Crew)"/>
      <sheetName val="B"/>
      <sheetName val="COVER-P"/>
      <sheetName val="member design"/>
      <sheetName val="design criteria"/>
      <sheetName val="working load at the btm ft."/>
      <sheetName val="plan&amp;section of foundation"/>
      <sheetName val="8호선 원가 투입내역"/>
      <sheetName val="CAL1"/>
      <sheetName val="0226"/>
      <sheetName val="database"/>
      <sheetName val="7_공사비집_x0000_跇˜_x0000__x0000__x0000_Ā_x0000_"/>
      <sheetName val="통က"/>
      <sheetName val="1) MALL"/>
      <sheetName val="TTL"/>
      <sheetName val="DHEQSUPT"/>
      <sheetName val="6PILE__(돌출_x0000_"/>
      <sheetName val="96보완계획7.12"/>
      <sheetName val="_REF"/>
      <sheetName val="H.P견적(참조)"/>
      <sheetName val="공사예산하조서(O.K)"/>
      <sheetName val="DESBAST"/>
      <sheetName val="ACTIVITY CODE &amp; AREA LIST"/>
      <sheetName val="1-11조직표"/>
      <sheetName val="97 사업추정(W؀_x0001__x0000__x0000_"/>
      <sheetName val="투입계획서(변경)"/>
      <sheetName val="기안"/>
      <sheetName val="지하시설물작성"/>
      <sheetName val="사다리"/>
      <sheetName val="_Cash_Flo_x0000__x0000__x0000__x0000__x0000_"/>
      <sheetName val="설비등록ၒ_x0000_"/>
      <sheetName val="2)단가비교표"/>
      <sheetName val="SHEET"/>
      <sheetName val="1__시공측량4"/>
      <sheetName val="PAD_TR보호대기초4"/>
      <sheetName val="근거_및_가정4"/>
      <sheetName val="수종별수량_(2)4"/>
      <sheetName val="납부내역총괄표_(수정)4"/>
      <sheetName val="Weekly_Progress(계장)4"/>
      <sheetName val="설산1_나4"/>
      <sheetName val="1_차입금4"/>
      <sheetName val="부대시행1_(2)4"/>
      <sheetName val="3_6_2남양주택배4"/>
      <sheetName val="A(Rev_3)2"/>
      <sheetName val="BSD_(2)1"/>
      <sheetName val="입찰내역_Ĉ2"/>
      <sheetName val="1~9_하중계산1"/>
      <sheetName val="방배동내역_(총괄)1"/>
      <sheetName val="JT3_0견적-구11"/>
      <sheetName val="1_수인터널2"/>
      <sheetName val="시스템_개요_유효값1"/>
      <sheetName val="전기요금_산출내역1"/>
      <sheetName val="NCR_HEC_6_Opens1"/>
      <sheetName val="NCR_HEC_4_Open_&amp;_Vendor_2_Open1"/>
      <sheetName val="Ⅴ-2_공종별내역"/>
      <sheetName val="제조원가_원단༘֜"/>
      <sheetName val="▶_일일출역_집계_20210819143316"/>
      <sheetName val="UPA(Part_C,D,E,G,H)"/>
      <sheetName val="UPA(Part_F)"/>
      <sheetName val="일위대가_(Part_C,D,E,G,H)"/>
      <sheetName val="견적_(2)"/>
      <sheetName val="ITB_COST"/>
      <sheetName val="입찰내역_"/>
      <sheetName val="종합표양식(품의좲쒥⠀쮎"/>
      <sheetName val="Process_Li"/>
      <sheetName val="_㴐ኰ"/>
      <sheetName val="_움ᕕ"/>
      <sheetName val="단양_00_아파트-세부내역"/>
      <sheetName val="SAP_검증(평균환율)"/>
      <sheetName val="SAP_검증(월말환율)"/>
      <sheetName val="전분기말_정산표(PQE)"/>
      <sheetName val="전년동기_정산표"/>
      <sheetName val="전기말_정산표(PYE)"/>
      <sheetName val="당기말_정산표(CPE)"/>
      <sheetName val="A01-3_조정내역"/>
      <sheetName val="A01-3_단순합산"/>
      <sheetName val="매출채권_및_금융자산"/>
      <sheetName val="A03-3_연결조정"/>
      <sheetName val="A07__유형자산_차기이월,_미실현"/>
      <sheetName val="A07__유형자산_감가상각"/>
      <sheetName val="A08__연결_조정"/>
      <sheetName val="A09__연결_조정"/>
      <sheetName val="B01_연결_조정"/>
      <sheetName val="B04_연결_조정"/>
      <sheetName val="B05_연결_조정"/>
      <sheetName val="납입자본(연결자본변동표_참조_작성)"/>
      <sheetName val="이익잉여금(연결자본변동표_참조_작성)"/>
      <sheetName val="기타포괄손익누계액(연결자본변동표_참조_작성)"/>
      <sheetName val="D01_연결_조정"/>
      <sheetName val="주당손익(개별파일_작성)"/>
      <sheetName val="96보완계획7_12"/>
      <sheetName val="backdata"/>
      <sheetName val="부가가치"/>
      <sheetName val="2021 KPI_SD (대표이사)"/>
      <sheetName val="Ⅱ.추정종합"/>
      <sheetName val="PC%계산"/>
      <sheetName val="_손익기01.XL__DePara"/>
      <sheetName val="_손익기01_XL__DePara"/>
      <sheetName val="TEMP2"/>
      <sheetName val="계정code"/>
      <sheetName val="下拉框选项"/>
      <sheetName val="Criteria List"/>
      <sheetName val="应收帐款(외상매출금)"/>
      <sheetName val="0405比较_查询"/>
      <sheetName val="감가상각비(2002)"/>
      <sheetName val="해외_기술훈련비_(합계)5"/>
      <sheetName val="P_M_별6"/>
      <sheetName val="Facility_Information5"/>
      <sheetName val="118_세금과공과5"/>
      <sheetName val="2_주요계수총괄5"/>
      <sheetName val="1_본사계정별5"/>
      <sheetName val="B-1_기본정보4"/>
      <sheetName val="Utility_Usage_YTN_TOWER4"/>
      <sheetName val="Project_Brief5"/>
      <sheetName val="단면_(2)5"/>
      <sheetName val="Back_Data_15"/>
      <sheetName val="1월_예산4"/>
      <sheetName val="전선_및_전선관4"/>
      <sheetName val="설문_평가4"/>
      <sheetName val="외주현황_wq14"/>
      <sheetName val="_견적서4"/>
      <sheetName val="대투_보관자료_변경4"/>
      <sheetName val="#1)_투자_구분4"/>
      <sheetName val="Rev__Recon_13"/>
      <sheetName val="1_고객불만건수3"/>
      <sheetName val="1_변경범위3"/>
      <sheetName val="2013_2월_연결대상4"/>
      <sheetName val="Proj__Fin_4"/>
      <sheetName val="2-2_투자4"/>
      <sheetName val="ITS_Assumptions3"/>
      <sheetName val="Master_Data3"/>
      <sheetName val="HQ_급여_3"/>
      <sheetName val="OF_급여3"/>
      <sheetName val="F_Ma급여3"/>
      <sheetName val="SMT_급여3"/>
      <sheetName val="QC_급여3"/>
      <sheetName val="Sam_sung_급여3"/>
      <sheetName val="Dlock_급여3"/>
      <sheetName val="_thôi_việc_급여3"/>
      <sheetName val="Công_smt3"/>
      <sheetName val="Công_smt_(2)3"/>
      <sheetName val="Detail_smt3"/>
      <sheetName val="Công_QC3"/>
      <sheetName val="Detail_QC_3"/>
      <sheetName val="Công_SS3"/>
      <sheetName val="Detail_SS3"/>
      <sheetName val="Công_FMa3"/>
      <sheetName val="Detail_FMa3"/>
      <sheetName val="Công_OF3"/>
      <sheetName val="Detail_OF3"/>
      <sheetName val="Công_Dlock3"/>
      <sheetName val="Detail_Dlock3"/>
      <sheetName val="Công_thôi_việc3"/>
      <sheetName val="Detail_thôi3"/>
      <sheetName val="2-1_강사료,교통비_지급명세4"/>
      <sheetName val="C1_3_13"/>
      <sheetName val="7_Utility_Analysis3"/>
      <sheetName val="Operational_Activities3"/>
      <sheetName val="13_포장용역비표준4"/>
      <sheetName val="9_가공부자재표준4"/>
      <sheetName val="8_ROLL표준(TSW)4"/>
      <sheetName val="4_톤당조관량표준4"/>
      <sheetName val="5_조관부자재표준4"/>
      <sheetName val="KEY_CODE4"/>
      <sheetName val="산자사_운전용품2"/>
      <sheetName val="1__작성방식4"/>
      <sheetName val="표)CFT장_조직별_배분4"/>
      <sheetName val="20180214_P&amp;T4"/>
      <sheetName val="Ref__중점_추진_과제별_상세4"/>
      <sheetName val="Bank_code4"/>
      <sheetName val="Drop-down_RAW4"/>
      <sheetName val="실행기성_갑지4"/>
      <sheetName val="Eq__Mobilization3"/>
      <sheetName val="날개수량1_53"/>
      <sheetName val="2_6_三无_(2)3"/>
      <sheetName val="수량산출서_갑지3"/>
      <sheetName val="G_R300경비3"/>
      <sheetName val="AS포장복구_3"/>
      <sheetName val="설_계3"/>
      <sheetName val="Worker_List3"/>
      <sheetName val="GB-IC_Villingen_GG3"/>
      <sheetName val="Exchange_rate4"/>
      <sheetName val="업무_분류(Category)2"/>
      <sheetName val="진행_DATA_(2)3"/>
      <sheetName val="기초정보_코드3"/>
      <sheetName val="보고서_표3"/>
      <sheetName val="0__가정_및_결론3"/>
      <sheetName val="1__투자비3"/>
      <sheetName val="2__Rent-roll3"/>
      <sheetName val="3__Funding3"/>
      <sheetName val="4__운영수익3"/>
      <sheetName val="5__운영비용3"/>
      <sheetName val="6_1_N+1년차_NOI_산정3"/>
      <sheetName val="6__부동산매각3"/>
      <sheetName val="7__보유세3"/>
      <sheetName val="8__교통유발부담금3"/>
      <sheetName val="9__BS부속3"/>
      <sheetName val="10__CF(M)3"/>
      <sheetName val="11__IS(M)3"/>
      <sheetName val="12__BS(M)3"/>
      <sheetName val="14__IS(FY)3"/>
      <sheetName val="13__CF(FY)3"/>
      <sheetName val="15__BS(FY)3"/>
      <sheetName val="16__RE(FY)3"/>
      <sheetName val="4_1_월별_에너지_사용량3"/>
      <sheetName val="M&amp;Q_Lead3"/>
      <sheetName val="Basic_Information4"/>
      <sheetName val="3_일반사상2"/>
      <sheetName val="준검_내역서3"/>
      <sheetName val="6월_공嚺㓶가3"/>
      <sheetName val="조도계산서_(도서)3"/>
      <sheetName val="F_월별기성수금현황_3"/>
      <sheetName val="첨부#2_Cash_Flow(현장작성)2"/>
      <sheetName val="TOWER_12TON3"/>
      <sheetName val="TOWER_10TON3"/>
      <sheetName val="JIB_CRANE,HOIST3"/>
      <sheetName val="Investment_Category1"/>
      <sheetName val="Mot_So_Thuat_Ngu_EN-VI2"/>
      <sheetName val="노원열병합__건축공사기성내역서1"/>
      <sheetName val="NG_Item3"/>
      <sheetName val="Ref__Spec_Review_양식3"/>
      <sheetName val="Ref__시험항목_테이블3"/>
      <sheetName val="Ref__Search_Result_테이블3"/>
      <sheetName val="SRS_월별_BS2"/>
      <sheetName val="평가&amp;선급_미지급2"/>
      <sheetName val="EXC_IND1"/>
      <sheetName val="COLOR별_인쇄1"/>
      <sheetName val="유류대_현황2"/>
      <sheetName val="1__템플릿2"/>
      <sheetName val="2__작성_참고사항2"/>
      <sheetName val="mapping_(2)2"/>
      <sheetName val="Ref_2"/>
      <sheetName val="2_3_Projects_Status2"/>
      <sheetName val="Consolidated_Project_List2"/>
      <sheetName val="Fixed_Cost2"/>
      <sheetName val="Listas_desplegables2"/>
      <sheetName val="Resumen_General2"/>
      <sheetName val="Cátalogo_de_CI2"/>
      <sheetName val="Hoja2_(2)2"/>
      <sheetName val="Technology_check_list2"/>
      <sheetName val="Status_de_Usuario2"/>
      <sheetName val="Actos_y_Condiciones_2"/>
      <sheetName val="NO_BORRAR2"/>
      <sheetName val="Formato_checklist_Lab2"/>
      <sheetName val="Manage_to_Sustain1"/>
      <sheetName val="Meeting_List1"/>
      <sheetName val="Packages_Info1"/>
      <sheetName val="Preferred_Option1"/>
      <sheetName val="입문_트랜드(종합분석)1"/>
      <sheetName val="Master_CE1"/>
      <sheetName val="CE_Final_1"/>
      <sheetName val="OL_LIST1"/>
      <sheetName val="YTD_GUEST_LIST1"/>
      <sheetName val="Session_Full_list1"/>
      <sheetName val="FOOD_PAYMENT_update_JAN1"/>
      <sheetName val="Rate_card_F19_1"/>
      <sheetName val="Master_Plan__(update)1"/>
      <sheetName val="The_KPI_1"/>
      <sheetName val="Mentor_Plan_1"/>
      <sheetName val="Master_Plan_1"/>
      <sheetName val="Tier_1_GOV_PC_Networking_1"/>
      <sheetName val="Tier_1_LBO_1"/>
      <sheetName val="2020_MMR121"/>
      <sheetName val="Razão_Social1"/>
      <sheetName val="운영경비_세부작성근거1"/>
      <sheetName val="20년_동일기간_소테마1"/>
      <sheetName val="Dropbox_목록2"/>
      <sheetName val="3_공통공사대비1"/>
      <sheetName val="현장관리비_산출내역1"/>
      <sheetName val="무형자산_LS111"/>
      <sheetName val="10_예산_및_원가_계획(02년)1"/>
      <sheetName val="경영비율_2"/>
      <sheetName val="07_011"/>
      <sheetName val="수량산출서_(2)1"/>
      <sheetName val="2_FM_Fee_2차년도1"/>
      <sheetName val="3_감가장비1"/>
      <sheetName val="8月水电燃使用表"/>
      <sheetName val="자산LIST"/>
      <sheetName val="해외출자현황(원본틀)"/>
      <sheetName val="12월시산표"/>
      <sheetName val="손익계산서(출력)"/>
      <sheetName val="매출원가"/>
      <sheetName val="KENworth"/>
      <sheetName val="범한여행"/>
      <sheetName val="Spreadsheet Information"/>
      <sheetName val="총괄표_전체"/>
      <sheetName val="총괄표_기본"/>
      <sheetName val="총괄표_확장"/>
      <sheetName val="표건"/>
      <sheetName val="분류기준"/>
      <sheetName val="_x005f_x0000__x00_x0000__x0000__x0000_"/>
      <sheetName val="업무연덽_(2)9"/>
      <sheetName val="1-8"/>
      <sheetName val="HK1.83站合力改善 "/>
      <sheetName val="종합"/>
      <sheetName val="504전기실_"/>
      <sheetName val="단"/>
      <sheetName val="Sheet376"/>
      <sheetName val="품목코드"/>
      <sheetName val="VS P-Q"/>
      <sheetName val="NOZZLE제작단가"/>
      <sheetName val="Electrical Load List"/>
      <sheetName val="월별"/>
      <sheetName val="리드14"/>
      <sheetName val="DATA SHEET(절대삭제 금지)"/>
      <sheetName val="표지 (3)"/>
      <sheetName val="목공사품의서"/>
      <sheetName val="변경내역대비표(2)"/>
      <sheetName val="제조원가_원단_x0000_궰_x0000__x0000_"/>
      <sheetName val="제조원가_원단_x0000_聏_x0000__x0000_"/>
      <sheetName val="제조원가_원단샀_x000e__x0000__x0000_"/>
      <sheetName val="Tr.C 당일자금판"/>
      <sheetName val="나_출؀_x0001_"/>
      <sheetName val="NON SLI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sheetData sheetId="1242"/>
      <sheetData sheetId="1243"/>
      <sheetData sheetId="1244"/>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sheetData sheetId="1442"/>
      <sheetData sheetId="1443"/>
      <sheetData sheetId="1444"/>
      <sheetData sheetId="1445" refreshError="1"/>
      <sheetData sheetId="1446" refreshError="1"/>
      <sheetData sheetId="1447" refreshError="1"/>
      <sheetData sheetId="1448" refreshError="1"/>
      <sheetData sheetId="1449" refreshError="1"/>
      <sheetData sheetId="1450" refreshError="1"/>
      <sheetData sheetId="1451" refreshError="1"/>
      <sheetData sheetId="1452"/>
      <sheetData sheetId="1453" refreshError="1"/>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sheetData sheetId="2390"/>
      <sheetData sheetId="239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sheetData sheetId="2407"/>
      <sheetData sheetId="2408"/>
      <sheetData sheetId="2409"/>
      <sheetData sheetId="2410"/>
      <sheetData sheetId="2411"/>
      <sheetData sheetId="2412"/>
      <sheetData sheetId="2413"/>
      <sheetData sheetId="2414" refreshError="1"/>
      <sheetData sheetId="2415" refreshError="1"/>
      <sheetData sheetId="2416" refreshError="1"/>
      <sheetData sheetId="2417" refreshError="1"/>
      <sheetData sheetId="2418" refreshError="1"/>
      <sheetData sheetId="2419" refreshError="1"/>
      <sheetData sheetId="2420"/>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sheetData sheetId="2432" refreshError="1"/>
      <sheetData sheetId="2433" refreshError="1"/>
      <sheetData sheetId="2434" refreshError="1"/>
      <sheetData sheetId="2435" refreshError="1"/>
      <sheetData sheetId="2436" refreshError="1"/>
      <sheetData sheetId="2437"/>
      <sheetData sheetId="2438"/>
      <sheetData sheetId="2439"/>
      <sheetData sheetId="2440"/>
      <sheetData sheetId="2441"/>
      <sheetData sheetId="2442"/>
      <sheetData sheetId="2443"/>
      <sheetData sheetId="2444" refreshError="1"/>
      <sheetData sheetId="2445" refreshError="1"/>
      <sheetData sheetId="2446"/>
      <sheetData sheetId="2447"/>
      <sheetData sheetId="2448"/>
      <sheetData sheetId="2449" refreshError="1"/>
      <sheetData sheetId="2450" refreshError="1"/>
      <sheetData sheetId="2451"/>
      <sheetData sheetId="2452"/>
      <sheetData sheetId="2453" refreshError="1"/>
      <sheetData sheetId="2454" refreshError="1"/>
      <sheetData sheetId="2455" refreshError="1"/>
      <sheetData sheetId="2456" refreshError="1"/>
      <sheetData sheetId="2457" refreshError="1"/>
      <sheetData sheetId="2458" refreshError="1"/>
      <sheetData sheetId="2459"/>
      <sheetData sheetId="2460"/>
      <sheetData sheetId="2461"/>
      <sheetData sheetId="2462"/>
      <sheetData sheetId="2463"/>
      <sheetData sheetId="2464" refreshError="1"/>
      <sheetData sheetId="2465" refreshError="1"/>
      <sheetData sheetId="2466" refreshError="1"/>
      <sheetData sheetId="2467" refreshError="1"/>
      <sheetData sheetId="2468"/>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refreshError="1"/>
      <sheetData sheetId="2744" refreshError="1"/>
      <sheetData sheetId="2745" refreshError="1"/>
      <sheetData sheetId="2746" refreshError="1"/>
      <sheetData sheetId="2747" refreshError="1"/>
      <sheetData sheetId="2748"/>
      <sheetData sheetId="2749"/>
      <sheetData sheetId="2750"/>
      <sheetData sheetId="275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refreshError="1"/>
      <sheetData sheetId="2763" refreshError="1"/>
      <sheetData sheetId="2764" refreshError="1"/>
      <sheetData sheetId="2765" refreshError="1"/>
      <sheetData sheetId="2766" refreshError="1"/>
      <sheetData sheetId="2767" refreshError="1"/>
      <sheetData sheetId="2768"/>
      <sheetData sheetId="2769" refreshError="1"/>
      <sheetData sheetId="2770" refreshError="1"/>
      <sheetData sheetId="2771" refreshError="1"/>
      <sheetData sheetId="2772" refreshError="1"/>
      <sheetData sheetId="2773" refreshError="1"/>
      <sheetData sheetId="2774"/>
      <sheetData sheetId="2775" refreshError="1"/>
      <sheetData sheetId="2776" refreshError="1"/>
      <sheetData sheetId="2777" refreshError="1"/>
      <sheetData sheetId="2778" refreshError="1"/>
      <sheetData sheetId="2779" refreshError="1"/>
      <sheetData sheetId="2780" refreshError="1"/>
      <sheetData sheetId="2781" refreshError="1"/>
      <sheetData sheetId="2782"/>
      <sheetData sheetId="2783"/>
      <sheetData sheetId="2784"/>
      <sheetData sheetId="2785"/>
      <sheetData sheetId="2786"/>
      <sheetData sheetId="2787"/>
      <sheetData sheetId="2788"/>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sheetData sheetId="2865"/>
      <sheetData sheetId="2866"/>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sheetData sheetId="2876" refreshError="1"/>
      <sheetData sheetId="2877" refreshError="1"/>
      <sheetData sheetId="2878" refreshError="1"/>
      <sheetData sheetId="2879" refreshError="1"/>
      <sheetData sheetId="2880"/>
      <sheetData sheetId="2881"/>
      <sheetData sheetId="2882" refreshError="1"/>
      <sheetData sheetId="2883" refreshError="1"/>
      <sheetData sheetId="2884" refreshError="1"/>
      <sheetData sheetId="2885" refreshError="1"/>
      <sheetData sheetId="2886"/>
      <sheetData sheetId="2887"/>
      <sheetData sheetId="2888"/>
      <sheetData sheetId="2889" refreshError="1"/>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refreshError="1"/>
      <sheetData sheetId="3089" refreshError="1"/>
      <sheetData sheetId="3090" refreshError="1"/>
      <sheetData sheetId="3091" refreshError="1"/>
      <sheetData sheetId="3092" refreshError="1"/>
      <sheetData sheetId="3093"/>
      <sheetData sheetId="3094"/>
      <sheetData sheetId="3095"/>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refreshError="1"/>
      <sheetData sheetId="3352" refreshError="1"/>
      <sheetData sheetId="3353" refreshError="1"/>
      <sheetData sheetId="3354" refreshError="1"/>
      <sheetData sheetId="3355" refreshError="1"/>
      <sheetData sheetId="3356"/>
      <sheetData sheetId="3357"/>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sheetData sheetId="4038"/>
      <sheetData sheetId="4039"/>
      <sheetData sheetId="4040"/>
      <sheetData sheetId="4041"/>
      <sheetData sheetId="4042"/>
      <sheetData sheetId="4043"/>
      <sheetData sheetId="4044"/>
      <sheetData sheetId="4045"/>
      <sheetData sheetId="4046"/>
      <sheetData sheetId="4047"/>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sheetData sheetId="4060"/>
      <sheetData sheetId="4061"/>
      <sheetData sheetId="4062" refreshError="1"/>
      <sheetData sheetId="4063" refreshError="1"/>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refreshError="1"/>
      <sheetData sheetId="4262" refreshError="1"/>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refreshError="1"/>
      <sheetData sheetId="4366" refreshError="1"/>
      <sheetData sheetId="4367" refreshError="1"/>
      <sheetData sheetId="4368" refreshError="1"/>
      <sheetData sheetId="4369"/>
      <sheetData sheetId="4370"/>
      <sheetData sheetId="4371"/>
      <sheetData sheetId="4372"/>
      <sheetData sheetId="4373"/>
      <sheetData sheetId="4374"/>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refreshError="1"/>
      <sheetData sheetId="4435" refreshError="1"/>
      <sheetData sheetId="4436" refreshError="1"/>
      <sheetData sheetId="4437" refreshError="1"/>
      <sheetData sheetId="4438" refreshError="1"/>
      <sheetData sheetId="4439"/>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refreshError="1"/>
      <sheetData sheetId="4778" refreshError="1"/>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refreshError="1"/>
      <sheetData sheetId="5104" refreshError="1"/>
      <sheetData sheetId="5105" refreshError="1"/>
      <sheetData sheetId="5106"/>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sheetData sheetId="5222"/>
      <sheetData sheetId="5223"/>
      <sheetData sheetId="5224"/>
      <sheetData sheetId="5225"/>
      <sheetData sheetId="5226"/>
      <sheetData sheetId="5227"/>
      <sheetData sheetId="5228"/>
      <sheetData sheetId="5229"/>
      <sheetData sheetId="5230"/>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sheetData sheetId="5254"/>
      <sheetData sheetId="5255"/>
      <sheetData sheetId="5256"/>
      <sheetData sheetId="5257"/>
      <sheetData sheetId="5258"/>
      <sheetData sheetId="5259" refreshError="1"/>
      <sheetData sheetId="5260" refreshError="1"/>
      <sheetData sheetId="5261" refreshError="1"/>
      <sheetData sheetId="5262" refreshError="1"/>
      <sheetData sheetId="5263" refreshError="1"/>
      <sheetData sheetId="5264" refreshError="1"/>
      <sheetData sheetId="5265" refreshError="1"/>
      <sheetData sheetId="5266"/>
      <sheetData sheetId="5267"/>
      <sheetData sheetId="5268"/>
      <sheetData sheetId="5269"/>
      <sheetData sheetId="5270"/>
      <sheetData sheetId="5271"/>
      <sheetData sheetId="5272"/>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refreshError="1"/>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refreshError="1"/>
      <sheetData sheetId="5378"/>
      <sheetData sheetId="5379"/>
      <sheetData sheetId="5380"/>
      <sheetData sheetId="5381"/>
      <sheetData sheetId="5382"/>
      <sheetData sheetId="5383" refreshError="1"/>
      <sheetData sheetId="5384" refreshError="1"/>
      <sheetData sheetId="5385" refreshError="1"/>
      <sheetData sheetId="5386" refreshError="1"/>
      <sheetData sheetId="5387" refreshError="1"/>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refreshError="1"/>
      <sheetData sheetId="5444"/>
      <sheetData sheetId="5445" refreshError="1"/>
      <sheetData sheetId="5446" refreshError="1"/>
      <sheetData sheetId="5447" refreshError="1"/>
      <sheetData sheetId="5448" refreshError="1"/>
      <sheetData sheetId="5449" refreshError="1"/>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refreshError="1"/>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sheetData sheetId="5860"/>
      <sheetData sheetId="5861" refreshError="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refreshError="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sheetData sheetId="6700" refreshError="1"/>
      <sheetData sheetId="670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sheetData sheetId="6714"/>
      <sheetData sheetId="6715"/>
      <sheetData sheetId="6716"/>
      <sheetData sheetId="6717"/>
      <sheetData sheetId="6718"/>
      <sheetData sheetId="6719"/>
      <sheetData sheetId="6720"/>
      <sheetData sheetId="672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refreshError="1"/>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refreshError="1"/>
      <sheetData sheetId="7059" refreshError="1"/>
      <sheetData sheetId="7060" refreshError="1"/>
      <sheetData sheetId="7061" refreshError="1"/>
      <sheetData sheetId="7062" refreshError="1"/>
      <sheetData sheetId="7063"/>
      <sheetData sheetId="7064"/>
      <sheetData sheetId="7065"/>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sheetData sheetId="7076"/>
      <sheetData sheetId="7077"/>
      <sheetData sheetId="7078"/>
      <sheetData sheetId="7079"/>
      <sheetData sheetId="7080"/>
      <sheetData sheetId="7081"/>
      <sheetData sheetId="7082"/>
      <sheetData sheetId="7083"/>
      <sheetData sheetId="7084" refreshError="1"/>
      <sheetData sheetId="7085" refreshError="1"/>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refreshError="1"/>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sheetData sheetId="7196" refreshError="1"/>
      <sheetData sheetId="7197" refreshError="1"/>
      <sheetData sheetId="7198" refreshError="1"/>
      <sheetData sheetId="7199" refreshError="1"/>
      <sheetData sheetId="7200" refreshError="1"/>
      <sheetData sheetId="7201" refreshError="1"/>
      <sheetData sheetId="7202" refreshError="1"/>
      <sheetData sheetId="7203"/>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sheetData sheetId="7226"/>
      <sheetData sheetId="7227"/>
      <sheetData sheetId="7228"/>
      <sheetData sheetId="7229"/>
      <sheetData sheetId="7230"/>
      <sheetData sheetId="7231"/>
      <sheetData sheetId="7232" refreshError="1"/>
      <sheetData sheetId="7233" refreshError="1"/>
      <sheetData sheetId="7234" refreshError="1"/>
      <sheetData sheetId="7235" refreshError="1"/>
      <sheetData sheetId="7236"/>
      <sheetData sheetId="7237" refreshError="1"/>
      <sheetData sheetId="7238" refreshError="1"/>
      <sheetData sheetId="7239" refreshError="1"/>
      <sheetData sheetId="7240"/>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sheetData sheetId="7364" refreshError="1"/>
      <sheetData sheetId="7365" refreshError="1"/>
      <sheetData sheetId="7366" refreshError="1"/>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sheetData sheetId="7626" refreshError="1"/>
      <sheetData sheetId="7627" refreshError="1"/>
      <sheetData sheetId="7628" refreshError="1"/>
      <sheetData sheetId="7629" refreshError="1"/>
      <sheetData sheetId="7630" refreshError="1"/>
      <sheetData sheetId="763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226"/>
      <sheetName val="0412"/>
      <sheetName val="0416"/>
      <sheetName val="0421"/>
      <sheetName val="0422"/>
      <sheetName val="0422 (2)"/>
      <sheetName val="Sign"/>
      <sheetName val="0531(투자지원실)"/>
      <sheetName val="01"/>
      <sheetName val="갑지"/>
      <sheetName val="Good Morning 증권-01"/>
      <sheetName val="금융비용"/>
      <sheetName val="실행내역"/>
      <sheetName val="금융"/>
      <sheetName val="입찰내역 발주처 양식"/>
      <sheetName val="유림콘도"/>
      <sheetName val="유림골조"/>
      <sheetName val="#REF"/>
      <sheetName val="Sheet4"/>
      <sheetName val="예가표"/>
      <sheetName val="0422_(2)"/>
      <sheetName val="Good_Morning_증권-01"/>
      <sheetName val="B"/>
      <sheetName val="Sheet1"/>
      <sheetName val="부하(성남)"/>
      <sheetName val="목표세부명세"/>
      <sheetName val="일반부표"/>
      <sheetName val="소비자가"/>
      <sheetName val="내역서"/>
      <sheetName val="EQT-ESTN"/>
      <sheetName val="0422_(2)1"/>
      <sheetName val="Good_Morning_증권-011"/>
      <sheetName val="입찰내역_발주처_양식"/>
      <sheetName val="차액보증"/>
      <sheetName val="입찰안"/>
      <sheetName val="갑지(추정)"/>
      <sheetName val="개요"/>
      <sheetName val="공사개요"/>
      <sheetName val="합천내역"/>
      <sheetName val="Option"/>
      <sheetName val="공통비(전체)"/>
      <sheetName val="토목공사"/>
      <sheetName val="새공통(96임금인상기준)"/>
      <sheetName val="비교1"/>
      <sheetName val="유림총괄"/>
      <sheetName val="단가표"/>
      <sheetName val="집계표"/>
      <sheetName val="Sheet2"/>
      <sheetName val="0422_(2)2"/>
      <sheetName val="Good_Morning_증권-012"/>
      <sheetName val="입찰내역_발주처_양식1"/>
      <sheetName val="내역"/>
      <sheetName val="Cover"/>
      <sheetName val="기별(종합)"/>
      <sheetName val="연결임시"/>
      <sheetName val="예정(3)"/>
      <sheetName val="동원(3)"/>
      <sheetName val="SUMMARY"/>
      <sheetName val="토목"/>
      <sheetName val="전선 및 전선관"/>
      <sheetName val="토목주소"/>
      <sheetName val="프랜트면허"/>
      <sheetName val="품셈"/>
      <sheetName val="간접경상비"/>
      <sheetName val="품셈TABLE"/>
      <sheetName val="덕전리"/>
      <sheetName val="N賃率-職"/>
      <sheetName val="물량산출서"/>
      <sheetName val="1062-X방향 "/>
      <sheetName val="견적대비표"/>
      <sheetName val="입찰보고"/>
      <sheetName val="견적"/>
      <sheetName val="INPUT"/>
      <sheetName val="적용토목"/>
      <sheetName val="인사자료총집계"/>
      <sheetName val="실행철강하도"/>
      <sheetName val="6동"/>
      <sheetName val="9gng운반"/>
      <sheetName val="0422_(2)3"/>
      <sheetName val="Good_Morning_증권-013"/>
      <sheetName val="입찰내역_발주처_양식2"/>
      <sheetName val="전선_및_전선관"/>
      <sheetName val="0422_(2)4"/>
      <sheetName val="Good_Morning_증권-014"/>
      <sheetName val="입찰내역_발주처_양식3"/>
      <sheetName val="전선_및_전선관1"/>
      <sheetName val="98수문일위"/>
      <sheetName val="DB"/>
      <sheetName val="1062-X방향_"/>
      <sheetName val="설계내역서"/>
      <sheetName val="견적서"/>
      <sheetName val="별표 "/>
      <sheetName val="직재"/>
      <sheetName val="I一般比"/>
      <sheetName val="J直材4"/>
      <sheetName val="설직재-1"/>
      <sheetName val="工완성공사율"/>
      <sheetName val="일위"/>
      <sheetName val="일위대가(4층원격)"/>
      <sheetName val="일위대가"/>
      <sheetName val="일위대가목록"/>
      <sheetName val="Book4"/>
      <sheetName val="2F 회의실견적(5_14 일대)"/>
      <sheetName val="자재단가"/>
      <sheetName val="200"/>
      <sheetName val="SIL98"/>
      <sheetName val="토공사"/>
      <sheetName val="관급"/>
      <sheetName val="기준_국가명"/>
      <sheetName val="VS P-Q"/>
      <sheetName val="JUCKEYK"/>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본견적"/>
      <sheetName val="1ST"/>
      <sheetName val="2ND"/>
      <sheetName val="Furniture"/>
      <sheetName val="MAY07"/>
      <sheetName val="0219(설비)"/>
      <sheetName val="0219(전기) (2)"/>
      <sheetName val="Sheet1"/>
      <sheetName val="MAY-12"/>
      <sheetName val="내역서"/>
      <sheetName val="01"/>
      <sheetName val="0226"/>
      <sheetName val="결과조달"/>
      <sheetName val="TOWER 12TON"/>
      <sheetName val="TOWER 10TON"/>
      <sheetName val="목동트라팰리스-대혜건축-070510-제출용"/>
      <sheetName val="세대내부"/>
      <sheetName val="DEUTSCHE0219"/>
      <sheetName val="0219(전기)_(2)"/>
      <sheetName val="TOWER_12TON"/>
      <sheetName val="TOWER_10TON"/>
      <sheetName val="공사개요"/>
      <sheetName val="방배2E"/>
      <sheetName val="품"/>
      <sheetName val="본선 토공 분배표"/>
      <sheetName val="#REF"/>
      <sheetName val="금액내역서"/>
      <sheetName val="0219(전기)_(2)1"/>
      <sheetName val="TOWER_12TON1"/>
      <sheetName val="TOWER_10TON1"/>
      <sheetName val="금융비용"/>
      <sheetName val="일위대가목차"/>
      <sheetName val="Customer Databas"/>
      <sheetName val="TEL"/>
      <sheetName val="예정(3)"/>
      <sheetName val="노임이"/>
      <sheetName val="동원(3)"/>
      <sheetName val="B"/>
      <sheetName val="목표세부명세"/>
      <sheetName val="기계내역"/>
      <sheetName val="집계표"/>
      <sheetName val="시산표"/>
      <sheetName val="소비자가"/>
      <sheetName val="EQT-ESTN"/>
      <sheetName val="N賃率-職"/>
      <sheetName val="0219(전기)_(2)2"/>
      <sheetName val="TOWER_12TON2"/>
      <sheetName val="TOWER_10TON2"/>
      <sheetName val="본선_토공_분배표"/>
      <sheetName val="Customer_Databas"/>
      <sheetName val="일위대가표"/>
      <sheetName val="공정분리"/>
      <sheetName val="간접"/>
      <sheetName val="전기"/>
      <sheetName val="유림골조"/>
      <sheetName val="부하계산서"/>
      <sheetName val="변경보고서"/>
      <sheetName val="견적서"/>
      <sheetName val="표지"/>
      <sheetName val="0219(전기)_(2)3"/>
      <sheetName val="TOWER_12TON3"/>
      <sheetName val="TOWER_10TON3"/>
      <sheetName val="본선_토공_분배표1"/>
      <sheetName val="Customer_Databas1"/>
      <sheetName val="Sheet4"/>
      <sheetName val="P.M 별"/>
      <sheetName val="설계내역서"/>
      <sheetName val="ROW DATA"/>
      <sheetName val="입찰내역 발주처 양식"/>
      <sheetName val="입찰안"/>
      <sheetName val="금융"/>
      <sheetName val="노무비"/>
      <sheetName val="곤지암"/>
      <sheetName val="RSG공사"/>
      <sheetName val="경상"/>
      <sheetName val="Sheet2"/>
      <sheetName val="총괄"/>
      <sheetName val="5사남"/>
      <sheetName val="JIB CRANE,HOIST"/>
      <sheetName val="의왕F사"/>
      <sheetName val="가공사"/>
      <sheetName val="בית השקעות"/>
      <sheetName val="간이연락"/>
      <sheetName val="Budget"/>
      <sheetName val="공정"/>
      <sheetName val="Assumptions"/>
      <sheetName val="page 6"/>
      <sheetName val="JIB_CRANE,HOIST"/>
      <sheetName val="בית_השקעות"/>
      <sheetName val="토목주소"/>
      <sheetName val="프랜트면허"/>
      <sheetName val="경비지출영수증_양식"/>
      <sheetName val="전도금정산영수증_양식"/>
      <sheetName val="단가산출"/>
      <sheetName val="2(사업장개시신고서)"/>
      <sheetName val="3-1(전도금신청내역서-기초자료)"/>
      <sheetName val="3-2(지출결의서)"/>
      <sheetName val="4-1(외주발주품의서)"/>
      <sheetName val="사용정산서 (정산)"/>
      <sheetName val="사용영수증양식(공통비용)"/>
      <sheetName val="사용영수증양식(개인별 비용)"/>
      <sheetName val="집 계 표"/>
      <sheetName val="별표"/>
      <sheetName val="시설물일위"/>
      <sheetName val="일위대가"/>
      <sheetName val=" 냉각수펌프"/>
      <sheetName val="실행철강하도"/>
      <sheetName val="예가표"/>
      <sheetName val="ENE-CAL 1"/>
      <sheetName val="도기류"/>
      <sheetName val="골조"/>
      <sheetName val="COVER"/>
      <sheetName val="2.1 Utility_Quantity"/>
      <sheetName val="2.2 Utility_Amount"/>
      <sheetName val="Daten"/>
      <sheetName val="재무가정"/>
      <sheetName val="비용지출승인(통합)"/>
      <sheetName val="リスト"/>
      <sheetName val="Training"/>
      <sheetName val="Facility Information"/>
      <sheetName val="General"/>
      <sheetName val="Instructions"/>
      <sheetName val="People"/>
      <sheetName val="Quality"/>
      <sheetName val="Risk"/>
      <sheetName val="지분법(지분수정전)"/>
      <sheetName val="1062-X방향 "/>
      <sheetName val="0219(전기)_(2)4"/>
      <sheetName val="TOWER_12TON4"/>
      <sheetName val="TOWER_10TON4"/>
      <sheetName val="본선_토공_분배표2"/>
      <sheetName val="Customer_Databas2"/>
      <sheetName val="ROW_DATA"/>
      <sheetName val="P_M_별"/>
      <sheetName val="입찰내역_발주처_양식"/>
      <sheetName val="JIB_CRANE,HOIST1"/>
      <sheetName val="בית_השקעות1"/>
      <sheetName val="page_6"/>
      <sheetName val="사용정산서_(정산)"/>
      <sheetName val="사용영수증양식(개인별_비용)"/>
      <sheetName val="집_계_표"/>
      <sheetName val="_냉각수펌프"/>
      <sheetName val="가옥철거"/>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refreshError="1"/>
      <sheetData sheetId="90" refreshError="1"/>
      <sheetData sheetId="91"/>
      <sheetData sheetId="92"/>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금액내역서"/>
      <sheetName val="원가계산서"/>
      <sheetName val="총괄내역서"/>
      <sheetName val="내역서"/>
      <sheetName val="노무비목록표"/>
      <sheetName val="자재단가대비표"/>
      <sheetName val="중기목록표"/>
      <sheetName val="기계경비"/>
      <sheetName val="단가산출근거목록표"/>
      <sheetName val="내역산근"/>
      <sheetName val="총괄내역서 (2)"/>
      <sheetName val="내역서 (2)"/>
      <sheetName val="일위대가목록표"/>
      <sheetName val="일위대가"/>
      <sheetName val="일위대가 (2)"/>
      <sheetName val="내역산근 (2)"/>
      <sheetName val="연돌일위집계"/>
      <sheetName val="약품공급2"/>
      <sheetName val="세대내부"/>
      <sheetName val="PROJECT BRIEF"/>
      <sheetName val="0226"/>
      <sheetName val="1ST"/>
      <sheetName val="골조시행"/>
      <sheetName val="일위대가(여기까지)"/>
      <sheetName val="#REF"/>
      <sheetName val="공조기휀"/>
      <sheetName val="금융비용"/>
      <sheetName val="000000"/>
      <sheetName val="유림골조"/>
      <sheetName val="IW-LIST"/>
      <sheetName val="실행"/>
      <sheetName val="Air-Con Charging(A)"/>
      <sheetName val="I一般比"/>
      <sheetName val="갑지(추정)"/>
      <sheetName val="단"/>
      <sheetName val="소비자가"/>
      <sheetName val="총괄내역서_(2)"/>
      <sheetName val="내역서_(2)"/>
      <sheetName val="일위대가_(2)"/>
      <sheetName val="내역산근_(2)"/>
      <sheetName val="PROJECT_BRIEF"/>
      <sheetName val="전지동동력물량산출서"/>
      <sheetName val="집계표"/>
      <sheetName val="결과조달"/>
      <sheetName val="XXXXXX"/>
      <sheetName val="년차사용내역"/>
      <sheetName val="전기1과자료"/>
      <sheetName val="각서(교통사고)"/>
      <sheetName val="개별계획서"/>
      <sheetName val="공사내용"/>
      <sheetName val="증설CM보수"/>
      <sheetName val="용접기현황"/>
      <sheetName val="무전기"/>
      <sheetName val="경위서"/>
      <sheetName val="작업일지"/>
      <sheetName val="일지"/>
      <sheetName val="월간공정"/>
      <sheetName val="계측관리(가로)"/>
      <sheetName val="당직표"/>
      <sheetName val="안전관리과일지"/>
      <sheetName val="공사현황보고"/>
      <sheetName val="금액총괄표"/>
      <sheetName val="laroux"/>
      <sheetName val="단가조사서"/>
      <sheetName val="장비단가비교표"/>
      <sheetName val="일위대가목차"/>
      <sheetName val="산출서"/>
      <sheetName val="SUPPORT산출서"/>
      <sheetName val="support집계"/>
      <sheetName val="WALKWAY 집계"/>
      <sheetName val="HOISTRAIL집계"/>
      <sheetName val="2공구관급"/>
      <sheetName val="2공구도급"/>
      <sheetName val="VXXXXXX"/>
      <sheetName val="기자재단가"/>
      <sheetName val="배관단가"/>
      <sheetName val="일위대가표"/>
      <sheetName val="단가표"/>
      <sheetName val="단가구분"/>
      <sheetName val="PCODE"/>
      <sheetName val="인건비"/>
      <sheetName val="배관자재 단가조사서"/>
      <sheetName val="산출내역"/>
      <sheetName val="토목"/>
      <sheetName val="품질관리비"/>
      <sheetName val="건축"/>
      <sheetName val="기계 "/>
      <sheetName val="VXXXX"/>
      <sheetName val="사급자재대"/>
      <sheetName val="단가비교"/>
      <sheetName val="4. 배관공사"/>
      <sheetName val="3.시운전비"/>
      <sheetName val="설치공사"/>
      <sheetName val="원가계산"/>
      <sheetName val="총괄내역"/>
      <sheetName val="수량산출서"/>
      <sheetName val="시운전비(계약직)"/>
      <sheetName val="ELECTRIC"/>
      <sheetName val="CTEMCOST"/>
      <sheetName val="SCHEDULE"/>
      <sheetName val="침출배관"/>
      <sheetName val="WORK"/>
      <sheetName val="전신환매도율"/>
      <sheetName val="misc"/>
      <sheetName val="Sheet1"/>
      <sheetName val="Sheet2"/>
      <sheetName val="Sheet3"/>
      <sheetName val="Sheet4"/>
      <sheetName val="Sheet5"/>
      <sheetName val="Sheet6"/>
      <sheetName val="PRICE"/>
      <sheetName val="?????"/>
      <sheetName val="내역"/>
      <sheetName val="EQT-ESTN"/>
      <sheetName val="견적서"/>
      <sheetName val="실행철강하도"/>
      <sheetName val="물가자료"/>
      <sheetName val="목표세부명세"/>
      <sheetName val="정부노임단가"/>
      <sheetName val="설계"/>
      <sheetName val="3.공통공사대비"/>
      <sheetName val="¿ø°¡°è»ê¼­"/>
      <sheetName val="±Ý¾×ÃÑ°ýÇ¥"/>
      <sheetName val="±Ý¾×³»¿ª¼­"/>
      <sheetName val="´Ü°¡Á¶»ç¼­"/>
      <sheetName val="Àåºñ´Ü°¡ºñ±³Ç¥"/>
      <sheetName val="ÀÏÀ§´ë°¡¸ñÂ÷"/>
      <sheetName val="ÀÏÀ§´ë°¡"/>
      <sheetName val="»êÃâ¼­"/>
      <sheetName val="Áý°èÇ¥"/>
      <sheetName val="SUPPORT»êÃâ¼­"/>
      <sheetName val="supportÁý°è"/>
      <sheetName val="WALKWAY Áý°è"/>
      <sheetName val="HOISTRAILÁý°è"/>
      <sheetName val="2°ø±¸°ü±Þ"/>
      <sheetName val="2°ø±¸µµ±Þ"/>
      <sheetName val="³»¿ª¼­"/>
      <sheetName val="±âÀÚÀç´Ü°¡"/>
      <sheetName val="¹è°ü´Ü°¡"/>
      <sheetName val="ÀÏÀ§´ë°¡Ç¥"/>
      <sheetName val="´Ü°¡Ç¥"/>
      <sheetName val="´Ü°¡±¸ºÐ"/>
      <sheetName val="³âÂ÷»ç¿ë³»¿ª"/>
      <sheetName val="Àü±â1°úÀÚ·á"/>
      <sheetName val="°¢¼­(±³Åë»ç°í)"/>
      <sheetName val="°³º°°èÈ¹¼­"/>
      <sheetName val="°ø»ç³»¿ë"/>
      <sheetName val="Áõ¼³CMº¸¼ö"/>
      <sheetName val="¿ëÁ¢±âÇöÈ²"/>
      <sheetName val="¹«Àü±â"/>
      <sheetName val="°æÀ§¼­"/>
      <sheetName val="ÀÛ¾÷ÀÏÁö"/>
      <sheetName val="ÀÏÁö"/>
      <sheetName val="¿ù°£°øÁ¤"/>
      <sheetName val="°èÃø°ü¸®(°¡·Î)"/>
      <sheetName val="´çÁ÷Ç¥"/>
      <sheetName val="¾ÈÀü°ü¸®°úÀÏÁö"/>
      <sheetName val="°ø»çÇöÈ²º¸°í"/>
      <sheetName val="ÀÎ°Çºñ"/>
      <sheetName val="¹è°üÀÚÀç ´Ü°¡Á¶»ç¼­"/>
      <sheetName val="¼ö·®»êÃâ¼­"/>
      <sheetName val="»êÃâ³»¿ª"/>
      <sheetName val="Åä¸ñ"/>
      <sheetName val="Ç°Áú°ü¸®ºñ"/>
      <sheetName val="°ÇÃà"/>
      <sheetName val="±â°è "/>
      <sheetName val="¼³Ä¡°ø»ç"/>
      <sheetName val="»ç±ÞÀÚÀç´ë"/>
      <sheetName val="´Ü°¡ºñ±³"/>
      <sheetName val="4. ¹è°ü°ø»ç"/>
      <sheetName val="3.½Ã¿îÀüºñ"/>
      <sheetName val="¿ø°¡°è»ê"/>
      <sheetName val="ÃÑ°ý³»¿ª"/>
      <sheetName val="½Ã¿îÀüºñ(°è¾àÁ÷)"/>
      <sheetName val="Ä§Ãâ¹è°ü"/>
      <sheetName val="°á°úÁ¶´Þ"/>
      <sheetName val="½ÇÇàÃ¶°­ÇÏµµ"/>
      <sheetName val="¼³°è"/>
      <sheetName val="°ßÀû¼­"/>
      <sheetName val="¿¬µ¹ÀÏÀ§Áý°è"/>
      <sheetName val="2000년1차"/>
      <sheetName val="예정(3)"/>
      <sheetName val="동원(3)"/>
      <sheetName val="9-1차이내역."/>
      <sheetName val="전기공사"/>
      <sheetName val="H腏ISTRAIL집계"/>
      <sheetName val="2공구도급_x0007_嘀塘塘塘_x0003_됁᳅ׁĀ기자재단가_x0004_、¼²֬Ā일위대"/>
      <sheetName val="해전배수"/>
      <sheetName val="IMP(MAIN)"/>
      <sheetName val="IMP (REACTOR)"/>
      <sheetName val="단가"/>
      <sheetName val="건축내역"/>
      <sheetName val="밸브설치"/>
      <sheetName val="손익분석"/>
      <sheetName val="예산대비"/>
      <sheetName val="CIVIL4"/>
      <sheetName val="연습"/>
      <sheetName val="지수결과표-3"/>
      <sheetName val="소방"/>
      <sheetName val="총괄표"/>
      <sheetName val="집계"/>
      <sheetName val="데이타"/>
      <sheetName val="식재인부"/>
      <sheetName val="직재"/>
      <sheetName val="기기리스트"/>
      <sheetName val="SEC 1-D850"/>
      <sheetName val="예가표"/>
      <sheetName val="각종손료"/>
      <sheetName val="일위목록"/>
      <sheetName val="G2설비도급"/>
      <sheetName val="물집"/>
      <sheetName val="배관단가조사서"/>
      <sheetName val="품셈"/>
      <sheetName val="금융"/>
      <sheetName val="기자재비"/>
      <sheetName val="기준FACTOR"/>
      <sheetName val="1단계"/>
      <sheetName val="대림경상68억"/>
      <sheetName val="공량산출서"/>
      <sheetName val="_____"/>
      <sheetName val="WALKWAY_집계"/>
      <sheetName val="4__배관공사"/>
      <sheetName val="3_시운전비"/>
      <sheetName val="배관자재_단가조사서"/>
      <sheetName val="기계_"/>
      <sheetName val="3_공통공사대비"/>
      <sheetName val="WALKWAY_Áý°è"/>
      <sheetName val="¹è°üÀÚÀç_´Ü°¡Á¶»ç¼­"/>
      <sheetName val="±â°è_"/>
      <sheetName val="4__¹è°ü°ø»ç"/>
      <sheetName val="3_½Ã¿îÀüºñ"/>
      <sheetName val="9-1차이내역_"/>
      <sheetName val="2공구도급嘀塘塘塘됁᳅ׁĀ기자재단가、¼²֬Ā일위대"/>
      <sheetName val="IMP_(REACTOR)"/>
      <sheetName val="단가산출"/>
      <sheetName val="코드표"/>
      <sheetName val="DATE"/>
      <sheetName val="하수급견적대비"/>
      <sheetName val="기성2"/>
      <sheetName val="106C0300"/>
      <sheetName val="Baby일위대가"/>
      <sheetName val="설계개요"/>
      <sheetName val="철집"/>
      <sheetName val="공사개요(사업승인)"/>
      <sheetName val="공사비예산서(토목분)"/>
      <sheetName val="산출조서1"/>
      <sheetName val="조경"/>
      <sheetName val="설계예산서"/>
      <sheetName val="노임"/>
      <sheetName val="오억미만"/>
      <sheetName val="시설일위"/>
      <sheetName val="정렬"/>
      <sheetName val="산출내역서집계표"/>
      <sheetName val="수목표준대가"/>
      <sheetName val="현장관리비 산출내역"/>
      <sheetName val="총괄"/>
      <sheetName val="을"/>
      <sheetName val="직노"/>
      <sheetName val="중기일위대가"/>
      <sheetName val="부하계산서"/>
      <sheetName val=" 견적서"/>
      <sheetName val="갑지"/>
      <sheetName val="ASEM내역"/>
      <sheetName val="Estimate"/>
      <sheetName val="삼원"/>
      <sheetName val="그린"/>
      <sheetName val="한창-을"/>
      <sheetName val="수량산출"/>
      <sheetName val="조건표"/>
      <sheetName val="원내역"/>
      <sheetName val="내역서01"/>
      <sheetName val="입찰안"/>
      <sheetName val="상 부"/>
      <sheetName val="낙찰표"/>
      <sheetName val="CAL"/>
      <sheetName val="설계가"/>
      <sheetName val="001"/>
      <sheetName val="cable-data"/>
      <sheetName val="A-4"/>
      <sheetName val="투찰"/>
      <sheetName val="SG"/>
      <sheetName val="DATA"/>
      <sheetName val="BID"/>
      <sheetName val="토공사"/>
      <sheetName val="일위대가(계측기설치)"/>
      <sheetName val="Pier 3"/>
      <sheetName val="부대공Ⅱ"/>
      <sheetName val="타견적(을)"/>
      <sheetName val="일위대가(가설)"/>
      <sheetName val="Sheet1 (2)"/>
      <sheetName val="집수정(600-700)"/>
      <sheetName val="토공수량"/>
      <sheetName val="계수시트"/>
      <sheetName val="화재 탐지 설비"/>
      <sheetName val="노임이"/>
      <sheetName val="노무"/>
      <sheetName val="woo(mac)"/>
      <sheetName val="계정"/>
      <sheetName val="이름표지정"/>
      <sheetName val="S0"/>
      <sheetName val="교각계산"/>
      <sheetName val="현장관리비_산출내역"/>
      <sheetName val="상_부"/>
      <sheetName val="현장관리비_산출내역1"/>
      <sheetName val="상_부1"/>
      <sheetName val="Eq. Mobilization"/>
      <sheetName val="노단"/>
      <sheetName val="2.대외공문"/>
      <sheetName val="1.설계조건"/>
      <sheetName val="수목데이타 "/>
      <sheetName val="토공집계표"/>
      <sheetName val="2공구산출내역"/>
      <sheetName val="정SW(원)"/>
      <sheetName val="발신정보"/>
      <sheetName val="백암비스타내역"/>
      <sheetName val="Y-WORK"/>
      <sheetName val="01"/>
      <sheetName val="순공사비"/>
      <sheetName val="MTO REV.2(ARMOR)"/>
      <sheetName val="일위목차"/>
      <sheetName val="부하(성남)"/>
      <sheetName val="J直材4"/>
      <sheetName val="설직재-1"/>
      <sheetName val="일위"/>
      <sheetName val="일위대가목록"/>
      <sheetName val="工관리비율"/>
      <sheetName val="일위대가(4층원격)"/>
      <sheetName val="N賃率-職"/>
      <sheetName val="工완성공사율"/>
      <sheetName val="경산"/>
      <sheetName val="터파기및재료"/>
      <sheetName val="9GNG운반"/>
      <sheetName val="설계명세서(전송장비분)"/>
      <sheetName val="총괄내역서_(2)1"/>
      <sheetName val="내역서_(2)1"/>
      <sheetName val="일위대가_(2)1"/>
      <sheetName val="내역산근_(2)1"/>
      <sheetName val="PROJECT_BRIEF1"/>
      <sheetName val="Air-Con_Charging(A)"/>
      <sheetName val="_견적서"/>
      <sheetName val="계화총괄"/>
      <sheetName val="계화배수(3대)"/>
      <sheetName val="단위단가"/>
      <sheetName val="총괄집계표"/>
      <sheetName val="방배동내역(리라)"/>
      <sheetName val="공통가설"/>
      <sheetName val="부대공사총괄"/>
      <sheetName val="현장경비"/>
      <sheetName val="건축공사집계표"/>
      <sheetName val="방배동내역 (총괄)"/>
      <sheetName val="노무비"/>
      <sheetName val="표지"/>
      <sheetName val="PRICES"/>
    </sheetNames>
    <sheetDataSet>
      <sheetData sheetId="0" refreshError="1">
        <row r="4">
          <cell r="D4" t="str">
            <v>대</v>
          </cell>
        </row>
        <row r="5">
          <cell r="D5" t="str">
            <v>대</v>
          </cell>
        </row>
        <row r="7">
          <cell r="D7" t="str">
            <v>대</v>
          </cell>
        </row>
        <row r="8">
          <cell r="D8" t="str">
            <v>대</v>
          </cell>
        </row>
      </sheetData>
      <sheetData sheetId="1"/>
      <sheetData sheetId="2"/>
      <sheetData sheetId="3">
        <row r="3">
          <cell r="D3" t="str">
            <v>식</v>
          </cell>
        </row>
      </sheetData>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refreshError="1"/>
      <sheetData sheetId="60"/>
      <sheetData sheetId="61"/>
      <sheetData sheetId="62" refreshError="1"/>
      <sheetData sheetId="63"/>
      <sheetData sheetId="64" refreshError="1"/>
      <sheetData sheetId="65" refreshError="1"/>
      <sheetData sheetId="66" refreshError="1"/>
      <sheetData sheetId="67"/>
      <sheetData sheetId="68" refreshError="1"/>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비교"/>
      <sheetName val="Sheet2"/>
      <sheetName val="Sheet3"/>
      <sheetName val="Sony Chemical 비교"/>
    </sheetNames>
    <definedNames>
      <definedName name="AAA"/>
      <definedName name="CLOSER"/>
      <definedName name="fg"/>
      <definedName name="_xlbgnm.jak10"/>
      <definedName name="_xlbgnm.jak11"/>
      <definedName name="_xlbgnm.jak12"/>
      <definedName name="_xlbgnm.jak13"/>
      <definedName name="_xlbgnm.jak2"/>
      <definedName name="_xlbgnm.jak3"/>
      <definedName name="_xlbgnm.jak4"/>
      <definedName name="_xlbgnm.jak5"/>
      <definedName name="_xlbgnm.jak6"/>
      <definedName name="_xlbgnm.jak7"/>
      <definedName name="_xlbgnm.jak9"/>
      <definedName name="StartChart"/>
      <definedName name="StartSeller"/>
      <definedName name="견적서2"/>
      <definedName name="국기원"/>
      <definedName name="ㅁㅁㅁ"/>
      <definedName name="멋저"/>
      <definedName name="모빌랙A"/>
      <definedName name="일위대가"/>
      <definedName name="제출"/>
      <definedName name="좋아"/>
      <definedName name="주"/>
      <definedName name="최종"/>
      <definedName name="ㅌㅇㅁ너롬ㅈ"/>
      <definedName name="현대산업"/>
      <definedName name="ㅓㅕㅗㅓ"/>
      <definedName name="ㅡㅡㅡ"/>
    </definedNames>
    <sheetDataSet>
      <sheetData sheetId="0"/>
      <sheetData sheetId="1"/>
      <sheetData sheetId="2"/>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기리스트"/>
      <sheetName val="일위대가(가설)"/>
      <sheetName val="노임이"/>
      <sheetName val="01"/>
      <sheetName val="견적서"/>
      <sheetName val="GI-LIST"/>
      <sheetName val="갑지(추정)"/>
      <sheetName val="견적을지"/>
      <sheetName val="견적대비표"/>
      <sheetName val="갑지"/>
      <sheetName val="1ST"/>
      <sheetName val="#REF"/>
      <sheetName val="금액내역서"/>
      <sheetName val="Y-WORK"/>
      <sheetName val="예정(3)"/>
      <sheetName val="동원(3)"/>
      <sheetName val="갑지1"/>
      <sheetName val="SG"/>
      <sheetName val="금융비용"/>
      <sheetName val="1단계"/>
      <sheetName val="설계내역서"/>
      <sheetName val="LANGUAGE"/>
      <sheetName val="Sheet1"/>
      <sheetName val="Top 10"/>
      <sheetName val="Sheet5"/>
      <sheetName val="축산 기기리스트"/>
      <sheetName val="아수배전(1회)"/>
      <sheetName val="보할공정"/>
      <sheetName val="FORM-0"/>
      <sheetName val="화재 탐지 설비"/>
      <sheetName val="일위대가목차"/>
      <sheetName val="EQT-ESTN"/>
      <sheetName val="일위(PN)"/>
      <sheetName val="계수시트"/>
      <sheetName val="원가계산서"/>
      <sheetName val="가도공"/>
      <sheetName val="JUCKEYK"/>
      <sheetName val="S0"/>
      <sheetName val="대치판정"/>
      <sheetName val="STEEL BOX 단면설계(SEC.8)"/>
      <sheetName val="총괄"/>
      <sheetName val="노임"/>
      <sheetName val="static.cal"/>
      <sheetName val="G.R300경비"/>
      <sheetName val="TARGET"/>
      <sheetName val="산출근거"/>
      <sheetName val="동해title"/>
      <sheetName val="교대시점"/>
      <sheetName val="플랜트 설치"/>
      <sheetName val="ITEM"/>
      <sheetName val="전기일위대가"/>
      <sheetName val="수량산출"/>
      <sheetName val="COVER"/>
      <sheetName val="시설일위"/>
      <sheetName val="NOMUBI"/>
      <sheetName val="자재단가"/>
      <sheetName val="Total"/>
      <sheetName val="경계석"/>
      <sheetName val="가락화장을지"/>
      <sheetName val="tggwan(mac)"/>
      <sheetName val="설계가"/>
      <sheetName val="터파기및재료"/>
      <sheetName val="BID"/>
      <sheetName val="대가수량"/>
      <sheetName val="약품공급2"/>
      <sheetName val="우수공"/>
      <sheetName val="2000전체분"/>
      <sheetName val="2000년1차"/>
      <sheetName val="공량산출서"/>
      <sheetName val="단가"/>
      <sheetName val="삼원"/>
      <sheetName val="그린"/>
      <sheetName val="한창-을"/>
      <sheetName val="내역"/>
      <sheetName val="품셈"/>
      <sheetName val="7.경제성결과"/>
      <sheetName val="내역서"/>
      <sheetName val="프랜트면허"/>
      <sheetName val="토목주소"/>
      <sheetName val="총괄내역서"/>
      <sheetName val="을"/>
      <sheetName val="기둥(원형)"/>
      <sheetName val="제-노임"/>
      <sheetName val="제직재"/>
      <sheetName val="주현(해보)"/>
      <sheetName val="주현(영광)"/>
      <sheetName val="부하계산서"/>
      <sheetName val="유기공정"/>
      <sheetName val="가공비"/>
      <sheetName val="정부노임단가"/>
      <sheetName val="실행철강하도"/>
      <sheetName val="DATA"/>
      <sheetName val="빌딩 안내"/>
      <sheetName val="노임단가"/>
      <sheetName val="Baby일위대가"/>
      <sheetName val="SORCE1"/>
      <sheetName val="도로토적"/>
      <sheetName val="설비"/>
      <sheetName val="EP0618"/>
      <sheetName val="1.설계조건"/>
      <sheetName val="(전기)설계예산서"/>
      <sheetName val="マージン"/>
      <sheetName val="8.PILE  (돌출)"/>
      <sheetName val="여과지동"/>
      <sheetName val="기초자료"/>
      <sheetName val="참조-(1)"/>
      <sheetName val="간접"/>
      <sheetName val="N賃率-職"/>
      <sheetName val="내역(한신APT)"/>
      <sheetName val="설계조건"/>
      <sheetName val="우수"/>
      <sheetName val="산근1,2"/>
      <sheetName val="우각부보강"/>
      <sheetName val="수입"/>
      <sheetName val="본체"/>
      <sheetName val="Sheet2"/>
      <sheetName val="IW_LIST"/>
      <sheetName val="총괄집계표"/>
      <sheetName val="DATE"/>
      <sheetName val="청하배수"/>
      <sheetName val="견적대비"/>
      <sheetName val="인수공규격"/>
      <sheetName val="quotation"/>
      <sheetName val="조명시설"/>
      <sheetName val="단락전류-A"/>
      <sheetName val="산근터빈"/>
      <sheetName val="구성비"/>
      <sheetName val="TYPE-A"/>
      <sheetName val="집계표"/>
      <sheetName val="상반기손익차2총괄"/>
      <sheetName val="입출재고현황 (2)"/>
      <sheetName val="조도계산서 (도서)"/>
      <sheetName val="신우"/>
      <sheetName val="입찰안"/>
      <sheetName val="INPUT"/>
      <sheetName val="날개벽(좌,우=60도-4개)"/>
      <sheetName val="음료실행"/>
      <sheetName val="일위대가(계측기설치)"/>
      <sheetName val="단가 및 재료비"/>
      <sheetName val="단가산출2"/>
      <sheetName val="단가산출1"/>
      <sheetName val="중기사용료산출근거"/>
      <sheetName val="D-623D"/>
      <sheetName val="P3"/>
      <sheetName val="수선계획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약품공급2"/>
      <sheetName val="기기리스트"/>
      <sheetName val="약품설비"/>
      <sheetName val="노임이"/>
      <sheetName val="N賃率-職"/>
      <sheetName val="경비"/>
      <sheetName val="총괄"/>
      <sheetName val="갑지"/>
      <sheetName val="9GNG운반"/>
      <sheetName val="건축집계"/>
      <sheetName val="01"/>
      <sheetName val="Total"/>
      <sheetName val="3.공통공사대비"/>
      <sheetName val="BSD (2)"/>
      <sheetName val="효율계획(당월)"/>
      <sheetName val="전체실적"/>
      <sheetName val="설계내역서"/>
      <sheetName val="을"/>
      <sheetName val="3.자재비(총괄)"/>
      <sheetName val="일위대가(가설)"/>
      <sheetName val="갑지(추정)"/>
      <sheetName val="COVER-P"/>
      <sheetName val="잡비"/>
      <sheetName val="부안변전"/>
      <sheetName val="견적을지"/>
      <sheetName val="견적대비표"/>
      <sheetName val="전기"/>
      <sheetName val="합의경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침사지"/>
      <sheetName val="유입펌프"/>
      <sheetName val="조정조"/>
      <sheetName val="최초침전지"/>
      <sheetName val="포기조"/>
      <sheetName val="송풍기"/>
      <sheetName val="최종침전지"/>
      <sheetName val="UV소독"/>
      <sheetName val="용수공급"/>
      <sheetName val="농축조"/>
      <sheetName val="탈수기"/>
      <sheetName val="탈취설비"/>
      <sheetName val="약품설비"/>
      <sheetName val="약품공급2"/>
      <sheetName val="기기리스트"/>
      <sheetName val="잡비"/>
      <sheetName val="총괄"/>
      <sheetName val="견적대비표"/>
      <sheetName val="9GNG운반"/>
      <sheetName val="일위_파일"/>
      <sheetName val="밸브설치"/>
      <sheetName val="N賃率-職"/>
      <sheetName val="01"/>
      <sheetName val="#REF"/>
      <sheetName val="샘플표지"/>
      <sheetName val="을"/>
      <sheetName val="매립"/>
      <sheetName val="AS-YONG"/>
      <sheetName val="Sheet1"/>
      <sheetName val="에너지동"/>
      <sheetName val="3.자재비(총괄)"/>
      <sheetName val="전기"/>
      <sheetName val="산근터빈"/>
      <sheetName val="단위가격"/>
      <sheetName val="단가보완"/>
      <sheetName val="설계내역서"/>
      <sheetName val="내역서"/>
      <sheetName val="VXXXXX"/>
      <sheetName val="견적서"/>
      <sheetName val="프랜트면허"/>
      <sheetName val="토목주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RNITURE-01"/>
      <sheetName val="FURNITURE-02"/>
      <sheetName val="FURNITURE-03"/>
      <sheetName val="Steelcase-Chair"/>
      <sheetName val="Sheet5"/>
      <sheetName val="0226"/>
      <sheetName val="입찰안"/>
      <sheetName val="공통가설"/>
      <sheetName val="GAEYO"/>
      <sheetName val="약품설비"/>
      <sheetName val="갑지"/>
      <sheetName val="입출재고현황 (2)"/>
      <sheetName val="시멘트"/>
      <sheetName val="XZLC004_PART2"/>
      <sheetName val="C_d"/>
      <sheetName val="토목주소"/>
      <sheetName val="프랜트면허"/>
      <sheetName val="DLJ-F03"/>
      <sheetName val="asd"/>
      <sheetName val="월별수입"/>
      <sheetName val="9GNG운반"/>
      <sheetName val="공정코드"/>
      <sheetName val="공문"/>
      <sheetName val="금액내역서"/>
      <sheetName val="소요자재"/>
      <sheetName val="노무산출서"/>
      <sheetName val="기존단가 (2)"/>
      <sheetName val="입출재고현황_(2)"/>
      <sheetName val="ITEM"/>
      <sheetName val="광혁기성"/>
      <sheetName val="잡비"/>
      <sheetName val="SIHEUNG"/>
      <sheetName val="소비자가"/>
      <sheetName val="I一般比"/>
      <sheetName val="내역총괄"/>
      <sheetName val="내역총괄2"/>
      <sheetName val="내역총괄3"/>
      <sheetName val="기기리스트"/>
      <sheetName val="chitimc"/>
      <sheetName val="약품공급2"/>
    </sheetNames>
    <sheetDataSet>
      <sheetData sheetId="0" refreshError="1">
        <row r="3">
          <cell r="A3" t="str">
            <v>E  S  T  I  M  A  T  E       S  U  M  M  A  R  Y</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1"/>
      <sheetName val="Sheet1"/>
      <sheetName val="단가표"/>
      <sheetName val="직노"/>
      <sheetName val="Sheet5"/>
      <sheetName val="GAEYO"/>
      <sheetName val="공사개요"/>
      <sheetName val="입찰안"/>
      <sheetName val="부속동"/>
      <sheetName val="Customer Databas"/>
      <sheetName val="EACT10"/>
      <sheetName val="재료집계"/>
      <sheetName val="소비자가"/>
      <sheetName val="기계내역"/>
      <sheetName val="시화점실행"/>
      <sheetName val="교통대책내역"/>
      <sheetName val="b_gunmul"/>
      <sheetName val="b_balju (2)"/>
      <sheetName val="간선계산"/>
      <sheetName val="포장복구집계"/>
      <sheetName val="공사수행방안"/>
      <sheetName val="교각1"/>
      <sheetName val="수주실적0709"/>
      <sheetName val="ETC"/>
      <sheetName val="점수계산1-2"/>
      <sheetName val="Summary Sheets"/>
      <sheetName val="수로교총재료집계"/>
      <sheetName val="남양시작동자105노65기1.3화1.2"/>
      <sheetName val="갑지1"/>
      <sheetName val="2F 회의실견적(5_14 일대)"/>
      <sheetName val="FURNITURE-01"/>
      <sheetName val="전선"/>
      <sheetName val="XXXXXX"/>
      <sheetName val="VXXXXX"/>
      <sheetName val="2월1주차"/>
      <sheetName val="공통가설"/>
      <sheetName val="도급"/>
      <sheetName val="조건표"/>
      <sheetName val="업무절차서"/>
      <sheetName val="근로자명부"/>
      <sheetName val="증빙SCAN"/>
      <sheetName val="근로계약서"/>
      <sheetName val="실행예산서"/>
      <sheetName val="작업지시서"/>
      <sheetName val="PIPE"/>
      <sheetName val="FLANGE"/>
      <sheetName val="VALVE"/>
      <sheetName val="단면 (2)"/>
      <sheetName val="경비"/>
      <sheetName val="일위대가표"/>
      <sheetName val="MEMBER"/>
      <sheetName val="일위대가"/>
      <sheetName val="을지"/>
      <sheetName val="광혁기성"/>
      <sheetName val="공통부대비"/>
      <sheetName val="LEGEND"/>
      <sheetName val="연수동"/>
      <sheetName val="ilch"/>
      <sheetName val="차액보증"/>
      <sheetName val="DONGIA"/>
      <sheetName val="CHITIET"/>
      <sheetName val="BSD (2)"/>
      <sheetName val="예산서"/>
      <sheetName val="말뚝물량"/>
      <sheetName val="_x000d__x000a__x000d__x000a__x0000__x0003_"/>
      <sheetName val="내역1"/>
      <sheetName val="JUCK"/>
      <sheetName val="조직"/>
      <sheetName val="ITEM"/>
      <sheetName val="개요"/>
      <sheetName val="quotation"/>
      <sheetName val="9-1차이내역"/>
      <sheetName val="수입"/>
      <sheetName val="Customer_Databas"/>
      <sheetName val="b_balju_(2)"/>
      <sheetName val="Summary_Sheets"/>
      <sheetName val="남양시작동자105노65기1_3화1_2"/>
      <sheetName val="2F_회의실견적(5_14_일대)"/>
      <sheetName val="단면_(2)"/>
      <sheetName val="BSD_(2)"/>
      <sheetName val="_x000a__x000a_"/>
      <sheetName val="_x000a__x000a__x000a__x000a__x0000__x0003_"/>
      <sheetName val="AILC004"/>
      <sheetName val="열린교실"/>
      <sheetName val="선급비용"/>
      <sheetName val="정부노임단가"/>
      <sheetName val="TABLE"/>
      <sheetName val="내역"/>
      <sheetName val="총괄표"/>
      <sheetName val="FB25JN"/>
      <sheetName val="asd"/>
      <sheetName val="표지"/>
      <sheetName val="매입세"/>
      <sheetName val="노무비"/>
      <sheetName val="구의동공내역서"/>
      <sheetName val="실행내역서"/>
      <sheetName val="Customer_Databas1"/>
      <sheetName val="b_balju_(2)1"/>
      <sheetName val="Summary_Sheets1"/>
      <sheetName val="남양시작동자105노65기1_3화1_21"/>
      <sheetName val="2F_회의실견적(5_14_일대)1"/>
      <sheetName val="단면_(2)1"/>
      <sheetName val="BSD_(2)1"/>
      <sheetName val="_x000a__x000a__x000a__x000a_"/>
      <sheetName val="판관"/>
      <sheetName val="B767"/>
      <sheetName val="guard(mac)"/>
      <sheetName val="일위대가목차"/>
      <sheetName val="기계경비(시간당)"/>
      <sheetName val="램머"/>
      <sheetName val="단가 및 재료비"/>
      <sheetName val="슬래브(유곡)"/>
      <sheetName val="예가표"/>
      <sheetName val="#REF"/>
      <sheetName val="SULKEA"/>
      <sheetName val="잔수량(작성)"/>
      <sheetName val="2000년1차"/>
      <sheetName val="청천내"/>
      <sheetName val="Sheet6"/>
      <sheetName val="_x000d__x000a__x000d__x000a_"/>
      <sheetName val="노임이"/>
      <sheetName val="일반전기"/>
      <sheetName val="전차선로 물량표"/>
      <sheetName val="내역서"/>
      <sheetName val="산출내역서집계표"/>
      <sheetName val="산정기준"/>
      <sheetName val="BID"/>
      <sheetName val="총투입계"/>
      <sheetName val="주요항목별"/>
      <sheetName val="단가"/>
      <sheetName val="교각계산"/>
      <sheetName val="DATA"/>
      <sheetName val="진주방향"/>
      <sheetName val="인사자료총집계"/>
      <sheetName val="sort"/>
      <sheetName val="EKOG10건축"/>
      <sheetName val="DESIGN"/>
      <sheetName val="Macro1"/>
      <sheetName val="노임"/>
      <sheetName val="손익분석"/>
      <sheetName val="품셈TABLE"/>
      <sheetName val="품셈표"/>
      <sheetName val="1.설계조건"/>
      <sheetName val="자재단가비교표"/>
      <sheetName val="일위대가목록"/>
      <sheetName val="단가대비표"/>
      <sheetName val="Total"/>
      <sheetName val="매출"/>
      <sheetName val="전압강하계산"/>
      <sheetName val="법면"/>
      <sheetName val="부대공"/>
      <sheetName val="구조물공"/>
      <sheetName val="포장공"/>
      <sheetName val="토공"/>
      <sheetName val="배수공1"/>
      <sheetName val="중기일위대가"/>
      <sheetName val="2. Summary-cash"/>
      <sheetName val="2.주요계수총괄"/>
      <sheetName val="2.Summary-cash"/>
      <sheetName val="INMD1198"/>
      <sheetName val="賃料等一覧"/>
      <sheetName val="Initial Input Variable"/>
      <sheetName val="blocktime"/>
      <sheetName val="Sheet2"/>
      <sheetName val="참조자료"/>
      <sheetName val="20관리비율"/>
      <sheetName val="외주업체발주서(태라)"/>
      <sheetName val="대비표(현설)"/>
      <sheetName val="견적서"/>
      <sheetName val="암거공"/>
      <sheetName val="전력"/>
      <sheetName val="토목주소"/>
      <sheetName val="프랜트면허"/>
      <sheetName val="음료실행"/>
      <sheetName val="Sheet3"/>
      <sheetName val="갑지(추정)"/>
      <sheetName val="예정(3)"/>
      <sheetName val="AS복구"/>
      <sheetName val="중기터파기"/>
      <sheetName val="변수값"/>
      <sheetName val="중기상차"/>
      <sheetName val=" 견적서"/>
      <sheetName val="실행"/>
      <sheetName val="SAKUB"/>
      <sheetName val="_x005f_x000d__x005f_x000a__x005f_x000d__x005f_x000a__x0"/>
      <sheetName val="_x005f_x000a__x005f_x000a_"/>
      <sheetName val="_x005f_x000a__x005f_x000a__x005f_x000a__x005f_x000a__x0"/>
      <sheetName val="_x005f_x000a__x005f_x000a__x005f_x000a__x005f_x000a_"/>
      <sheetName val="월별수입"/>
      <sheetName val="_x000d___x000d__"/>
      <sheetName val="__"/>
      <sheetName val="____"/>
      <sheetName val="_x005f_x000d___x005f_x000d___x005f_x0000__x005f_x0003_"/>
      <sheetName val="_____x005f_x0000__x005f_x0003_"/>
      <sheetName val="_x005f_x000d___x005f_x000d__"/>
      <sheetName val="_x005f_x005f_x005f_x000d__x005f_x005f_x005f_x000a__x005"/>
      <sheetName val="_x005f_x005f_x005f_x000a__x005f_x005f_x005f_x000a_"/>
      <sheetName val="_x005f_x005f_x005f_x000a__x005f_x005f_x005f_x000a__x005"/>
      <sheetName val="준검 내역서"/>
      <sheetName val="을"/>
      <sheetName val="1ST"/>
      <sheetName val="계화배수(3대)"/>
      <sheetName val="기초견적가"/>
      <sheetName val="APT"/>
      <sheetName val="점별(추정)"/>
      <sheetName val="의왕실행"/>
      <sheetName val="21301동"/>
      <sheetName val="SUMMARY"/>
      <sheetName val="PAINT"/>
      <sheetName val="내역서2안"/>
      <sheetName val="1층"/>
      <sheetName val="B2BERP"/>
      <sheetName val="합천내역"/>
      <sheetName val="マスタ"/>
      <sheetName val="재무가정"/>
      <sheetName val="2공구산출내역"/>
      <sheetName val="인원계획-미화"/>
      <sheetName val="Customer_Databas2"/>
      <sheetName val="b_balju_(2)2"/>
      <sheetName val="Summary_Sheets2"/>
      <sheetName val="남양시작동자105노65기1_3화1_22"/>
      <sheetName val="2F_회의실견적(5_14_일대)2"/>
      <sheetName val="단면_(2)2"/>
      <sheetName val="BSD_(2)2"/>
      <sheetName val="전차선로_물량표"/>
      <sheetName val="단가_및_재료비"/>
      <sheetName val="1_설계조건"/>
      <sheetName val="2__Summary-cash"/>
      <sheetName val="2_주요계수총괄"/>
      <sheetName val="2_Summary-cash"/>
      <sheetName val="Initial_Input_Variable"/>
      <sheetName val="_견적서"/>
      <sheetName val="_x000a___x000a__"/>
      <sheetName val="준검_내역서"/>
      <sheetName val="약품공급2"/>
      <sheetName val="약품설비"/>
      <sheetName val="Mc"/>
      <sheetName val="    "/>
      <sheetName val="  "/>
      <sheetName val="토적계산서"/>
      <sheetName val="8.현장관리비"/>
      <sheetName val="TOT"/>
      <sheetName val="AV시스템"/>
      <sheetName val="wall"/>
      <sheetName val="Front"/>
      <sheetName val="견적비교표 AstraZeneca"/>
      <sheetName val="견적비교표 Genoplan"/>
      <sheetName val="Cash Flow"/>
      <sheetName val="Source"/>
      <sheetName val="BDGTCE"/>
      <sheetName val="01"/>
      <sheetName val="2000전체분"/>
      <sheetName val="총누계"/>
      <sheetName val="전기혼잡제경비(45)"/>
      <sheetName val="D16"/>
      <sheetName val="D25"/>
      <sheetName val="D22"/>
      <sheetName val="원가계산"/>
      <sheetName val="잡비"/>
      <sheetName val="P.M 별"/>
      <sheetName val="(갑지)"/>
      <sheetName val="일위_파일"/>
      <sheetName val="견적율"/>
      <sheetName val="수량산출"/>
      <sheetName val="INPUT"/>
      <sheetName val="Sheet4"/>
      <sheetName val="3BL공동구 수량"/>
      <sheetName val="1.동력공사"/>
      <sheetName val="항목(1)"/>
      <sheetName val="BOOK4"/>
      <sheetName val="갑지"/>
      <sheetName val="TEST1.XLS"/>
      <sheetName val="기존단가 (2)"/>
      <sheetName val="IMPEADENCE MAP 취수장"/>
      <sheetName val="견적을지"/>
      <sheetName val="현장지지물물량"/>
      <sheetName val="Y-WORK"/>
      <sheetName val="FOB발"/>
      <sheetName val="잡철물"/>
      <sheetName val="CONCRETE"/>
      <sheetName val="4 LINE"/>
      <sheetName val="7 th"/>
      <sheetName val="견적대비표"/>
      <sheetName val="EJ"/>
      <sheetName val="주관사업"/>
      <sheetName val="BASE"/>
      <sheetName val="원본"/>
      <sheetName val="CATV"/>
      <sheetName val="DANGA"/>
      <sheetName val="_x000d__x000a__x000d__x000a__x0"/>
      <sheetName val="_x000a__x000a__x000a__x000a__x0"/>
      <sheetName val="_x000d___x000d___x0000__x0003_"/>
      <sheetName val="_____x0000__x0003_"/>
      <sheetName val="_x005f_x000d__x005f_x000a__x005"/>
      <sheetName val="_x005f_x000a__x005f_x000a__x005"/>
      <sheetName val=" _ _"/>
      <sheetName val="_x000d___x000d___x0"/>
      <sheetName val="_____x0"/>
      <sheetName val="입력"/>
      <sheetName val="집계"/>
      <sheetName val="자판실행"/>
      <sheetName val="Cover(IF)"/>
      <sheetName val="Prelim"/>
      <sheetName val="Arch"/>
      <sheetName val="Mechanical"/>
      <sheetName val="Electrical"/>
      <sheetName val="견적 조건"/>
      <sheetName val="실행갑지"/>
      <sheetName val="실행을지"/>
      <sheetName val="현설일정표"/>
      <sheetName val="변수"/>
      <sheetName val="dV&amp;Cl"/>
      <sheetName val="CAP"/>
      <sheetName val="R"/>
      <sheetName val="Customer_Databas3"/>
      <sheetName val="b_balju_(2)3"/>
      <sheetName val="Summary_Sheets3"/>
      <sheetName val="남양시작동자105노65기1_3화1_23"/>
      <sheetName val="2F_회의실견적(5_14_일대)3"/>
      <sheetName val="단면_(2)3"/>
      <sheetName val="BSD_(2)3"/>
      <sheetName val="1_설계조건1"/>
      <sheetName val="전차선로_물량표1"/>
      <sheetName val="단가_및_재료비1"/>
      <sheetName val="2__Summary-cash1"/>
      <sheetName val="2_주요계수총괄1"/>
      <sheetName val="2_Summary-cash1"/>
      <sheetName val="Initial_Input_Variable1"/>
      <sheetName val="준검_내역서1"/>
      <sheetName val="_견적서1"/>
      <sheetName val="97년추정손익계산서"/>
      <sheetName val="_x000d_ _x000d_ _x0000__x0003_"/>
      <sheetName val="    _x0000__x0003_"/>
      <sheetName val="_x000d_ _x000d_ "/>
      <sheetName val="공정표"/>
      <sheetName val="터파기및재료"/>
      <sheetName val="우석문틀"/>
      <sheetName val="투자효율분석"/>
      <sheetName val="금액내역서"/>
      <sheetName val="요율"/>
      <sheetName val="_x000a___x000a___x0000__x0003_"/>
      <sheetName val="_x000a___x000a___x0"/>
      <sheetName val="1차 내역서"/>
      <sheetName val="지시단가"/>
      <sheetName val="오산갈곳"/>
      <sheetName val="A-4"/>
      <sheetName val="WORK"/>
      <sheetName val="자재집계표"/>
      <sheetName val="수량산출1"/>
      <sheetName val="자재단가표"/>
      <sheetName val="esc"/>
      <sheetName val="토공총괄집계"/>
      <sheetName val="Cover sheet"/>
      <sheetName val="System furniture"/>
      <sheetName val="Cabinet&amp;CPU Holder"/>
      <sheetName val="Chair"/>
      <sheetName val="Steelcase Fur"/>
      <sheetName val="Steelcase Chair"/>
      <sheetName val="Stelecase Fur - Cabinet"/>
      <sheetName val="원가서"/>
      <sheetName val="단가산출"/>
      <sheetName val="카니발(자105노60)"/>
      <sheetName val="금액집계"/>
      <sheetName val="N賃率-職"/>
      <sheetName val="현장"/>
      <sheetName val="8."/>
      <sheetName val="10."/>
      <sheetName val="5."/>
      <sheetName val="11"/>
      <sheetName val="12."/>
      <sheetName val="14."/>
      <sheetName val="9."/>
      <sheetName val="13"/>
      <sheetName val="7."/>
      <sheetName val="시설물일위"/>
      <sheetName val="    _x0"/>
      <sheetName val="_x000d__x000a__x005"/>
      <sheetName val="_x000a__x000a__x005"/>
      <sheetName val=" _ __x0"/>
      <sheetName val="CODE"/>
      <sheetName val="C"/>
      <sheetName val="실행(ALT1)"/>
      <sheetName val="전기실-1"/>
      <sheetName val="계산내역(설비)"/>
      <sheetName val="데이타"/>
      <sheetName val="평가데이터"/>
      <sheetName val="부대내역"/>
      <sheetName val="물량산출근거"/>
      <sheetName val="토공99-5=2"/>
      <sheetName val="EPro"/>
      <sheetName val="Parameters"/>
      <sheetName val="인테리어세부내역"/>
      <sheetName val="간접비계산"/>
      <sheetName val="전라자금"/>
      <sheetName val="Notes "/>
      <sheetName val="GENERAL"/>
      <sheetName val="unit 4"/>
      <sheetName val="기계내역서"/>
      <sheetName val="Sheet15"/>
      <sheetName val="경산"/>
      <sheetName val="암거날개벽재료집계"/>
      <sheetName val="낙찰표"/>
      <sheetName val="입찰내역 발주처 양식"/>
      <sheetName val="일위대가(가설)"/>
      <sheetName val="설계예산2"/>
      <sheetName val="노임단가"/>
      <sheetName val="Curves"/>
      <sheetName val="Note"/>
      <sheetName val="Heads"/>
      <sheetName val="Tables"/>
      <sheetName val="Page 2"/>
      <sheetName val="Dbase"/>
      <sheetName val="계화배수"/>
      <sheetName val="단양 00 아파트-세부내역"/>
      <sheetName val="c_balju"/>
      <sheetName val="하조서"/>
      <sheetName val="물량"/>
      <sheetName val="MATRLDATA"/>
      <sheetName val="측구집계"/>
      <sheetName val="CTEMCOST"/>
      <sheetName val="단위수량"/>
      <sheetName val="배명(단가)"/>
      <sheetName val="실행철강하도"/>
      <sheetName val="S1B PH2_3차기성내역서_130606-최종.xlsx"/>
      <sheetName val="CAT_5"/>
      <sheetName val="건설"/>
      <sheetName val="EQUIP-H"/>
      <sheetName val="토목"/>
      <sheetName val="골조시행"/>
      <sheetName val="네고율"/>
      <sheetName val="전기공사"/>
      <sheetName val=" K1 노후 UPS 교체 공사 시행건_2라인 5-1라인."/>
      <sheetName val="공사비예산서(토목분)"/>
      <sheetName val="Average PL Rates"/>
      <sheetName val="spec"/>
      <sheetName val="program"/>
      <sheetName val="studbolt no."/>
      <sheetName val="studbolt size"/>
      <sheetName val="item sort no"/>
      <sheetName val="ex"/>
      <sheetName val="투찰표 (-0.831%)"/>
      <sheetName val="삼호추정"/>
      <sheetName val="투찰표"/>
      <sheetName val="결과"/>
      <sheetName val="설계"/>
      <sheetName val="공내역"/>
      <sheetName val="부대원가"/>
      <sheetName val="토1"/>
      <sheetName val="토2"/>
      <sheetName val="철2"/>
      <sheetName val="강교"/>
      <sheetName val="협력(철콘자재)"/>
      <sheetName val="투찰"/>
      <sheetName val="하도급"/>
      <sheetName val="철1"/>
      <sheetName val="구룡-대보(2공)투찰2"/>
      <sheetName val="적현로"/>
      <sheetName val="일위대가내역"/>
      <sheetName val="광주운남을"/>
      <sheetName val="Customer_Databas4"/>
      <sheetName val="b_balju_(2)4"/>
      <sheetName val="Summary_Sheets4"/>
      <sheetName val="남양시작동자105노65기1_3화1_24"/>
      <sheetName val="2F_회의실견적(5_14_일대)4"/>
      <sheetName val="단면_(2)4"/>
      <sheetName val="BSD_(2)4"/>
      <sheetName val="단가_및_재료비2"/>
      <sheetName val="전차선로_물량표2"/>
      <sheetName val="1_설계조건2"/>
      <sheetName val="2__Summary-cash2"/>
      <sheetName val="2_주요계수총괄2"/>
      <sheetName val="2_Summary-cash2"/>
      <sheetName val="Initial_Input_Variable2"/>
      <sheetName val="____1"/>
      <sheetName val="__1"/>
      <sheetName val="_x000a__x000a__x0"/>
      <sheetName val="____2"/>
      <sheetName val="준검_내역서2"/>
      <sheetName val="_견적서2"/>
      <sheetName val="기존단가_(2)"/>
      <sheetName val="IMPEADENCE_MAP_취수장"/>
      <sheetName val="8_현장관리비"/>
      <sheetName val="4_LINE"/>
      <sheetName val="7_th"/>
      <sheetName val="Cash_Flow"/>
      <sheetName val="P_M_별"/>
      <sheetName val="3BL공동구_수량"/>
      <sheetName val="1_동력공사"/>
      <sheetName val="TEST1_XLS"/>
      <sheetName val="_x000a___x000a__1"/>
      <sheetName val="견적_조건"/>
      <sheetName val="Cover_sheet"/>
      <sheetName val="System_furniture"/>
      <sheetName val="Cabinet&amp;CPU_Holder"/>
      <sheetName val="Steelcase_Fur"/>
      <sheetName val="Steelcase_Chair"/>
      <sheetName val="Stelecase_Fur_-_Cabinet"/>
      <sheetName val="1차_내역서"/>
      <sheetName val="설치공사2"/>
      <sheetName val="단가조사"/>
      <sheetName val="_____x01"/>
      <sheetName val="_x000a__x005"/>
      <sheetName val="_____x02"/>
      <sheetName val="8_"/>
      <sheetName val="10_"/>
      <sheetName val="5_"/>
      <sheetName val="12_"/>
      <sheetName val="14_"/>
      <sheetName val="9_"/>
      <sheetName val="7_"/>
      <sheetName val="Notes_"/>
      <sheetName val="unit_4"/>
      <sheetName val="Page_2"/>
      <sheetName val="단양_00_아파트-세부내역"/>
      <sheetName val="S1B_PH2_3차기성내역서_130606-최종_xlsx"/>
      <sheetName val="_K1_노후_UPS_교체_공사_시행건_2라인_5-1라인_"/>
      <sheetName val="입찰내역_발주처_양식"/>
      <sheetName val="관음목장(제출용)자105인97.5"/>
      <sheetName val="BASIC (2)"/>
      <sheetName val="I一般比"/>
      <sheetName val="_x000d_ _x000d_ _x0"/>
      <sheetName val=" _ __x0000__x0003_"/>
      <sheetName val="_x000d_ _x005"/>
      <sheetName val="  _x005"/>
      <sheetName val="_x000a_ _x000a_ _x0000__x0003_"/>
      <sheetName val="장비부하"/>
      <sheetName val="물량산출"/>
      <sheetName val="BREAKDOWN"/>
      <sheetName val="6호기"/>
      <sheetName val="시설일위"/>
      <sheetName val="식재수량표"/>
      <sheetName val="식재일위"/>
      <sheetName val="일반부표"/>
      <sheetName val="유림골조"/>
      <sheetName val="일반관리비"/>
      <sheetName val="표지 (2)"/>
      <sheetName val="조명율표"/>
      <sheetName val="차도조도계산"/>
      <sheetName val="시멘트"/>
      <sheetName val="인제내역"/>
      <sheetName val="소일위대가코드표"/>
      <sheetName val="수목데이타_"/>
      <sheetName val="수목표준대가"/>
      <sheetName val="통장출금액"/>
      <sheetName val="대비표(토공1안)"/>
      <sheetName val="b_balju"/>
      <sheetName val="포장공사"/>
      <sheetName val="대비내역"/>
      <sheetName val="현황CODE"/>
      <sheetName val="NEWDRAW"/>
      <sheetName val="손익현황"/>
      <sheetName val="여흥"/>
      <sheetName val="중갑지"/>
      <sheetName val="공구원가계산"/>
      <sheetName val="부대공Ⅱ"/>
      <sheetName val="P_M_별1"/>
      <sheetName val="3BL공동구_수량1"/>
      <sheetName val="1_동력공사1"/>
      <sheetName val="토적계산"/>
      <sheetName val="sh1"/>
      <sheetName val="설계내역서"/>
      <sheetName val="공문"/>
      <sheetName val="업무일지 및 금액정산"/>
      <sheetName val="투자정리"/>
      <sheetName val="작성불가-지결베이스"/>
      <sheetName val="호환성 보고서"/>
      <sheetName val="S0"/>
      <sheetName val="에너지동"/>
      <sheetName val="CC16-내역서"/>
      <sheetName val="실행간접비용"/>
      <sheetName val="DATE"/>
      <sheetName val="일위"/>
      <sheetName val="직재"/>
      <sheetName val="재집"/>
      <sheetName val="부안일위"/>
      <sheetName val="와동25-3(변경)"/>
      <sheetName val="X17-TOTAL"/>
      <sheetName val="전기"/>
      <sheetName val="손익차9월2"/>
      <sheetName val="간접비"/>
      <sheetName val="간접1"/>
      <sheetName val="카렌스센터계량기설치공사"/>
      <sheetName val="사급자재"/>
      <sheetName val="HP1AMLIST"/>
      <sheetName val="신청서"/>
      <sheetName val="설계명세서"/>
      <sheetName val="일위(PN)"/>
      <sheetName val="AHU집계"/>
      <sheetName val="공조기휀"/>
      <sheetName val="공조기"/>
      <sheetName val="영업.일1"/>
      <sheetName val="EQT-ESTN"/>
      <sheetName val="견"/>
      <sheetName val="전계가"/>
      <sheetName val="copy"/>
      <sheetName val="서식"/>
      <sheetName val="COST"/>
      <sheetName val="지수"/>
      <sheetName val="화재 탐지 설비"/>
      <sheetName val="2.대외공문"/>
      <sheetName val="총괄"/>
      <sheetName val="식재인부"/>
      <sheetName val="빙장비사양"/>
      <sheetName val="장비사양"/>
      <sheetName val="관람석제출"/>
      <sheetName val="마산월령동골조물량변경"/>
      <sheetName val="예산명세서"/>
      <sheetName val="자료입력"/>
      <sheetName val="Interest"/>
      <sheetName val="S&amp;R"/>
      <sheetName val="내역서(갑지)"/>
      <sheetName val="Rent Roll"/>
      <sheetName val="BP Summary"/>
      <sheetName val="36신설수량"/>
      <sheetName val="Variable"/>
      <sheetName val="Balance"/>
      <sheetName val="DETBIL"/>
      <sheetName val="  _x0"/>
      <sheetName val="Comm Comparison"/>
      <sheetName val="Comm Rpt Income"/>
      <sheetName val="Comm Rpt Recoveries"/>
      <sheetName val="Comm Rpt Tenant Cap Ex"/>
      <sheetName val="Assumptions"/>
      <sheetName val="특별교실"/>
      <sheetName val="기초단가"/>
      <sheetName val="Cover"/>
      <sheetName val="Estimate-L"/>
      <sheetName val="Estimate-M"/>
      <sheetName val="gtrinh"/>
      <sheetName val="품목별"/>
      <sheetName val="데이터 입력장"/>
      <sheetName val=" _ _1"/>
      <sheetName val=" _x005"/>
      <sheetName val="TEL"/>
      <sheetName val="System_furni_x0000__x0000_Ԁ_x0000_"/>
      <sheetName val="CAPVC"/>
      <sheetName val="실행내역서 "/>
      <sheetName val="SP-B1"/>
      <sheetName val="_x005f_x000d__x000a__x005f_x000d__x000a__x005f_x0000__x005f_x0003_"/>
      <sheetName val="_x000a__x000a__x000a__x000a__x005f_x0000__x005f_x0003_"/>
      <sheetName val="실행(표지,갑,을)"/>
      <sheetName val="_x005f_x005f_x005f_x000d__x005f_x000a__x005f_x005f_x000"/>
      <sheetName val="버스운행안내"/>
      <sheetName val="예방접종계획"/>
      <sheetName val="근태계획서"/>
      <sheetName val="기안"/>
      <sheetName val="개산공사비"/>
      <sheetName val="성신"/>
      <sheetName val="현장관리비"/>
      <sheetName val="실행내역"/>
      <sheetName val="대구"/>
      <sheetName val="구미"/>
      <sheetName val="_x000a_ _x000a_ "/>
      <sheetName val="_x000a_ _x000a_ _x0"/>
      <sheetName val="_x000a_ _x005"/>
      <sheetName val="CodeTable"/>
      <sheetName val="사업자등록번호"/>
      <sheetName val="berlin"/>
      <sheetName val="FS"/>
      <sheetName val=""/>
      <sheetName val="M-EQPT-Z"/>
      <sheetName val="횡배수관토공수량"/>
      <sheetName val="정렬"/>
      <sheetName val="System_furni"/>
      <sheetName val="_x005f_x000d__x000a__x000"/>
      <sheetName val="투찰표 (-0׃⼫_x0000__x0000_ﹰ_x0000_"/>
      <sheetName val="투찰표 (-0_x0010__x0000_쯐ڋ׃⾈"/>
      <sheetName val="Personnel"/>
      <sheetName val="판매46"/>
      <sheetName val="기초1"/>
      <sheetName val="기초"/>
      <sheetName val="\\강동호\강동호\MSOFFICE\EXCEL\EXAMPL"/>
      <sheetName val="건축내역서"/>
      <sheetName val="System_furn_x0000__x0000_Ԁ_x0000_뀀"/>
      <sheetName val="System_furn_x0000__x0000_Ԁ_x0000_"/>
      <sheetName val="System_furn_x0000__x0000_Ԁ_x0000_ꀀ"/>
      <sheetName val="System_furn_x0000__x0000_Ԁ_x0000_　"/>
      <sheetName val="ITEM입력"/>
      <sheetName val="분석가정"/>
      <sheetName val="Comm_Comparison"/>
      <sheetName val="Comm_Rpt_Income"/>
      <sheetName val="Comm_Rpt_Recoveries"/>
      <sheetName val="Comm_Rpt_Tenant_Cap_Ex"/>
      <sheetName val="수정시산표"/>
      <sheetName val="습식공내역"/>
      <sheetName val="갑지.을부"/>
      <sheetName val="LBD "/>
      <sheetName val="EQUIPMENT -2"/>
      <sheetName val="내역기준"/>
      <sheetName val="날개벽수량표"/>
      <sheetName val="신표지1"/>
      <sheetName val="__________MSOFFICE_EXCEL_EXAM_2"/>
      <sheetName val="BillTemplate"/>
      <sheetName val="Rückstände-rent arrears"/>
      <sheetName val="Summery"/>
      <sheetName val="Financials"/>
      <sheetName val="Control Page"/>
      <sheetName val="대차대조"/>
      <sheetName val="A-Property"/>
      <sheetName val="A-UW1"/>
      <sheetName val="A-General"/>
      <sheetName val="_x000d__x000a__x000d__x000a_?_x0003_"/>
      <sheetName val="_x000a__x000a__x000a__x000a_?_x0003_"/>
      <sheetName val="정보"/>
      <sheetName val="토공(우물통,기타) "/>
      <sheetName val="C1ㅇ"/>
      <sheetName val="8-1차이내역"/>
      <sheetName val="10-3월별수입"/>
      <sheetName val="FND3"/>
      <sheetName val="UG1"/>
      <sheetName val="TRENCH"/>
      <sheetName val="_x000d_ _x000"/>
      <sheetName val="투찰표 (-0׃⼫"/>
      <sheetName val="_x000d_ _x000d_ _뫰જ"/>
      <sheetName val="_x000d_ _x000d_ __x0010__x0000_"/>
      <sheetName val="[TEST1.XLS][TEST1.XLS][TEST1.XL"/>
      <sheetName val="갑지(인테리어)"/>
      <sheetName val="인테리어 내역서"/>
      <sheetName val="OA,이동가구"/>
      <sheetName val="OPTION"/>
      <sheetName val="__________MSOFFICE_EXCEL_EXAM_3"/>
      <sheetName val="예비품"/>
      <sheetName val="부영5블럭-1"/>
      <sheetName val="소업1교"/>
      <sheetName val="사용자정의"/>
      <sheetName val="토공(완충)"/>
      <sheetName val="제품표준규격"/>
      <sheetName val="FAB별"/>
      <sheetName val="투찰표 (-0_x0010_"/>
      <sheetName val="System_furn"/>
      <sheetName val="원가계산서"/>
      <sheetName val="견적내역서"/>
      <sheetName val="T1"/>
      <sheetName val="System_furn¬_x0000_Ԁ_x0000_瀀"/>
      <sheetName val="투찰표 (-0_x0000__x0000__x0005__x0000_碠㩗"/>
      <sheetName val="설산1.나"/>
      <sheetName val="본사S"/>
      <sheetName val="본체"/>
      <sheetName val="공용정보"/>
      <sheetName val="워크오더갑지"/>
      <sheetName val="WO갑지"/>
      <sheetName val="견적갑지"/>
      <sheetName val="적용단가자료"/>
      <sheetName val="CABLE 산출서"/>
      <sheetName val="TRAY 산출서"/>
      <sheetName val="일위대가 TRAY Hanger"/>
      <sheetName val="금호"/>
      <sheetName val="2002하반기노임기준"/>
      <sheetName val="__________MSOFFICE_EXCEL_EXAM_4"/>
      <sheetName val="투찰표 (-0._xda30_朖U"/>
      <sheetName val="투찰표 (-0."/>
      <sheetName val="투찰표 (-0._xda30_朖U_x0000_ꉊ"/>
      <sheetName val="투찰표 (-0._x0000__x0000_ﾈɚ萹"/>
      <sheetName val="System_furni¬_x0000__x0000__x0000_"/>
      <sheetName val="__________MSOFFICE_EXCEL_EXAM_5"/>
      <sheetName val="Customer_Databas5"/>
      <sheetName val="b_balju_(2)5"/>
      <sheetName val="Summary_Sheets5"/>
      <sheetName val="남양시작동자105노65기1_3화1_25"/>
      <sheetName val="2F_회의실견적(5_14_일대)5"/>
      <sheetName val="단면_(2)5"/>
      <sheetName val="BSD_(2)5"/>
      <sheetName val="1_설계조건3"/>
      <sheetName val="전차선로_물량표3"/>
      <sheetName val="단가_및_재료비3"/>
      <sheetName val="2__Summary-cash3"/>
      <sheetName val="2_주요계수총괄3"/>
      <sheetName val="2_Summary-cash3"/>
      <sheetName val="Initial_Input_Variable3"/>
      <sheetName val="준검_내역서3"/>
      <sheetName val="_견적서3"/>
      <sheetName val="____3"/>
      <sheetName val="__2"/>
      <sheetName val="8_현장관리비1"/>
      <sheetName val="P_M_별2"/>
      <sheetName val="3BL공동구_수량2"/>
      <sheetName val="1_동력공사2"/>
      <sheetName val="TEST1_XLS1"/>
      <sheetName val="Cash_Flow1"/>
      <sheetName val="기존단가_(2)1"/>
      <sheetName val="IMPEADENCE_MAP_취수장1"/>
      <sheetName val="4_LINE1"/>
      <sheetName val="7_th1"/>
      <sheetName val="____4"/>
      <sheetName val="견적_조건1"/>
      <sheetName val="1차_내역서1"/>
      <sheetName val="_____x03"/>
      <sheetName val="_____x04"/>
      <sheetName val="Cover_sheet1"/>
      <sheetName val="System_furniture1"/>
      <sheetName val="Cabinet&amp;CPU_Holder1"/>
      <sheetName val="Steelcase_Fur1"/>
      <sheetName val="Steelcase_Chair1"/>
      <sheetName val="Stelecase_Fur_-_Cabinet1"/>
      <sheetName val="Notes_1"/>
      <sheetName val="8_1"/>
      <sheetName val="10_1"/>
      <sheetName val="5_1"/>
      <sheetName val="12_1"/>
      <sheetName val="14_1"/>
      <sheetName val="9_1"/>
      <sheetName val="7_1"/>
      <sheetName val="unit_41"/>
      <sheetName val="입찰내역_발주처_양식1"/>
      <sheetName val="Page_21"/>
      <sheetName val="단양_00_아파트-세부내역1"/>
      <sheetName val="S1B_PH2_3차기성내역서_130606-최종_xlsx1"/>
      <sheetName val="_K1_노후_UPS_교체_공사_시행건_2라인_5-1라인1"/>
      <sheetName val="Average_PL_Rates"/>
      <sheetName val="투찰표_(-0_831%)"/>
      <sheetName val="관음목장(제출용)자105인97_5"/>
      <sheetName val="BASIC_(2)"/>
      <sheetName val="_x000a___x000a___x01"/>
      <sheetName val="_x000a___x005"/>
      <sheetName val="___x005"/>
      <sheetName val="studbolt_no_"/>
      <sheetName val="studbolt_size"/>
      <sheetName val="item_sort_no"/>
      <sheetName val="표지_(2)"/>
      <sheetName val="업무일지_및_금액정산"/>
      <sheetName val="호환성_보고서"/>
      <sheetName val="영업_일1"/>
      <sheetName val="화재_탐지_설비"/>
      <sheetName val="2_대외공문"/>
      <sheetName val="Rent_Roll"/>
      <sheetName val="BP_Summary"/>
      <sheetName val="___x0"/>
      <sheetName val="Comm_Comparison1"/>
      <sheetName val="Comm_Rpt_Income1"/>
      <sheetName val="Comm_Rpt_Recoveries1"/>
      <sheetName val="Comm_Rpt_Tenant_Cap_Ex1"/>
      <sheetName val="데이터_입력장"/>
      <sheetName val="____11"/>
      <sheetName val="__x005"/>
      <sheetName val="실행내역서_"/>
      <sheetName val="_x000a___x000a__2"/>
      <sheetName val="견적비교표_AstraZeneca"/>
      <sheetName val="견적비교표_Genoplan"/>
      <sheetName val="투찰표_(-0׃⼫ﹰ"/>
      <sheetName val="투찰표_(-0쯐ڋ׃⾈"/>
      <sheetName val="갑지_을부"/>
      <sheetName val="LBD_"/>
      <sheetName val="EQUIPMENT_-2"/>
      <sheetName val="Rückstände-rent_arrears"/>
      <sheetName val="Control_Page"/>
      <sheetName val="_x000a__x000a_?"/>
      <sheetName val="_x000a__x000a__x000a__x000a_?"/>
      <sheetName val="토공(우물통,기타)_"/>
      <sheetName val="_x000a___x000"/>
      <sheetName val="투찰표_(-0׃⼫"/>
      <sheetName val="금액"/>
      <sheetName val="실행보고"/>
      <sheetName val="3.공통공사대비"/>
      <sheetName val="전차선로_물Ꮘ춦砀"/>
      <sheetName val="_x005f_x000d__x005f_x000a__x005f_x000d__x005f_x000a_"/>
      <sheetName val="_x005f_x005f_x005f_x000d___x005f_x005f_x005f_x000d___x0"/>
      <sheetName val="_____x005f_x005f_x005f_x0000__x005f_x005f_x005f_x0003_"/>
      <sheetName val="_x005f_x005f_x005f_x000d___x005f_x005f_x005f_x000d__"/>
      <sheetName val="_x005f_x005f_x005f_x005f_x005f_x005f_x005f_x000d__x005f"/>
      <sheetName val="_x005f_x005f_x005f_x005f_x005f_x005f_x005f_x000a__x005f"/>
      <sheetName val="_x005f_x000d_ _x005f_x000d_ _x005f_x0000__x005f_x0003_"/>
      <sheetName val="    _x005f_x0000__x005f_x0003_"/>
      <sheetName val="_x005f_x000d_ _x005f_x000d_ "/>
      <sheetName val="_x005f_x000d___x005f_x000d___x0"/>
      <sheetName val="_x005f_x000a___x005f_x000a__"/>
      <sheetName val="_x005f_x000a___x005f_x000a___x005f_x0000__x005f_x0003_"/>
      <sheetName val="_x005f_x000a___x005f_x000a___x0"/>
      <sheetName val="S1B PH2_3차기성내역서_1306_x0000__x0000_Ԁ_x0000_⩂㦑_x0002__x0000__x0000_"/>
      <sheetName val="건축원가"/>
      <sheetName val="소요자재"/>
      <sheetName val="정산내역서"/>
      <sheetName val="98수문일위"/>
      <sheetName val="System_furn¬"/>
      <sheetName val="투찰표 (-0"/>
      <sheetName val="S1B PH2_3차기성내역서_1306"/>
    </sheetNames>
    <definedNames>
      <definedName name="BringUserToAboutSheet"/>
      <definedName name="BringUserToCode"/>
      <definedName name="StartChart"/>
      <definedName name="StartSeller"/>
    </defined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sheetData sheetId="370"/>
      <sheetData sheetId="371"/>
      <sheetData sheetId="372"/>
      <sheetData sheetId="373"/>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refreshError="1"/>
      <sheetData sheetId="475"/>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sheetData sheetId="681" refreshError="1"/>
      <sheetData sheetId="682" refreshError="1"/>
      <sheetData sheetId="683" refreshError="1"/>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sheetData sheetId="713" refreshError="1"/>
      <sheetData sheetId="714" refreshError="1"/>
      <sheetData sheetId="715" refreshError="1"/>
      <sheetData sheetId="716"/>
      <sheetData sheetId="717"/>
      <sheetData sheetId="718"/>
      <sheetData sheetId="719"/>
      <sheetData sheetId="720"/>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sheetData sheetId="731"/>
      <sheetData sheetId="732" refreshError="1"/>
      <sheetData sheetId="733" refreshError="1"/>
      <sheetData sheetId="734" refreshError="1"/>
      <sheetData sheetId="735" refreshError="1"/>
      <sheetData sheetId="736" refreshError="1"/>
      <sheetData sheetId="737" refreshError="1"/>
      <sheetData sheetId="738" refreshError="1"/>
      <sheetData sheetId="739"/>
      <sheetData sheetId="740"/>
      <sheetData sheetId="741"/>
      <sheetData sheetId="742"/>
      <sheetData sheetId="743"/>
      <sheetData sheetId="744"/>
      <sheetData sheetId="745"/>
      <sheetData sheetId="746" refreshError="1"/>
      <sheetData sheetId="747" refreshError="1"/>
      <sheetData sheetId="748"/>
      <sheetData sheetId="749" refreshError="1"/>
      <sheetData sheetId="750" refreshError="1"/>
      <sheetData sheetId="751" refreshError="1"/>
      <sheetData sheetId="752" refreshError="1"/>
      <sheetData sheetId="753" refreshError="1"/>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소비자가"/>
      <sheetName val="공통가설"/>
      <sheetName val="교통대책내역"/>
      <sheetName val="손익현황"/>
      <sheetName val="현황CODE"/>
      <sheetName val="분석"/>
      <sheetName val="EKOG10건축"/>
      <sheetName val="일위대가목차"/>
      <sheetName val="조경"/>
      <sheetName val="갑지(추정)"/>
      <sheetName val="내역서"/>
      <sheetName val="일위대가"/>
      <sheetName val="FB25JN"/>
      <sheetName val="내역서 제출"/>
      <sheetName val="hvac(제어동)"/>
      <sheetName val="전기일위대가"/>
      <sheetName val="현장지지물물량"/>
      <sheetName val="노임단가"/>
      <sheetName val="표지"/>
      <sheetName val="실행"/>
      <sheetName val="을"/>
      <sheetName val="대비내역"/>
      <sheetName val="BOQ건축"/>
      <sheetName val="다원(ZENECA)"/>
      <sheetName val="1-1"/>
      <sheetName val="Sheet5"/>
      <sheetName val="노임이"/>
      <sheetName val="COPING"/>
      <sheetName val="Material U.P"/>
      <sheetName val="내역"/>
      <sheetName val="미장"/>
      <sheetName val="철골"/>
      <sheetName val="GAEYO"/>
      <sheetName val="금액내역서"/>
      <sheetName val="Total"/>
      <sheetName val="내역서_제출"/>
      <sheetName val="본선 토공 분배표"/>
      <sheetName val="정부노임단가"/>
      <sheetName val="1ST"/>
      <sheetName val="Material_U_P"/>
      <sheetName val="Y-WORK"/>
      <sheetName val="INPUT"/>
      <sheetName val="6호기"/>
      <sheetName val="danga"/>
      <sheetName val="ilch"/>
      <sheetName val="부속동"/>
      <sheetName val="Data"/>
      <sheetName val="내역서_제출1"/>
      <sheetName val="Material_U_P1"/>
      <sheetName val="copy"/>
      <sheetName val="서식"/>
      <sheetName val="주경기-오배수"/>
      <sheetName val="건축"/>
      <sheetName val="물량표S"/>
      <sheetName val="물량표(신)"/>
      <sheetName val="DI1"/>
      <sheetName val="단가"/>
      <sheetName val="미드수량"/>
      <sheetName val="말뚝지지력산정"/>
      <sheetName val="건축집계"/>
      <sheetName val="데이타"/>
      <sheetName val="식재인부"/>
      <sheetName val="T1"/>
      <sheetName val="평형공사비"/>
      <sheetName val=" 냉각수펌프"/>
      <sheetName val="본선_토공_분배표"/>
      <sheetName val="Sheet1"/>
      <sheetName val="wall"/>
      <sheetName val="CAPVC"/>
      <sheetName val="골조시행"/>
      <sheetName val="내역서 "/>
      <sheetName val="h-013211-2"/>
      <sheetName val="카렌스센터계량기설치공사"/>
      <sheetName val="48평형"/>
      <sheetName val="62평형"/>
      <sheetName val="plan&amp;section of foundation"/>
      <sheetName val="design criteria"/>
      <sheetName val="#REF"/>
      <sheetName val="조명시설"/>
      <sheetName val="FD"/>
      <sheetName val="직노"/>
      <sheetName val="기둥(원형)"/>
      <sheetName val="일위대가 "/>
      <sheetName val="백암비스타내역"/>
      <sheetName val="견적"/>
      <sheetName val="자료"/>
      <sheetName val="집계표"/>
      <sheetName val="적용률"/>
      <sheetName val="AP1"/>
      <sheetName val="CIVIL"/>
      <sheetName val="TONG HOP VL-NC TT"/>
      <sheetName val="CHITIET VL-NC-TT -1p"/>
      <sheetName val="TDTKP1"/>
      <sheetName val="KPVC-BD "/>
      <sheetName val="2.야탑"/>
      <sheetName val="갑지1"/>
      <sheetName val="설계예산서"/>
      <sheetName val="예산내역서"/>
      <sheetName val="신우"/>
      <sheetName val="부대대비"/>
      <sheetName val="냉연집계"/>
      <sheetName val="단"/>
      <sheetName val="I.설계조건"/>
      <sheetName val="FRP내역서"/>
      <sheetName val="기계설비"/>
      <sheetName val="TB-내역서"/>
      <sheetName val="Customer Databas"/>
      <sheetName val="FURNITURE-01"/>
      <sheetName val="갑지"/>
      <sheetName val="asd"/>
      <sheetName val="약품공급2"/>
      <sheetName val="입력"/>
      <sheetName val="집계"/>
      <sheetName val="견적서"/>
      <sheetName val="소일위대가코드표"/>
      <sheetName val="단면가정"/>
      <sheetName val="DEF"/>
      <sheetName val="Summary"/>
      <sheetName val="99노임기준"/>
      <sheetName val="공사원가계산서"/>
      <sheetName val="입찰안"/>
      <sheetName val="연돌일위집계"/>
      <sheetName val="Front"/>
      <sheetName val="세부내역"/>
      <sheetName val="Sheet3"/>
      <sheetName val="월별손익"/>
      <sheetName val="내역서_제출2"/>
      <sheetName val="Material_U_P2"/>
      <sheetName val="본선_토공_분배표1"/>
      <sheetName val="_냉각수펌프"/>
      <sheetName val="내역서_"/>
      <sheetName val="plan&amp;section_of_foundation"/>
      <sheetName val="design_criteria"/>
      <sheetName val="일위대가_"/>
      <sheetName val="2_야탑"/>
      <sheetName val="TONG_HOP_VL-NC_TT"/>
      <sheetName val="CHITIET_VL-NC-TT_-1p"/>
      <sheetName val="KPVC-BD_"/>
      <sheetName val="작업자명단"/>
      <sheetName val="건축공사실행"/>
      <sheetName val="admin"/>
      <sheetName val="Breakdown"/>
      <sheetName val="UnitRate"/>
      <sheetName val="본장"/>
      <sheetName val="공통비(전체)"/>
      <sheetName val="예산서"/>
      <sheetName val="Apt내역"/>
      <sheetName val="표지 (2)"/>
      <sheetName val="guard(mac)"/>
      <sheetName val="설직재-1"/>
      <sheetName val="DATA1"/>
      <sheetName val="Æo°¡±aAØ"/>
      <sheetName val="9609Aß"/>
      <sheetName val="LD"/>
      <sheetName val="기계내역"/>
      <sheetName val="저"/>
      <sheetName val="MOTOR"/>
      <sheetName val="P3"/>
      <sheetName val="시멘트"/>
      <sheetName val="1차 내역서"/>
      <sheetName val="내역서_제출3"/>
      <sheetName val="Material_U_P3"/>
      <sheetName val="본선_토공_분배표2"/>
      <sheetName val="_냉각수펌프1"/>
      <sheetName val="내역서_1"/>
      <sheetName val="plan&amp;section_of_foundation1"/>
      <sheetName val="design_criteria1"/>
      <sheetName val="일위대가_1"/>
      <sheetName val="TONG_HOP_VL-NC_TT1"/>
      <sheetName val="CHITIET_VL-NC-TT_-1p1"/>
      <sheetName val="KPVC-BD_1"/>
      <sheetName val="2_야탑1"/>
      <sheetName val="I_설계조건"/>
      <sheetName val="Customer_Databas"/>
      <sheetName val="표지_(2)"/>
      <sheetName val="내역서_제출4"/>
      <sheetName val="Material_U_P4"/>
      <sheetName val="본선_토공_분배표3"/>
      <sheetName val="_냉각수펌프2"/>
      <sheetName val="내역서_2"/>
      <sheetName val="plan&amp;section_of_foundation2"/>
      <sheetName val="design_criteria2"/>
      <sheetName val="일위대가_2"/>
      <sheetName val="TONG_HOP_VL-NC_TT2"/>
      <sheetName val="CHITIET_VL-NC-TT_-1p2"/>
      <sheetName val="KPVC-BD_2"/>
      <sheetName val="2_야탑2"/>
      <sheetName val="I_설계조건1"/>
      <sheetName val="Customer_Databas1"/>
      <sheetName val="표지_(2)1"/>
      <sheetName val="연령현황"/>
      <sheetName val="비용"/>
      <sheetName val="일반공사"/>
      <sheetName val="직공비"/>
      <sheetName val="내역서_제출5"/>
      <sheetName val="Material_U_P5"/>
      <sheetName val="본선_토공_분배표4"/>
      <sheetName val="내역서_3"/>
      <sheetName val="_냉각수펌프3"/>
      <sheetName val="plan&amp;section_of_foundation3"/>
      <sheetName val="design_criteria3"/>
      <sheetName val="일위대가_3"/>
      <sheetName val="2_야탑3"/>
      <sheetName val="TONG_HOP_VL-NC_TT3"/>
      <sheetName val="CHITIET_VL-NC-TT_-1p3"/>
      <sheetName val="KPVC-BD_3"/>
      <sheetName val="I_설계조건2"/>
      <sheetName val="Customer_Databas2"/>
      <sheetName val="표지_(2)2"/>
      <sheetName val="1차_내역서"/>
      <sheetName val="BSD (2)"/>
      <sheetName val="견적대비 견적서"/>
      <sheetName val="내역서_제출6"/>
      <sheetName val="Material_U_P6"/>
      <sheetName val="본선_토공_분배표5"/>
      <sheetName val="_냉각수펌프4"/>
      <sheetName val="내역서_4"/>
      <sheetName val="plan&amp;section_of_foundation4"/>
      <sheetName val="design_criteria4"/>
      <sheetName val="일위대가_4"/>
      <sheetName val="2_야탑4"/>
      <sheetName val="TONG_HOP_VL-NC_TT4"/>
      <sheetName val="CHITIET_VL-NC-TT_-1p4"/>
      <sheetName val="KPVC-BD_4"/>
      <sheetName val="I_설계조건3"/>
      <sheetName val="Customer_Databas3"/>
      <sheetName val="표지_(2)3"/>
      <sheetName val="1차_내역서1"/>
      <sheetName val="내역서_제출7"/>
      <sheetName val="Material_U_P7"/>
      <sheetName val="본선_토공_분배표6"/>
      <sheetName val="_냉각수펌프5"/>
      <sheetName val="내역서_5"/>
      <sheetName val="plan&amp;section_of_foundation5"/>
      <sheetName val="design_criteria5"/>
      <sheetName val="일위대가_5"/>
      <sheetName val="TONG_HOP_VL-NC_TT5"/>
      <sheetName val="CHITIET_VL-NC-TT_-1p5"/>
      <sheetName val="KPVC-BD_5"/>
      <sheetName val="2_야탑5"/>
      <sheetName val="I_설계조건4"/>
      <sheetName val="Customer_Databas4"/>
      <sheetName val="표지_(2)4"/>
      <sheetName val="1차_내역서2"/>
      <sheetName val="BSD_(2)"/>
      <sheetName val="견적대비_견적서"/>
      <sheetName val="내역서_제출8"/>
      <sheetName val="Material_U_P8"/>
      <sheetName val="본선_토공_분배표7"/>
      <sheetName val="내역서_6"/>
      <sheetName val="_냉각수펌프6"/>
      <sheetName val="plan&amp;section_of_foundation6"/>
      <sheetName val="design_criteria6"/>
      <sheetName val="일위대가_6"/>
      <sheetName val="2_야탑6"/>
      <sheetName val="TONG_HOP_VL-NC_TT6"/>
      <sheetName val="CHITIET_VL-NC-TT_-1p6"/>
      <sheetName val="KPVC-BD_6"/>
      <sheetName val="I_설계조건5"/>
      <sheetName val="Customer_Databas5"/>
      <sheetName val="표지_(2)5"/>
      <sheetName val="1차_내역서3"/>
      <sheetName val="BSD_(2)1"/>
      <sheetName val="견적대비_견적서1"/>
      <sheetName val="Tables"/>
      <sheetName val="I一般比"/>
      <sheetName val="VENT"/>
      <sheetName val="일위"/>
      <sheetName val="경율산정.XLS"/>
      <sheetName val="제-노임"/>
      <sheetName val="제직재"/>
      <sheetName val="J直材4"/>
      <sheetName val="목차"/>
      <sheetName val="1.우편집중내역서"/>
      <sheetName val="제품"/>
      <sheetName val="N賃率-職"/>
      <sheetName val="20관리비율"/>
      <sheetName val="공사현황"/>
      <sheetName val="7단가"/>
      <sheetName val="원본(갑지)"/>
      <sheetName val="대비표(토공1안)"/>
      <sheetName val="경비2내역"/>
      <sheetName val="빗물받이(910-510-410)"/>
      <sheetName val="집수정(600-700)"/>
      <sheetName val="토목공사"/>
      <sheetName val="총물량"/>
      <sheetName val="1월"/>
      <sheetName val="설계"/>
      <sheetName val="토목"/>
      <sheetName val="분석표_아파트동"/>
      <sheetName val="분석표_부속동"/>
      <sheetName val="단가대비표"/>
      <sheetName val="일위대가목록"/>
      <sheetName val="일반부표"/>
      <sheetName val="정보"/>
      <sheetName val="코드"/>
      <sheetName val="공사개요"/>
      <sheetName val="공사비"/>
      <sheetName val="경비"/>
      <sheetName val="입력1"/>
      <sheetName val="내역1"/>
      <sheetName val="맨홀수량산출"/>
      <sheetName val="을-ATYPE"/>
      <sheetName val="분전함신설"/>
      <sheetName val="접지1종"/>
      <sheetName val="인사자료총집계"/>
      <sheetName val="기본사항"/>
      <sheetName val="견적내역"/>
      <sheetName val="도급실행(본관-주차장)"/>
      <sheetName val="마산월령동골조물량변경"/>
      <sheetName val="납부서"/>
      <sheetName val="기본일위"/>
      <sheetName val="노무산출서"/>
      <sheetName val="총괄갑 "/>
      <sheetName val="샤워실위생"/>
      <sheetName val="Sheet1 (2)"/>
      <sheetName val="Sheet4"/>
      <sheetName val="노무비단가"/>
      <sheetName val="형틀공사"/>
      <sheetName val="단가 및 재료비"/>
      <sheetName val="부재리스트"/>
      <sheetName val="상반기손익차2총괄"/>
      <sheetName val="기초자료입력"/>
      <sheetName val="하수급견적대비"/>
      <sheetName val="설계명세서"/>
      <sheetName val="환산"/>
      <sheetName val="노임"/>
      <sheetName val="국내조달(통합-1)"/>
      <sheetName val="호표"/>
      <sheetName val="수입"/>
      <sheetName val="자재 DB LIST"/>
      <sheetName val="새공통"/>
      <sheetName val="총괄갑_"/>
      <sheetName val="Sheet1_(2)"/>
      <sheetName val="경산"/>
      <sheetName val="노임단가 (2)"/>
      <sheetName val="개산공사비"/>
      <sheetName val="0000"/>
      <sheetName val="자재단가"/>
      <sheetName val="회사정보"/>
      <sheetName val="공사내역"/>
      <sheetName val="일용직내역"/>
      <sheetName val="."/>
      <sheetName val="업체명"/>
      <sheetName val="관리"/>
      <sheetName val="가격조사서"/>
      <sheetName val="본공사"/>
      <sheetName val="tggwan(mac)"/>
      <sheetName val="Setup"/>
      <sheetName val="금융비용"/>
      <sheetName val="날개벽수량표"/>
      <sheetName val="2공구산출내역"/>
      <sheetName val="TOWER 10TON"/>
      <sheetName val="48수량"/>
      <sheetName val="49일위"/>
      <sheetName val="49수량"/>
      <sheetName val="완도-군외"/>
      <sheetName val="수량집계(방송설비)"/>
      <sheetName val="수량집계(전기시계)"/>
      <sheetName val="수량집계(출입통제)"/>
      <sheetName val="수량집계(통합배선)"/>
      <sheetName val="수량집계(CATV)"/>
      <sheetName val="수량집계(CCTV)"/>
      <sheetName val="공사비산출내역"/>
      <sheetName val="수량산출서(철거)"/>
      <sheetName val="실행내역"/>
      <sheetName val="시설투자"/>
      <sheetName val="지급자재"/>
      <sheetName val="TYPE-A"/>
      <sheetName val="수지"/>
      <sheetName val="기초일위"/>
      <sheetName val="총괄"/>
      <sheetName val="조직"/>
      <sheetName val="4.2유효폭의 계산"/>
      <sheetName val="입찰"/>
      <sheetName val="현경"/>
      <sheetName val="공비대비"/>
      <sheetName val="3.공통공사대비"/>
      <sheetName val="투찰"/>
      <sheetName val="구리토평1전기"/>
      <sheetName val="총괄갑_1"/>
      <sheetName val="Sheet1_(2)1"/>
      <sheetName val="단가_및_재료비"/>
      <sheetName val="자재_DB_LIST"/>
      <sheetName val="노임단가_(2)"/>
      <sheetName val="_"/>
      <sheetName val="현장관리비"/>
      <sheetName val="APT"/>
      <sheetName val="총괄갑_2"/>
      <sheetName val="Sheet1_(2)2"/>
      <sheetName val="단가_및_재료비1"/>
      <sheetName val="노임단가_(2)1"/>
      <sheetName val="자재_DB_LIST1"/>
      <sheetName val="_1"/>
      <sheetName val="EQT-ESTN"/>
      <sheetName val="노무비"/>
      <sheetName val="물량표"/>
      <sheetName val="수량산출내역1115"/>
      <sheetName val="물가시세"/>
      <sheetName val="설계내역서"/>
      <sheetName val="소방"/>
      <sheetName val="Macro7"/>
      <sheetName val="기준층(외주부)"/>
      <sheetName val="인건비"/>
      <sheetName val="내역서(신규OFFICE(14))"/>
      <sheetName val="하부철근수량"/>
      <sheetName val="내   역"/>
      <sheetName val="차액보증"/>
      <sheetName val="전기집계표"/>
      <sheetName val="산출서"/>
      <sheetName val="2008년상반기"/>
      <sheetName val="인원자료"/>
      <sheetName val="실행철강하도"/>
      <sheetName val="도급FORM"/>
      <sheetName val="원가계산서"/>
      <sheetName val="부서별3월"/>
      <sheetName val="단가산출"/>
      <sheetName val="4 노임단가"/>
      <sheetName val="M-EQPT-Z"/>
      <sheetName val="실행,원가 최종예상"/>
      <sheetName val="내역표지"/>
      <sheetName val="수목단가"/>
      <sheetName val="시설수량표"/>
      <sheetName val="식재수량표"/>
      <sheetName val="수량산출"/>
      <sheetName val="인제내역"/>
      <sheetName val="건축내역서"/>
      <sheetName val="설비내역서"/>
      <sheetName val="전기내역서"/>
      <sheetName val="정공공사"/>
      <sheetName val="설명서 "/>
      <sheetName val="실행(ALT1)"/>
      <sheetName val="내역서2안"/>
      <sheetName val="연습"/>
      <sheetName val="WC96709"/>
      <sheetName val="문학간접"/>
      <sheetName val="간접"/>
      <sheetName val="4_노임단가"/>
      <sheetName val="실행,원가_최종예상"/>
      <sheetName val="사장실도배발주서"/>
      <sheetName val="설명서_"/>
      <sheetName val="SG"/>
      <sheetName val="4_노임단가1"/>
      <sheetName val="실행,원가_최종예상1"/>
      <sheetName val="설명서_1"/>
      <sheetName val="조명율표"/>
      <sheetName val="차도조도계산"/>
      <sheetName val="순공사비"/>
      <sheetName val="기결의"/>
      <sheetName val="토목공사일반"/>
      <sheetName val="101동"/>
      <sheetName val="현장"/>
      <sheetName val="철거산출근거"/>
      <sheetName val="일위목록"/>
      <sheetName val="환경기계공정표 (3)"/>
      <sheetName val="결재갑지"/>
      <sheetName val="판관"/>
      <sheetName val="중기"/>
      <sheetName val="건축명"/>
      <sheetName val="기계명"/>
      <sheetName val="전기명"/>
      <sheetName val="토목명"/>
      <sheetName val="빙장비사양"/>
      <sheetName val="장비사양"/>
      <sheetName val="견적을(1안)"/>
      <sheetName val="2.대외공문"/>
      <sheetName val="을지"/>
      <sheetName val="01"/>
      <sheetName val="건축내역"/>
      <sheetName val="전도금정산서(27)"/>
      <sheetName val="전기"/>
      <sheetName val="기본단가표"/>
      <sheetName val="원가계산"/>
      <sheetName val="인테리어내역"/>
      <sheetName val="수량산출(음암)"/>
      <sheetName val="단가표"/>
      <sheetName val="주공 갑지"/>
      <sheetName val="2-1. 경관조명 내역총괄표"/>
      <sheetName val="내역서1999.8최종"/>
      <sheetName val="도급자재"/>
      <sheetName val="총원가계산서(요율)"/>
      <sheetName val="참조"/>
      <sheetName val="케이블류 OLD"/>
      <sheetName val="가스(내역)"/>
      <sheetName val="설계기준"/>
      <sheetName val="내역을"/>
      <sheetName val="수량산출서"/>
      <sheetName val="연결임시"/>
      <sheetName val="가격비"/>
      <sheetName val="금호내역서"/>
      <sheetName val="금액집계"/>
      <sheetName val="상계견적"/>
      <sheetName val="T13(P68~72,78)"/>
      <sheetName val="단중표"/>
      <sheetName val="H-PILE수량집계"/>
      <sheetName val="경비내역(을)-1"/>
      <sheetName val="연부97-1"/>
      <sheetName val="산출근거"/>
      <sheetName val="예총"/>
      <sheetName val="가시설단위수량"/>
      <sheetName val="SORCE1"/>
      <sheetName val="단위수량"/>
      <sheetName val="약품설비"/>
      <sheetName val="기기리스트"/>
      <sheetName val="4_노임단가2"/>
      <sheetName val="실행,원가_최종예상2"/>
      <sheetName val="설명서_2"/>
      <sheetName val="환경기계공정표_(3)"/>
      <sheetName val="2_대외공문"/>
      <sheetName val="주공_갑지"/>
      <sheetName val="2-1__경관조명_내역총괄표"/>
      <sheetName val="내역서1999_8최종"/>
      <sheetName val="케이블류_OLD"/>
      <sheetName val="직재"/>
      <sheetName val="재집"/>
      <sheetName val="4_노임단가3"/>
      <sheetName val="실행,원가_최종예상3"/>
      <sheetName val="설명서_3"/>
      <sheetName val="2_대외공문1"/>
      <sheetName val="환경기계공정표_(3)1"/>
      <sheetName val="2-1__경관조명_내역총괄표1"/>
      <sheetName val="내역서1999_8최종1"/>
      <sheetName val="주공_갑지1"/>
      <sheetName val="케이블류_OLD1"/>
      <sheetName val="가시설수량"/>
      <sheetName val="테이블"/>
      <sheetName val="제경비율"/>
      <sheetName val="토적계산서"/>
      <sheetName val="건축공사"/>
      <sheetName val="2.Summary-cash"/>
      <sheetName val="95WBS"/>
      <sheetName val="CASHFLOW"/>
      <sheetName val="견적990322"/>
      <sheetName val="건축내역서 (2)"/>
      <sheetName val="Inve. &amp; Income Assum."/>
      <sheetName val="Annex C - 1 - Cash"/>
      <sheetName val="Assumptions"/>
      <sheetName val="Macro Codes"/>
      <sheetName val="화재 탐지 설비"/>
      <sheetName val="MATRLDATA"/>
      <sheetName val="공종단가"/>
      <sheetName val="냉천부속동"/>
      <sheetName val="4 LINE"/>
      <sheetName val="7 th"/>
      <sheetName val="FANDBS"/>
      <sheetName val="GRDATA"/>
      <sheetName val="SHAFTDBSE"/>
      <sheetName val="EJ"/>
      <sheetName val="2002상반기노임기준"/>
      <sheetName val="960318-1"/>
      <sheetName val="할증 "/>
      <sheetName val="경동~상록"/>
      <sheetName val="우주~로베로"/>
      <sheetName val="일위대가표"/>
      <sheetName val="직접비"/>
      <sheetName val="SAM"/>
      <sheetName val="수지표"/>
      <sheetName val="셀명"/>
      <sheetName val="식재"/>
      <sheetName val="시설물"/>
      <sheetName val="식재출력용"/>
      <sheetName val="유지관리"/>
      <sheetName val="설계가"/>
      <sheetName val="D"/>
      <sheetName val="PL단가산정"/>
      <sheetName val="그림"/>
      <sheetName val="그림2"/>
      <sheetName val="지질조사"/>
      <sheetName val="AS포장복구 "/>
      <sheetName val="산출내역서집계표"/>
      <sheetName val="DB"/>
      <sheetName val="총괄갑_3"/>
      <sheetName val="Sheet1_(2)3"/>
      <sheetName val="단가_및_재료비2"/>
      <sheetName val="자재_DB_LIST2"/>
      <sheetName val="노임단가_(2)2"/>
      <sheetName val="_2"/>
      <sheetName val="TOWER_10TON"/>
      <sheetName val="4_2유효폭의_계산"/>
      <sheetName val="3_공통공사대비"/>
      <sheetName val="내___역"/>
      <sheetName val="총괄갑_4"/>
      <sheetName val="Sheet1_(2)4"/>
      <sheetName val="단가_및_재료비3"/>
      <sheetName val="자재_DB_LIST3"/>
      <sheetName val="노임단가_(2)3"/>
      <sheetName val="_3"/>
      <sheetName val="TOWER_10TON1"/>
      <sheetName val="4_2유효폭의_계산1"/>
      <sheetName val="3_공통공사대비1"/>
      <sheetName val="내___역1"/>
      <sheetName val="은행"/>
      <sheetName val="1차_내역서4"/>
      <sheetName val="4_노임단가4"/>
      <sheetName val="실행,원가_최종예상4"/>
      <sheetName val="설명서_4"/>
      <sheetName val="환경기계공정표_(3)2"/>
      <sheetName val="2_대외공문2"/>
      <sheetName val="주공_갑지2"/>
      <sheetName val="2-1__경관조명_내역총괄표2"/>
      <sheetName val="내역서1999_8최종2"/>
      <sheetName val="케이블류_OLD2"/>
      <sheetName val="2_Summary-cash"/>
      <sheetName val="건축내역서_(2)"/>
      <sheetName val="Inve__&amp;_Income_Assum_"/>
      <sheetName val="Annex_C_-_1_-_Cash"/>
      <sheetName val="Macro_Codes"/>
      <sheetName val="화재_탐지_설비"/>
      <sheetName val="4_LINE"/>
      <sheetName val="7_th"/>
      <sheetName val="할증_"/>
      <sheetName val="AS포장복구_"/>
      <sheetName val="1차_내역서5"/>
      <sheetName val="4_노임단가5"/>
      <sheetName val="실행,원가_최종예상5"/>
      <sheetName val="설명서_5"/>
      <sheetName val="환경기계공정표_(3)3"/>
      <sheetName val="2_대외공문3"/>
      <sheetName val="주공_갑지3"/>
      <sheetName val="2-1__경관조명_내역총괄표3"/>
      <sheetName val="내역서1999_8최종3"/>
      <sheetName val="케이블류_OLD3"/>
      <sheetName val="2_Summary-cash1"/>
      <sheetName val="건축내역서_(2)1"/>
      <sheetName val="Inve__&amp;_Income_Assum_1"/>
      <sheetName val="Annex_C_-_1_-_Cash1"/>
      <sheetName val="Macro_Codes1"/>
      <sheetName val="화재_탐지_설비1"/>
      <sheetName val="4_LINE1"/>
      <sheetName val="7_th1"/>
      <sheetName val="할증_1"/>
      <sheetName val="AS포장복구_1"/>
      <sheetName val="ITEM"/>
      <sheetName val="가격표"/>
      <sheetName val="간접1"/>
      <sheetName val="Customer_Databas6"/>
      <sheetName val="1차_내역서6"/>
      <sheetName val="4_노임단가6"/>
      <sheetName val="실행,원가_최종예상6"/>
      <sheetName val="설명서_6"/>
      <sheetName val="2_대외공문4"/>
      <sheetName val="환경기계공정표_(3)4"/>
      <sheetName val="주공_갑지4"/>
      <sheetName val="2-1__경관조명_내역총괄표4"/>
      <sheetName val="내역서1999_8최종4"/>
      <sheetName val="케이블류_OLD4"/>
      <sheetName val="2_Summary-cash2"/>
      <sheetName val="건축내역서_(2)2"/>
      <sheetName val="Inve__&amp;_Income_Assum_2"/>
      <sheetName val="Annex_C_-_1_-_Cash2"/>
      <sheetName val="Macro_Codes2"/>
      <sheetName val="화재_탐지_설비2"/>
      <sheetName val="4_LINE2"/>
      <sheetName val="7_th2"/>
      <sheetName val="할증_2"/>
      <sheetName val="AS포장복구_2"/>
      <sheetName val="CTEMCOST"/>
      <sheetName val="터널조도"/>
      <sheetName val="단가일람"/>
      <sheetName val="공내역"/>
      <sheetName val="사리부설"/>
      <sheetName val="Sheet6"/>
      <sheetName val="기초단가"/>
      <sheetName val="관리,공감"/>
      <sheetName val="정화조동내역"/>
      <sheetName val="총괄갑_5"/>
      <sheetName val="Sheet1_(2)5"/>
      <sheetName val="단가_및_재료비4"/>
      <sheetName val="노임단가_(2)4"/>
      <sheetName val="자재_DB_LIST4"/>
      <sheetName val="_4"/>
      <sheetName val="TOWER_10TON2"/>
      <sheetName val="4_2유효폭의_계산2"/>
      <sheetName val="3_공통공사대비2"/>
      <sheetName val="내___역2"/>
      <sheetName val="①매출"/>
      <sheetName val="수원공사비"/>
      <sheetName val="자재대"/>
      <sheetName val="중기손료"/>
      <sheetName val="현장별계약현황('98.10.31)"/>
      <sheetName val="Customer_Databas7"/>
      <sheetName val="1차_내역서7"/>
      <sheetName val="4_노임단가7"/>
      <sheetName val="실행,원가_최종예상7"/>
      <sheetName val="설명서_7"/>
      <sheetName val="환경기계공정표_(3)5"/>
      <sheetName val="2_대외공문5"/>
      <sheetName val="2-1__경관조명_내역총괄표5"/>
      <sheetName val="내역서1999_8최종5"/>
      <sheetName val="주공_갑지5"/>
      <sheetName val="케이블류_OLD5"/>
      <sheetName val="2_Summary-cash3"/>
      <sheetName val="건축내역서_(2)3"/>
      <sheetName val="Inve__&amp;_Income_Assum_3"/>
      <sheetName val="Annex_C_-_1_-_Cash3"/>
      <sheetName val="Macro_Codes3"/>
      <sheetName val="화재_탐지_설비3"/>
      <sheetName val="4_LINE3"/>
      <sheetName val="7_th3"/>
      <sheetName val="할증_3"/>
      <sheetName val="AS포장복구_3"/>
      <sheetName val="Customer_Databas8"/>
      <sheetName val="1차_내역서8"/>
      <sheetName val="4_노임단가8"/>
      <sheetName val="실행,원가_최종예상8"/>
      <sheetName val="설명서_8"/>
      <sheetName val="환경기계공정표_(3)6"/>
      <sheetName val="2_대외공문6"/>
      <sheetName val="주공_갑지6"/>
      <sheetName val="2-1__경관조명_내역총괄표6"/>
      <sheetName val="내역서1999_8최종6"/>
      <sheetName val="케이블류_OLD6"/>
      <sheetName val="총괄갑_6"/>
      <sheetName val="Sheet1_(2)6"/>
      <sheetName val="노임단가_(2)5"/>
      <sheetName val="단가_및_재료비5"/>
      <sheetName val="자재_DB_LIST5"/>
      <sheetName val="_5"/>
      <sheetName val="2_Summary-cash4"/>
      <sheetName val="건축내역서_(2)4"/>
      <sheetName val="Inve__&amp;_Income_Assum_4"/>
      <sheetName val="Annex_C_-_1_-_Cash4"/>
      <sheetName val="Macro_Codes4"/>
      <sheetName val="화재_탐지_설비4"/>
      <sheetName val="4_LINE4"/>
      <sheetName val="7_th4"/>
      <sheetName val="할증_4"/>
      <sheetName val="AS포장복구_4"/>
      <sheetName val="Customer_Databas9"/>
      <sheetName val="1차_내역서9"/>
      <sheetName val="4_노임단가9"/>
      <sheetName val="실행,원가_최종예상9"/>
      <sheetName val="내역서_제출9"/>
      <sheetName val="설명서_9"/>
      <sheetName val="2_대외공문7"/>
      <sheetName val="환경기계공정표_(3)7"/>
      <sheetName val="주공_갑지7"/>
      <sheetName val="2-1__경관조명_내역총괄표7"/>
      <sheetName val="내역서1999_8최종7"/>
      <sheetName val="케이블류_OLD7"/>
      <sheetName val="총괄갑_7"/>
      <sheetName val="Sheet1_(2)7"/>
      <sheetName val="노임단가_(2)6"/>
      <sheetName val="단가_및_재료비6"/>
      <sheetName val="자재_DB_LIST6"/>
      <sheetName val="_6"/>
      <sheetName val="2_Summary-cash5"/>
      <sheetName val="건축내역서_(2)5"/>
      <sheetName val="Inve__&amp;_Income_Assum_5"/>
      <sheetName val="Annex_C_-_1_-_Cash5"/>
      <sheetName val="Macro_Codes5"/>
      <sheetName val="화재_탐지_설비5"/>
      <sheetName val="4_LINE5"/>
      <sheetName val="7_th5"/>
      <sheetName val="할증_5"/>
      <sheetName val="AS포장복구_5"/>
      <sheetName val="수목데이타"/>
      <sheetName val="시설물일위"/>
      <sheetName val="가설공사"/>
      <sheetName val="단가결정"/>
      <sheetName val="내역아"/>
      <sheetName val="울타리"/>
      <sheetName val="본사인상전"/>
      <sheetName val="2-1__경관조명_내역총괄표ꢠ"/>
      <sheetName val="개요"/>
      <sheetName val="2-1__경관조명_내역총괄표恴"/>
      <sheetName val="2-1__경관조명_내역총괄표悯"/>
      <sheetName val="NP-총정리"/>
      <sheetName val="남양시작동자105노65기1.3화1.2"/>
      <sheetName val="TOWER_10TON3"/>
      <sheetName val="4_2유효폭의_계산3"/>
      <sheetName val="3_공통공사대비3"/>
      <sheetName val="내___역3"/>
      <sheetName val="TOWER_10TON4"/>
      <sheetName val="4_2유효폭의_계산4"/>
      <sheetName val="3_공통공사대비4"/>
      <sheetName val="내___역4"/>
      <sheetName val="총괄갑_8"/>
      <sheetName val="Sheet1_(2)8"/>
      <sheetName val="단가_및_재료비7"/>
      <sheetName val="일위대가_7"/>
      <sheetName val="노임단가_(2)7"/>
      <sheetName val="자재_DB_LIST7"/>
      <sheetName val="_7"/>
      <sheetName val="TOWER_10TON5"/>
      <sheetName val="4_2유효폭의_계산5"/>
      <sheetName val="3_공통공사대비5"/>
      <sheetName val="내___역5"/>
      <sheetName val="판매시설"/>
      <sheetName val="대비"/>
      <sheetName val="유림총괄"/>
      <sheetName val="충주"/>
      <sheetName val="재료비"/>
      <sheetName val="경비일반이윤"/>
      <sheetName val="Project Brief"/>
      <sheetName val="2F 회의실견적(5_14 일대)"/>
      <sheetName val="다원(ZENECA).xls"/>
      <sheetName val="UR2-Calculation"/>
      <sheetName val="원형맨홀수량"/>
      <sheetName val="c_balju"/>
      <sheetName val="성남여성복지내역"/>
      <sheetName val="대전21토목내역서"/>
      <sheetName val="학생내역"/>
      <sheetName val="원도급"/>
      <sheetName val="하도급"/>
      <sheetName val="요약"/>
      <sheetName val="부록"/>
      <sheetName val="내역서_제출10"/>
      <sheetName val="Material_U_P9"/>
      <sheetName val="본선_토공_분배표8"/>
      <sheetName val="_냉각수펌프7"/>
      <sheetName val="내역서_7"/>
      <sheetName val="plan&amp;section_of_foundation7"/>
      <sheetName val="design_criteria7"/>
      <sheetName val="일위대가_8"/>
      <sheetName val="2_야탑7"/>
      <sheetName val="TONG_HOP_VL-NC_TT7"/>
      <sheetName val="CHITIET_VL-NC-TT_-1p7"/>
      <sheetName val="KPVC-BD_7"/>
      <sheetName val="I_설계조건6"/>
      <sheetName val="Customer_Databas10"/>
      <sheetName val="표지_(2)6"/>
      <sheetName val="1차_내역서10"/>
      <sheetName val="BSD_(2)2"/>
      <sheetName val="견적대비_견적서2"/>
      <sheetName val="경율산정_XLS"/>
      <sheetName val="1_우편집중내역서"/>
      <sheetName val="총괄갑_9"/>
      <sheetName val="Sheet1_(2)9"/>
      <sheetName val="단가_및_재료비8"/>
      <sheetName val="자재_DB_LIST8"/>
      <sheetName val="노임단가_(2)8"/>
      <sheetName val="_8"/>
      <sheetName val="TOWER_10TON6"/>
      <sheetName val="4_2유효폭의_계산6"/>
      <sheetName val="3_공통공사대비6"/>
      <sheetName val="내___역6"/>
      <sheetName val="4_노임단가10"/>
      <sheetName val="실행,원가_최종예상10"/>
      <sheetName val="설명서_10"/>
      <sheetName val="환경기계공정표_(3)8"/>
      <sheetName val="2_대외공문8"/>
      <sheetName val="주공_갑지8"/>
      <sheetName val="2-1__경관조명_내역총괄표8"/>
      <sheetName val="내역서1999_8최종8"/>
      <sheetName val="케이블류_OLD8"/>
      <sheetName val="2_Summary-cash6"/>
      <sheetName val="건축내역서_(2)6"/>
      <sheetName val="Inve__&amp;_Income_Assum_6"/>
      <sheetName val="Annex_C_-_1_-_Cash6"/>
      <sheetName val="Macro_Codes6"/>
      <sheetName val="화재_탐지_설비6"/>
      <sheetName val="4_LINE6"/>
      <sheetName val="7_th6"/>
      <sheetName val="할증_6"/>
      <sheetName val="AS포장복구_6"/>
      <sheetName val="현장별계약현황('98_10_31)"/>
      <sheetName val="남양시작동자105노65기1_3화1_2"/>
      <sheetName val="Project_Brief"/>
      <sheetName val="2F_회의실견적(5_14_일대)"/>
      <sheetName val="다원(ZENECA)_xls"/>
    </sheetNames>
    <sheetDataSet>
      <sheetData sheetId="0" refreshError="1"/>
      <sheetData sheetId="1" refreshError="1">
        <row r="46">
          <cell r="I46" t="str">
            <v>내용</v>
          </cell>
          <cell r="J46" t="str">
            <v>단가</v>
          </cell>
        </row>
        <row r="47">
          <cell r="I47" t="str">
            <v>ED008</v>
          </cell>
          <cell r="J47">
            <v>141800</v>
          </cell>
        </row>
        <row r="48">
          <cell r="I48" t="str">
            <v>ED012</v>
          </cell>
          <cell r="J48">
            <v>173300</v>
          </cell>
        </row>
        <row r="49">
          <cell r="I49" t="str">
            <v>ED014</v>
          </cell>
          <cell r="J49">
            <v>216300</v>
          </cell>
        </row>
        <row r="50">
          <cell r="I50" t="str">
            <v>ED016</v>
          </cell>
          <cell r="J50">
            <v>231000</v>
          </cell>
        </row>
        <row r="51">
          <cell r="I51" t="str">
            <v>ED018</v>
          </cell>
          <cell r="J51">
            <v>243600</v>
          </cell>
        </row>
        <row r="52">
          <cell r="I52" t="str">
            <v>ED018X</v>
          </cell>
          <cell r="J52">
            <v>268800</v>
          </cell>
        </row>
        <row r="53">
          <cell r="I53" t="str">
            <v>ED0108</v>
          </cell>
          <cell r="J53">
            <v>105000</v>
          </cell>
        </row>
        <row r="54">
          <cell r="I54" t="str">
            <v>ED0112</v>
          </cell>
          <cell r="J54">
            <v>132300</v>
          </cell>
        </row>
        <row r="55">
          <cell r="I55" t="str">
            <v>ED0114</v>
          </cell>
          <cell r="J55">
            <v>162800</v>
          </cell>
        </row>
        <row r="56">
          <cell r="I56" t="str">
            <v>ED0116</v>
          </cell>
          <cell r="J56">
            <v>177500</v>
          </cell>
        </row>
        <row r="57">
          <cell r="I57" t="str">
            <v>EP0202</v>
          </cell>
          <cell r="J57">
            <v>131300</v>
          </cell>
        </row>
        <row r="58">
          <cell r="I58" t="str">
            <v>EP0203</v>
          </cell>
          <cell r="J58">
            <v>131300</v>
          </cell>
        </row>
        <row r="59">
          <cell r="I59" t="str">
            <v>EP0302</v>
          </cell>
          <cell r="J59">
            <v>168000</v>
          </cell>
        </row>
        <row r="60">
          <cell r="I60" t="str">
            <v>EP0303</v>
          </cell>
          <cell r="J60">
            <v>168000</v>
          </cell>
        </row>
        <row r="61">
          <cell r="I61" t="str">
            <v>ED401</v>
          </cell>
          <cell r="J61">
            <v>128100</v>
          </cell>
        </row>
        <row r="62">
          <cell r="I62" t="str">
            <v>ED410R</v>
          </cell>
          <cell r="J62">
            <v>160700</v>
          </cell>
        </row>
        <row r="63">
          <cell r="I63" t="str">
            <v>ED410L</v>
          </cell>
          <cell r="J63">
            <v>160700</v>
          </cell>
        </row>
        <row r="64">
          <cell r="I64" t="str">
            <v>ED412</v>
          </cell>
          <cell r="J64">
            <v>160700</v>
          </cell>
        </row>
        <row r="65">
          <cell r="I65" t="str">
            <v>ED950</v>
          </cell>
          <cell r="J65">
            <v>264600</v>
          </cell>
        </row>
        <row r="66">
          <cell r="I66" t="str">
            <v>ED5086R</v>
          </cell>
          <cell r="J66">
            <v>105000</v>
          </cell>
        </row>
        <row r="67">
          <cell r="I67" t="str">
            <v>ED5086L</v>
          </cell>
          <cell r="J67">
            <v>105000</v>
          </cell>
        </row>
        <row r="68">
          <cell r="I68" t="str">
            <v>ED5466</v>
          </cell>
          <cell r="J68">
            <v>33600</v>
          </cell>
        </row>
        <row r="69">
          <cell r="I69" t="str">
            <v>ED5966</v>
          </cell>
          <cell r="J69">
            <v>56700</v>
          </cell>
        </row>
        <row r="70">
          <cell r="I70" t="str">
            <v>ED912</v>
          </cell>
          <cell r="J70">
            <v>203700</v>
          </cell>
        </row>
        <row r="71">
          <cell r="I71" t="str">
            <v>ED916</v>
          </cell>
          <cell r="J71">
            <v>249900</v>
          </cell>
        </row>
        <row r="72">
          <cell r="I72" t="str">
            <v>ED516</v>
          </cell>
          <cell r="J72">
            <v>63000</v>
          </cell>
        </row>
        <row r="73">
          <cell r="I73" t="str">
            <v>ED517R</v>
          </cell>
          <cell r="J73">
            <v>74600</v>
          </cell>
        </row>
        <row r="74">
          <cell r="I74" t="str">
            <v>ED517L</v>
          </cell>
          <cell r="J74">
            <v>74600</v>
          </cell>
        </row>
        <row r="75">
          <cell r="I75" t="str">
            <v>ED5488</v>
          </cell>
          <cell r="J75">
            <v>39900</v>
          </cell>
        </row>
        <row r="76">
          <cell r="I76" t="str">
            <v>ED5988</v>
          </cell>
          <cell r="J76">
            <v>65100</v>
          </cell>
        </row>
        <row r="77">
          <cell r="I77" t="str">
            <v>ED0608</v>
          </cell>
          <cell r="J77">
            <v>54600</v>
          </cell>
        </row>
        <row r="78">
          <cell r="I78" t="str">
            <v>ED0612</v>
          </cell>
          <cell r="J78">
            <v>65100</v>
          </cell>
        </row>
        <row r="81">
          <cell r="I81" t="str">
            <v>ED0616</v>
          </cell>
          <cell r="J81">
            <v>92400</v>
          </cell>
        </row>
        <row r="82">
          <cell r="I82" t="str">
            <v>ED0706</v>
          </cell>
          <cell r="J82">
            <v>105000</v>
          </cell>
        </row>
        <row r="83">
          <cell r="I83" t="str">
            <v>ED0708</v>
          </cell>
          <cell r="J83">
            <v>141800</v>
          </cell>
        </row>
        <row r="84">
          <cell r="I84" t="str">
            <v>ED0806</v>
          </cell>
          <cell r="J84">
            <v>122900</v>
          </cell>
        </row>
        <row r="85">
          <cell r="I85" t="str">
            <v>ED0808</v>
          </cell>
          <cell r="J85">
            <v>164900</v>
          </cell>
        </row>
        <row r="86">
          <cell r="I86" t="str">
            <v>EZ016</v>
          </cell>
          <cell r="J86">
            <v>371700</v>
          </cell>
        </row>
        <row r="87">
          <cell r="I87" t="str">
            <v>EZ018</v>
          </cell>
          <cell r="J87">
            <v>400100</v>
          </cell>
        </row>
        <row r="88">
          <cell r="I88" t="str">
            <v>TD008</v>
          </cell>
          <cell r="J88">
            <v>155400</v>
          </cell>
        </row>
        <row r="89">
          <cell r="I89" t="str">
            <v>TD010</v>
          </cell>
          <cell r="J89">
            <v>173300</v>
          </cell>
        </row>
        <row r="90">
          <cell r="I90" t="str">
            <v>TD012</v>
          </cell>
          <cell r="J90">
            <v>191100</v>
          </cell>
        </row>
        <row r="91">
          <cell r="I91" t="str">
            <v>TD014</v>
          </cell>
          <cell r="J91">
            <v>236300</v>
          </cell>
        </row>
        <row r="92">
          <cell r="I92" t="str">
            <v>TD016</v>
          </cell>
          <cell r="J92">
            <v>254100</v>
          </cell>
        </row>
        <row r="93">
          <cell r="I93" t="str">
            <v>TD018</v>
          </cell>
          <cell r="J93">
            <v>272000</v>
          </cell>
        </row>
        <row r="94">
          <cell r="I94" t="str">
            <v>TD108</v>
          </cell>
          <cell r="J94">
            <v>115500</v>
          </cell>
        </row>
        <row r="112">
          <cell r="I112" t="str">
            <v>TD110</v>
          </cell>
          <cell r="J112">
            <v>130200</v>
          </cell>
        </row>
        <row r="113">
          <cell r="I113" t="str">
            <v>TD112</v>
          </cell>
          <cell r="J113">
            <v>147000</v>
          </cell>
        </row>
        <row r="114">
          <cell r="I114" t="str">
            <v>TD114</v>
          </cell>
          <cell r="J114">
            <v>178500</v>
          </cell>
        </row>
        <row r="115">
          <cell r="I115" t="str">
            <v>TD116</v>
          </cell>
          <cell r="J115">
            <v>196400</v>
          </cell>
        </row>
        <row r="116">
          <cell r="I116" t="str">
            <v>TD118</v>
          </cell>
          <cell r="J116">
            <v>222600</v>
          </cell>
        </row>
        <row r="117">
          <cell r="I117" t="str">
            <v>TP0302</v>
          </cell>
          <cell r="J117">
            <v>198500</v>
          </cell>
        </row>
        <row r="118">
          <cell r="I118" t="str">
            <v>TP0303</v>
          </cell>
          <cell r="J118">
            <v>206900</v>
          </cell>
        </row>
        <row r="119">
          <cell r="I119" t="str">
            <v>TP0312</v>
          </cell>
          <cell r="J119">
            <v>156500</v>
          </cell>
        </row>
        <row r="120">
          <cell r="I120" t="str">
            <v>TP0313</v>
          </cell>
          <cell r="J120">
            <v>162800</v>
          </cell>
        </row>
        <row r="121">
          <cell r="I121" t="str">
            <v>TP0502</v>
          </cell>
          <cell r="J121">
            <v>149100</v>
          </cell>
        </row>
        <row r="122">
          <cell r="I122" t="str">
            <v>TP0503</v>
          </cell>
          <cell r="J122">
            <v>152300</v>
          </cell>
        </row>
        <row r="123">
          <cell r="I123" t="str">
            <v>TD410</v>
          </cell>
          <cell r="J123">
            <v>163800</v>
          </cell>
        </row>
        <row r="124">
          <cell r="I124" t="str">
            <v>TD412</v>
          </cell>
          <cell r="J124">
            <v>173300</v>
          </cell>
        </row>
        <row r="125">
          <cell r="I125" t="str">
            <v>TD546</v>
          </cell>
          <cell r="J125">
            <v>46200</v>
          </cell>
        </row>
        <row r="126">
          <cell r="I126" t="str">
            <v>TD596</v>
          </cell>
          <cell r="J126">
            <v>68300</v>
          </cell>
        </row>
        <row r="127">
          <cell r="I127" t="str">
            <v>TD516</v>
          </cell>
          <cell r="J127">
            <v>83000</v>
          </cell>
        </row>
        <row r="128">
          <cell r="I128" t="str">
            <v>TD517R</v>
          </cell>
          <cell r="J128">
            <v>97700</v>
          </cell>
        </row>
        <row r="129">
          <cell r="I129" t="str">
            <v>TD517L</v>
          </cell>
          <cell r="J129">
            <v>97700</v>
          </cell>
        </row>
        <row r="130">
          <cell r="I130" t="str">
            <v>TD518</v>
          </cell>
          <cell r="J130">
            <v>108200</v>
          </cell>
        </row>
        <row r="131">
          <cell r="I131" t="str">
            <v>TD546</v>
          </cell>
          <cell r="J131">
            <v>46200</v>
          </cell>
        </row>
        <row r="132">
          <cell r="I132" t="str">
            <v>TD548</v>
          </cell>
          <cell r="J132">
            <v>66200</v>
          </cell>
        </row>
        <row r="133">
          <cell r="I133" t="str">
            <v>TD506</v>
          </cell>
          <cell r="J133">
            <v>159600</v>
          </cell>
        </row>
        <row r="134">
          <cell r="I134" t="str">
            <v>TD507R</v>
          </cell>
          <cell r="J134">
            <v>171200</v>
          </cell>
        </row>
        <row r="135">
          <cell r="I135" t="str">
            <v>TD507L</v>
          </cell>
          <cell r="J135">
            <v>171200</v>
          </cell>
        </row>
        <row r="136">
          <cell r="I136" t="str">
            <v>TD508</v>
          </cell>
          <cell r="J136">
            <v>183800</v>
          </cell>
        </row>
        <row r="137">
          <cell r="I137" t="str">
            <v>TD598</v>
          </cell>
          <cell r="J137">
            <v>95600</v>
          </cell>
        </row>
        <row r="138">
          <cell r="I138" t="str">
            <v>TD597R</v>
          </cell>
          <cell r="J138">
            <v>86100</v>
          </cell>
        </row>
        <row r="139">
          <cell r="I139" t="str">
            <v>TD597L</v>
          </cell>
          <cell r="J139">
            <v>86100</v>
          </cell>
        </row>
        <row r="140">
          <cell r="I140" t="str">
            <v>TD0608</v>
          </cell>
          <cell r="J140">
            <v>56700</v>
          </cell>
        </row>
        <row r="141">
          <cell r="I141" t="str">
            <v>TD0612</v>
          </cell>
          <cell r="J141">
            <v>68300</v>
          </cell>
        </row>
        <row r="142">
          <cell r="I142" t="str">
            <v>TD0614</v>
          </cell>
          <cell r="J142">
            <v>86100</v>
          </cell>
        </row>
        <row r="143">
          <cell r="I143" t="str">
            <v>TD0616</v>
          </cell>
          <cell r="J143">
            <v>96600</v>
          </cell>
        </row>
        <row r="144">
          <cell r="I144" t="str">
            <v>TD712</v>
          </cell>
          <cell r="J144">
            <v>212100</v>
          </cell>
        </row>
        <row r="145">
          <cell r="I145" t="str">
            <v>TD808</v>
          </cell>
          <cell r="J145">
            <v>180600</v>
          </cell>
        </row>
        <row r="146">
          <cell r="I146" t="str">
            <v>TD990</v>
          </cell>
          <cell r="J146">
            <v>159600</v>
          </cell>
        </row>
        <row r="147">
          <cell r="I147" t="str">
            <v>TD912</v>
          </cell>
          <cell r="J147">
            <v>129200</v>
          </cell>
        </row>
        <row r="148">
          <cell r="I148" t="str">
            <v>TD916</v>
          </cell>
          <cell r="J148">
            <v>171200</v>
          </cell>
        </row>
        <row r="149">
          <cell r="I149" t="str">
            <v>TD966</v>
          </cell>
          <cell r="J149">
            <v>96600</v>
          </cell>
        </row>
        <row r="150">
          <cell r="I150" t="str">
            <v>TD988</v>
          </cell>
          <cell r="J150">
            <v>155400</v>
          </cell>
        </row>
        <row r="151">
          <cell r="I151" t="str">
            <v>TF008</v>
          </cell>
          <cell r="J151">
            <v>51500</v>
          </cell>
        </row>
        <row r="152">
          <cell r="I152" t="str">
            <v>TF010</v>
          </cell>
          <cell r="J152">
            <v>61700</v>
          </cell>
        </row>
        <row r="153">
          <cell r="I153" t="str">
            <v>TF012</v>
          </cell>
          <cell r="J153">
            <v>69300</v>
          </cell>
        </row>
        <row r="154">
          <cell r="I154" t="str">
            <v>TF014</v>
          </cell>
          <cell r="J154">
            <v>85100</v>
          </cell>
        </row>
        <row r="155">
          <cell r="I155" t="str">
            <v>TF016</v>
          </cell>
          <cell r="J155">
            <v>92400</v>
          </cell>
        </row>
        <row r="156">
          <cell r="I156" t="str">
            <v>TF018</v>
          </cell>
          <cell r="J156">
            <v>103800</v>
          </cell>
        </row>
        <row r="157">
          <cell r="I157" t="str">
            <v>YD018</v>
          </cell>
          <cell r="J157">
            <v>351800</v>
          </cell>
        </row>
        <row r="158">
          <cell r="I158" t="str">
            <v>YP0302</v>
          </cell>
          <cell r="J158">
            <v>233100</v>
          </cell>
        </row>
        <row r="159">
          <cell r="I159" t="str">
            <v>YP0303</v>
          </cell>
          <cell r="J159">
            <v>233100</v>
          </cell>
        </row>
        <row r="160">
          <cell r="I160" t="str">
            <v>YD412</v>
          </cell>
          <cell r="J160">
            <v>194300</v>
          </cell>
        </row>
        <row r="161">
          <cell r="I161" t="str">
            <v>YC055L</v>
          </cell>
          <cell r="J161">
            <v>290900</v>
          </cell>
        </row>
        <row r="162">
          <cell r="I162" t="str">
            <v>YC555R</v>
          </cell>
          <cell r="J162">
            <v>290900</v>
          </cell>
        </row>
        <row r="163">
          <cell r="I163" t="str">
            <v>YC085</v>
          </cell>
          <cell r="J163">
            <v>396900</v>
          </cell>
        </row>
        <row r="164">
          <cell r="I164" t="str">
            <v>YC2082</v>
          </cell>
          <cell r="J164">
            <v>411600</v>
          </cell>
        </row>
        <row r="165">
          <cell r="I165" t="str">
            <v>YC182</v>
          </cell>
          <cell r="J165">
            <v>226800</v>
          </cell>
        </row>
        <row r="166">
          <cell r="I166" t="str">
            <v>YD990</v>
          </cell>
          <cell r="J166">
            <v>202700</v>
          </cell>
        </row>
        <row r="167">
          <cell r="I167" t="str">
            <v>PD018</v>
          </cell>
          <cell r="J167">
            <v>584900</v>
          </cell>
        </row>
        <row r="168">
          <cell r="I168" t="str">
            <v>PD021</v>
          </cell>
          <cell r="J168">
            <v>621600</v>
          </cell>
        </row>
        <row r="169">
          <cell r="I169" t="str">
            <v>PP0202</v>
          </cell>
          <cell r="J169">
            <v>246800</v>
          </cell>
        </row>
        <row r="170">
          <cell r="I170" t="str">
            <v>PP0203</v>
          </cell>
          <cell r="J170">
            <v>246800</v>
          </cell>
        </row>
        <row r="171">
          <cell r="I171" t="str">
            <v>PP0302</v>
          </cell>
          <cell r="J171">
            <v>246800</v>
          </cell>
        </row>
        <row r="172">
          <cell r="I172" t="str">
            <v>PP0303</v>
          </cell>
          <cell r="J172">
            <v>246800</v>
          </cell>
        </row>
        <row r="173">
          <cell r="I173" t="str">
            <v>PD414</v>
          </cell>
          <cell r="J173">
            <v>484100</v>
          </cell>
        </row>
        <row r="174">
          <cell r="I174" t="str">
            <v>PZ021</v>
          </cell>
          <cell r="J174">
            <v>696200</v>
          </cell>
        </row>
        <row r="175">
          <cell r="I175" t="str">
            <v>PC055L</v>
          </cell>
          <cell r="J175">
            <v>347600</v>
          </cell>
        </row>
        <row r="176">
          <cell r="I176" t="str">
            <v>PC355L</v>
          </cell>
          <cell r="J176">
            <v>487200</v>
          </cell>
        </row>
        <row r="177">
          <cell r="I177" t="str">
            <v>PC5055R</v>
          </cell>
          <cell r="J177">
            <v>353900</v>
          </cell>
        </row>
        <row r="178">
          <cell r="I178" t="str">
            <v>PC085</v>
          </cell>
          <cell r="J178">
            <v>513500</v>
          </cell>
        </row>
        <row r="179">
          <cell r="I179" t="str">
            <v>LD021</v>
          </cell>
          <cell r="J179">
            <v>2876000</v>
          </cell>
        </row>
        <row r="180">
          <cell r="I180" t="str">
            <v>LD018</v>
          </cell>
          <cell r="J180">
            <v>2595600</v>
          </cell>
        </row>
        <row r="181">
          <cell r="I181" t="str">
            <v>LD712R</v>
          </cell>
          <cell r="J181">
            <v>781200</v>
          </cell>
        </row>
        <row r="182">
          <cell r="I182" t="str">
            <v>LD712L</v>
          </cell>
          <cell r="J182">
            <v>781200</v>
          </cell>
        </row>
        <row r="183">
          <cell r="I183" t="str">
            <v>LC01</v>
          </cell>
          <cell r="J183">
            <v>5120900</v>
          </cell>
        </row>
        <row r="184">
          <cell r="I184" t="str">
            <v>LC02</v>
          </cell>
          <cell r="J184">
            <v>4102400</v>
          </cell>
        </row>
        <row r="185">
          <cell r="I185" t="str">
            <v>LC03</v>
          </cell>
          <cell r="J185">
            <v>3716000</v>
          </cell>
        </row>
        <row r="186">
          <cell r="I186" t="str">
            <v>LC04</v>
          </cell>
          <cell r="J186">
            <v>5292000</v>
          </cell>
        </row>
        <row r="187">
          <cell r="I187" t="str">
            <v>LC05</v>
          </cell>
          <cell r="J187">
            <v>4273500</v>
          </cell>
        </row>
        <row r="188">
          <cell r="I188" t="str">
            <v>LC11</v>
          </cell>
          <cell r="J188">
            <v>4237800</v>
          </cell>
        </row>
        <row r="189">
          <cell r="I189" t="str">
            <v>LC12</v>
          </cell>
          <cell r="J189">
            <v>3182600</v>
          </cell>
        </row>
        <row r="190">
          <cell r="I190" t="str">
            <v>LC06</v>
          </cell>
          <cell r="J190">
            <v>3887100</v>
          </cell>
        </row>
        <row r="191">
          <cell r="I191" t="str">
            <v>LC21</v>
          </cell>
          <cell r="J191">
            <v>3257100</v>
          </cell>
        </row>
        <row r="192">
          <cell r="I192" t="str">
            <v>LC22</v>
          </cell>
          <cell r="J192">
            <v>2519000</v>
          </cell>
        </row>
        <row r="193">
          <cell r="I193" t="str">
            <v>LC23</v>
          </cell>
          <cell r="J193">
            <v>3782100</v>
          </cell>
        </row>
        <row r="194">
          <cell r="I194" t="str">
            <v>LC24</v>
          </cell>
          <cell r="J194">
            <v>3044000</v>
          </cell>
        </row>
        <row r="195">
          <cell r="I195" t="str">
            <v>LC565R</v>
          </cell>
          <cell r="J195">
            <v>750800</v>
          </cell>
        </row>
        <row r="196">
          <cell r="I196" t="str">
            <v>LC065L</v>
          </cell>
          <cell r="J196">
            <v>729800</v>
          </cell>
        </row>
        <row r="197">
          <cell r="I197" t="str">
            <v>LC162R</v>
          </cell>
          <cell r="J197">
            <v>343400</v>
          </cell>
        </row>
        <row r="198">
          <cell r="I198" t="str">
            <v>LC162L</v>
          </cell>
          <cell r="J198">
            <v>343400</v>
          </cell>
        </row>
        <row r="199">
          <cell r="I199" t="str">
            <v>LC6122</v>
          </cell>
          <cell r="J199">
            <v>515600</v>
          </cell>
        </row>
        <row r="200">
          <cell r="I200" t="str">
            <v>LC7064</v>
          </cell>
          <cell r="J200">
            <v>605900</v>
          </cell>
        </row>
        <row r="201">
          <cell r="I201" t="str">
            <v>LC1063S</v>
          </cell>
          <cell r="J201">
            <v>89300</v>
          </cell>
        </row>
        <row r="202">
          <cell r="I202" t="str">
            <v>LB1063G</v>
          </cell>
          <cell r="J202">
            <v>190100</v>
          </cell>
        </row>
        <row r="203">
          <cell r="I203" t="str">
            <v>LC9112</v>
          </cell>
          <cell r="J203">
            <v>179600</v>
          </cell>
        </row>
        <row r="204">
          <cell r="I204" t="str">
            <v>LC9118</v>
          </cell>
          <cell r="J204">
            <v>237300</v>
          </cell>
        </row>
        <row r="205">
          <cell r="I205" t="str">
            <v>LC9124</v>
          </cell>
          <cell r="J205">
            <v>336000</v>
          </cell>
        </row>
        <row r="206">
          <cell r="I206" t="str">
            <v>LC9106T</v>
          </cell>
          <cell r="J206">
            <v>86100</v>
          </cell>
        </row>
        <row r="207">
          <cell r="I207" t="str">
            <v>LC9112T</v>
          </cell>
          <cell r="J207">
            <v>179600</v>
          </cell>
        </row>
        <row r="208">
          <cell r="I208" t="str">
            <v>LC9118T</v>
          </cell>
          <cell r="J208">
            <v>217400</v>
          </cell>
        </row>
        <row r="209">
          <cell r="I209" t="str">
            <v>LC9124T</v>
          </cell>
          <cell r="J209">
            <v>287700</v>
          </cell>
        </row>
        <row r="210">
          <cell r="I210" t="str">
            <v>LC9124N</v>
          </cell>
          <cell r="J210">
            <v>336000</v>
          </cell>
        </row>
        <row r="211">
          <cell r="I211" t="str">
            <v>LZ01</v>
          </cell>
          <cell r="J211">
            <v>2063300</v>
          </cell>
        </row>
        <row r="212">
          <cell r="I212" t="str">
            <v>LZ02</v>
          </cell>
          <cell r="J212">
            <v>2234400</v>
          </cell>
        </row>
        <row r="213">
          <cell r="I213" t="str">
            <v>LZ11</v>
          </cell>
          <cell r="J213">
            <v>1529900</v>
          </cell>
        </row>
        <row r="214">
          <cell r="I214" t="str">
            <v>LR024</v>
          </cell>
          <cell r="J214">
            <v>1932000</v>
          </cell>
        </row>
        <row r="215">
          <cell r="I215" t="str">
            <v>LR012</v>
          </cell>
          <cell r="J215">
            <v>1430100</v>
          </cell>
        </row>
        <row r="216">
          <cell r="I216" t="str">
            <v>LS7001C</v>
          </cell>
          <cell r="J216">
            <v>1045800</v>
          </cell>
        </row>
        <row r="217">
          <cell r="I217" t="str">
            <v>LS7001W</v>
          </cell>
          <cell r="J217">
            <v>1045800</v>
          </cell>
        </row>
        <row r="218">
          <cell r="I218" t="str">
            <v>LS7003C</v>
          </cell>
          <cell r="J218">
            <v>1708400</v>
          </cell>
        </row>
        <row r="219">
          <cell r="I219" t="str">
            <v>LS7003W</v>
          </cell>
          <cell r="J219">
            <v>1708400</v>
          </cell>
        </row>
        <row r="220">
          <cell r="I220" t="str">
            <v>LL016</v>
          </cell>
          <cell r="J220">
            <v>1146600</v>
          </cell>
        </row>
        <row r="221">
          <cell r="I221" t="str">
            <v>LL008</v>
          </cell>
          <cell r="J221">
            <v>1019600</v>
          </cell>
        </row>
        <row r="222">
          <cell r="I222" t="str">
            <v>LL0007</v>
          </cell>
          <cell r="J222">
            <v>393800</v>
          </cell>
        </row>
        <row r="223">
          <cell r="I223" t="str">
            <v>CA0302</v>
          </cell>
          <cell r="J223">
            <v>60900</v>
          </cell>
        </row>
        <row r="224">
          <cell r="I224" t="str">
            <v>CA0301</v>
          </cell>
          <cell r="J224">
            <v>10500</v>
          </cell>
        </row>
        <row r="225">
          <cell r="I225" t="str">
            <v>CA1101</v>
          </cell>
          <cell r="J225">
            <v>10500</v>
          </cell>
        </row>
        <row r="226">
          <cell r="I226" t="str">
            <v>CC1082</v>
          </cell>
          <cell r="J226">
            <v>107100</v>
          </cell>
        </row>
        <row r="227">
          <cell r="I227" t="str">
            <v>CC1083</v>
          </cell>
          <cell r="J227">
            <v>147000</v>
          </cell>
        </row>
        <row r="228">
          <cell r="I228" t="str">
            <v>CC0054</v>
          </cell>
          <cell r="J228">
            <v>108200</v>
          </cell>
        </row>
        <row r="229">
          <cell r="I229" t="str">
            <v>CC0055</v>
          </cell>
          <cell r="J229">
            <v>129200</v>
          </cell>
        </row>
        <row r="230">
          <cell r="I230" t="str">
            <v>CC0084</v>
          </cell>
          <cell r="J230">
            <v>147000</v>
          </cell>
        </row>
        <row r="231">
          <cell r="I231" t="str">
            <v>CC0085</v>
          </cell>
          <cell r="J231">
            <v>164900</v>
          </cell>
        </row>
        <row r="232">
          <cell r="I232" t="str">
            <v>CC0084N</v>
          </cell>
          <cell r="J232">
            <v>113400</v>
          </cell>
        </row>
        <row r="233">
          <cell r="I233" t="str">
            <v>CC0085N</v>
          </cell>
          <cell r="J233">
            <v>129200</v>
          </cell>
        </row>
        <row r="234">
          <cell r="I234" t="str">
            <v>CC5054</v>
          </cell>
          <cell r="J234">
            <v>101900</v>
          </cell>
        </row>
        <row r="235">
          <cell r="I235" t="str">
            <v>CC5055</v>
          </cell>
          <cell r="J235">
            <v>117600</v>
          </cell>
        </row>
        <row r="236">
          <cell r="I236" t="str">
            <v>TB1082</v>
          </cell>
          <cell r="J236">
            <v>69300</v>
          </cell>
        </row>
        <row r="237">
          <cell r="I237" t="str">
            <v>TB1083</v>
          </cell>
          <cell r="J237">
            <v>90300</v>
          </cell>
        </row>
        <row r="238">
          <cell r="I238" t="str">
            <v>TB0082</v>
          </cell>
          <cell r="J238">
            <v>69300</v>
          </cell>
        </row>
        <row r="239">
          <cell r="I239" t="str">
            <v>TB084</v>
          </cell>
          <cell r="J239">
            <v>127100</v>
          </cell>
        </row>
        <row r="240">
          <cell r="I240" t="str">
            <v>TB085</v>
          </cell>
          <cell r="J240">
            <v>152300</v>
          </cell>
        </row>
        <row r="241">
          <cell r="I241" t="str">
            <v>TB0052R</v>
          </cell>
          <cell r="J241">
            <v>50400</v>
          </cell>
        </row>
        <row r="242">
          <cell r="I242" t="str">
            <v>TB0052L</v>
          </cell>
          <cell r="J242">
            <v>50400</v>
          </cell>
        </row>
        <row r="243">
          <cell r="I243" t="str">
            <v>TB0054R</v>
          </cell>
          <cell r="J243">
            <v>90300</v>
          </cell>
        </row>
        <row r="244">
          <cell r="I244" t="str">
            <v>TB0054L</v>
          </cell>
          <cell r="J244">
            <v>90300</v>
          </cell>
        </row>
        <row r="245">
          <cell r="I245" t="str">
            <v>TB0055R</v>
          </cell>
          <cell r="J245">
            <v>102900</v>
          </cell>
        </row>
        <row r="246">
          <cell r="I246" t="str">
            <v>TB0055L</v>
          </cell>
          <cell r="J246">
            <v>102900</v>
          </cell>
        </row>
        <row r="247">
          <cell r="I247" t="str">
            <v>TB0083G</v>
          </cell>
          <cell r="J247">
            <v>76700</v>
          </cell>
        </row>
        <row r="248">
          <cell r="I248" t="str">
            <v>EB1083G</v>
          </cell>
          <cell r="J248">
            <v>72500</v>
          </cell>
        </row>
        <row r="249">
          <cell r="I249" t="str">
            <v>EB1082</v>
          </cell>
          <cell r="J249">
            <v>54600</v>
          </cell>
        </row>
        <row r="250">
          <cell r="I250" t="str">
            <v>EB1083</v>
          </cell>
          <cell r="J250">
            <v>72500</v>
          </cell>
        </row>
        <row r="251">
          <cell r="I251" t="str">
            <v>EB0082</v>
          </cell>
          <cell r="J251">
            <v>54600</v>
          </cell>
        </row>
        <row r="252">
          <cell r="I252" t="str">
            <v>EB084</v>
          </cell>
          <cell r="J252">
            <v>101900</v>
          </cell>
        </row>
        <row r="253">
          <cell r="I253" t="str">
            <v>EB085</v>
          </cell>
          <cell r="J253">
            <v>120800</v>
          </cell>
        </row>
        <row r="254">
          <cell r="I254" t="str">
            <v>EB0052R</v>
          </cell>
          <cell r="J254">
            <v>42000</v>
          </cell>
        </row>
        <row r="255">
          <cell r="I255" t="str">
            <v>EB0052L</v>
          </cell>
          <cell r="J255">
            <v>42000</v>
          </cell>
        </row>
        <row r="256">
          <cell r="I256" t="str">
            <v>EB0054R</v>
          </cell>
          <cell r="J256">
            <v>74600</v>
          </cell>
        </row>
        <row r="257">
          <cell r="I257" t="str">
            <v>EB0054L</v>
          </cell>
          <cell r="J257">
            <v>74600</v>
          </cell>
        </row>
        <row r="258">
          <cell r="I258" t="str">
            <v>EB0055R</v>
          </cell>
          <cell r="J258">
            <v>86100</v>
          </cell>
        </row>
        <row r="259">
          <cell r="I259" t="str">
            <v>EB0055L</v>
          </cell>
          <cell r="J259">
            <v>86100</v>
          </cell>
        </row>
        <row r="260">
          <cell r="I260" t="str">
            <v>EC2052</v>
          </cell>
          <cell r="J260">
            <v>201600</v>
          </cell>
        </row>
        <row r="261">
          <cell r="I261" t="str">
            <v>EC2053</v>
          </cell>
          <cell r="J261">
            <v>269900</v>
          </cell>
        </row>
        <row r="262">
          <cell r="I262" t="str">
            <v>EC2050</v>
          </cell>
          <cell r="J262">
            <v>38900</v>
          </cell>
        </row>
        <row r="263">
          <cell r="I263" t="str">
            <v>TC2042</v>
          </cell>
          <cell r="J263">
            <v>242600</v>
          </cell>
        </row>
        <row r="264">
          <cell r="I264" t="str">
            <v>TC2043</v>
          </cell>
          <cell r="J264">
            <v>327600</v>
          </cell>
        </row>
        <row r="265">
          <cell r="I265" t="str">
            <v>TC2082</v>
          </cell>
          <cell r="J265">
            <v>371700</v>
          </cell>
        </row>
        <row r="266">
          <cell r="I266" t="str">
            <v>TC2083</v>
          </cell>
          <cell r="J266">
            <v>492500</v>
          </cell>
        </row>
        <row r="267">
          <cell r="I267" t="str">
            <v>TC242S</v>
          </cell>
          <cell r="J267">
            <v>253100</v>
          </cell>
        </row>
        <row r="268">
          <cell r="I268" t="str">
            <v>TC242N</v>
          </cell>
          <cell r="J268">
            <v>246800</v>
          </cell>
        </row>
        <row r="269">
          <cell r="I269" t="str">
            <v>CB9054</v>
          </cell>
          <cell r="J269">
            <v>27300</v>
          </cell>
        </row>
        <row r="270">
          <cell r="I270" t="str">
            <v>CB955</v>
          </cell>
          <cell r="J270">
            <v>35700</v>
          </cell>
        </row>
        <row r="271">
          <cell r="I271" t="str">
            <v>CB9084</v>
          </cell>
          <cell r="J271">
            <v>42000</v>
          </cell>
        </row>
        <row r="272">
          <cell r="I272" t="str">
            <v>CB985</v>
          </cell>
          <cell r="J272">
            <v>54600</v>
          </cell>
        </row>
        <row r="273">
          <cell r="I273" t="str">
            <v>XX100</v>
          </cell>
          <cell r="J273">
            <v>459900</v>
          </cell>
        </row>
        <row r="274">
          <cell r="I274" t="str">
            <v>XC100</v>
          </cell>
          <cell r="J274">
            <v>430500</v>
          </cell>
        </row>
        <row r="275">
          <cell r="I275" t="str">
            <v>XC150R</v>
          </cell>
          <cell r="J275">
            <v>279300</v>
          </cell>
        </row>
        <row r="276">
          <cell r="I276" t="str">
            <v>XC150L</v>
          </cell>
          <cell r="J276">
            <v>279300</v>
          </cell>
        </row>
        <row r="277">
          <cell r="I277" t="str">
            <v>CR1007</v>
          </cell>
          <cell r="J277">
            <v>132300</v>
          </cell>
        </row>
        <row r="278">
          <cell r="I278" t="str">
            <v>CR1015</v>
          </cell>
          <cell r="J278">
            <v>183800</v>
          </cell>
        </row>
        <row r="279">
          <cell r="I279" t="str">
            <v>CR1066</v>
          </cell>
          <cell r="J279">
            <v>201600</v>
          </cell>
        </row>
        <row r="280">
          <cell r="I280" t="str">
            <v>CR1107</v>
          </cell>
          <cell r="J280">
            <v>114500</v>
          </cell>
        </row>
        <row r="281">
          <cell r="I281" t="str">
            <v>CR1115</v>
          </cell>
          <cell r="J281">
            <v>150200</v>
          </cell>
        </row>
        <row r="282">
          <cell r="I282" t="str">
            <v>CR1166</v>
          </cell>
          <cell r="J282">
            <v>158600</v>
          </cell>
        </row>
        <row r="283">
          <cell r="I283" t="str">
            <v>CR1206</v>
          </cell>
          <cell r="J283">
            <v>30500</v>
          </cell>
        </row>
        <row r="284">
          <cell r="I284" t="str">
            <v>CR1207</v>
          </cell>
          <cell r="J284">
            <v>33600</v>
          </cell>
        </row>
        <row r="285">
          <cell r="I285" t="str">
            <v>CR1307</v>
          </cell>
          <cell r="J285">
            <v>17900</v>
          </cell>
        </row>
        <row r="286">
          <cell r="I286" t="str">
            <v>CR1315</v>
          </cell>
          <cell r="J286">
            <v>33600</v>
          </cell>
        </row>
        <row r="287">
          <cell r="I287" t="str">
            <v>CR1360</v>
          </cell>
          <cell r="J287">
            <v>17900</v>
          </cell>
        </row>
        <row r="288">
          <cell r="I288" t="str">
            <v>CR1361</v>
          </cell>
          <cell r="J288">
            <v>17900</v>
          </cell>
        </row>
        <row r="289">
          <cell r="I289" t="str">
            <v>CR2008N</v>
          </cell>
          <cell r="J289">
            <v>150200</v>
          </cell>
        </row>
        <row r="290">
          <cell r="I290" t="str">
            <v>CR2016N</v>
          </cell>
          <cell r="J290">
            <v>246800</v>
          </cell>
        </row>
        <row r="291">
          <cell r="I291" t="str">
            <v>CR2590N</v>
          </cell>
          <cell r="J291">
            <v>135500</v>
          </cell>
        </row>
        <row r="292">
          <cell r="I292" t="str">
            <v>CR2000</v>
          </cell>
          <cell r="J292">
            <v>48300</v>
          </cell>
        </row>
        <row r="293">
          <cell r="I293" t="str">
            <v>CR2000S</v>
          </cell>
          <cell r="J293">
            <v>26300</v>
          </cell>
        </row>
        <row r="294">
          <cell r="I294" t="str">
            <v>CR2000E</v>
          </cell>
          <cell r="J294">
            <v>48300</v>
          </cell>
        </row>
        <row r="295">
          <cell r="I295" t="str">
            <v>CR018</v>
          </cell>
          <cell r="J295">
            <v>278300</v>
          </cell>
        </row>
        <row r="296">
          <cell r="I296" t="str">
            <v>CR024</v>
          </cell>
          <cell r="J296">
            <v>354900</v>
          </cell>
        </row>
        <row r="297">
          <cell r="I297" t="str">
            <v>CR3118</v>
          </cell>
          <cell r="J297">
            <v>285600</v>
          </cell>
        </row>
        <row r="298">
          <cell r="I298" t="str">
            <v>CR3218</v>
          </cell>
          <cell r="J298">
            <v>249900</v>
          </cell>
        </row>
        <row r="299">
          <cell r="I299" t="str">
            <v>CR3114N</v>
          </cell>
          <cell r="J299">
            <v>225800</v>
          </cell>
        </row>
        <row r="300">
          <cell r="I300" t="str">
            <v>CR3214N</v>
          </cell>
          <cell r="J300">
            <v>206900</v>
          </cell>
        </row>
        <row r="301">
          <cell r="I301" t="str">
            <v>CR4110</v>
          </cell>
          <cell r="J301">
            <v>107100</v>
          </cell>
        </row>
        <row r="302">
          <cell r="I302" t="str">
            <v>SR009</v>
          </cell>
          <cell r="J302">
            <v>225800</v>
          </cell>
        </row>
        <row r="303">
          <cell r="I303" t="str">
            <v>SR012</v>
          </cell>
          <cell r="J303">
            <v>241500</v>
          </cell>
        </row>
        <row r="304">
          <cell r="I304" t="str">
            <v>SR018</v>
          </cell>
          <cell r="J304">
            <v>303500</v>
          </cell>
        </row>
        <row r="305">
          <cell r="I305" t="str">
            <v>SR024S</v>
          </cell>
          <cell r="J305">
            <v>375900</v>
          </cell>
        </row>
        <row r="306">
          <cell r="I306" t="str">
            <v>SR024</v>
          </cell>
          <cell r="J306">
            <v>375900</v>
          </cell>
        </row>
        <row r="307">
          <cell r="I307" t="str">
            <v>SR032</v>
          </cell>
          <cell r="J307">
            <v>483000</v>
          </cell>
        </row>
        <row r="308">
          <cell r="I308" t="str">
            <v>CR413</v>
          </cell>
          <cell r="J308">
            <v>129200</v>
          </cell>
        </row>
        <row r="309">
          <cell r="I309" t="str">
            <v>CA9900</v>
          </cell>
          <cell r="J309">
            <v>5300</v>
          </cell>
        </row>
        <row r="310">
          <cell r="I310" t="str">
            <v>CA9901</v>
          </cell>
          <cell r="J310">
            <v>4200</v>
          </cell>
        </row>
        <row r="311">
          <cell r="I311" t="str">
            <v>CA0100</v>
          </cell>
          <cell r="J311">
            <v>26300</v>
          </cell>
        </row>
        <row r="312">
          <cell r="I312" t="str">
            <v>CA0401</v>
          </cell>
          <cell r="J312">
            <v>175400</v>
          </cell>
        </row>
        <row r="313">
          <cell r="I313" t="str">
            <v>CA0402</v>
          </cell>
          <cell r="J313">
            <v>194300</v>
          </cell>
        </row>
        <row r="314">
          <cell r="I314" t="str">
            <v>CA0501</v>
          </cell>
          <cell r="J314">
            <v>161700</v>
          </cell>
        </row>
        <row r="315">
          <cell r="I315" t="str">
            <v>CA0601</v>
          </cell>
          <cell r="J315">
            <v>99800</v>
          </cell>
        </row>
        <row r="316">
          <cell r="I316" t="str">
            <v>CA0702</v>
          </cell>
          <cell r="J316">
            <v>24200</v>
          </cell>
        </row>
        <row r="317">
          <cell r="I317" t="str">
            <v>CA0703</v>
          </cell>
          <cell r="J317">
            <v>18900</v>
          </cell>
        </row>
        <row r="318">
          <cell r="I318" t="str">
            <v>CA0801</v>
          </cell>
          <cell r="J318">
            <v>15800</v>
          </cell>
        </row>
        <row r="319">
          <cell r="I319" t="str">
            <v>CA0802</v>
          </cell>
          <cell r="J319">
            <v>142800</v>
          </cell>
        </row>
        <row r="320">
          <cell r="I320" t="str">
            <v>CA0803</v>
          </cell>
          <cell r="J320">
            <v>66200</v>
          </cell>
        </row>
        <row r="321">
          <cell r="I321" t="str">
            <v>CA0901</v>
          </cell>
          <cell r="J321">
            <v>48300</v>
          </cell>
        </row>
        <row r="322">
          <cell r="I322" t="str">
            <v>CA0001</v>
          </cell>
          <cell r="J322">
            <v>62000</v>
          </cell>
        </row>
        <row r="323">
          <cell r="I323" t="str">
            <v>CA0002</v>
          </cell>
          <cell r="J323">
            <v>172200</v>
          </cell>
        </row>
        <row r="324">
          <cell r="I324" t="str">
            <v>CA0110</v>
          </cell>
          <cell r="J324">
            <v>105000</v>
          </cell>
        </row>
        <row r="325">
          <cell r="I325" t="str">
            <v>CA1003</v>
          </cell>
          <cell r="J325">
            <v>44100</v>
          </cell>
        </row>
        <row r="326">
          <cell r="I326" t="str">
            <v>CA1004</v>
          </cell>
          <cell r="J326">
            <v>44100</v>
          </cell>
        </row>
        <row r="327">
          <cell r="I327" t="str">
            <v>CA1005</v>
          </cell>
          <cell r="J327">
            <v>44000</v>
          </cell>
        </row>
        <row r="328">
          <cell r="I328" t="str">
            <v>CA120</v>
          </cell>
          <cell r="J328">
            <v>123900</v>
          </cell>
        </row>
        <row r="329">
          <cell r="I329" t="str">
            <v>CA0120</v>
          </cell>
          <cell r="J329">
            <v>62000</v>
          </cell>
        </row>
        <row r="330">
          <cell r="I330" t="str">
            <v>NF0060</v>
          </cell>
          <cell r="J330">
            <v>110300</v>
          </cell>
        </row>
        <row r="331">
          <cell r="I331" t="str">
            <v>NF0080</v>
          </cell>
          <cell r="J331">
            <v>122900</v>
          </cell>
        </row>
        <row r="332">
          <cell r="I332" t="str">
            <v>NF0100</v>
          </cell>
          <cell r="J332">
            <v>134400</v>
          </cell>
        </row>
        <row r="333">
          <cell r="I333" t="str">
            <v>NF0120</v>
          </cell>
          <cell r="J333">
            <v>144900</v>
          </cell>
        </row>
        <row r="334">
          <cell r="I334" t="str">
            <v>NF0062</v>
          </cell>
          <cell r="J334">
            <v>123900</v>
          </cell>
        </row>
        <row r="335">
          <cell r="I335" t="str">
            <v>NF0082</v>
          </cell>
          <cell r="J335">
            <v>135500</v>
          </cell>
        </row>
        <row r="336">
          <cell r="I336" t="str">
            <v>NF0102</v>
          </cell>
          <cell r="J336">
            <v>147000</v>
          </cell>
        </row>
        <row r="337">
          <cell r="I337" t="str">
            <v>NF0122</v>
          </cell>
          <cell r="J337">
            <v>159600</v>
          </cell>
        </row>
        <row r="338">
          <cell r="I338" t="str">
            <v>NF0065</v>
          </cell>
          <cell r="J338">
            <v>143900</v>
          </cell>
        </row>
        <row r="339">
          <cell r="I339" t="str">
            <v>NF0085</v>
          </cell>
          <cell r="J339">
            <v>161700</v>
          </cell>
        </row>
        <row r="340">
          <cell r="I340" t="str">
            <v>NF0105</v>
          </cell>
          <cell r="J340">
            <v>177500</v>
          </cell>
        </row>
        <row r="341">
          <cell r="I341" t="str">
            <v>NF0125</v>
          </cell>
          <cell r="J341">
            <v>195300</v>
          </cell>
        </row>
        <row r="342">
          <cell r="I342" t="str">
            <v>NF0068</v>
          </cell>
          <cell r="J342">
            <v>170100</v>
          </cell>
        </row>
        <row r="343">
          <cell r="I343" t="str">
            <v>NF0088</v>
          </cell>
          <cell r="J343">
            <v>195300</v>
          </cell>
        </row>
        <row r="344">
          <cell r="I344" t="str">
            <v>NF0108</v>
          </cell>
          <cell r="J344">
            <v>221600</v>
          </cell>
        </row>
        <row r="345">
          <cell r="I345" t="str">
            <v>NF0128</v>
          </cell>
          <cell r="J345">
            <v>245700</v>
          </cell>
        </row>
        <row r="346">
          <cell r="I346" t="str">
            <v>NF1082</v>
          </cell>
          <cell r="J346">
            <v>204800</v>
          </cell>
        </row>
        <row r="347">
          <cell r="I347" t="str">
            <v>NF1102</v>
          </cell>
          <cell r="J347">
            <v>231000</v>
          </cell>
        </row>
        <row r="348">
          <cell r="I348" t="str">
            <v>NF1085</v>
          </cell>
          <cell r="J348">
            <v>234200</v>
          </cell>
        </row>
        <row r="349">
          <cell r="I349" t="str">
            <v>NF1105</v>
          </cell>
          <cell r="J349">
            <v>273000</v>
          </cell>
        </row>
        <row r="350">
          <cell r="I350" t="str">
            <v>NF1088</v>
          </cell>
          <cell r="J350">
            <v>273000</v>
          </cell>
        </row>
        <row r="351">
          <cell r="I351" t="str">
            <v>NF1108</v>
          </cell>
          <cell r="J351">
            <v>321300</v>
          </cell>
        </row>
        <row r="352">
          <cell r="I352" t="str">
            <v>NF2085</v>
          </cell>
          <cell r="J352">
            <v>242600</v>
          </cell>
        </row>
        <row r="353">
          <cell r="I353" t="str">
            <v>NF2105</v>
          </cell>
          <cell r="J353">
            <v>281400</v>
          </cell>
        </row>
        <row r="354">
          <cell r="I354" t="str">
            <v>NF2088</v>
          </cell>
          <cell r="J354">
            <v>281400</v>
          </cell>
        </row>
        <row r="355">
          <cell r="I355" t="str">
            <v>NF2108</v>
          </cell>
          <cell r="J355">
            <v>329700</v>
          </cell>
        </row>
        <row r="356">
          <cell r="I356" t="str">
            <v>NF0060X</v>
          </cell>
          <cell r="J356">
            <v>114500</v>
          </cell>
        </row>
        <row r="357">
          <cell r="I357" t="str">
            <v>NF0080X</v>
          </cell>
          <cell r="J357">
            <v>128100</v>
          </cell>
        </row>
        <row r="358">
          <cell r="I358" t="str">
            <v>NF0100X</v>
          </cell>
          <cell r="J358">
            <v>138600</v>
          </cell>
        </row>
        <row r="359">
          <cell r="I359" t="str">
            <v>NF0120X</v>
          </cell>
          <cell r="J359">
            <v>150200</v>
          </cell>
        </row>
        <row r="360">
          <cell r="I360" t="str">
            <v>NA0001</v>
          </cell>
          <cell r="J360">
            <v>1600</v>
          </cell>
        </row>
        <row r="361">
          <cell r="I361" t="str">
            <v>NA0006</v>
          </cell>
          <cell r="J361">
            <v>11300</v>
          </cell>
        </row>
        <row r="362">
          <cell r="I362" t="str">
            <v>NA0008</v>
          </cell>
          <cell r="J362">
            <v>14500</v>
          </cell>
        </row>
        <row r="363">
          <cell r="I363" t="str">
            <v>NA0010</v>
          </cell>
          <cell r="J363">
            <v>17700</v>
          </cell>
        </row>
        <row r="364">
          <cell r="I364" t="str">
            <v>NA0012</v>
          </cell>
          <cell r="J364">
            <v>21000</v>
          </cell>
        </row>
        <row r="365">
          <cell r="I365" t="str">
            <v>NA0014</v>
          </cell>
          <cell r="J365">
            <v>24300</v>
          </cell>
        </row>
        <row r="366">
          <cell r="I366" t="str">
            <v>NA0016</v>
          </cell>
          <cell r="J366">
            <v>27500</v>
          </cell>
        </row>
        <row r="367">
          <cell r="I367" t="str">
            <v>NA0101</v>
          </cell>
          <cell r="J367">
            <v>14500</v>
          </cell>
        </row>
        <row r="368">
          <cell r="I368" t="str">
            <v>NA0102</v>
          </cell>
          <cell r="J368">
            <v>27500</v>
          </cell>
        </row>
        <row r="369">
          <cell r="I369" t="str">
            <v>NA0103</v>
          </cell>
          <cell r="J369">
            <v>16200</v>
          </cell>
        </row>
        <row r="370">
          <cell r="I370" t="str">
            <v>NA0104</v>
          </cell>
          <cell r="J370">
            <v>50100</v>
          </cell>
        </row>
        <row r="371">
          <cell r="I371" t="str">
            <v>NA0105</v>
          </cell>
          <cell r="J371">
            <v>14500</v>
          </cell>
        </row>
        <row r="372">
          <cell r="I372" t="str">
            <v>NA0106</v>
          </cell>
          <cell r="J372">
            <v>11300</v>
          </cell>
        </row>
        <row r="373">
          <cell r="I373" t="str">
            <v>NA0107</v>
          </cell>
          <cell r="J373">
            <v>11300</v>
          </cell>
        </row>
        <row r="374">
          <cell r="I374" t="str">
            <v>NF8001</v>
          </cell>
          <cell r="J374">
            <v>25700</v>
          </cell>
        </row>
        <row r="375">
          <cell r="I375" t="str">
            <v>NF8002</v>
          </cell>
          <cell r="J375">
            <v>3300</v>
          </cell>
        </row>
        <row r="376">
          <cell r="I376" t="str">
            <v>NF5109</v>
          </cell>
          <cell r="J376">
            <v>14700</v>
          </cell>
        </row>
        <row r="377">
          <cell r="I377" t="str">
            <v>NF5110</v>
          </cell>
          <cell r="J377">
            <v>16300</v>
          </cell>
        </row>
        <row r="378">
          <cell r="I378" t="str">
            <v>NF5112</v>
          </cell>
          <cell r="J378">
            <v>16300</v>
          </cell>
        </row>
        <row r="379">
          <cell r="I379" t="str">
            <v>NF5115</v>
          </cell>
          <cell r="J379">
            <v>21000</v>
          </cell>
        </row>
        <row r="380">
          <cell r="I380" t="str">
            <v>NF5118</v>
          </cell>
          <cell r="J380">
            <v>24200</v>
          </cell>
        </row>
        <row r="381">
          <cell r="I381" t="str">
            <v>NF5209</v>
          </cell>
          <cell r="J381">
            <v>17900</v>
          </cell>
        </row>
        <row r="382">
          <cell r="I382" t="str">
            <v>NF5210</v>
          </cell>
          <cell r="J382">
            <v>21000</v>
          </cell>
        </row>
        <row r="383">
          <cell r="I383" t="str">
            <v>NF5212</v>
          </cell>
          <cell r="J383">
            <v>21000</v>
          </cell>
        </row>
        <row r="384">
          <cell r="I384" t="str">
            <v>NF5215</v>
          </cell>
          <cell r="J384">
            <v>24200</v>
          </cell>
        </row>
        <row r="385">
          <cell r="I385" t="str">
            <v>NF5218</v>
          </cell>
          <cell r="J385">
            <v>27300</v>
          </cell>
        </row>
        <row r="386">
          <cell r="I386" t="str">
            <v>NF5309</v>
          </cell>
          <cell r="J386">
            <v>14700</v>
          </cell>
        </row>
        <row r="387">
          <cell r="I387" t="str">
            <v>NF5310</v>
          </cell>
          <cell r="J387">
            <v>16300</v>
          </cell>
        </row>
        <row r="388">
          <cell r="I388" t="str">
            <v>NF5312</v>
          </cell>
          <cell r="J388">
            <v>16300</v>
          </cell>
        </row>
        <row r="389">
          <cell r="I389" t="str">
            <v>NF5315</v>
          </cell>
          <cell r="J389">
            <v>21000</v>
          </cell>
        </row>
        <row r="390">
          <cell r="I390" t="str">
            <v>NF5318</v>
          </cell>
          <cell r="J390">
            <v>24200</v>
          </cell>
        </row>
        <row r="391">
          <cell r="I391" t="str">
            <v>NF5409</v>
          </cell>
          <cell r="J391">
            <v>14700</v>
          </cell>
        </row>
        <row r="392">
          <cell r="I392" t="str">
            <v>NF5410</v>
          </cell>
          <cell r="J392">
            <v>16300</v>
          </cell>
        </row>
        <row r="393">
          <cell r="I393" t="str">
            <v>NF5412</v>
          </cell>
          <cell r="J393">
            <v>16300</v>
          </cell>
        </row>
        <row r="394">
          <cell r="I394" t="str">
            <v>NF5415</v>
          </cell>
          <cell r="J394">
            <v>21000</v>
          </cell>
        </row>
        <row r="395">
          <cell r="I395" t="str">
            <v>NF5418</v>
          </cell>
          <cell r="J395">
            <v>24200</v>
          </cell>
        </row>
        <row r="396">
          <cell r="I396" t="str">
            <v>NF5500</v>
          </cell>
          <cell r="J396">
            <v>11600</v>
          </cell>
        </row>
        <row r="397">
          <cell r="I397" t="str">
            <v>NF5600</v>
          </cell>
          <cell r="J397">
            <v>11600</v>
          </cell>
        </row>
        <row r="398">
          <cell r="I398" t="str">
            <v>NF6009</v>
          </cell>
          <cell r="J398">
            <v>3200</v>
          </cell>
        </row>
        <row r="399">
          <cell r="I399" t="str">
            <v>NF6010</v>
          </cell>
          <cell r="J399">
            <v>3200</v>
          </cell>
        </row>
        <row r="400">
          <cell r="I400" t="str">
            <v>NF6012</v>
          </cell>
          <cell r="J400">
            <v>3200</v>
          </cell>
        </row>
        <row r="401">
          <cell r="I401" t="str">
            <v>NF6015</v>
          </cell>
          <cell r="J401">
            <v>4700</v>
          </cell>
        </row>
        <row r="402">
          <cell r="I402" t="str">
            <v>NF6018</v>
          </cell>
          <cell r="J402">
            <v>4700</v>
          </cell>
        </row>
        <row r="403">
          <cell r="I403" t="str">
            <v>NF6103</v>
          </cell>
          <cell r="J403">
            <v>1600</v>
          </cell>
        </row>
        <row r="404">
          <cell r="I404" t="str">
            <v>NF6106</v>
          </cell>
          <cell r="J404">
            <v>1600</v>
          </cell>
        </row>
        <row r="405">
          <cell r="I405" t="str">
            <v>NF6109</v>
          </cell>
          <cell r="J405">
            <v>3200</v>
          </cell>
        </row>
        <row r="406">
          <cell r="I406" t="str">
            <v>NF6303</v>
          </cell>
          <cell r="J406">
            <v>9500</v>
          </cell>
        </row>
        <row r="407">
          <cell r="I407" t="str">
            <v>NF6306</v>
          </cell>
          <cell r="J407">
            <v>11600</v>
          </cell>
        </row>
        <row r="408">
          <cell r="I408" t="str">
            <v>NF6309</v>
          </cell>
          <cell r="J408">
            <v>13100</v>
          </cell>
        </row>
        <row r="409">
          <cell r="I409" t="str">
            <v>NF6403</v>
          </cell>
          <cell r="J409">
            <v>9500</v>
          </cell>
        </row>
        <row r="410">
          <cell r="I410" t="str">
            <v>NF6406</v>
          </cell>
          <cell r="J410">
            <v>11600</v>
          </cell>
        </row>
        <row r="411">
          <cell r="I411" t="str">
            <v>NF6409</v>
          </cell>
          <cell r="J411">
            <v>12600</v>
          </cell>
        </row>
        <row r="412">
          <cell r="I412" t="str">
            <v>NT8001</v>
          </cell>
          <cell r="J412">
            <v>17900</v>
          </cell>
        </row>
        <row r="413">
          <cell r="I413" t="str">
            <v>NT0006</v>
          </cell>
          <cell r="J413">
            <v>66200</v>
          </cell>
        </row>
        <row r="414">
          <cell r="I414" t="str">
            <v>NT0008</v>
          </cell>
          <cell r="J414">
            <v>74600</v>
          </cell>
        </row>
        <row r="415">
          <cell r="I415" t="str">
            <v>NT0010</v>
          </cell>
          <cell r="J415">
            <v>87200</v>
          </cell>
        </row>
        <row r="416">
          <cell r="I416" t="str">
            <v>NT0012</v>
          </cell>
          <cell r="J416">
            <v>92400</v>
          </cell>
        </row>
        <row r="417">
          <cell r="I417" t="str">
            <v>NT0016</v>
          </cell>
          <cell r="J417">
            <v>123900</v>
          </cell>
        </row>
        <row r="418">
          <cell r="I418" t="str">
            <v>NT0018</v>
          </cell>
          <cell r="J418">
            <v>140700</v>
          </cell>
        </row>
        <row r="419">
          <cell r="I419" t="str">
            <v>NT0106</v>
          </cell>
          <cell r="J419">
            <v>54600</v>
          </cell>
        </row>
        <row r="420">
          <cell r="I420" t="str">
            <v>NT0108</v>
          </cell>
          <cell r="J420">
            <v>63000</v>
          </cell>
        </row>
        <row r="421">
          <cell r="I421" t="str">
            <v>NT0110</v>
          </cell>
          <cell r="J421">
            <v>72500</v>
          </cell>
        </row>
        <row r="422">
          <cell r="I422" t="str">
            <v>NT0112</v>
          </cell>
          <cell r="J422">
            <v>75600</v>
          </cell>
        </row>
        <row r="423">
          <cell r="I423" t="str">
            <v>NT0116</v>
          </cell>
          <cell r="J423">
            <v>102900</v>
          </cell>
        </row>
        <row r="424">
          <cell r="I424" t="str">
            <v>NT0118</v>
          </cell>
          <cell r="J424">
            <v>116600</v>
          </cell>
        </row>
        <row r="425">
          <cell r="I425" t="str">
            <v>NT0100</v>
          </cell>
          <cell r="J425">
            <v>63000</v>
          </cell>
        </row>
        <row r="426">
          <cell r="I426" t="str">
            <v>NT0000</v>
          </cell>
          <cell r="J426">
            <v>72500</v>
          </cell>
        </row>
        <row r="427">
          <cell r="I427" t="str">
            <v>NT2004</v>
          </cell>
          <cell r="J427">
            <v>39900</v>
          </cell>
        </row>
        <row r="428">
          <cell r="I428" t="str">
            <v>NT2006</v>
          </cell>
          <cell r="J428">
            <v>45200</v>
          </cell>
        </row>
        <row r="429">
          <cell r="I429" t="str">
            <v>NT2008</v>
          </cell>
          <cell r="J429">
            <v>53600</v>
          </cell>
        </row>
        <row r="430">
          <cell r="I430" t="str">
            <v>NT2010</v>
          </cell>
          <cell r="J430">
            <v>63000</v>
          </cell>
        </row>
        <row r="431">
          <cell r="I431" t="str">
            <v>NT2012</v>
          </cell>
          <cell r="J431">
            <v>66200</v>
          </cell>
        </row>
        <row r="432">
          <cell r="I432" t="str">
            <v>NT2014</v>
          </cell>
          <cell r="J432">
            <v>81900</v>
          </cell>
        </row>
        <row r="433">
          <cell r="I433" t="str">
            <v>NT2016</v>
          </cell>
          <cell r="J433">
            <v>92400</v>
          </cell>
        </row>
        <row r="434">
          <cell r="I434" t="str">
            <v>NT2018</v>
          </cell>
          <cell r="J434">
            <v>95600</v>
          </cell>
        </row>
        <row r="435">
          <cell r="I435" t="str">
            <v>NT2122</v>
          </cell>
          <cell r="J435">
            <v>26300</v>
          </cell>
        </row>
        <row r="436">
          <cell r="I436" t="str">
            <v>NT2206</v>
          </cell>
          <cell r="J436">
            <v>53600</v>
          </cell>
        </row>
        <row r="437">
          <cell r="I437" t="str">
            <v>NT2208</v>
          </cell>
          <cell r="J437">
            <v>59900</v>
          </cell>
        </row>
        <row r="438">
          <cell r="I438" t="str">
            <v>NT2210</v>
          </cell>
          <cell r="J438">
            <v>66200</v>
          </cell>
        </row>
        <row r="439">
          <cell r="I439" t="str">
            <v>NT2212</v>
          </cell>
          <cell r="J439">
            <v>75600</v>
          </cell>
        </row>
        <row r="440">
          <cell r="I440" t="str">
            <v>NT2308</v>
          </cell>
          <cell r="J440">
            <v>45200</v>
          </cell>
        </row>
        <row r="441">
          <cell r="I441" t="str">
            <v>NT912</v>
          </cell>
          <cell r="J441">
            <v>84000</v>
          </cell>
        </row>
        <row r="442">
          <cell r="I442" t="str">
            <v>NT916</v>
          </cell>
          <cell r="J442">
            <v>129200</v>
          </cell>
        </row>
        <row r="443">
          <cell r="I443" t="str">
            <v>NT918</v>
          </cell>
          <cell r="J443">
            <v>153300</v>
          </cell>
        </row>
        <row r="444">
          <cell r="I444" t="str">
            <v>NT966</v>
          </cell>
          <cell r="J444">
            <v>112400</v>
          </cell>
        </row>
        <row r="445">
          <cell r="I445" t="str">
            <v>NT988</v>
          </cell>
          <cell r="J445">
            <v>143900</v>
          </cell>
        </row>
        <row r="446">
          <cell r="I446" t="str">
            <v>NT5566</v>
          </cell>
          <cell r="J446">
            <v>119700</v>
          </cell>
        </row>
        <row r="447">
          <cell r="I447" t="str">
            <v>NT5586R</v>
          </cell>
          <cell r="J447">
            <v>137600</v>
          </cell>
        </row>
        <row r="448">
          <cell r="I448" t="str">
            <v>NT5586L</v>
          </cell>
          <cell r="J448">
            <v>137600</v>
          </cell>
        </row>
        <row r="449">
          <cell r="I449" t="str">
            <v>NT5588</v>
          </cell>
          <cell r="J449">
            <v>144900</v>
          </cell>
        </row>
        <row r="450">
          <cell r="I450" t="str">
            <v>NT5806R</v>
          </cell>
          <cell r="J450">
            <v>80900</v>
          </cell>
        </row>
        <row r="451">
          <cell r="I451" t="str">
            <v>NT5806L</v>
          </cell>
          <cell r="J451">
            <v>80900</v>
          </cell>
        </row>
        <row r="452">
          <cell r="I452" t="str">
            <v>NT5266</v>
          </cell>
          <cell r="J452">
            <v>150200</v>
          </cell>
        </row>
        <row r="453">
          <cell r="I453" t="str">
            <v>NT5288</v>
          </cell>
          <cell r="J453">
            <v>155400</v>
          </cell>
        </row>
        <row r="454">
          <cell r="I454" t="str">
            <v>NT3006</v>
          </cell>
          <cell r="J454">
            <v>30500</v>
          </cell>
        </row>
        <row r="455">
          <cell r="I455" t="str">
            <v>NT3008</v>
          </cell>
          <cell r="J455">
            <v>35700</v>
          </cell>
        </row>
        <row r="456">
          <cell r="I456" t="str">
            <v>NT3010</v>
          </cell>
          <cell r="J456">
            <v>39900</v>
          </cell>
        </row>
        <row r="457">
          <cell r="I457" t="str">
            <v>NT3012</v>
          </cell>
          <cell r="J457">
            <v>45200</v>
          </cell>
        </row>
        <row r="458">
          <cell r="I458" t="str">
            <v>NT3306</v>
          </cell>
          <cell r="J458">
            <v>90300</v>
          </cell>
        </row>
        <row r="459">
          <cell r="I459" t="str">
            <v>NT3308</v>
          </cell>
          <cell r="J459">
            <v>99800</v>
          </cell>
        </row>
        <row r="460">
          <cell r="I460" t="str">
            <v>NT3310</v>
          </cell>
          <cell r="J460">
            <v>119700</v>
          </cell>
        </row>
        <row r="461">
          <cell r="I461" t="str">
            <v>NT3312</v>
          </cell>
          <cell r="J461">
            <v>161700</v>
          </cell>
        </row>
        <row r="462">
          <cell r="I462" t="str">
            <v>NA0206</v>
          </cell>
          <cell r="J462">
            <v>6500</v>
          </cell>
        </row>
        <row r="463">
          <cell r="I463" t="str">
            <v>NA0208</v>
          </cell>
          <cell r="J463">
            <v>6500</v>
          </cell>
        </row>
        <row r="464">
          <cell r="I464" t="str">
            <v>NA0210</v>
          </cell>
          <cell r="J464">
            <v>8100</v>
          </cell>
        </row>
        <row r="465">
          <cell r="I465" t="str">
            <v>NA0212</v>
          </cell>
          <cell r="J465">
            <v>8100</v>
          </cell>
        </row>
        <row r="466">
          <cell r="I466" t="str">
            <v>NA0300</v>
          </cell>
          <cell r="J466">
            <v>4800</v>
          </cell>
        </row>
        <row r="467">
          <cell r="I467" t="str">
            <v>NA0400</v>
          </cell>
          <cell r="J467">
            <v>1300</v>
          </cell>
        </row>
        <row r="468">
          <cell r="I468" t="str">
            <v>CH0001</v>
          </cell>
          <cell r="J468">
            <v>39900</v>
          </cell>
        </row>
        <row r="469">
          <cell r="I469" t="str">
            <v>CH0002</v>
          </cell>
          <cell r="J469">
            <v>75600</v>
          </cell>
        </row>
        <row r="470">
          <cell r="I470" t="str">
            <v>CH0003</v>
          </cell>
          <cell r="J470">
            <v>65100</v>
          </cell>
        </row>
        <row r="471">
          <cell r="I471" t="str">
            <v>CH0004</v>
          </cell>
          <cell r="J471">
            <v>80900</v>
          </cell>
        </row>
        <row r="472">
          <cell r="I472" t="str">
            <v>CH0005</v>
          </cell>
          <cell r="J472">
            <v>158600</v>
          </cell>
        </row>
        <row r="473">
          <cell r="I473" t="str">
            <v>CH0005R</v>
          </cell>
          <cell r="J473">
            <v>13700</v>
          </cell>
        </row>
        <row r="474">
          <cell r="I474" t="str">
            <v>CH0005T</v>
          </cell>
          <cell r="J474">
            <v>34700</v>
          </cell>
        </row>
        <row r="475">
          <cell r="I475" t="str">
            <v>CH0007</v>
          </cell>
          <cell r="J475">
            <v>94500</v>
          </cell>
        </row>
        <row r="476">
          <cell r="I476" t="str">
            <v>CH0007천</v>
          </cell>
          <cell r="J476">
            <v>113400</v>
          </cell>
        </row>
        <row r="477">
          <cell r="I477" t="str">
            <v>CH0007B</v>
          </cell>
          <cell r="J477">
            <v>55700</v>
          </cell>
        </row>
        <row r="478">
          <cell r="I478" t="str">
            <v>CH0007B천</v>
          </cell>
          <cell r="J478">
            <v>75600</v>
          </cell>
        </row>
        <row r="479">
          <cell r="I479" t="str">
            <v>CH0007T</v>
          </cell>
          <cell r="J479">
            <v>27300</v>
          </cell>
        </row>
        <row r="480">
          <cell r="I480" t="str">
            <v>CH0007A</v>
          </cell>
          <cell r="J480">
            <v>10700</v>
          </cell>
        </row>
        <row r="481">
          <cell r="I481" t="str">
            <v>CH0007S</v>
          </cell>
          <cell r="J481">
            <v>27300</v>
          </cell>
        </row>
        <row r="482">
          <cell r="I482" t="str">
            <v>CH0007C</v>
          </cell>
          <cell r="J482">
            <v>26800</v>
          </cell>
        </row>
        <row r="483">
          <cell r="I483" t="str">
            <v>CH0007N</v>
          </cell>
          <cell r="J483">
            <v>500</v>
          </cell>
        </row>
        <row r="484">
          <cell r="I484" t="str">
            <v>CH0100</v>
          </cell>
          <cell r="J484">
            <v>602700</v>
          </cell>
        </row>
        <row r="485">
          <cell r="I485" t="str">
            <v>CH0101</v>
          </cell>
          <cell r="J485">
            <v>383300</v>
          </cell>
        </row>
        <row r="486">
          <cell r="I486" t="str">
            <v>CH0111</v>
          </cell>
          <cell r="J486">
            <v>254100</v>
          </cell>
        </row>
        <row r="487">
          <cell r="I487" t="str">
            <v>CH0200</v>
          </cell>
          <cell r="J487">
            <v>326600</v>
          </cell>
        </row>
        <row r="488">
          <cell r="I488" t="str">
            <v>CH0201</v>
          </cell>
          <cell r="J488">
            <v>302400</v>
          </cell>
        </row>
        <row r="489">
          <cell r="I489" t="str">
            <v>CH0211</v>
          </cell>
          <cell r="J489">
            <v>246800</v>
          </cell>
        </row>
        <row r="490">
          <cell r="I490" t="str">
            <v>CH0300</v>
          </cell>
          <cell r="J490">
            <v>153300</v>
          </cell>
        </row>
        <row r="491">
          <cell r="I491" t="str">
            <v>CH0303</v>
          </cell>
          <cell r="J491">
            <v>152300</v>
          </cell>
        </row>
        <row r="492">
          <cell r="I492" t="str">
            <v>CH0301</v>
          </cell>
          <cell r="J492">
            <v>135500</v>
          </cell>
        </row>
        <row r="493">
          <cell r="I493" t="str">
            <v>CH0302</v>
          </cell>
          <cell r="J493">
            <v>117600</v>
          </cell>
        </row>
        <row r="494">
          <cell r="I494" t="str">
            <v>CH0311</v>
          </cell>
          <cell r="J494">
            <v>98700</v>
          </cell>
        </row>
        <row r="495">
          <cell r="I495" t="str">
            <v>CH0300B</v>
          </cell>
          <cell r="J495">
            <v>170100</v>
          </cell>
        </row>
        <row r="496">
          <cell r="I496" t="str">
            <v>CH0301B</v>
          </cell>
          <cell r="J496">
            <v>143900</v>
          </cell>
        </row>
        <row r="497">
          <cell r="I497" t="str">
            <v>CH0311B</v>
          </cell>
          <cell r="J497">
            <v>119700</v>
          </cell>
        </row>
        <row r="498">
          <cell r="I498" t="str">
            <v>CH0332</v>
          </cell>
          <cell r="J498">
            <v>185900</v>
          </cell>
        </row>
        <row r="499">
          <cell r="I499" t="str">
            <v>CH0333</v>
          </cell>
          <cell r="J499">
            <v>257300</v>
          </cell>
        </row>
        <row r="500">
          <cell r="I500" t="str">
            <v>CH0332S</v>
          </cell>
          <cell r="J500">
            <v>210000</v>
          </cell>
        </row>
        <row r="501">
          <cell r="I501" t="str">
            <v>CH0032</v>
          </cell>
          <cell r="J501">
            <v>98100</v>
          </cell>
        </row>
        <row r="502">
          <cell r="I502" t="str">
            <v>CH0033</v>
          </cell>
          <cell r="J502">
            <v>126000</v>
          </cell>
        </row>
        <row r="503">
          <cell r="I503" t="str">
            <v>CH0032S</v>
          </cell>
          <cell r="J503">
            <v>120800</v>
          </cell>
        </row>
        <row r="504">
          <cell r="I504" t="str">
            <v>CH0342</v>
          </cell>
          <cell r="J504">
            <v>120800</v>
          </cell>
        </row>
        <row r="505">
          <cell r="I505" t="str">
            <v>CH0342S</v>
          </cell>
          <cell r="J505">
            <v>147000</v>
          </cell>
        </row>
        <row r="506">
          <cell r="I506" t="str">
            <v>CH0343</v>
          </cell>
          <cell r="J506">
            <v>159600</v>
          </cell>
        </row>
        <row r="507">
          <cell r="I507" t="str">
            <v>CH0401</v>
          </cell>
          <cell r="J507">
            <v>219500</v>
          </cell>
        </row>
        <row r="508">
          <cell r="I508" t="str">
            <v>CH0402</v>
          </cell>
          <cell r="J508">
            <v>189000</v>
          </cell>
        </row>
        <row r="509">
          <cell r="I509" t="str">
            <v>CH0411</v>
          </cell>
          <cell r="J509">
            <v>135500</v>
          </cell>
        </row>
        <row r="510">
          <cell r="I510" t="str">
            <v>CH0491</v>
          </cell>
          <cell r="J510">
            <v>23100</v>
          </cell>
        </row>
        <row r="511">
          <cell r="I511" t="str">
            <v>CH0500</v>
          </cell>
          <cell r="J511">
            <v>170100</v>
          </cell>
        </row>
        <row r="512">
          <cell r="I512" t="str">
            <v>CH0501</v>
          </cell>
          <cell r="J512">
            <v>159600</v>
          </cell>
        </row>
        <row r="513">
          <cell r="I513" t="str">
            <v>CH0502</v>
          </cell>
          <cell r="J513">
            <v>150200</v>
          </cell>
        </row>
        <row r="514">
          <cell r="I514" t="str">
            <v>CH0511</v>
          </cell>
          <cell r="J514">
            <v>107100</v>
          </cell>
        </row>
        <row r="515">
          <cell r="I515" t="str">
            <v>CH0600</v>
          </cell>
          <cell r="J515">
            <v>221600</v>
          </cell>
        </row>
        <row r="516">
          <cell r="I516" t="str">
            <v>CH0601</v>
          </cell>
          <cell r="J516">
            <v>201600</v>
          </cell>
        </row>
        <row r="517">
          <cell r="I517" t="str">
            <v>CH0602</v>
          </cell>
          <cell r="J517">
            <v>177500</v>
          </cell>
        </row>
        <row r="518">
          <cell r="I518" t="str">
            <v>CH0611</v>
          </cell>
          <cell r="J518">
            <v>159600</v>
          </cell>
        </row>
        <row r="519">
          <cell r="I519" t="str">
            <v>CH0701</v>
          </cell>
          <cell r="J519">
            <v>120800</v>
          </cell>
        </row>
        <row r="520">
          <cell r="I520" t="str">
            <v>CH0702</v>
          </cell>
          <cell r="J520">
            <v>102900</v>
          </cell>
        </row>
        <row r="521">
          <cell r="I521" t="str">
            <v>CH0712</v>
          </cell>
          <cell r="J521">
            <v>78800</v>
          </cell>
        </row>
        <row r="522">
          <cell r="I522" t="str">
            <v>CH0801</v>
          </cell>
          <cell r="J522">
            <v>108200</v>
          </cell>
        </row>
        <row r="523">
          <cell r="I523" t="str">
            <v>CH0802</v>
          </cell>
          <cell r="J523">
            <v>90300</v>
          </cell>
        </row>
        <row r="524">
          <cell r="I524" t="str">
            <v>CH0812</v>
          </cell>
          <cell r="J524">
            <v>66200</v>
          </cell>
        </row>
        <row r="525">
          <cell r="I525" t="str">
            <v>CH0900</v>
          </cell>
          <cell r="J525">
            <v>798000</v>
          </cell>
        </row>
        <row r="526">
          <cell r="I526" t="str">
            <v>CH0901</v>
          </cell>
          <cell r="J526">
            <v>707700</v>
          </cell>
        </row>
        <row r="527">
          <cell r="I527" t="str">
            <v>CH0911</v>
          </cell>
          <cell r="J527">
            <v>614300</v>
          </cell>
        </row>
        <row r="528">
          <cell r="I528" t="str">
            <v>CH1000</v>
          </cell>
          <cell r="J528">
            <v>882000</v>
          </cell>
        </row>
        <row r="529">
          <cell r="I529" t="str">
            <v>CH1001</v>
          </cell>
          <cell r="J529">
            <v>764400</v>
          </cell>
        </row>
        <row r="530">
          <cell r="I530" t="str">
            <v>CH9000</v>
          </cell>
          <cell r="J530">
            <v>3011400</v>
          </cell>
        </row>
        <row r="531">
          <cell r="I531" t="str">
            <v>CH9901</v>
          </cell>
          <cell r="J531">
            <v>45200</v>
          </cell>
        </row>
        <row r="532">
          <cell r="I532" t="str">
            <v>CH9903</v>
          </cell>
          <cell r="J532">
            <v>45200</v>
          </cell>
        </row>
        <row r="533">
          <cell r="I533" t="str">
            <v>CH9905</v>
          </cell>
          <cell r="J533">
            <v>66200</v>
          </cell>
        </row>
        <row r="534">
          <cell r="I534" t="str">
            <v>CH0907</v>
          </cell>
          <cell r="J534">
            <v>102900</v>
          </cell>
        </row>
        <row r="535">
          <cell r="I535" t="str">
            <v>CH9917</v>
          </cell>
          <cell r="J535">
            <v>210000</v>
          </cell>
        </row>
        <row r="536">
          <cell r="I536" t="str">
            <v>CS0101</v>
          </cell>
          <cell r="J536">
            <v>219500</v>
          </cell>
        </row>
        <row r="537">
          <cell r="I537" t="str">
            <v>CS0103</v>
          </cell>
          <cell r="J537">
            <v>392700</v>
          </cell>
        </row>
        <row r="538">
          <cell r="I538" t="str">
            <v>CS0301</v>
          </cell>
          <cell r="J538">
            <v>258300</v>
          </cell>
        </row>
        <row r="539">
          <cell r="I539" t="str">
            <v>CS0303</v>
          </cell>
          <cell r="J539">
            <v>449400</v>
          </cell>
        </row>
        <row r="540">
          <cell r="I540" t="str">
            <v>CS401천연</v>
          </cell>
          <cell r="J540">
            <v>407400</v>
          </cell>
        </row>
        <row r="541">
          <cell r="I541" t="str">
            <v>CS401인조</v>
          </cell>
          <cell r="J541">
            <v>300300</v>
          </cell>
        </row>
        <row r="542">
          <cell r="I542" t="str">
            <v>CS0501</v>
          </cell>
          <cell r="J542">
            <v>197400</v>
          </cell>
        </row>
        <row r="543">
          <cell r="I543" t="str">
            <v>CS0503</v>
          </cell>
          <cell r="J543">
            <v>329700</v>
          </cell>
        </row>
        <row r="544">
          <cell r="I544" t="str">
            <v>CS0601</v>
          </cell>
          <cell r="J544">
            <v>246800</v>
          </cell>
        </row>
        <row r="545">
          <cell r="I545" t="str">
            <v>CS0603</v>
          </cell>
          <cell r="J545">
            <v>411600</v>
          </cell>
        </row>
        <row r="546">
          <cell r="I546" t="str">
            <v>CS0701</v>
          </cell>
          <cell r="J546">
            <v>305600</v>
          </cell>
        </row>
        <row r="547">
          <cell r="I547" t="str">
            <v>CS0703</v>
          </cell>
          <cell r="J547">
            <v>483000</v>
          </cell>
        </row>
        <row r="548">
          <cell r="I548" t="str">
            <v>CS0801천연</v>
          </cell>
          <cell r="J548">
            <v>909300</v>
          </cell>
        </row>
        <row r="549">
          <cell r="I549" t="str">
            <v>CS0803천연</v>
          </cell>
          <cell r="J549">
            <v>357000</v>
          </cell>
        </row>
        <row r="550">
          <cell r="I550" t="str">
            <v>CS0801인조</v>
          </cell>
          <cell r="J550">
            <v>1494200</v>
          </cell>
        </row>
        <row r="551">
          <cell r="I551" t="str">
            <v>CS0803인조</v>
          </cell>
          <cell r="J551">
            <v>576500</v>
          </cell>
        </row>
        <row r="552">
          <cell r="I552" t="str">
            <v>CS0901</v>
          </cell>
          <cell r="J552">
            <v>906200</v>
          </cell>
        </row>
        <row r="553">
          <cell r="I553" t="str">
            <v>CS0902</v>
          </cell>
          <cell r="J553">
            <v>1107800</v>
          </cell>
        </row>
        <row r="554">
          <cell r="I554" t="str">
            <v>CS0903</v>
          </cell>
          <cell r="J554">
            <v>1434300</v>
          </cell>
        </row>
        <row r="555">
          <cell r="I555" t="str">
            <v>CS1001</v>
          </cell>
          <cell r="J555">
            <v>945000</v>
          </cell>
        </row>
        <row r="556">
          <cell r="I556" t="str">
            <v>CS1002</v>
          </cell>
          <cell r="J556">
            <v>1211700</v>
          </cell>
        </row>
        <row r="557">
          <cell r="I557" t="str">
            <v>CS1003</v>
          </cell>
          <cell r="J557">
            <v>1530900</v>
          </cell>
        </row>
        <row r="558">
          <cell r="I558" t="str">
            <v>EL0104</v>
          </cell>
          <cell r="J558">
            <v>68300</v>
          </cell>
        </row>
        <row r="559">
          <cell r="I559" t="str">
            <v>EL0112</v>
          </cell>
          <cell r="J559">
            <v>98700</v>
          </cell>
        </row>
        <row r="560">
          <cell r="I560" t="str">
            <v>CL0204</v>
          </cell>
          <cell r="J560">
            <v>90300</v>
          </cell>
        </row>
        <row r="561">
          <cell r="I561" t="str">
            <v>CL0207</v>
          </cell>
          <cell r="J561">
            <v>86100</v>
          </cell>
        </row>
        <row r="562">
          <cell r="I562" t="str">
            <v>CL0212</v>
          </cell>
          <cell r="J562">
            <v>107100</v>
          </cell>
        </row>
        <row r="563">
          <cell r="I563" t="str">
            <v>CL034</v>
          </cell>
          <cell r="J563">
            <v>153300</v>
          </cell>
        </row>
        <row r="564">
          <cell r="I564" t="str">
            <v>CL031</v>
          </cell>
          <cell r="J564">
            <v>183800</v>
          </cell>
        </row>
        <row r="565">
          <cell r="I565" t="str">
            <v>CL046</v>
          </cell>
          <cell r="J565">
            <v>174300</v>
          </cell>
        </row>
        <row r="566">
          <cell r="I566" t="str">
            <v>CL044</v>
          </cell>
          <cell r="J566">
            <v>185900</v>
          </cell>
        </row>
        <row r="567">
          <cell r="I567" t="str">
            <v>CL041</v>
          </cell>
          <cell r="J567">
            <v>243600</v>
          </cell>
        </row>
        <row r="568">
          <cell r="I568" t="str">
            <v>CL056</v>
          </cell>
          <cell r="J568">
            <v>117600</v>
          </cell>
        </row>
        <row r="569">
          <cell r="I569" t="str">
            <v>CL054</v>
          </cell>
          <cell r="J569">
            <v>129200</v>
          </cell>
        </row>
        <row r="570">
          <cell r="I570" t="str">
            <v>CL051</v>
          </cell>
          <cell r="J570">
            <v>185900</v>
          </cell>
        </row>
        <row r="571">
          <cell r="I571" t="str">
            <v>PL0904</v>
          </cell>
          <cell r="J571">
            <v>245700</v>
          </cell>
        </row>
        <row r="572">
          <cell r="I572" t="str">
            <v>PL0908</v>
          </cell>
          <cell r="J572">
            <v>227900</v>
          </cell>
        </row>
        <row r="573">
          <cell r="I573" t="str">
            <v>PL0912</v>
          </cell>
          <cell r="J573">
            <v>261500</v>
          </cell>
        </row>
        <row r="574">
          <cell r="I574" t="str">
            <v>PL0914</v>
          </cell>
          <cell r="J574">
            <v>297200</v>
          </cell>
        </row>
        <row r="575">
          <cell r="I575" t="str">
            <v>AT0106</v>
          </cell>
          <cell r="J575">
            <v>54600</v>
          </cell>
        </row>
        <row r="576">
          <cell r="I576" t="str">
            <v>AT0108</v>
          </cell>
          <cell r="J576">
            <v>63000</v>
          </cell>
        </row>
        <row r="577">
          <cell r="I577" t="str">
            <v>AT0110</v>
          </cell>
          <cell r="J577">
            <v>72500</v>
          </cell>
        </row>
        <row r="578">
          <cell r="I578" t="str">
            <v>AT0112</v>
          </cell>
          <cell r="J578">
            <v>75600</v>
          </cell>
        </row>
        <row r="579">
          <cell r="I579" t="str">
            <v>AT0114</v>
          </cell>
          <cell r="J579">
            <v>87200</v>
          </cell>
        </row>
        <row r="580">
          <cell r="I580" t="str">
            <v>AT0116</v>
          </cell>
          <cell r="J580">
            <v>102900</v>
          </cell>
        </row>
        <row r="581">
          <cell r="I581" t="str">
            <v>AT0118</v>
          </cell>
          <cell r="J581">
            <v>116600</v>
          </cell>
        </row>
        <row r="582">
          <cell r="I582" t="str">
            <v>AT0006</v>
          </cell>
          <cell r="J582">
            <v>66200</v>
          </cell>
        </row>
        <row r="583">
          <cell r="I583" t="str">
            <v>AT0008</v>
          </cell>
          <cell r="J583">
            <v>74600</v>
          </cell>
        </row>
        <row r="584">
          <cell r="I584" t="str">
            <v>AT0010</v>
          </cell>
          <cell r="J584">
            <v>87200</v>
          </cell>
        </row>
        <row r="585">
          <cell r="I585" t="str">
            <v>AT0012</v>
          </cell>
          <cell r="J585">
            <v>92400</v>
          </cell>
        </row>
        <row r="586">
          <cell r="I586" t="str">
            <v>AT0014</v>
          </cell>
          <cell r="J586">
            <v>110300</v>
          </cell>
        </row>
        <row r="587">
          <cell r="I587" t="str">
            <v>AT0016</v>
          </cell>
          <cell r="J587">
            <v>123900</v>
          </cell>
        </row>
        <row r="588">
          <cell r="I588" t="str">
            <v>AT0018</v>
          </cell>
          <cell r="J588">
            <v>140700</v>
          </cell>
        </row>
        <row r="589">
          <cell r="I589" t="str">
            <v>AT0000R</v>
          </cell>
          <cell r="J589">
            <v>56700</v>
          </cell>
        </row>
        <row r="590">
          <cell r="I590" t="str">
            <v>AT0000L</v>
          </cell>
          <cell r="J590">
            <v>56700</v>
          </cell>
        </row>
        <row r="591">
          <cell r="I591" t="str">
            <v>AT0100R</v>
          </cell>
          <cell r="J591">
            <v>45200</v>
          </cell>
        </row>
        <row r="592">
          <cell r="I592" t="str">
            <v>AT0100L</v>
          </cell>
          <cell r="J592">
            <v>45200</v>
          </cell>
        </row>
        <row r="593">
          <cell r="I593" t="str">
            <v>AT5066</v>
          </cell>
          <cell r="J593">
            <v>128100</v>
          </cell>
        </row>
        <row r="594">
          <cell r="I594" t="str">
            <v>AT5086R</v>
          </cell>
          <cell r="J594">
            <v>144900</v>
          </cell>
        </row>
        <row r="595">
          <cell r="I595" t="str">
            <v>AT5086L</v>
          </cell>
          <cell r="J595">
            <v>144900</v>
          </cell>
        </row>
        <row r="596">
          <cell r="I596" t="str">
            <v>AT5088</v>
          </cell>
          <cell r="J596">
            <v>155400</v>
          </cell>
        </row>
        <row r="597">
          <cell r="I597" t="str">
            <v>AT5806R</v>
          </cell>
          <cell r="J597">
            <v>90300</v>
          </cell>
        </row>
        <row r="598">
          <cell r="I598" t="str">
            <v>AT5806L</v>
          </cell>
          <cell r="J598">
            <v>90300</v>
          </cell>
        </row>
        <row r="599">
          <cell r="I599" t="str">
            <v>AT5166</v>
          </cell>
          <cell r="J599">
            <v>110300</v>
          </cell>
        </row>
        <row r="600">
          <cell r="I600" t="str">
            <v>AT5186R</v>
          </cell>
          <cell r="J600">
            <v>128100</v>
          </cell>
        </row>
        <row r="601">
          <cell r="I601" t="str">
            <v>AT5186L</v>
          </cell>
          <cell r="J601">
            <v>128100</v>
          </cell>
        </row>
        <row r="602">
          <cell r="I602" t="str">
            <v>AT5188</v>
          </cell>
          <cell r="J602">
            <v>137600</v>
          </cell>
        </row>
        <row r="603">
          <cell r="I603" t="str">
            <v>AT5266</v>
          </cell>
          <cell r="J603">
            <v>161700</v>
          </cell>
        </row>
        <row r="604">
          <cell r="I604" t="str">
            <v>AT5288</v>
          </cell>
          <cell r="J604">
            <v>164900</v>
          </cell>
        </row>
        <row r="605">
          <cell r="I605" t="str">
            <v>AT912</v>
          </cell>
          <cell r="J605">
            <v>122900</v>
          </cell>
        </row>
        <row r="606">
          <cell r="I606" t="str">
            <v>AT914</v>
          </cell>
          <cell r="J606">
            <v>156500</v>
          </cell>
        </row>
        <row r="607">
          <cell r="I607" t="str">
            <v>AT916</v>
          </cell>
          <cell r="J607">
            <v>162800</v>
          </cell>
        </row>
        <row r="608">
          <cell r="I608" t="str">
            <v>AT918</v>
          </cell>
          <cell r="J608">
            <v>185900</v>
          </cell>
        </row>
        <row r="609">
          <cell r="I609" t="str">
            <v>AT988A</v>
          </cell>
          <cell r="J609">
            <v>176400</v>
          </cell>
        </row>
        <row r="610">
          <cell r="I610" t="str">
            <v>AT966A</v>
          </cell>
          <cell r="J610">
            <v>144900</v>
          </cell>
        </row>
        <row r="611">
          <cell r="I611" t="str">
            <v>AT988B</v>
          </cell>
          <cell r="J611">
            <v>198500</v>
          </cell>
        </row>
        <row r="612">
          <cell r="I612" t="str">
            <v>AT966B</v>
          </cell>
          <cell r="J612">
            <v>186900</v>
          </cell>
        </row>
        <row r="613">
          <cell r="I613" t="str">
            <v>AT914CR</v>
          </cell>
          <cell r="J613">
            <v>183800</v>
          </cell>
        </row>
        <row r="614">
          <cell r="I614" t="str">
            <v>AT914CL</v>
          </cell>
          <cell r="J614">
            <v>183800</v>
          </cell>
        </row>
        <row r="615">
          <cell r="I615" t="str">
            <v>AT916CR</v>
          </cell>
          <cell r="J615">
            <v>195300</v>
          </cell>
        </row>
        <row r="616">
          <cell r="I616" t="str">
            <v>AT916CL</v>
          </cell>
          <cell r="J616">
            <v>195300</v>
          </cell>
        </row>
        <row r="617">
          <cell r="I617" t="str">
            <v>AT966D</v>
          </cell>
          <cell r="J617">
            <v>203700</v>
          </cell>
        </row>
        <row r="618">
          <cell r="I618" t="str">
            <v>AT2004</v>
          </cell>
          <cell r="J618">
            <v>39900</v>
          </cell>
        </row>
        <row r="619">
          <cell r="I619" t="str">
            <v>AT2006</v>
          </cell>
          <cell r="J619">
            <v>45200</v>
          </cell>
        </row>
        <row r="620">
          <cell r="I620" t="str">
            <v>AT2008</v>
          </cell>
          <cell r="J620">
            <v>53600</v>
          </cell>
        </row>
        <row r="621">
          <cell r="I621" t="str">
            <v>AT2010</v>
          </cell>
          <cell r="J621">
            <v>63000</v>
          </cell>
        </row>
        <row r="622">
          <cell r="I622" t="str">
            <v>AT2012</v>
          </cell>
          <cell r="J622">
            <v>66200</v>
          </cell>
        </row>
        <row r="623">
          <cell r="I623" t="str">
            <v>AT2014</v>
          </cell>
          <cell r="J623">
            <v>81900</v>
          </cell>
        </row>
        <row r="624">
          <cell r="I624" t="str">
            <v>AT2016</v>
          </cell>
          <cell r="J624">
            <v>92400</v>
          </cell>
        </row>
        <row r="625">
          <cell r="I625" t="str">
            <v>AT2018</v>
          </cell>
          <cell r="J625">
            <v>95600</v>
          </cell>
        </row>
        <row r="626">
          <cell r="I626" t="str">
            <v>AT2122</v>
          </cell>
          <cell r="J626">
            <v>26300</v>
          </cell>
        </row>
        <row r="627">
          <cell r="I627" t="str">
            <v>AT2206</v>
          </cell>
          <cell r="J627">
            <v>53600</v>
          </cell>
        </row>
        <row r="628">
          <cell r="I628" t="str">
            <v>AT2208</v>
          </cell>
          <cell r="J628">
            <v>59900</v>
          </cell>
        </row>
        <row r="629">
          <cell r="I629" t="str">
            <v>AT2210</v>
          </cell>
          <cell r="J629">
            <v>66200</v>
          </cell>
        </row>
        <row r="630">
          <cell r="I630" t="str">
            <v>AT2212</v>
          </cell>
          <cell r="J630">
            <v>75600</v>
          </cell>
        </row>
        <row r="631">
          <cell r="I631" t="str">
            <v>AT2308</v>
          </cell>
          <cell r="J631">
            <v>45200</v>
          </cell>
        </row>
        <row r="632">
          <cell r="I632" t="str">
            <v>AA0006</v>
          </cell>
          <cell r="J632">
            <v>12600</v>
          </cell>
        </row>
        <row r="633">
          <cell r="I633" t="str">
            <v>AA0007</v>
          </cell>
          <cell r="J633">
            <v>14700</v>
          </cell>
        </row>
        <row r="634">
          <cell r="I634" t="str">
            <v>AA0008</v>
          </cell>
          <cell r="J634">
            <v>16200</v>
          </cell>
        </row>
        <row r="635">
          <cell r="I635" t="str">
            <v>AA0010</v>
          </cell>
          <cell r="J635">
            <v>20000</v>
          </cell>
        </row>
        <row r="636">
          <cell r="I636" t="str">
            <v>AA0012</v>
          </cell>
          <cell r="J636">
            <v>23400</v>
          </cell>
        </row>
        <row r="637">
          <cell r="I637" t="str">
            <v>AA0101</v>
          </cell>
          <cell r="J637">
            <v>5400</v>
          </cell>
        </row>
        <row r="638">
          <cell r="I638" t="str">
            <v>AA0102</v>
          </cell>
          <cell r="J638">
            <v>7600</v>
          </cell>
        </row>
        <row r="639">
          <cell r="I639" t="str">
            <v>AA0103</v>
          </cell>
          <cell r="J639">
            <v>9500</v>
          </cell>
        </row>
        <row r="640">
          <cell r="I640" t="str">
            <v>AA0104</v>
          </cell>
          <cell r="J640">
            <v>4200</v>
          </cell>
        </row>
        <row r="641">
          <cell r="I641" t="str">
            <v>AA0105</v>
          </cell>
          <cell r="J641">
            <v>6600</v>
          </cell>
        </row>
        <row r="642">
          <cell r="I642" t="str">
            <v>AA0106</v>
          </cell>
          <cell r="J642">
            <v>3400</v>
          </cell>
        </row>
        <row r="643">
          <cell r="I643" t="str">
            <v>AA1006</v>
          </cell>
          <cell r="J643">
            <v>9700</v>
          </cell>
        </row>
        <row r="644">
          <cell r="I644" t="str">
            <v>AA1007</v>
          </cell>
          <cell r="J644">
            <v>10800</v>
          </cell>
        </row>
        <row r="645">
          <cell r="I645" t="str">
            <v>AA1008</v>
          </cell>
          <cell r="J645">
            <v>12000</v>
          </cell>
        </row>
        <row r="646">
          <cell r="I646" t="str">
            <v>AA1010</v>
          </cell>
          <cell r="J646">
            <v>14400</v>
          </cell>
        </row>
        <row r="647">
          <cell r="I647" t="str">
            <v>AA1012</v>
          </cell>
          <cell r="J647">
            <v>16800</v>
          </cell>
        </row>
        <row r="648">
          <cell r="I648" t="str">
            <v>AA0901B</v>
          </cell>
          <cell r="J648">
            <v>82200</v>
          </cell>
        </row>
        <row r="649">
          <cell r="I649" t="str">
            <v>AA9901</v>
          </cell>
          <cell r="J649">
            <v>6000</v>
          </cell>
        </row>
        <row r="650">
          <cell r="I650" t="str">
            <v>AA0200</v>
          </cell>
          <cell r="J650">
            <v>1300</v>
          </cell>
        </row>
        <row r="651">
          <cell r="I651" t="str">
            <v>AF060</v>
          </cell>
          <cell r="J651">
            <v>143900</v>
          </cell>
        </row>
        <row r="652">
          <cell r="I652" t="str">
            <v>AF070</v>
          </cell>
          <cell r="J652">
            <v>157500</v>
          </cell>
        </row>
        <row r="653">
          <cell r="I653" t="str">
            <v>AF080</v>
          </cell>
          <cell r="J653">
            <v>167000</v>
          </cell>
        </row>
        <row r="654">
          <cell r="I654" t="str">
            <v>AF100</v>
          </cell>
          <cell r="J654">
            <v>184800</v>
          </cell>
        </row>
        <row r="655">
          <cell r="I655" t="str">
            <v>AF120</v>
          </cell>
          <cell r="J655">
            <v>204800</v>
          </cell>
        </row>
        <row r="656">
          <cell r="I656" t="str">
            <v>AF062</v>
          </cell>
          <cell r="J656">
            <v>170100</v>
          </cell>
        </row>
        <row r="657">
          <cell r="I657" t="str">
            <v>AF072</v>
          </cell>
          <cell r="J657">
            <v>184800</v>
          </cell>
        </row>
        <row r="658">
          <cell r="I658" t="str">
            <v>AF082</v>
          </cell>
          <cell r="J658">
            <v>198500</v>
          </cell>
        </row>
        <row r="659">
          <cell r="I659" t="str">
            <v>AF102</v>
          </cell>
          <cell r="J659">
            <v>220500</v>
          </cell>
        </row>
        <row r="660">
          <cell r="I660" t="str">
            <v>AF122</v>
          </cell>
          <cell r="J660">
            <v>244700</v>
          </cell>
        </row>
        <row r="661">
          <cell r="I661" t="str">
            <v>AF064</v>
          </cell>
          <cell r="J661">
            <v>195300</v>
          </cell>
        </row>
        <row r="662">
          <cell r="I662" t="str">
            <v>AF074</v>
          </cell>
          <cell r="J662">
            <v>214200</v>
          </cell>
        </row>
        <row r="663">
          <cell r="I663" t="str">
            <v>AF084</v>
          </cell>
          <cell r="J663">
            <v>228900</v>
          </cell>
        </row>
        <row r="664">
          <cell r="I664" t="str">
            <v>AF104</v>
          </cell>
          <cell r="J664">
            <v>256200</v>
          </cell>
        </row>
        <row r="665">
          <cell r="I665" t="str">
            <v>AF124</v>
          </cell>
          <cell r="J665">
            <v>285600</v>
          </cell>
        </row>
        <row r="666">
          <cell r="I666" t="str">
            <v>AF066</v>
          </cell>
          <cell r="J666">
            <v>221600</v>
          </cell>
        </row>
        <row r="667">
          <cell r="I667" t="str">
            <v>AF076</v>
          </cell>
          <cell r="J667">
            <v>241500</v>
          </cell>
        </row>
        <row r="668">
          <cell r="I668" t="str">
            <v>AF086</v>
          </cell>
          <cell r="J668">
            <v>260400</v>
          </cell>
        </row>
        <row r="669">
          <cell r="I669" t="str">
            <v>AF106</v>
          </cell>
          <cell r="J669">
            <v>291900</v>
          </cell>
        </row>
        <row r="670">
          <cell r="I670" t="str">
            <v>AF126</v>
          </cell>
          <cell r="J670">
            <v>325500</v>
          </cell>
        </row>
        <row r="671">
          <cell r="I671" t="str">
            <v>AF068</v>
          </cell>
          <cell r="J671">
            <v>246800</v>
          </cell>
        </row>
        <row r="672">
          <cell r="I672" t="str">
            <v>AF078</v>
          </cell>
          <cell r="J672">
            <v>270900</v>
          </cell>
        </row>
        <row r="673">
          <cell r="I673" t="str">
            <v>AF088</v>
          </cell>
          <cell r="J673">
            <v>290900</v>
          </cell>
        </row>
        <row r="674">
          <cell r="I674" t="str">
            <v>AF108</v>
          </cell>
          <cell r="J674">
            <v>327600</v>
          </cell>
        </row>
        <row r="675">
          <cell r="I675" t="str">
            <v>AF128</v>
          </cell>
          <cell r="J675">
            <v>366500</v>
          </cell>
        </row>
        <row r="676">
          <cell r="I676" t="str">
            <v>AF062H</v>
          </cell>
          <cell r="J676">
            <v>179600</v>
          </cell>
        </row>
        <row r="677">
          <cell r="I677" t="str">
            <v>AF072H</v>
          </cell>
          <cell r="J677">
            <v>196400</v>
          </cell>
        </row>
        <row r="678">
          <cell r="I678" t="str">
            <v>AF082H</v>
          </cell>
          <cell r="J678">
            <v>211100</v>
          </cell>
        </row>
        <row r="679">
          <cell r="I679" t="str">
            <v>AF102H</v>
          </cell>
          <cell r="J679">
            <v>236300</v>
          </cell>
        </row>
        <row r="680">
          <cell r="I680" t="str">
            <v>AF122H</v>
          </cell>
          <cell r="J680">
            <v>263600</v>
          </cell>
        </row>
        <row r="681">
          <cell r="I681" t="str">
            <v>AF064H</v>
          </cell>
          <cell r="J681">
            <v>211100</v>
          </cell>
        </row>
        <row r="682">
          <cell r="I682" t="str">
            <v>AF074H</v>
          </cell>
          <cell r="J682">
            <v>232100</v>
          </cell>
        </row>
        <row r="683">
          <cell r="I683" t="str">
            <v>AF084H</v>
          </cell>
          <cell r="J683">
            <v>248900</v>
          </cell>
        </row>
        <row r="684">
          <cell r="I684" t="str">
            <v>AF104H</v>
          </cell>
          <cell r="J684">
            <v>279300</v>
          </cell>
        </row>
        <row r="685">
          <cell r="I685" t="str">
            <v>AF124H</v>
          </cell>
          <cell r="J685">
            <v>315000</v>
          </cell>
        </row>
        <row r="686">
          <cell r="I686" t="str">
            <v>AF066H</v>
          </cell>
          <cell r="J686">
            <v>237300</v>
          </cell>
        </row>
        <row r="687">
          <cell r="I687" t="str">
            <v>AF076H</v>
          </cell>
          <cell r="J687">
            <v>259400</v>
          </cell>
        </row>
        <row r="688">
          <cell r="I688" t="str">
            <v>AF086H</v>
          </cell>
          <cell r="J688">
            <v>280400</v>
          </cell>
        </row>
        <row r="689">
          <cell r="I689" t="str">
            <v>AF106H</v>
          </cell>
          <cell r="J689">
            <v>315000</v>
          </cell>
        </row>
        <row r="690">
          <cell r="I690" t="str">
            <v>AF126H</v>
          </cell>
          <cell r="J690">
            <v>354900</v>
          </cell>
        </row>
        <row r="691">
          <cell r="I691" t="str">
            <v>AF068H</v>
          </cell>
          <cell r="J691">
            <v>262500</v>
          </cell>
        </row>
        <row r="692">
          <cell r="I692" t="str">
            <v>AF078H</v>
          </cell>
          <cell r="J692">
            <v>288800</v>
          </cell>
        </row>
        <row r="693">
          <cell r="I693" t="str">
            <v>AF088H</v>
          </cell>
          <cell r="J693">
            <v>310800</v>
          </cell>
        </row>
        <row r="694">
          <cell r="I694" t="str">
            <v>AF108H</v>
          </cell>
          <cell r="J694">
            <v>350700</v>
          </cell>
        </row>
        <row r="695">
          <cell r="I695" t="str">
            <v>AF128H</v>
          </cell>
          <cell r="J695">
            <v>395900</v>
          </cell>
        </row>
        <row r="696">
          <cell r="I696" t="str">
            <v>AF060G</v>
          </cell>
          <cell r="J696">
            <v>170100</v>
          </cell>
        </row>
        <row r="697">
          <cell r="I697" t="str">
            <v>AF070G</v>
          </cell>
          <cell r="J697">
            <v>183800</v>
          </cell>
        </row>
        <row r="698">
          <cell r="I698" t="str">
            <v>AF080G</v>
          </cell>
          <cell r="J698">
            <v>193200</v>
          </cell>
        </row>
        <row r="699">
          <cell r="I699" t="str">
            <v>AF100G</v>
          </cell>
          <cell r="J699">
            <v>214200</v>
          </cell>
        </row>
        <row r="700">
          <cell r="I700" t="str">
            <v>AF120G</v>
          </cell>
          <cell r="J700">
            <v>237300</v>
          </cell>
        </row>
        <row r="701">
          <cell r="I701" t="str">
            <v>AF062G</v>
          </cell>
          <cell r="J701">
            <v>205800</v>
          </cell>
        </row>
        <row r="702">
          <cell r="I702" t="str">
            <v>AF072G</v>
          </cell>
          <cell r="J702">
            <v>222600</v>
          </cell>
        </row>
        <row r="703">
          <cell r="I703" t="str">
            <v>AF082G</v>
          </cell>
          <cell r="J703">
            <v>237300</v>
          </cell>
        </row>
        <row r="704">
          <cell r="I704" t="str">
            <v>AF102G</v>
          </cell>
          <cell r="J704">
            <v>265700</v>
          </cell>
        </row>
        <row r="705">
          <cell r="I705" t="str">
            <v>AF122G</v>
          </cell>
          <cell r="J705">
            <v>296100</v>
          </cell>
        </row>
        <row r="706">
          <cell r="I706" t="str">
            <v>AF064G</v>
          </cell>
          <cell r="J706">
            <v>237300</v>
          </cell>
        </row>
        <row r="707">
          <cell r="I707" t="str">
            <v>AF074G</v>
          </cell>
          <cell r="J707">
            <v>258300</v>
          </cell>
        </row>
        <row r="708">
          <cell r="I708" t="str">
            <v>AF084G</v>
          </cell>
          <cell r="J708">
            <v>275100</v>
          </cell>
        </row>
        <row r="709">
          <cell r="I709" t="str">
            <v>AF104G</v>
          </cell>
          <cell r="J709">
            <v>308700</v>
          </cell>
        </row>
        <row r="710">
          <cell r="I710" t="str">
            <v>AF124G</v>
          </cell>
          <cell r="J710">
            <v>347600</v>
          </cell>
        </row>
        <row r="711">
          <cell r="I711" t="str">
            <v>AF066G</v>
          </cell>
          <cell r="J711">
            <v>273000</v>
          </cell>
        </row>
        <row r="712">
          <cell r="I712" t="str">
            <v>AF076G</v>
          </cell>
          <cell r="J712">
            <v>297200</v>
          </cell>
        </row>
        <row r="713">
          <cell r="I713" t="str">
            <v>AF086G</v>
          </cell>
          <cell r="J713">
            <v>319200</v>
          </cell>
        </row>
        <row r="714">
          <cell r="I714" t="str">
            <v>AF106G</v>
          </cell>
          <cell r="J714">
            <v>360200</v>
          </cell>
        </row>
        <row r="715">
          <cell r="I715" t="str">
            <v>AF126G</v>
          </cell>
          <cell r="J715">
            <v>406400</v>
          </cell>
        </row>
        <row r="716">
          <cell r="I716" t="str">
            <v>AF068G</v>
          </cell>
          <cell r="J716">
            <v>304500</v>
          </cell>
        </row>
        <row r="717">
          <cell r="I717" t="str">
            <v>AF078G</v>
          </cell>
          <cell r="J717">
            <v>332900</v>
          </cell>
        </row>
        <row r="718">
          <cell r="I718" t="str">
            <v>AF088G</v>
          </cell>
          <cell r="J718">
            <v>357000</v>
          </cell>
        </row>
        <row r="719">
          <cell r="I719" t="str">
            <v>AF108G</v>
          </cell>
          <cell r="J719">
            <v>403200</v>
          </cell>
        </row>
        <row r="720">
          <cell r="I720" t="str">
            <v>AF128G</v>
          </cell>
          <cell r="J720">
            <v>457800</v>
          </cell>
        </row>
        <row r="721">
          <cell r="I721" t="str">
            <v>AF0060</v>
          </cell>
          <cell r="J721">
            <v>74600</v>
          </cell>
        </row>
        <row r="722">
          <cell r="I722" t="str">
            <v>AF0070</v>
          </cell>
          <cell r="J722">
            <v>77700</v>
          </cell>
        </row>
        <row r="723">
          <cell r="I723" t="str">
            <v>AF0080</v>
          </cell>
          <cell r="J723">
            <v>78800</v>
          </cell>
        </row>
        <row r="724">
          <cell r="I724" t="str">
            <v>AF0100</v>
          </cell>
          <cell r="J724">
            <v>84000</v>
          </cell>
        </row>
        <row r="725">
          <cell r="I725" t="str">
            <v>AF0120</v>
          </cell>
          <cell r="J725">
            <v>89300</v>
          </cell>
        </row>
        <row r="726">
          <cell r="I726" t="str">
            <v>AF0062</v>
          </cell>
          <cell r="J726">
            <v>77700</v>
          </cell>
        </row>
        <row r="727">
          <cell r="I727" t="str">
            <v>AF0072</v>
          </cell>
          <cell r="J727">
            <v>80900</v>
          </cell>
        </row>
        <row r="728">
          <cell r="I728" t="str">
            <v>AF0082</v>
          </cell>
          <cell r="J728">
            <v>84000</v>
          </cell>
        </row>
        <row r="729">
          <cell r="I729" t="str">
            <v>AF0102</v>
          </cell>
          <cell r="J729">
            <v>90300</v>
          </cell>
        </row>
        <row r="730">
          <cell r="I730" t="str">
            <v>AF0122</v>
          </cell>
          <cell r="J730">
            <v>96600</v>
          </cell>
        </row>
        <row r="731">
          <cell r="I731" t="str">
            <v>AF0064S</v>
          </cell>
          <cell r="J731">
            <v>18900</v>
          </cell>
        </row>
        <row r="732">
          <cell r="I732" t="str">
            <v>AF0074S</v>
          </cell>
          <cell r="J732">
            <v>21000</v>
          </cell>
        </row>
        <row r="733">
          <cell r="I733" t="str">
            <v>AF0084S</v>
          </cell>
          <cell r="J733">
            <v>23100</v>
          </cell>
        </row>
        <row r="734">
          <cell r="I734" t="str">
            <v>AF0104S</v>
          </cell>
          <cell r="J734">
            <v>26300</v>
          </cell>
        </row>
        <row r="735">
          <cell r="I735" t="str">
            <v>AF0124S</v>
          </cell>
          <cell r="J735">
            <v>29400</v>
          </cell>
        </row>
        <row r="736">
          <cell r="I736" t="str">
            <v>AF5110</v>
          </cell>
          <cell r="J736">
            <v>25800</v>
          </cell>
        </row>
        <row r="737">
          <cell r="I737" t="str">
            <v>AF5112</v>
          </cell>
          <cell r="J737">
            <v>29100</v>
          </cell>
        </row>
        <row r="738">
          <cell r="I738" t="str">
            <v>AF5114</v>
          </cell>
          <cell r="J738">
            <v>32300</v>
          </cell>
        </row>
        <row r="739">
          <cell r="I739" t="str">
            <v>AF5116</v>
          </cell>
          <cell r="J739">
            <v>35500</v>
          </cell>
        </row>
        <row r="740">
          <cell r="I740" t="str">
            <v>AF5118</v>
          </cell>
          <cell r="J740">
            <v>38700</v>
          </cell>
        </row>
        <row r="741">
          <cell r="I741" t="str">
            <v>AF5120</v>
          </cell>
          <cell r="J741">
            <v>42000</v>
          </cell>
        </row>
        <row r="742">
          <cell r="I742" t="str">
            <v>AF5210</v>
          </cell>
          <cell r="J742">
            <v>30700</v>
          </cell>
        </row>
        <row r="743">
          <cell r="I743" t="str">
            <v>AF5212</v>
          </cell>
          <cell r="J743">
            <v>35500</v>
          </cell>
        </row>
        <row r="744">
          <cell r="I744" t="str">
            <v>AF5214</v>
          </cell>
          <cell r="J744">
            <v>40400</v>
          </cell>
        </row>
        <row r="745">
          <cell r="I745" t="str">
            <v>AF5216</v>
          </cell>
          <cell r="J745">
            <v>45300</v>
          </cell>
        </row>
        <row r="746">
          <cell r="I746" t="str">
            <v>AF5218</v>
          </cell>
          <cell r="J746">
            <v>50100</v>
          </cell>
        </row>
        <row r="747">
          <cell r="I747" t="str">
            <v>AF5220</v>
          </cell>
          <cell r="J747">
            <v>54900</v>
          </cell>
        </row>
        <row r="748">
          <cell r="I748" t="str">
            <v>AF5510</v>
          </cell>
          <cell r="J748">
            <v>29100</v>
          </cell>
        </row>
        <row r="749">
          <cell r="I749" t="str">
            <v>AF5512</v>
          </cell>
          <cell r="J749">
            <v>33900</v>
          </cell>
        </row>
        <row r="750">
          <cell r="I750" t="str">
            <v>AF5514</v>
          </cell>
          <cell r="J750">
            <v>38700</v>
          </cell>
        </row>
        <row r="751">
          <cell r="I751" t="str">
            <v>AF5516</v>
          </cell>
          <cell r="J751">
            <v>43600</v>
          </cell>
        </row>
        <row r="752">
          <cell r="I752" t="str">
            <v>AF5518</v>
          </cell>
          <cell r="J752">
            <v>48500</v>
          </cell>
        </row>
        <row r="753">
          <cell r="I753" t="str">
            <v>AF5520</v>
          </cell>
          <cell r="J753">
            <v>53300</v>
          </cell>
        </row>
        <row r="754">
          <cell r="I754" t="str">
            <v>AF5310</v>
          </cell>
          <cell r="J754">
            <v>24300</v>
          </cell>
        </row>
        <row r="755">
          <cell r="I755" t="str">
            <v>AF5312</v>
          </cell>
          <cell r="J755">
            <v>27500</v>
          </cell>
        </row>
        <row r="756">
          <cell r="I756" t="str">
            <v>AF5314</v>
          </cell>
          <cell r="J756">
            <v>30700</v>
          </cell>
        </row>
        <row r="757">
          <cell r="I757" t="str">
            <v>AF5316</v>
          </cell>
          <cell r="J757">
            <v>33900</v>
          </cell>
        </row>
        <row r="758">
          <cell r="I758" t="str">
            <v>AF5318</v>
          </cell>
          <cell r="J758">
            <v>37200</v>
          </cell>
        </row>
        <row r="759">
          <cell r="I759" t="str">
            <v>AF5320</v>
          </cell>
          <cell r="J759">
            <v>40400</v>
          </cell>
        </row>
        <row r="760">
          <cell r="I760" t="str">
            <v>AF5610</v>
          </cell>
          <cell r="J760">
            <v>22600</v>
          </cell>
        </row>
        <row r="761">
          <cell r="I761" t="str">
            <v>AF5612</v>
          </cell>
          <cell r="J761">
            <v>25800</v>
          </cell>
        </row>
        <row r="762">
          <cell r="I762" t="str">
            <v>AF5614</v>
          </cell>
          <cell r="J762">
            <v>29100</v>
          </cell>
        </row>
        <row r="763">
          <cell r="I763" t="str">
            <v>AF5616</v>
          </cell>
          <cell r="J763">
            <v>32300</v>
          </cell>
        </row>
        <row r="764">
          <cell r="I764" t="str">
            <v>AF5618</v>
          </cell>
          <cell r="J764">
            <v>35500</v>
          </cell>
        </row>
        <row r="765">
          <cell r="I765" t="str">
            <v>AF5620</v>
          </cell>
          <cell r="J765">
            <v>38700</v>
          </cell>
        </row>
        <row r="766">
          <cell r="I766" t="str">
            <v>AF6010</v>
          </cell>
          <cell r="J766">
            <v>9700</v>
          </cell>
        </row>
        <row r="767">
          <cell r="I767" t="str">
            <v>AF6012</v>
          </cell>
          <cell r="J767">
            <v>11300</v>
          </cell>
        </row>
        <row r="768">
          <cell r="I768" t="str">
            <v>AF6014</v>
          </cell>
          <cell r="J768">
            <v>12900</v>
          </cell>
        </row>
        <row r="769">
          <cell r="I769" t="str">
            <v>AF6016</v>
          </cell>
          <cell r="J769">
            <v>14500</v>
          </cell>
        </row>
        <row r="770">
          <cell r="I770" t="str">
            <v>AF6018</v>
          </cell>
          <cell r="J770">
            <v>16200</v>
          </cell>
        </row>
        <row r="771">
          <cell r="I771" t="str">
            <v>AF6020</v>
          </cell>
          <cell r="J771">
            <v>17700</v>
          </cell>
        </row>
        <row r="772">
          <cell r="I772" t="str">
            <v>AF6102</v>
          </cell>
          <cell r="J772">
            <v>3300</v>
          </cell>
        </row>
        <row r="773">
          <cell r="I773" t="str">
            <v>AF6104</v>
          </cell>
          <cell r="J773">
            <v>4800</v>
          </cell>
        </row>
        <row r="774">
          <cell r="I774" t="str">
            <v>AF6106</v>
          </cell>
          <cell r="J774">
            <v>6500</v>
          </cell>
        </row>
        <row r="775">
          <cell r="I775" t="str">
            <v>AF6108</v>
          </cell>
          <cell r="J775">
            <v>8100</v>
          </cell>
        </row>
        <row r="776">
          <cell r="I776" t="str">
            <v>AF6102T</v>
          </cell>
          <cell r="J776">
            <v>3300</v>
          </cell>
        </row>
        <row r="777">
          <cell r="I777" t="str">
            <v>AF6104T</v>
          </cell>
          <cell r="J777">
            <v>4800</v>
          </cell>
        </row>
        <row r="778">
          <cell r="I778" t="str">
            <v>AF6106T</v>
          </cell>
          <cell r="J778">
            <v>6500</v>
          </cell>
        </row>
        <row r="779">
          <cell r="I779" t="str">
            <v>AF6108T</v>
          </cell>
          <cell r="J779">
            <v>8100</v>
          </cell>
        </row>
        <row r="780">
          <cell r="I780" t="str">
            <v>AF6202</v>
          </cell>
          <cell r="J780">
            <v>1600</v>
          </cell>
        </row>
        <row r="781">
          <cell r="I781" t="str">
            <v>AF6204</v>
          </cell>
          <cell r="J781">
            <v>3300</v>
          </cell>
        </row>
        <row r="782">
          <cell r="I782" t="str">
            <v>AF6206</v>
          </cell>
          <cell r="J782">
            <v>4800</v>
          </cell>
        </row>
        <row r="783">
          <cell r="I783" t="str">
            <v>AF6208</v>
          </cell>
          <cell r="J783">
            <v>6500</v>
          </cell>
        </row>
        <row r="784">
          <cell r="I784" t="str">
            <v>AF8001</v>
          </cell>
          <cell r="J784">
            <v>38900</v>
          </cell>
        </row>
        <row r="785">
          <cell r="I785" t="str">
            <v>AT8001</v>
          </cell>
          <cell r="J785">
            <v>6300</v>
          </cell>
        </row>
        <row r="786">
          <cell r="I786" t="str">
            <v>AT8002</v>
          </cell>
          <cell r="J786">
            <v>6300</v>
          </cell>
        </row>
        <row r="787">
          <cell r="I787" t="str">
            <v>AT8003</v>
          </cell>
          <cell r="J787">
            <v>3200</v>
          </cell>
        </row>
        <row r="788">
          <cell r="I788" t="str">
            <v>CX0011</v>
          </cell>
          <cell r="J788">
            <v>24200</v>
          </cell>
        </row>
        <row r="789">
          <cell r="I789" t="str">
            <v>CX0012</v>
          </cell>
          <cell r="J789">
            <v>24200</v>
          </cell>
        </row>
        <row r="790">
          <cell r="I790" t="str">
            <v>AT8006</v>
          </cell>
          <cell r="J790">
            <v>8400</v>
          </cell>
        </row>
        <row r="791">
          <cell r="I791" t="str">
            <v>AT8007</v>
          </cell>
          <cell r="J791">
            <v>8400</v>
          </cell>
        </row>
        <row r="792">
          <cell r="I792" t="str">
            <v>AT8008</v>
          </cell>
          <cell r="J792">
            <v>8400</v>
          </cell>
        </row>
        <row r="793">
          <cell r="I793" t="str">
            <v>AT8010</v>
          </cell>
          <cell r="J793">
            <v>10500</v>
          </cell>
        </row>
        <row r="794">
          <cell r="I794" t="str">
            <v>AT8012</v>
          </cell>
          <cell r="J794">
            <v>10500</v>
          </cell>
        </row>
        <row r="795">
          <cell r="I795" t="str">
            <v>AF1062</v>
          </cell>
          <cell r="J795">
            <v>11600</v>
          </cell>
        </row>
        <row r="796">
          <cell r="I796" t="str">
            <v>AF1064</v>
          </cell>
          <cell r="J796">
            <v>16300</v>
          </cell>
        </row>
        <row r="797">
          <cell r="I797" t="str">
            <v>AF1066</v>
          </cell>
          <cell r="J797">
            <v>19400</v>
          </cell>
        </row>
        <row r="798">
          <cell r="I798" t="str">
            <v>AF1072</v>
          </cell>
          <cell r="J798">
            <v>12100</v>
          </cell>
        </row>
        <row r="799">
          <cell r="I799" t="str">
            <v>AF1074</v>
          </cell>
          <cell r="J799">
            <v>17900</v>
          </cell>
        </row>
        <row r="800">
          <cell r="I800" t="str">
            <v>AF1076</v>
          </cell>
          <cell r="J800">
            <v>22600</v>
          </cell>
        </row>
        <row r="801">
          <cell r="I801" t="str">
            <v>AF1082</v>
          </cell>
          <cell r="J801">
            <v>13100</v>
          </cell>
        </row>
        <row r="802">
          <cell r="I802" t="str">
            <v>AF1084</v>
          </cell>
          <cell r="J802">
            <v>19400</v>
          </cell>
        </row>
        <row r="803">
          <cell r="I803" t="str">
            <v>AF1086</v>
          </cell>
          <cell r="J803">
            <v>25700</v>
          </cell>
        </row>
        <row r="804">
          <cell r="I804" t="str">
            <v>AF1102</v>
          </cell>
          <cell r="J804">
            <v>14700</v>
          </cell>
        </row>
        <row r="805">
          <cell r="I805" t="str">
            <v>AF1104</v>
          </cell>
          <cell r="J805">
            <v>22600</v>
          </cell>
        </row>
        <row r="806">
          <cell r="I806" t="str">
            <v>AF1106</v>
          </cell>
          <cell r="J806">
            <v>30500</v>
          </cell>
        </row>
        <row r="807">
          <cell r="I807" t="str">
            <v>AF1122</v>
          </cell>
          <cell r="J807">
            <v>16300</v>
          </cell>
        </row>
        <row r="808">
          <cell r="I808" t="str">
            <v>AF1124</v>
          </cell>
          <cell r="J808">
            <v>25700</v>
          </cell>
        </row>
        <row r="809">
          <cell r="I809" t="str">
            <v>AF1126</v>
          </cell>
          <cell r="J809">
            <v>35700</v>
          </cell>
        </row>
        <row r="810">
          <cell r="I810" t="str">
            <v>AF1062G</v>
          </cell>
          <cell r="J810">
            <v>16300</v>
          </cell>
        </row>
        <row r="811">
          <cell r="I811" t="str">
            <v>AF1064G</v>
          </cell>
          <cell r="J811">
            <v>24200</v>
          </cell>
        </row>
        <row r="812">
          <cell r="I812" t="str">
            <v>AF1066G</v>
          </cell>
          <cell r="J812">
            <v>32600</v>
          </cell>
        </row>
        <row r="813">
          <cell r="I813" t="str">
            <v>AF1072G</v>
          </cell>
          <cell r="J813">
            <v>17900</v>
          </cell>
        </row>
        <row r="814">
          <cell r="I814" t="str">
            <v>AF1074G</v>
          </cell>
          <cell r="J814">
            <v>26800</v>
          </cell>
        </row>
        <row r="815">
          <cell r="I815" t="str">
            <v>AF1076G</v>
          </cell>
          <cell r="J815">
            <v>35700</v>
          </cell>
        </row>
        <row r="816">
          <cell r="I816" t="str">
            <v>AF1082G</v>
          </cell>
          <cell r="J816">
            <v>19400</v>
          </cell>
        </row>
        <row r="817">
          <cell r="I817" t="str">
            <v>AF1084G</v>
          </cell>
          <cell r="J817">
            <v>29400</v>
          </cell>
        </row>
        <row r="818">
          <cell r="I818" t="str">
            <v>AF1086G</v>
          </cell>
          <cell r="J818">
            <v>38900</v>
          </cell>
        </row>
        <row r="819">
          <cell r="I819" t="str">
            <v>AF1102G</v>
          </cell>
          <cell r="J819">
            <v>22600</v>
          </cell>
        </row>
        <row r="820">
          <cell r="I820" t="str">
            <v>AF1104G</v>
          </cell>
          <cell r="J820">
            <v>34100</v>
          </cell>
        </row>
        <row r="821">
          <cell r="I821" t="str">
            <v>AF1106G</v>
          </cell>
          <cell r="J821">
            <v>45200</v>
          </cell>
        </row>
        <row r="822">
          <cell r="I822" t="str">
            <v>AF1122G</v>
          </cell>
          <cell r="J822">
            <v>25700</v>
          </cell>
        </row>
        <row r="823">
          <cell r="I823" t="str">
            <v>AF1124G</v>
          </cell>
          <cell r="J823">
            <v>40400</v>
          </cell>
        </row>
        <row r="824">
          <cell r="I824" t="str">
            <v>AF1126G</v>
          </cell>
          <cell r="J824">
            <v>52000</v>
          </cell>
        </row>
        <row r="825">
          <cell r="I825" t="str">
            <v>AF2062</v>
          </cell>
          <cell r="J825">
            <v>12100</v>
          </cell>
        </row>
        <row r="826">
          <cell r="I826" t="str">
            <v>AF2072</v>
          </cell>
          <cell r="J826">
            <v>13100</v>
          </cell>
        </row>
        <row r="827">
          <cell r="I827" t="str">
            <v>AF2082</v>
          </cell>
          <cell r="J827">
            <v>14200</v>
          </cell>
        </row>
        <row r="828">
          <cell r="I828" t="str">
            <v>AF2102</v>
          </cell>
          <cell r="J828">
            <v>15200</v>
          </cell>
        </row>
        <row r="829">
          <cell r="I829" t="str">
            <v>AF2122</v>
          </cell>
          <cell r="J829">
            <v>16300</v>
          </cell>
        </row>
        <row r="830">
          <cell r="I830" t="str">
            <v>AF3061</v>
          </cell>
          <cell r="J830">
            <v>3200</v>
          </cell>
        </row>
        <row r="831">
          <cell r="I831" t="str">
            <v>AF3071</v>
          </cell>
          <cell r="J831">
            <v>4200</v>
          </cell>
        </row>
        <row r="832">
          <cell r="I832" t="str">
            <v>AF3081</v>
          </cell>
          <cell r="J832">
            <v>4200</v>
          </cell>
        </row>
        <row r="833">
          <cell r="I833" t="str">
            <v>AF3101</v>
          </cell>
          <cell r="J833">
            <v>4700</v>
          </cell>
        </row>
        <row r="834">
          <cell r="I834" t="str">
            <v>AF3121</v>
          </cell>
          <cell r="J834">
            <v>5800</v>
          </cell>
        </row>
        <row r="835">
          <cell r="I835" t="str">
            <v>AF1062A</v>
          </cell>
          <cell r="J835">
            <v>17900</v>
          </cell>
        </row>
        <row r="836">
          <cell r="I836" t="str">
            <v>AF1064A</v>
          </cell>
          <cell r="J836">
            <v>32600</v>
          </cell>
        </row>
        <row r="837">
          <cell r="I837" t="str">
            <v>AF1072A</v>
          </cell>
          <cell r="J837">
            <v>19400</v>
          </cell>
        </row>
        <row r="838">
          <cell r="I838" t="str">
            <v>AF1074A</v>
          </cell>
          <cell r="J838">
            <v>35700</v>
          </cell>
        </row>
        <row r="839">
          <cell r="I839" t="str">
            <v>AF1082A</v>
          </cell>
          <cell r="J839">
            <v>21000</v>
          </cell>
        </row>
        <row r="840">
          <cell r="I840" t="str">
            <v>AF1084A</v>
          </cell>
          <cell r="J840">
            <v>38900</v>
          </cell>
        </row>
        <row r="841">
          <cell r="I841" t="str">
            <v>AF1102A</v>
          </cell>
          <cell r="J841">
            <v>24200</v>
          </cell>
        </row>
        <row r="842">
          <cell r="I842" t="str">
            <v>AF1104A</v>
          </cell>
          <cell r="J842">
            <v>45200</v>
          </cell>
        </row>
        <row r="843">
          <cell r="I843" t="str">
            <v>AF1122A</v>
          </cell>
          <cell r="J843">
            <v>27300</v>
          </cell>
        </row>
        <row r="844">
          <cell r="I844" t="str">
            <v>AF1124A</v>
          </cell>
          <cell r="J844">
            <v>51500</v>
          </cell>
        </row>
        <row r="845">
          <cell r="I845" t="str">
            <v>AF1064B</v>
          </cell>
          <cell r="J845">
            <v>30500</v>
          </cell>
        </row>
        <row r="846">
          <cell r="I846" t="str">
            <v>AF1074B</v>
          </cell>
          <cell r="J846">
            <v>34700</v>
          </cell>
        </row>
        <row r="847">
          <cell r="I847" t="str">
            <v>AF1084B</v>
          </cell>
          <cell r="J847">
            <v>38900</v>
          </cell>
        </row>
        <row r="848">
          <cell r="I848" t="str">
            <v>AF1104B</v>
          </cell>
          <cell r="J848">
            <v>54600</v>
          </cell>
        </row>
        <row r="849">
          <cell r="I849" t="str">
            <v>AF1124B</v>
          </cell>
          <cell r="J849">
            <v>59900</v>
          </cell>
        </row>
        <row r="850">
          <cell r="I850" t="str">
            <v>AT3006</v>
          </cell>
          <cell r="J850">
            <v>66200</v>
          </cell>
        </row>
        <row r="851">
          <cell r="I851" t="str">
            <v>AT3007</v>
          </cell>
          <cell r="J851">
            <v>69300</v>
          </cell>
        </row>
        <row r="852">
          <cell r="I852" t="str">
            <v>AT3008</v>
          </cell>
          <cell r="J852">
            <v>71400</v>
          </cell>
        </row>
        <row r="853">
          <cell r="I853" t="str">
            <v>AT3010</v>
          </cell>
          <cell r="J853">
            <v>77700</v>
          </cell>
        </row>
        <row r="854">
          <cell r="I854" t="str">
            <v>AT3012</v>
          </cell>
          <cell r="J854">
            <v>81900</v>
          </cell>
        </row>
        <row r="855">
          <cell r="I855" t="str">
            <v>AT3406</v>
          </cell>
          <cell r="J855">
            <v>78800</v>
          </cell>
        </row>
        <row r="856">
          <cell r="I856" t="str">
            <v>AT3407</v>
          </cell>
          <cell r="J856">
            <v>81900</v>
          </cell>
        </row>
        <row r="857">
          <cell r="I857" t="str">
            <v>AT3408</v>
          </cell>
          <cell r="J857">
            <v>84000</v>
          </cell>
        </row>
        <row r="858">
          <cell r="I858" t="str">
            <v>AT3410</v>
          </cell>
          <cell r="J858">
            <v>89300</v>
          </cell>
        </row>
        <row r="859">
          <cell r="I859" t="str">
            <v>AT3412</v>
          </cell>
          <cell r="J859">
            <v>93500</v>
          </cell>
        </row>
        <row r="860">
          <cell r="I860" t="str">
            <v>AT3306</v>
          </cell>
          <cell r="J860">
            <v>168000</v>
          </cell>
        </row>
        <row r="861">
          <cell r="I861" t="str">
            <v>AT3307</v>
          </cell>
          <cell r="J861">
            <v>173300</v>
          </cell>
        </row>
        <row r="862">
          <cell r="I862" t="str">
            <v>AT3308</v>
          </cell>
          <cell r="J862">
            <v>177500</v>
          </cell>
        </row>
        <row r="863">
          <cell r="I863" t="str">
            <v>AT3310</v>
          </cell>
          <cell r="J863">
            <v>189000</v>
          </cell>
        </row>
        <row r="864">
          <cell r="I864" t="str">
            <v>AT3312</v>
          </cell>
          <cell r="J864">
            <v>198500</v>
          </cell>
        </row>
        <row r="865">
          <cell r="I865" t="str">
            <v>AF066HB</v>
          </cell>
          <cell r="J865">
            <v>246800</v>
          </cell>
        </row>
        <row r="866">
          <cell r="I866" t="str">
            <v>AF076HB</v>
          </cell>
          <cell r="J866">
            <v>270900</v>
          </cell>
        </row>
        <row r="867">
          <cell r="I867" t="str">
            <v>AF086HB</v>
          </cell>
          <cell r="J867">
            <v>293000</v>
          </cell>
        </row>
        <row r="868">
          <cell r="I868" t="str">
            <v>AF106HB</v>
          </cell>
          <cell r="J868">
            <v>330800</v>
          </cell>
        </row>
        <row r="869">
          <cell r="I869" t="str">
            <v>AF126HB</v>
          </cell>
          <cell r="J869">
            <v>373800</v>
          </cell>
        </row>
        <row r="870">
          <cell r="I870" t="str">
            <v>AF068HB</v>
          </cell>
          <cell r="J870">
            <v>278300</v>
          </cell>
        </row>
        <row r="871">
          <cell r="I871" t="str">
            <v>AF078HB</v>
          </cell>
          <cell r="J871">
            <v>306600</v>
          </cell>
        </row>
        <row r="872">
          <cell r="I872" t="str">
            <v>AF088HB</v>
          </cell>
          <cell r="J872">
            <v>330800</v>
          </cell>
        </row>
        <row r="873">
          <cell r="I873" t="str">
            <v>AF108HB</v>
          </cell>
          <cell r="J873">
            <v>373800</v>
          </cell>
        </row>
        <row r="874">
          <cell r="I874" t="str">
            <v>AF128HB</v>
          </cell>
          <cell r="J874">
            <v>425300</v>
          </cell>
        </row>
        <row r="875">
          <cell r="I875" t="str">
            <v>AF062C</v>
          </cell>
          <cell r="J875">
            <v>176400</v>
          </cell>
        </row>
        <row r="876">
          <cell r="I876" t="str">
            <v>AF072C</v>
          </cell>
          <cell r="J876">
            <v>192200</v>
          </cell>
        </row>
        <row r="877">
          <cell r="I877" t="str">
            <v>AF082C</v>
          </cell>
          <cell r="J877">
            <v>206300</v>
          </cell>
        </row>
        <row r="878">
          <cell r="I878" t="str">
            <v>AF102C</v>
          </cell>
          <cell r="J878">
            <v>230000</v>
          </cell>
        </row>
        <row r="879">
          <cell r="I879" t="str">
            <v>AF122C</v>
          </cell>
          <cell r="J879">
            <v>255700</v>
          </cell>
        </row>
        <row r="880">
          <cell r="I880" t="str">
            <v>AF064S</v>
          </cell>
          <cell r="J880">
            <v>51500</v>
          </cell>
        </row>
        <row r="881">
          <cell r="I881" t="str">
            <v>AF074S</v>
          </cell>
          <cell r="J881">
            <v>56700</v>
          </cell>
        </row>
        <row r="882">
          <cell r="I882" t="str">
            <v>AF084S</v>
          </cell>
          <cell r="J882">
            <v>62000</v>
          </cell>
        </row>
        <row r="883">
          <cell r="I883" t="str">
            <v>AF104S</v>
          </cell>
          <cell r="J883">
            <v>71400</v>
          </cell>
        </row>
        <row r="884">
          <cell r="I884" t="str">
            <v>AF124S</v>
          </cell>
          <cell r="J884">
            <v>80900</v>
          </cell>
        </row>
        <row r="885">
          <cell r="I885" t="str">
            <v>AF064SG</v>
          </cell>
          <cell r="J885">
            <v>67200</v>
          </cell>
        </row>
        <row r="886">
          <cell r="I886" t="str">
            <v>AF074SG</v>
          </cell>
          <cell r="J886">
            <v>74600</v>
          </cell>
        </row>
        <row r="887">
          <cell r="I887" t="str">
            <v>AF084SG</v>
          </cell>
          <cell r="J887">
            <v>81900</v>
          </cell>
        </row>
        <row r="888">
          <cell r="I888" t="str">
            <v>AF104SG</v>
          </cell>
          <cell r="J888">
            <v>94500</v>
          </cell>
        </row>
        <row r="889">
          <cell r="I889" t="str">
            <v>AF124SG</v>
          </cell>
          <cell r="J889">
            <v>110300</v>
          </cell>
        </row>
        <row r="890">
          <cell r="I890" t="str">
            <v>AF064SB</v>
          </cell>
          <cell r="J890">
            <v>79800</v>
          </cell>
        </row>
        <row r="891">
          <cell r="I891" t="str">
            <v>AF074SB</v>
          </cell>
          <cell r="J891">
            <v>90300</v>
          </cell>
        </row>
        <row r="892">
          <cell r="I892" t="str">
            <v>AF084SB</v>
          </cell>
          <cell r="J892">
            <v>100800</v>
          </cell>
        </row>
        <row r="893">
          <cell r="I893" t="str">
            <v>AF104SB</v>
          </cell>
          <cell r="J893">
            <v>135500</v>
          </cell>
        </row>
        <row r="894">
          <cell r="I894" t="str">
            <v>AF124SB</v>
          </cell>
          <cell r="J894">
            <v>149100</v>
          </cell>
        </row>
        <row r="895">
          <cell r="I895" t="str">
            <v>AF064SA</v>
          </cell>
          <cell r="J895">
            <v>84000</v>
          </cell>
        </row>
        <row r="896">
          <cell r="I896" t="str">
            <v>AF074SA</v>
          </cell>
          <cell r="J896">
            <v>92400</v>
          </cell>
        </row>
        <row r="897">
          <cell r="I897" t="str">
            <v>AF084SA</v>
          </cell>
          <cell r="J897">
            <v>100800</v>
          </cell>
        </row>
        <row r="898">
          <cell r="I898" t="str">
            <v>AF104SA</v>
          </cell>
          <cell r="J898">
            <v>116600</v>
          </cell>
        </row>
        <row r="899">
          <cell r="I899" t="str">
            <v>AF124SA</v>
          </cell>
          <cell r="J899">
            <v>132300</v>
          </cell>
        </row>
        <row r="900">
          <cell r="I900" t="str">
            <v>AF064SD</v>
          </cell>
          <cell r="J900">
            <v>65600</v>
          </cell>
        </row>
        <row r="901">
          <cell r="I901" t="str">
            <v>AF074SD</v>
          </cell>
          <cell r="J901">
            <v>73500</v>
          </cell>
        </row>
        <row r="902">
          <cell r="I902" t="str">
            <v>AF084SD</v>
          </cell>
          <cell r="J902">
            <v>81400</v>
          </cell>
        </row>
        <row r="903">
          <cell r="I903" t="str">
            <v>AF104SD</v>
          </cell>
          <cell r="J903">
            <v>103400</v>
          </cell>
        </row>
        <row r="904">
          <cell r="I904" t="str">
            <v>AF124SD</v>
          </cell>
          <cell r="J904">
            <v>115000</v>
          </cell>
        </row>
        <row r="905">
          <cell r="I905" t="str">
            <v>AF064SC</v>
          </cell>
          <cell r="J905">
            <v>67700</v>
          </cell>
        </row>
        <row r="906">
          <cell r="I906" t="str">
            <v>AF074SC</v>
          </cell>
          <cell r="J906">
            <v>74600</v>
          </cell>
        </row>
        <row r="907">
          <cell r="I907" t="str">
            <v>AF084SC</v>
          </cell>
          <cell r="J907">
            <v>81400</v>
          </cell>
        </row>
        <row r="908">
          <cell r="I908" t="str">
            <v>AF104SC</v>
          </cell>
          <cell r="J908">
            <v>94000</v>
          </cell>
        </row>
        <row r="909">
          <cell r="I909" t="str">
            <v>AF124SC</v>
          </cell>
          <cell r="J909">
            <v>106600</v>
          </cell>
        </row>
        <row r="910">
          <cell r="I910" t="str">
            <v>AF064SM</v>
          </cell>
          <cell r="J910">
            <v>81900</v>
          </cell>
        </row>
        <row r="911">
          <cell r="I911" t="str">
            <v>AF074SM</v>
          </cell>
          <cell r="J911">
            <v>91400</v>
          </cell>
        </row>
        <row r="912">
          <cell r="I912" t="str">
            <v>AF084SM</v>
          </cell>
          <cell r="J912">
            <v>100800</v>
          </cell>
        </row>
        <row r="913">
          <cell r="I913" t="str">
            <v>AF104SM</v>
          </cell>
          <cell r="J913">
            <v>126000</v>
          </cell>
        </row>
        <row r="914">
          <cell r="I914" t="str">
            <v>AF124SM</v>
          </cell>
          <cell r="J914">
            <v>140700</v>
          </cell>
        </row>
        <row r="915">
          <cell r="I915" t="str">
            <v>AF062A</v>
          </cell>
          <cell r="J915">
            <v>182700</v>
          </cell>
        </row>
        <row r="916">
          <cell r="I916" t="str">
            <v>AF072A</v>
          </cell>
          <cell r="J916">
            <v>199500</v>
          </cell>
        </row>
        <row r="917">
          <cell r="I917" t="str">
            <v>AF082A</v>
          </cell>
          <cell r="J917">
            <v>214200</v>
          </cell>
        </row>
        <row r="918">
          <cell r="I918" t="str">
            <v>AF102A</v>
          </cell>
          <cell r="J918">
            <v>239400</v>
          </cell>
        </row>
        <row r="919">
          <cell r="I919" t="str">
            <v>AF122A</v>
          </cell>
          <cell r="J919">
            <v>266700</v>
          </cell>
        </row>
        <row r="920">
          <cell r="I920" t="str">
            <v>SD008L</v>
          </cell>
          <cell r="J920">
            <v>177500</v>
          </cell>
        </row>
        <row r="921">
          <cell r="I921" t="str">
            <v>SD008R</v>
          </cell>
          <cell r="J921">
            <v>177500</v>
          </cell>
        </row>
        <row r="922">
          <cell r="I922" t="str">
            <v>SD008</v>
          </cell>
          <cell r="J922">
            <v>177500</v>
          </cell>
        </row>
        <row r="923">
          <cell r="I923" t="str">
            <v>SD012L</v>
          </cell>
          <cell r="J923">
            <v>210000</v>
          </cell>
        </row>
        <row r="924">
          <cell r="I924" t="str">
            <v>SD012R</v>
          </cell>
          <cell r="J924">
            <v>210000</v>
          </cell>
        </row>
        <row r="925">
          <cell r="I925" t="str">
            <v>SD012</v>
          </cell>
          <cell r="J925">
            <v>210000</v>
          </cell>
        </row>
        <row r="926">
          <cell r="I926" t="str">
            <v>SD014L</v>
          </cell>
          <cell r="J926">
            <v>236300</v>
          </cell>
        </row>
        <row r="927">
          <cell r="I927" t="str">
            <v>SD014R</v>
          </cell>
          <cell r="J927">
            <v>236300</v>
          </cell>
        </row>
        <row r="928">
          <cell r="I928" t="str">
            <v>SD014</v>
          </cell>
          <cell r="J928">
            <v>236300</v>
          </cell>
        </row>
        <row r="929">
          <cell r="I929" t="str">
            <v>SD016L</v>
          </cell>
          <cell r="J929">
            <v>254100</v>
          </cell>
        </row>
        <row r="930">
          <cell r="I930" t="str">
            <v>SD016R</v>
          </cell>
          <cell r="J930">
            <v>254100</v>
          </cell>
        </row>
        <row r="931">
          <cell r="I931" t="str">
            <v>SD016</v>
          </cell>
          <cell r="J931">
            <v>254100</v>
          </cell>
        </row>
        <row r="932">
          <cell r="I932" t="str">
            <v>SD316L</v>
          </cell>
          <cell r="J932">
            <v>339200</v>
          </cell>
        </row>
        <row r="933">
          <cell r="I933" t="str">
            <v>SD316R</v>
          </cell>
          <cell r="J933">
            <v>339200</v>
          </cell>
        </row>
        <row r="934">
          <cell r="I934" t="str">
            <v>SD318R</v>
          </cell>
          <cell r="J934">
            <v>356000</v>
          </cell>
        </row>
        <row r="935">
          <cell r="I935" t="str">
            <v>SD318L</v>
          </cell>
          <cell r="J935">
            <v>356000</v>
          </cell>
        </row>
        <row r="936">
          <cell r="I936" t="str">
            <v>SP0202</v>
          </cell>
          <cell r="J936">
            <v>146000</v>
          </cell>
        </row>
        <row r="937">
          <cell r="I937" t="str">
            <v>SP0203</v>
          </cell>
          <cell r="J937">
            <v>161700</v>
          </cell>
        </row>
        <row r="938">
          <cell r="I938" t="str">
            <v>SP0302</v>
          </cell>
          <cell r="J938">
            <v>170100</v>
          </cell>
        </row>
        <row r="939">
          <cell r="I939" t="str">
            <v>SP0303</v>
          </cell>
          <cell r="J939">
            <v>185900</v>
          </cell>
        </row>
        <row r="940">
          <cell r="I940" t="str">
            <v>SP0300</v>
          </cell>
          <cell r="J940">
            <v>53600</v>
          </cell>
        </row>
        <row r="941">
          <cell r="I941" t="str">
            <v>SD507</v>
          </cell>
          <cell r="J941">
            <v>174300</v>
          </cell>
        </row>
        <row r="942">
          <cell r="I942" t="str">
            <v>SD507F</v>
          </cell>
          <cell r="J942">
            <v>298200</v>
          </cell>
        </row>
        <row r="943">
          <cell r="I943" t="str">
            <v>SD517</v>
          </cell>
          <cell r="J943">
            <v>92400</v>
          </cell>
        </row>
        <row r="944">
          <cell r="I944" t="str">
            <v>SD517F</v>
          </cell>
          <cell r="J944">
            <v>217400</v>
          </cell>
        </row>
        <row r="945">
          <cell r="I945" t="str">
            <v>SD547</v>
          </cell>
          <cell r="J945">
            <v>60900</v>
          </cell>
        </row>
        <row r="946">
          <cell r="I946" t="str">
            <v>SD597</v>
          </cell>
          <cell r="J946">
            <v>77700</v>
          </cell>
        </row>
        <row r="947">
          <cell r="I947" t="str">
            <v>SD406L</v>
          </cell>
          <cell r="J947">
            <v>84000</v>
          </cell>
        </row>
        <row r="948">
          <cell r="I948" t="str">
            <v>SD406R</v>
          </cell>
          <cell r="J948">
            <v>84000</v>
          </cell>
        </row>
        <row r="949">
          <cell r="I949" t="str">
            <v>SD912</v>
          </cell>
          <cell r="J949">
            <v>162800</v>
          </cell>
        </row>
        <row r="950">
          <cell r="I950" t="str">
            <v>SD912F</v>
          </cell>
          <cell r="J950">
            <v>199500</v>
          </cell>
        </row>
        <row r="951">
          <cell r="I951" t="str">
            <v>SD955</v>
          </cell>
          <cell r="J951">
            <v>99800</v>
          </cell>
        </row>
        <row r="952">
          <cell r="I952" t="str">
            <v>SD977</v>
          </cell>
          <cell r="J952">
            <v>189000</v>
          </cell>
        </row>
        <row r="953">
          <cell r="I953" t="str">
            <v>SD927L</v>
          </cell>
          <cell r="J953">
            <v>165900</v>
          </cell>
        </row>
        <row r="954">
          <cell r="I954" t="str">
            <v>SD927R</v>
          </cell>
          <cell r="J954">
            <v>165900</v>
          </cell>
        </row>
        <row r="955">
          <cell r="I955" t="str">
            <v>SD990</v>
          </cell>
          <cell r="J955">
            <v>153300</v>
          </cell>
        </row>
        <row r="956">
          <cell r="I956" t="str">
            <v>SF008</v>
          </cell>
          <cell r="J956">
            <v>75600</v>
          </cell>
        </row>
        <row r="957">
          <cell r="I957" t="str">
            <v>SF008BE</v>
          </cell>
          <cell r="J957">
            <v>67200</v>
          </cell>
        </row>
        <row r="958">
          <cell r="I958" t="str">
            <v>SF012</v>
          </cell>
          <cell r="J958">
            <v>94500</v>
          </cell>
        </row>
        <row r="959">
          <cell r="I959" t="str">
            <v>SF012BE</v>
          </cell>
          <cell r="J959">
            <v>84000</v>
          </cell>
        </row>
        <row r="960">
          <cell r="I960" t="str">
            <v>SF014</v>
          </cell>
          <cell r="J960">
            <v>105000</v>
          </cell>
        </row>
        <row r="961">
          <cell r="I961" t="str">
            <v>SF014BE</v>
          </cell>
          <cell r="J961">
            <v>93500</v>
          </cell>
        </row>
        <row r="962">
          <cell r="I962" t="str">
            <v>SF016</v>
          </cell>
          <cell r="J962">
            <v>114500</v>
          </cell>
        </row>
        <row r="963">
          <cell r="I963" t="str">
            <v>SF016BE</v>
          </cell>
          <cell r="J963">
            <v>101900</v>
          </cell>
        </row>
        <row r="964">
          <cell r="I964" t="str">
            <v>SF300</v>
          </cell>
          <cell r="J964">
            <v>34700</v>
          </cell>
        </row>
        <row r="965">
          <cell r="I965" t="str">
            <v>SF300BE</v>
          </cell>
          <cell r="J965">
            <v>29400</v>
          </cell>
        </row>
        <row r="966">
          <cell r="I966" t="str">
            <v>SF912</v>
          </cell>
          <cell r="J966">
            <v>49400</v>
          </cell>
        </row>
        <row r="967">
          <cell r="I967" t="str">
            <v>SF912BE</v>
          </cell>
          <cell r="J967">
            <v>42000</v>
          </cell>
        </row>
        <row r="968">
          <cell r="I968" t="str">
            <v>SF507</v>
          </cell>
          <cell r="J968">
            <v>173300</v>
          </cell>
        </row>
        <row r="969">
          <cell r="I969" t="str">
            <v>SF507BE</v>
          </cell>
          <cell r="J969">
            <v>152300</v>
          </cell>
        </row>
        <row r="970">
          <cell r="I970" t="str">
            <v>SF517</v>
          </cell>
          <cell r="J970">
            <v>135500</v>
          </cell>
        </row>
        <row r="971">
          <cell r="I971" t="str">
            <v>SF517BE</v>
          </cell>
          <cell r="J971">
            <v>118700</v>
          </cell>
        </row>
        <row r="972">
          <cell r="I972" t="str">
            <v>SF316</v>
          </cell>
          <cell r="J972">
            <v>193200</v>
          </cell>
        </row>
        <row r="973">
          <cell r="I973" t="str">
            <v>SF316BE</v>
          </cell>
          <cell r="J973">
            <v>170100</v>
          </cell>
        </row>
        <row r="974">
          <cell r="I974" t="str">
            <v>SF507T</v>
          </cell>
          <cell r="J974">
            <v>260400</v>
          </cell>
        </row>
        <row r="975">
          <cell r="I975" t="str">
            <v>SF507TBE</v>
          </cell>
          <cell r="J975">
            <v>228900</v>
          </cell>
        </row>
        <row r="976">
          <cell r="I976" t="str">
            <v>SC182</v>
          </cell>
          <cell r="J976">
            <v>116600</v>
          </cell>
        </row>
        <row r="977">
          <cell r="I977" t="str">
            <v>SC183</v>
          </cell>
          <cell r="J977">
            <v>149100</v>
          </cell>
        </row>
        <row r="978">
          <cell r="I978" t="str">
            <v>SC1082</v>
          </cell>
          <cell r="J978">
            <v>80900</v>
          </cell>
        </row>
        <row r="979">
          <cell r="I979" t="str">
            <v>SC1083</v>
          </cell>
          <cell r="J979">
            <v>113400</v>
          </cell>
        </row>
        <row r="980">
          <cell r="I980" t="str">
            <v>SC0084</v>
          </cell>
          <cell r="J980">
            <v>144900</v>
          </cell>
        </row>
        <row r="981">
          <cell r="I981" t="str">
            <v>SC0085S</v>
          </cell>
          <cell r="J981">
            <v>153300</v>
          </cell>
        </row>
        <row r="982">
          <cell r="I982" t="str">
            <v>SC0086</v>
          </cell>
          <cell r="J982">
            <v>202700</v>
          </cell>
        </row>
        <row r="983">
          <cell r="I983" t="str">
            <v>SC0054</v>
          </cell>
          <cell r="J983">
            <v>110300</v>
          </cell>
        </row>
        <row r="984">
          <cell r="I984" t="str">
            <v>SC0055S</v>
          </cell>
          <cell r="J984">
            <v>122900</v>
          </cell>
        </row>
        <row r="985">
          <cell r="I985" t="str">
            <v>SC0056</v>
          </cell>
          <cell r="J985">
            <v>170100</v>
          </cell>
        </row>
        <row r="986">
          <cell r="I986" t="str">
            <v>SC5054</v>
          </cell>
          <cell r="J986">
            <v>110300</v>
          </cell>
        </row>
        <row r="987">
          <cell r="I987" t="str">
            <v>SC5055S</v>
          </cell>
          <cell r="J987">
            <v>122900</v>
          </cell>
        </row>
        <row r="988">
          <cell r="I988" t="str">
            <v>SC9108</v>
          </cell>
          <cell r="J988">
            <v>35700</v>
          </cell>
        </row>
        <row r="989">
          <cell r="I989" t="str">
            <v>SC9105</v>
          </cell>
          <cell r="J989">
            <v>26300</v>
          </cell>
        </row>
        <row r="990">
          <cell r="I990" t="str">
            <v>SB1082</v>
          </cell>
          <cell r="J990">
            <v>65100</v>
          </cell>
        </row>
        <row r="991">
          <cell r="I991" t="str">
            <v>SB1083</v>
          </cell>
          <cell r="J991">
            <v>81900</v>
          </cell>
        </row>
        <row r="992">
          <cell r="I992" t="str">
            <v>SB0082</v>
          </cell>
          <cell r="J992">
            <v>65100</v>
          </cell>
        </row>
        <row r="993">
          <cell r="I993" t="str">
            <v>SB0084</v>
          </cell>
          <cell r="J993">
            <v>108200</v>
          </cell>
        </row>
        <row r="994">
          <cell r="I994" t="str">
            <v>SB0085S</v>
          </cell>
          <cell r="J994">
            <v>120800</v>
          </cell>
        </row>
        <row r="995">
          <cell r="I995" t="str">
            <v>SB0086</v>
          </cell>
          <cell r="J995">
            <v>143900</v>
          </cell>
        </row>
        <row r="996">
          <cell r="I996" t="str">
            <v>SB0083SG</v>
          </cell>
          <cell r="J996">
            <v>85100</v>
          </cell>
        </row>
        <row r="997">
          <cell r="I997" t="str">
            <v>SB052L</v>
          </cell>
          <cell r="J997">
            <v>45200</v>
          </cell>
        </row>
        <row r="998">
          <cell r="I998" t="str">
            <v>SB052R</v>
          </cell>
          <cell r="J998">
            <v>45200</v>
          </cell>
        </row>
        <row r="999">
          <cell r="I999" t="str">
            <v>SB054L</v>
          </cell>
          <cell r="J999">
            <v>74600</v>
          </cell>
        </row>
        <row r="1000">
          <cell r="I1000" t="str">
            <v>SB054R</v>
          </cell>
          <cell r="J1000">
            <v>74600</v>
          </cell>
        </row>
        <row r="1001">
          <cell r="I1001" t="str">
            <v>SB055SL</v>
          </cell>
          <cell r="J1001">
            <v>80900</v>
          </cell>
        </row>
        <row r="1002">
          <cell r="I1002" t="str">
            <v>SB055SR</v>
          </cell>
          <cell r="J1002">
            <v>80900</v>
          </cell>
        </row>
        <row r="1003">
          <cell r="I1003" t="str">
            <v>SB056L</v>
          </cell>
          <cell r="J1003">
            <v>107100</v>
          </cell>
        </row>
        <row r="1004">
          <cell r="I1004" t="str">
            <v>SB056R</v>
          </cell>
          <cell r="J1004">
            <v>107100</v>
          </cell>
        </row>
        <row r="1005">
          <cell r="I1005" t="str">
            <v>SB9082</v>
          </cell>
          <cell r="J1005">
            <v>39900</v>
          </cell>
        </row>
        <row r="1006">
          <cell r="I1006" t="str">
            <v>SB9082BE</v>
          </cell>
          <cell r="J1006">
            <v>25800</v>
          </cell>
        </row>
        <row r="1007">
          <cell r="I1007" t="str">
            <v>SB9083</v>
          </cell>
          <cell r="J1007">
            <v>59900</v>
          </cell>
        </row>
        <row r="1008">
          <cell r="I1008" t="str">
            <v>SB9083BE</v>
          </cell>
          <cell r="J1008">
            <v>38900</v>
          </cell>
        </row>
        <row r="1009">
          <cell r="I1009" t="str">
            <v>SB9084</v>
          </cell>
          <cell r="J1009">
            <v>80900</v>
          </cell>
        </row>
        <row r="1010">
          <cell r="I1010" t="str">
            <v>SB9084BE</v>
          </cell>
          <cell r="J1010">
            <v>53600</v>
          </cell>
        </row>
        <row r="1011">
          <cell r="I1011" t="str">
            <v>SB9085S</v>
          </cell>
          <cell r="J1011">
            <v>93500</v>
          </cell>
        </row>
        <row r="1012">
          <cell r="I1012" t="str">
            <v>SB9055SBE</v>
          </cell>
          <cell r="J1012">
            <v>63000</v>
          </cell>
        </row>
        <row r="1013">
          <cell r="I1013" t="str">
            <v>SB9054</v>
          </cell>
          <cell r="J1013">
            <v>45200</v>
          </cell>
        </row>
        <row r="1014">
          <cell r="I1014" t="str">
            <v>SB9054BE</v>
          </cell>
          <cell r="J1014">
            <v>32600</v>
          </cell>
        </row>
        <row r="1015">
          <cell r="I1015" t="str">
            <v>SB9055S</v>
          </cell>
          <cell r="J1015">
            <v>57800</v>
          </cell>
        </row>
        <row r="1016">
          <cell r="I1016" t="str">
            <v>SB9055SBE</v>
          </cell>
          <cell r="J1016">
            <v>38900</v>
          </cell>
        </row>
        <row r="1017">
          <cell r="I1017" t="str">
            <v>SC981F</v>
          </cell>
          <cell r="J1017">
            <v>93000</v>
          </cell>
        </row>
        <row r="1018">
          <cell r="I1018" t="str">
            <v>SC981C</v>
          </cell>
          <cell r="J1018">
            <v>73000</v>
          </cell>
        </row>
        <row r="1019">
          <cell r="I1019" t="str">
            <v>SC982F</v>
          </cell>
          <cell r="J1019">
            <v>137000</v>
          </cell>
        </row>
        <row r="1020">
          <cell r="I1020" t="str">
            <v>SC982C</v>
          </cell>
          <cell r="J1020">
            <v>108000</v>
          </cell>
        </row>
        <row r="1021">
          <cell r="I1021" t="str">
            <v>SC951F</v>
          </cell>
          <cell r="J1021">
            <v>77000</v>
          </cell>
        </row>
        <row r="1022">
          <cell r="I1022" t="str">
            <v>SC951C</v>
          </cell>
          <cell r="J1022">
            <v>57000</v>
          </cell>
        </row>
        <row r="1023">
          <cell r="I1023" t="str">
            <v>SC952F</v>
          </cell>
          <cell r="J1023">
            <v>113000</v>
          </cell>
        </row>
        <row r="1024">
          <cell r="I1024" t="str">
            <v>SC952C</v>
          </cell>
          <cell r="J1024">
            <v>84000</v>
          </cell>
        </row>
        <row r="1025">
          <cell r="I1025" t="str">
            <v>SC9350</v>
          </cell>
          <cell r="J1025">
            <v>18000</v>
          </cell>
        </row>
        <row r="1026">
          <cell r="I1026" t="str">
            <v>SC9380</v>
          </cell>
          <cell r="J1026">
            <v>26000</v>
          </cell>
        </row>
        <row r="1027">
          <cell r="I1027" t="str">
            <v>SF517T</v>
          </cell>
          <cell r="J1027">
            <v>203700</v>
          </cell>
        </row>
        <row r="1028">
          <cell r="I1028" t="str">
            <v>SF517TBE</v>
          </cell>
          <cell r="J1028">
            <v>178500</v>
          </cell>
        </row>
        <row r="1029">
          <cell r="I1029" t="str">
            <v>SF316TA</v>
          </cell>
          <cell r="J1029">
            <v>300300</v>
          </cell>
        </row>
        <row r="1030">
          <cell r="I1030" t="str">
            <v>SF316TABE</v>
          </cell>
          <cell r="J1030">
            <v>264600</v>
          </cell>
        </row>
        <row r="1031">
          <cell r="I1031" t="str">
            <v>SF316TB</v>
          </cell>
          <cell r="J1031">
            <v>280400</v>
          </cell>
        </row>
        <row r="1032">
          <cell r="I1032" t="str">
            <v>SF316TBBE</v>
          </cell>
          <cell r="J1032">
            <v>246800</v>
          </cell>
        </row>
        <row r="1033">
          <cell r="I1033" t="str">
            <v>SC282</v>
          </cell>
          <cell r="J1033">
            <v>362300</v>
          </cell>
        </row>
        <row r="1034">
          <cell r="I1034" t="str">
            <v>SC283</v>
          </cell>
          <cell r="J1034">
            <v>485100</v>
          </cell>
        </row>
        <row r="1035">
          <cell r="I1035" t="str">
            <v>SC2082</v>
          </cell>
          <cell r="J1035">
            <v>326600</v>
          </cell>
        </row>
        <row r="1036">
          <cell r="I1036" t="str">
            <v>SC2083</v>
          </cell>
          <cell r="J1036">
            <v>449400</v>
          </cell>
        </row>
        <row r="1037">
          <cell r="I1037" t="str">
            <v>SC162</v>
          </cell>
          <cell r="J1037">
            <v>114500</v>
          </cell>
        </row>
        <row r="1038">
          <cell r="I1038" t="str">
            <v>SC662L</v>
          </cell>
          <cell r="J1038">
            <v>236300</v>
          </cell>
        </row>
        <row r="1039">
          <cell r="I1039" t="str">
            <v>SC662R</v>
          </cell>
          <cell r="J1039">
            <v>236300</v>
          </cell>
        </row>
        <row r="1040">
          <cell r="I1040" t="str">
            <v>SC764</v>
          </cell>
          <cell r="J1040">
            <v>239400</v>
          </cell>
        </row>
        <row r="1041">
          <cell r="I1041" t="str">
            <v>SA0101</v>
          </cell>
          <cell r="J1041">
            <v>4800</v>
          </cell>
        </row>
        <row r="1042">
          <cell r="I1042" t="str">
            <v>SA0102</v>
          </cell>
          <cell r="J1042">
            <v>4800</v>
          </cell>
        </row>
        <row r="1043">
          <cell r="I1043" t="str">
            <v>SA0103</v>
          </cell>
          <cell r="J1043">
            <v>4800</v>
          </cell>
        </row>
        <row r="1044">
          <cell r="I1044" t="str">
            <v>SA0104</v>
          </cell>
          <cell r="J1044">
            <v>9700</v>
          </cell>
        </row>
        <row r="1045">
          <cell r="I1045" t="str">
            <v>SA1012</v>
          </cell>
          <cell r="J1045">
            <v>60900</v>
          </cell>
        </row>
        <row r="1046">
          <cell r="I1046" t="str">
            <v>SA1014</v>
          </cell>
          <cell r="J1046">
            <v>68300</v>
          </cell>
        </row>
        <row r="1047">
          <cell r="I1047" t="str">
            <v>SA0201</v>
          </cell>
          <cell r="J1047">
            <v>57800</v>
          </cell>
        </row>
        <row r="1048">
          <cell r="I1048" t="str">
            <v>SA0301</v>
          </cell>
          <cell r="J1048">
            <v>14700</v>
          </cell>
        </row>
        <row r="1049">
          <cell r="I1049" t="str">
            <v>SA0401</v>
          </cell>
          <cell r="J1049">
            <v>14700</v>
          </cell>
        </row>
        <row r="1050">
          <cell r="I1050" t="str">
            <v>SA9900</v>
          </cell>
          <cell r="J1050">
            <v>8900</v>
          </cell>
        </row>
        <row r="1051">
          <cell r="I1051" t="str">
            <v>IF0060</v>
          </cell>
          <cell r="J1051">
            <v>33600</v>
          </cell>
        </row>
        <row r="1052">
          <cell r="I1052" t="str">
            <v>IF0070</v>
          </cell>
          <cell r="J1052">
            <v>36800</v>
          </cell>
        </row>
        <row r="1053">
          <cell r="I1053" t="str">
            <v>IF0080</v>
          </cell>
          <cell r="J1053">
            <v>39900</v>
          </cell>
        </row>
        <row r="1054">
          <cell r="I1054" t="str">
            <v>IF0100</v>
          </cell>
          <cell r="J1054">
            <v>45200</v>
          </cell>
        </row>
        <row r="1055">
          <cell r="I1055" t="str">
            <v>IF0120</v>
          </cell>
          <cell r="J1055">
            <v>50400</v>
          </cell>
        </row>
        <row r="1056">
          <cell r="I1056" t="str">
            <v>IF0062</v>
          </cell>
          <cell r="J1056">
            <v>36800</v>
          </cell>
        </row>
        <row r="1057">
          <cell r="I1057" t="str">
            <v>IF0072</v>
          </cell>
          <cell r="J1057">
            <v>39900</v>
          </cell>
        </row>
        <row r="1058">
          <cell r="I1058" t="str">
            <v>IF0082</v>
          </cell>
          <cell r="J1058">
            <v>43100</v>
          </cell>
        </row>
        <row r="1059">
          <cell r="I1059" t="str">
            <v>IF0102</v>
          </cell>
          <cell r="J1059">
            <v>48300</v>
          </cell>
        </row>
        <row r="1060">
          <cell r="I1060" t="str">
            <v>IF0122</v>
          </cell>
          <cell r="J1060">
            <v>53600</v>
          </cell>
        </row>
        <row r="1061">
          <cell r="I1061" t="str">
            <v>IF0064</v>
          </cell>
          <cell r="J1061">
            <v>42000</v>
          </cell>
        </row>
        <row r="1062">
          <cell r="I1062" t="str">
            <v>IF0074</v>
          </cell>
          <cell r="J1062">
            <v>45200</v>
          </cell>
        </row>
        <row r="1063">
          <cell r="I1063" t="str">
            <v>IF0084</v>
          </cell>
          <cell r="J1063">
            <v>48300</v>
          </cell>
        </row>
        <row r="1064">
          <cell r="I1064" t="str">
            <v>IF0104</v>
          </cell>
          <cell r="J1064">
            <v>53600</v>
          </cell>
        </row>
        <row r="1065">
          <cell r="I1065" t="str">
            <v>IF0124</v>
          </cell>
          <cell r="J1065">
            <v>58800</v>
          </cell>
        </row>
        <row r="1066">
          <cell r="I1066" t="str">
            <v>IF0066</v>
          </cell>
          <cell r="J1066">
            <v>47300</v>
          </cell>
        </row>
        <row r="1067">
          <cell r="I1067" t="str">
            <v>IF0076</v>
          </cell>
          <cell r="J1067">
            <v>50400</v>
          </cell>
        </row>
        <row r="1068">
          <cell r="I1068" t="str">
            <v>IF0086</v>
          </cell>
          <cell r="J1068">
            <v>53600</v>
          </cell>
        </row>
        <row r="1069">
          <cell r="I1069" t="str">
            <v>IF0106</v>
          </cell>
          <cell r="J1069">
            <v>58800</v>
          </cell>
        </row>
        <row r="1070">
          <cell r="I1070" t="str">
            <v>IF0126</v>
          </cell>
          <cell r="J1070">
            <v>64100</v>
          </cell>
        </row>
        <row r="1071">
          <cell r="I1071" t="str">
            <v>IF0068</v>
          </cell>
          <cell r="J1071">
            <v>51500</v>
          </cell>
        </row>
        <row r="1072">
          <cell r="I1072" t="str">
            <v>IF0078</v>
          </cell>
          <cell r="J1072">
            <v>54600</v>
          </cell>
        </row>
        <row r="1073">
          <cell r="I1073" t="str">
            <v>IF0088</v>
          </cell>
          <cell r="J1073">
            <v>57800</v>
          </cell>
        </row>
        <row r="1074">
          <cell r="I1074" t="str">
            <v>IF0108</v>
          </cell>
          <cell r="J1074">
            <v>63000</v>
          </cell>
        </row>
        <row r="1075">
          <cell r="I1075" t="str">
            <v>IF0128</v>
          </cell>
          <cell r="J1075">
            <v>68300</v>
          </cell>
        </row>
        <row r="1076">
          <cell r="I1076" t="str">
            <v>IF3061</v>
          </cell>
          <cell r="J1076">
            <v>10000</v>
          </cell>
        </row>
        <row r="1077">
          <cell r="I1077" t="str">
            <v>IF3071</v>
          </cell>
          <cell r="J1077">
            <v>11000</v>
          </cell>
        </row>
        <row r="1078">
          <cell r="I1078" t="str">
            <v>IF3081</v>
          </cell>
          <cell r="J1078">
            <v>12600</v>
          </cell>
        </row>
        <row r="1079">
          <cell r="I1079" t="str">
            <v>IF3101</v>
          </cell>
          <cell r="J1079">
            <v>14700</v>
          </cell>
        </row>
        <row r="1080">
          <cell r="I1080" t="str">
            <v>IF3121</v>
          </cell>
          <cell r="J1080">
            <v>16800</v>
          </cell>
        </row>
        <row r="1081">
          <cell r="I1081" t="str">
            <v>IF1062</v>
          </cell>
          <cell r="J1081">
            <v>8400</v>
          </cell>
        </row>
        <row r="1082">
          <cell r="I1082" t="str">
            <v>IF1072</v>
          </cell>
          <cell r="J1082">
            <v>10000</v>
          </cell>
        </row>
        <row r="1083">
          <cell r="I1083" t="str">
            <v>IF1082</v>
          </cell>
          <cell r="J1083">
            <v>11600</v>
          </cell>
        </row>
        <row r="1084">
          <cell r="I1084" t="str">
            <v>IF1102</v>
          </cell>
          <cell r="J1084">
            <v>13100</v>
          </cell>
        </row>
        <row r="1085">
          <cell r="I1085" t="str">
            <v>IF1122</v>
          </cell>
          <cell r="J1085">
            <v>14700</v>
          </cell>
        </row>
        <row r="1086">
          <cell r="I1086" t="str">
            <v>IF1064</v>
          </cell>
          <cell r="J1086">
            <v>14700</v>
          </cell>
        </row>
        <row r="1087">
          <cell r="I1087" t="str">
            <v>IF1074</v>
          </cell>
          <cell r="J1087">
            <v>16300</v>
          </cell>
        </row>
        <row r="1088">
          <cell r="I1088" t="str">
            <v>IF1084</v>
          </cell>
          <cell r="J1088">
            <v>17900</v>
          </cell>
        </row>
        <row r="1089">
          <cell r="I1089" t="str">
            <v>IF1104</v>
          </cell>
          <cell r="J1089">
            <v>21000</v>
          </cell>
        </row>
        <row r="1090">
          <cell r="I1090" t="str">
            <v>IF1124</v>
          </cell>
          <cell r="J1090">
            <v>24200</v>
          </cell>
        </row>
        <row r="1091">
          <cell r="I1091" t="str">
            <v>IF1066</v>
          </cell>
          <cell r="J1091">
            <v>21000</v>
          </cell>
        </row>
        <row r="1092">
          <cell r="I1092" t="str">
            <v>IF1076</v>
          </cell>
          <cell r="J1092">
            <v>22600</v>
          </cell>
        </row>
        <row r="1093">
          <cell r="I1093" t="str">
            <v>IF1086</v>
          </cell>
          <cell r="J1093">
            <v>24200</v>
          </cell>
        </row>
        <row r="1094">
          <cell r="I1094" t="str">
            <v>IF1106</v>
          </cell>
          <cell r="J1094">
            <v>27300</v>
          </cell>
        </row>
        <row r="1095">
          <cell r="I1095" t="str">
            <v>IF1126</v>
          </cell>
          <cell r="J1095">
            <v>30500</v>
          </cell>
        </row>
        <row r="1096">
          <cell r="I1096" t="str">
            <v>IF1066MM</v>
          </cell>
          <cell r="J1096">
            <v>17900</v>
          </cell>
        </row>
        <row r="1097">
          <cell r="I1097" t="str">
            <v>IF1066BE</v>
          </cell>
          <cell r="J1097">
            <v>17900</v>
          </cell>
        </row>
        <row r="1098">
          <cell r="I1098" t="str">
            <v>IF1076MM</v>
          </cell>
          <cell r="J1098">
            <v>19400</v>
          </cell>
        </row>
        <row r="1099">
          <cell r="I1099" t="str">
            <v>IF1076BE</v>
          </cell>
          <cell r="J1099">
            <v>19400</v>
          </cell>
        </row>
        <row r="1100">
          <cell r="I1100" t="str">
            <v>IF1086MM</v>
          </cell>
          <cell r="J1100">
            <v>21000</v>
          </cell>
        </row>
        <row r="1101">
          <cell r="I1101" t="str">
            <v>IF1086BE</v>
          </cell>
          <cell r="J1101">
            <v>21000</v>
          </cell>
        </row>
        <row r="1102">
          <cell r="I1102" t="str">
            <v>IF1106MM</v>
          </cell>
          <cell r="J1102">
            <v>23100</v>
          </cell>
        </row>
        <row r="1103">
          <cell r="I1103" t="str">
            <v>IF1106BE</v>
          </cell>
          <cell r="J1103">
            <v>23100</v>
          </cell>
        </row>
        <row r="1104">
          <cell r="I1104" t="str">
            <v>IF1126MM</v>
          </cell>
          <cell r="J1104">
            <v>26300</v>
          </cell>
        </row>
        <row r="1105">
          <cell r="I1105" t="str">
            <v>IF1126BE</v>
          </cell>
          <cell r="J1105">
            <v>26300</v>
          </cell>
        </row>
        <row r="1106">
          <cell r="I1106" t="str">
            <v>IF1064G</v>
          </cell>
          <cell r="J1106">
            <v>13100</v>
          </cell>
        </row>
        <row r="1107">
          <cell r="I1107" t="str">
            <v>IF1074G</v>
          </cell>
          <cell r="J1107">
            <v>15800</v>
          </cell>
        </row>
        <row r="1108">
          <cell r="I1108" t="str">
            <v>IF1084G</v>
          </cell>
          <cell r="J1108">
            <v>18900</v>
          </cell>
        </row>
        <row r="1109">
          <cell r="I1109" t="str">
            <v>IF1104G</v>
          </cell>
          <cell r="J1109">
            <v>24200</v>
          </cell>
        </row>
        <row r="1110">
          <cell r="I1110" t="str">
            <v>IF1124G</v>
          </cell>
          <cell r="J1110">
            <v>29400</v>
          </cell>
        </row>
        <row r="1111">
          <cell r="I1111" t="str">
            <v>IF1066G</v>
          </cell>
          <cell r="J1111">
            <v>21500</v>
          </cell>
        </row>
        <row r="1112">
          <cell r="I1112" t="str">
            <v>IF1076G</v>
          </cell>
          <cell r="J1112">
            <v>24200</v>
          </cell>
        </row>
        <row r="1113">
          <cell r="I1113" t="str">
            <v>IF1086G</v>
          </cell>
          <cell r="J1113">
            <v>27300</v>
          </cell>
        </row>
        <row r="1114">
          <cell r="I1114" t="str">
            <v>IF1106G</v>
          </cell>
          <cell r="J1114">
            <v>32600</v>
          </cell>
        </row>
        <row r="1115">
          <cell r="I1115" t="str">
            <v>IF1126G</v>
          </cell>
          <cell r="J1115">
            <v>37800</v>
          </cell>
        </row>
        <row r="1116">
          <cell r="I1116" t="str">
            <v>IF1064K</v>
          </cell>
          <cell r="J1116">
            <v>15800</v>
          </cell>
        </row>
        <row r="1117">
          <cell r="I1117" t="str">
            <v>IF1074K</v>
          </cell>
          <cell r="J1117">
            <v>18900</v>
          </cell>
        </row>
        <row r="1118">
          <cell r="I1118" t="str">
            <v>IF1084K</v>
          </cell>
          <cell r="J1118">
            <v>23100</v>
          </cell>
        </row>
        <row r="1119">
          <cell r="I1119" t="str">
            <v>IF1104K</v>
          </cell>
          <cell r="J1119">
            <v>27300</v>
          </cell>
        </row>
        <row r="1120">
          <cell r="I1120" t="str">
            <v>IF1124K</v>
          </cell>
          <cell r="J1120">
            <v>32600</v>
          </cell>
        </row>
        <row r="1121">
          <cell r="I1121" t="str">
            <v>IF1066K</v>
          </cell>
          <cell r="J1121">
            <v>26300</v>
          </cell>
        </row>
        <row r="1122">
          <cell r="I1122" t="str">
            <v>IF1076K</v>
          </cell>
          <cell r="J1122">
            <v>29400</v>
          </cell>
        </row>
        <row r="1123">
          <cell r="I1123" t="str">
            <v>IF1086K</v>
          </cell>
          <cell r="J1123">
            <v>32600</v>
          </cell>
        </row>
        <row r="1124">
          <cell r="I1124" t="str">
            <v>IF1106K</v>
          </cell>
          <cell r="J1124">
            <v>36800</v>
          </cell>
        </row>
        <row r="1125">
          <cell r="I1125" t="str">
            <v>IF1126K</v>
          </cell>
          <cell r="J1125">
            <v>42000</v>
          </cell>
        </row>
        <row r="1126">
          <cell r="I1126" t="str">
            <v>IF1064B</v>
          </cell>
          <cell r="J1126">
            <v>20000</v>
          </cell>
        </row>
        <row r="1127">
          <cell r="I1127" t="str">
            <v>IF1074B</v>
          </cell>
          <cell r="J1127">
            <v>22100</v>
          </cell>
        </row>
        <row r="1128">
          <cell r="I1128" t="str">
            <v>IF1084B</v>
          </cell>
          <cell r="J1128">
            <v>24200</v>
          </cell>
        </row>
        <row r="1129">
          <cell r="I1129" t="str">
            <v>IF1104B</v>
          </cell>
          <cell r="J1129">
            <v>35700</v>
          </cell>
        </row>
        <row r="1130">
          <cell r="I1130" t="str">
            <v>IF1124B</v>
          </cell>
          <cell r="J1130">
            <v>38900</v>
          </cell>
        </row>
        <row r="1131">
          <cell r="I1131" t="str">
            <v>IF1066B</v>
          </cell>
          <cell r="J1131">
            <v>27300</v>
          </cell>
        </row>
        <row r="1132">
          <cell r="I1132" t="str">
            <v>IF1076B</v>
          </cell>
          <cell r="J1132">
            <v>30500</v>
          </cell>
        </row>
        <row r="1133">
          <cell r="I1133" t="str">
            <v>IF1086B</v>
          </cell>
          <cell r="J1133">
            <v>33600</v>
          </cell>
        </row>
        <row r="1134">
          <cell r="I1134" t="str">
            <v>IF1106B</v>
          </cell>
          <cell r="J1134">
            <v>42000</v>
          </cell>
        </row>
        <row r="1135">
          <cell r="I1135" t="str">
            <v>IF1126B</v>
          </cell>
          <cell r="J1135">
            <v>46200</v>
          </cell>
        </row>
        <row r="1136">
          <cell r="I1136" t="str">
            <v>IF5110</v>
          </cell>
          <cell r="J1136">
            <v>17900</v>
          </cell>
        </row>
        <row r="1137">
          <cell r="I1137" t="str">
            <v>IF5112</v>
          </cell>
          <cell r="J1137">
            <v>19400</v>
          </cell>
        </row>
        <row r="1138">
          <cell r="I1138" t="str">
            <v>IF5114</v>
          </cell>
          <cell r="J1138">
            <v>21000</v>
          </cell>
        </row>
        <row r="1139">
          <cell r="I1139" t="str">
            <v>IF5116</v>
          </cell>
          <cell r="J1139">
            <v>24200</v>
          </cell>
        </row>
        <row r="1140">
          <cell r="I1140" t="str">
            <v>IF5118</v>
          </cell>
          <cell r="J1140">
            <v>28400</v>
          </cell>
        </row>
        <row r="1141">
          <cell r="I1141" t="str">
            <v>IF5210</v>
          </cell>
          <cell r="J1141">
            <v>21000</v>
          </cell>
        </row>
        <row r="1142">
          <cell r="I1142" t="str">
            <v>IF5212</v>
          </cell>
          <cell r="J1142">
            <v>22600</v>
          </cell>
        </row>
        <row r="1143">
          <cell r="I1143" t="str">
            <v>IF5214</v>
          </cell>
          <cell r="J1143">
            <v>24200</v>
          </cell>
        </row>
        <row r="1144">
          <cell r="I1144" t="str">
            <v>IF5216</v>
          </cell>
          <cell r="J1144">
            <v>27300</v>
          </cell>
        </row>
        <row r="1145">
          <cell r="I1145" t="str">
            <v>IF5218</v>
          </cell>
          <cell r="J1145">
            <v>31500</v>
          </cell>
        </row>
        <row r="1146">
          <cell r="I1146" t="str">
            <v>IF5510</v>
          </cell>
          <cell r="J1146">
            <v>24200</v>
          </cell>
        </row>
        <row r="1147">
          <cell r="I1147" t="str">
            <v>IF5512</v>
          </cell>
          <cell r="J1147">
            <v>25700</v>
          </cell>
        </row>
        <row r="1148">
          <cell r="I1148" t="str">
            <v>IF5514</v>
          </cell>
          <cell r="J1148">
            <v>27300</v>
          </cell>
        </row>
        <row r="1149">
          <cell r="I1149" t="str">
            <v>IF5516</v>
          </cell>
          <cell r="J1149">
            <v>30500</v>
          </cell>
        </row>
        <row r="1150">
          <cell r="I1150" t="str">
            <v>IF5518</v>
          </cell>
          <cell r="J1150">
            <v>34700</v>
          </cell>
        </row>
        <row r="1151">
          <cell r="I1151" t="str">
            <v>IF6010</v>
          </cell>
          <cell r="J1151">
            <v>6300</v>
          </cell>
        </row>
        <row r="1152">
          <cell r="I1152" t="str">
            <v>IF6012</v>
          </cell>
          <cell r="J1152">
            <v>7900</v>
          </cell>
        </row>
        <row r="1153">
          <cell r="I1153" t="str">
            <v>IF6014</v>
          </cell>
          <cell r="J1153">
            <v>9500</v>
          </cell>
        </row>
        <row r="1154">
          <cell r="I1154" t="str">
            <v>IF6016</v>
          </cell>
          <cell r="J1154">
            <v>11600</v>
          </cell>
        </row>
        <row r="1155">
          <cell r="I1155" t="str">
            <v>IF6018</v>
          </cell>
          <cell r="J1155">
            <v>13700</v>
          </cell>
        </row>
        <row r="1156">
          <cell r="I1156" t="str">
            <v>IF6102</v>
          </cell>
          <cell r="J1156">
            <v>3200</v>
          </cell>
        </row>
        <row r="1157">
          <cell r="I1157" t="str">
            <v>IF6104</v>
          </cell>
          <cell r="J1157">
            <v>4200</v>
          </cell>
        </row>
        <row r="1158">
          <cell r="I1158" t="str">
            <v>IF6106</v>
          </cell>
          <cell r="J1158">
            <v>4700</v>
          </cell>
        </row>
        <row r="1159">
          <cell r="I1159" t="str">
            <v>IF6108</v>
          </cell>
          <cell r="J1159">
            <v>5800</v>
          </cell>
        </row>
        <row r="1160">
          <cell r="I1160" t="str">
            <v>IF6102T</v>
          </cell>
          <cell r="J1160">
            <v>3200</v>
          </cell>
        </row>
        <row r="1161">
          <cell r="I1161" t="str">
            <v>IF6104T</v>
          </cell>
          <cell r="J1161">
            <v>4200</v>
          </cell>
        </row>
        <row r="1162">
          <cell r="I1162" t="str">
            <v>IF6106T</v>
          </cell>
          <cell r="J1162">
            <v>4700</v>
          </cell>
        </row>
        <row r="1163">
          <cell r="I1163" t="str">
            <v>IF6108T</v>
          </cell>
          <cell r="J1163">
            <v>5800</v>
          </cell>
        </row>
        <row r="1164">
          <cell r="I1164" t="str">
            <v>IF8001</v>
          </cell>
          <cell r="J1164">
            <v>23100</v>
          </cell>
        </row>
        <row r="1165">
          <cell r="I1165" t="str">
            <v>IF8002</v>
          </cell>
          <cell r="J1165">
            <v>3200</v>
          </cell>
        </row>
        <row r="1166">
          <cell r="I1166" t="str">
            <v>IT8001</v>
          </cell>
          <cell r="J1166">
            <v>5300</v>
          </cell>
        </row>
        <row r="1167">
          <cell r="I1167" t="str">
            <v>IT8002</v>
          </cell>
          <cell r="J1167">
            <v>5300</v>
          </cell>
        </row>
        <row r="1168">
          <cell r="I1168" t="str">
            <v>IT8003</v>
          </cell>
          <cell r="J1168">
            <v>2600</v>
          </cell>
        </row>
        <row r="1169">
          <cell r="I1169" t="str">
            <v>IT0008L</v>
          </cell>
          <cell r="J1169">
            <v>57800</v>
          </cell>
        </row>
        <row r="1170">
          <cell r="I1170" t="str">
            <v>IT0008R</v>
          </cell>
          <cell r="J1170">
            <v>57800</v>
          </cell>
        </row>
        <row r="1171">
          <cell r="I1171" t="str">
            <v>IT0008</v>
          </cell>
          <cell r="J1171">
            <v>57800</v>
          </cell>
        </row>
        <row r="1172">
          <cell r="I1172" t="str">
            <v>IT0010L</v>
          </cell>
          <cell r="J1172">
            <v>71400</v>
          </cell>
        </row>
        <row r="1173">
          <cell r="I1173" t="str">
            <v>IT0010R</v>
          </cell>
          <cell r="J1173">
            <v>71400</v>
          </cell>
        </row>
        <row r="1174">
          <cell r="I1174" t="str">
            <v>IT0100</v>
          </cell>
          <cell r="J1174">
            <v>71400</v>
          </cell>
        </row>
        <row r="1175">
          <cell r="I1175" t="str">
            <v>IT0012L</v>
          </cell>
          <cell r="J1175">
            <v>80900</v>
          </cell>
        </row>
        <row r="1176">
          <cell r="I1176" t="str">
            <v>IT0012R</v>
          </cell>
          <cell r="J1176">
            <v>80900</v>
          </cell>
        </row>
        <row r="1177">
          <cell r="I1177" t="str">
            <v>IT0012</v>
          </cell>
          <cell r="J1177">
            <v>80900</v>
          </cell>
        </row>
        <row r="1178">
          <cell r="I1178" t="str">
            <v>IT0116</v>
          </cell>
          <cell r="J1178">
            <v>92400</v>
          </cell>
        </row>
        <row r="1179">
          <cell r="I1179" t="str">
            <v>IT0118</v>
          </cell>
          <cell r="J1179">
            <v>101900</v>
          </cell>
        </row>
        <row r="1180">
          <cell r="I1180" t="str">
            <v>IT0100L</v>
          </cell>
          <cell r="J1180">
            <v>36800</v>
          </cell>
        </row>
        <row r="1181">
          <cell r="I1181" t="str">
            <v>IT0100R</v>
          </cell>
          <cell r="J1181">
            <v>36800</v>
          </cell>
        </row>
        <row r="1182">
          <cell r="I1182" t="str">
            <v>IT5066</v>
          </cell>
          <cell r="J1182">
            <v>110300</v>
          </cell>
        </row>
        <row r="1183">
          <cell r="I1183" t="str">
            <v>IT5077</v>
          </cell>
          <cell r="J1183">
            <v>135500</v>
          </cell>
        </row>
        <row r="1184">
          <cell r="I1184" t="str">
            <v>IT912</v>
          </cell>
          <cell r="J1184">
            <v>108200</v>
          </cell>
        </row>
        <row r="1185">
          <cell r="I1185" t="str">
            <v>IT916</v>
          </cell>
          <cell r="J1185">
            <v>160700</v>
          </cell>
        </row>
        <row r="1186">
          <cell r="I1186" t="str">
            <v>IT966</v>
          </cell>
          <cell r="J1186">
            <v>161700</v>
          </cell>
        </row>
        <row r="1187">
          <cell r="I1187" t="str">
            <v>IT977</v>
          </cell>
          <cell r="J1187">
            <v>172200</v>
          </cell>
        </row>
        <row r="1188">
          <cell r="I1188" t="str">
            <v>IT926L</v>
          </cell>
          <cell r="J1188">
            <v>138600</v>
          </cell>
        </row>
        <row r="1189">
          <cell r="I1189" t="str">
            <v>IT926R</v>
          </cell>
          <cell r="J1189">
            <v>138600</v>
          </cell>
        </row>
        <row r="1190">
          <cell r="I1190" t="str">
            <v>IT927L</v>
          </cell>
          <cell r="J1190">
            <v>141800</v>
          </cell>
        </row>
        <row r="1191">
          <cell r="I1191" t="str">
            <v>IT927R</v>
          </cell>
          <cell r="J1191">
            <v>141800</v>
          </cell>
        </row>
        <row r="1192">
          <cell r="I1192" t="str">
            <v>IT912CL</v>
          </cell>
          <cell r="J1192">
            <v>126000</v>
          </cell>
        </row>
        <row r="1193">
          <cell r="I1193" t="str">
            <v>IT912CR</v>
          </cell>
          <cell r="J1193">
            <v>126000</v>
          </cell>
        </row>
        <row r="1194">
          <cell r="I1194" t="str">
            <v>IT918CL</v>
          </cell>
          <cell r="J1194">
            <v>176400</v>
          </cell>
        </row>
        <row r="1195">
          <cell r="I1195" t="str">
            <v>IT918CR</v>
          </cell>
          <cell r="J1195">
            <v>176400</v>
          </cell>
        </row>
        <row r="1196">
          <cell r="I1196" t="str">
            <v>IT912DL</v>
          </cell>
          <cell r="J1196">
            <v>126000</v>
          </cell>
        </row>
        <row r="1197">
          <cell r="I1197" t="str">
            <v>IT912DR</v>
          </cell>
          <cell r="J1197">
            <v>126000</v>
          </cell>
        </row>
        <row r="1198">
          <cell r="I1198" t="str">
            <v>IT918DR</v>
          </cell>
          <cell r="J1198">
            <v>176400</v>
          </cell>
        </row>
        <row r="1199">
          <cell r="I1199" t="str">
            <v>IT918DL</v>
          </cell>
          <cell r="J1199">
            <v>176400</v>
          </cell>
        </row>
        <row r="1200">
          <cell r="I1200" t="str">
            <v>IT2004</v>
          </cell>
          <cell r="J1200">
            <v>21000</v>
          </cell>
        </row>
        <row r="1201">
          <cell r="I1201" t="str">
            <v>IT2005</v>
          </cell>
          <cell r="J1201">
            <v>24200</v>
          </cell>
        </row>
        <row r="1202">
          <cell r="I1202" t="str">
            <v>IT2006</v>
          </cell>
          <cell r="J1202">
            <v>27300</v>
          </cell>
        </row>
        <row r="1203">
          <cell r="I1203" t="str">
            <v>IT2007</v>
          </cell>
          <cell r="J1203">
            <v>30500</v>
          </cell>
        </row>
        <row r="1204">
          <cell r="I1204" t="str">
            <v>IT2008</v>
          </cell>
          <cell r="J1204">
            <v>33600</v>
          </cell>
        </row>
        <row r="1205">
          <cell r="I1205" t="str">
            <v>IT2010</v>
          </cell>
          <cell r="J1205">
            <v>39900</v>
          </cell>
        </row>
        <row r="1206">
          <cell r="I1206" t="str">
            <v>IT2012</v>
          </cell>
          <cell r="J1206">
            <v>47300</v>
          </cell>
        </row>
        <row r="1207">
          <cell r="I1207" t="str">
            <v>IT2014</v>
          </cell>
          <cell r="J1207">
            <v>54600</v>
          </cell>
        </row>
        <row r="1208">
          <cell r="I1208" t="str">
            <v>IT2016</v>
          </cell>
          <cell r="J1208">
            <v>60900</v>
          </cell>
        </row>
        <row r="1209">
          <cell r="I1209" t="str">
            <v>IT2122</v>
          </cell>
          <cell r="J1209">
            <v>21000</v>
          </cell>
        </row>
        <row r="1210">
          <cell r="I1210" t="str">
            <v>IT2204</v>
          </cell>
          <cell r="J1210">
            <v>24200</v>
          </cell>
        </row>
        <row r="1211">
          <cell r="I1211" t="str">
            <v>IT2205</v>
          </cell>
          <cell r="J1211">
            <v>27300</v>
          </cell>
        </row>
        <row r="1212">
          <cell r="I1212" t="str">
            <v>IT2206</v>
          </cell>
          <cell r="J1212">
            <v>30500</v>
          </cell>
        </row>
        <row r="1213">
          <cell r="I1213" t="str">
            <v>IT2207</v>
          </cell>
          <cell r="J1213">
            <v>33600</v>
          </cell>
        </row>
        <row r="1214">
          <cell r="I1214" t="str">
            <v>IT2208</v>
          </cell>
          <cell r="J1214">
            <v>36800</v>
          </cell>
        </row>
        <row r="1215">
          <cell r="I1215" t="str">
            <v>IT2210</v>
          </cell>
          <cell r="J1215">
            <v>44100</v>
          </cell>
        </row>
        <row r="1216">
          <cell r="I1216" t="str">
            <v>IT2212</v>
          </cell>
          <cell r="J1216">
            <v>51500</v>
          </cell>
        </row>
        <row r="1217">
          <cell r="I1217" t="str">
            <v>IT3006</v>
          </cell>
          <cell r="J1217">
            <v>44100</v>
          </cell>
        </row>
        <row r="1218">
          <cell r="I1218" t="str">
            <v>IT3007</v>
          </cell>
          <cell r="J1218">
            <v>47300</v>
          </cell>
        </row>
        <row r="1219">
          <cell r="I1219" t="str">
            <v>IT3008</v>
          </cell>
          <cell r="J1219">
            <v>51500</v>
          </cell>
        </row>
        <row r="1220">
          <cell r="I1220" t="str">
            <v>IT3010</v>
          </cell>
          <cell r="J1220">
            <v>57800</v>
          </cell>
        </row>
        <row r="1221">
          <cell r="I1221" t="str">
            <v>IT3012</v>
          </cell>
          <cell r="J1221">
            <v>65100</v>
          </cell>
        </row>
        <row r="1222">
          <cell r="I1222" t="str">
            <v>IT3406</v>
          </cell>
          <cell r="J1222">
            <v>53600</v>
          </cell>
        </row>
        <row r="1223">
          <cell r="I1223" t="str">
            <v>IT3407</v>
          </cell>
          <cell r="J1223">
            <v>56700</v>
          </cell>
        </row>
        <row r="1224">
          <cell r="I1224" t="str">
            <v>IT3408</v>
          </cell>
          <cell r="J1224">
            <v>59900</v>
          </cell>
        </row>
        <row r="1225">
          <cell r="I1225" t="str">
            <v>IT3410</v>
          </cell>
          <cell r="J1225">
            <v>66200</v>
          </cell>
        </row>
        <row r="1226">
          <cell r="I1226" t="str">
            <v>IT3412</v>
          </cell>
          <cell r="J1226">
            <v>72500</v>
          </cell>
        </row>
        <row r="1227">
          <cell r="I1227" t="str">
            <v>IT3106</v>
          </cell>
          <cell r="J1227">
            <v>44100</v>
          </cell>
        </row>
        <row r="1228">
          <cell r="I1228" t="str">
            <v>IT3107</v>
          </cell>
          <cell r="J1228">
            <v>47300</v>
          </cell>
        </row>
        <row r="1229">
          <cell r="I1229" t="str">
            <v>IT3108</v>
          </cell>
          <cell r="J1229">
            <v>51500</v>
          </cell>
        </row>
        <row r="1230">
          <cell r="I1230" t="str">
            <v>IT3110</v>
          </cell>
          <cell r="J1230">
            <v>57800</v>
          </cell>
        </row>
        <row r="1231">
          <cell r="I1231" t="str">
            <v>IT3112</v>
          </cell>
          <cell r="J1231">
            <v>65100</v>
          </cell>
        </row>
        <row r="1232">
          <cell r="I1232" t="str">
            <v>IT3306</v>
          </cell>
          <cell r="J1232">
            <v>162800</v>
          </cell>
        </row>
        <row r="1233">
          <cell r="I1233" t="str">
            <v>IT3307</v>
          </cell>
          <cell r="J1233">
            <v>170100</v>
          </cell>
        </row>
        <row r="1234">
          <cell r="I1234" t="str">
            <v>IT3308</v>
          </cell>
          <cell r="J1234">
            <v>174300</v>
          </cell>
        </row>
        <row r="1235">
          <cell r="I1235" t="str">
            <v>IT3310</v>
          </cell>
          <cell r="J1235">
            <v>183800</v>
          </cell>
        </row>
        <row r="1236">
          <cell r="I1236" t="str">
            <v>IT3312</v>
          </cell>
          <cell r="J1236">
            <v>195300</v>
          </cell>
        </row>
        <row r="1237">
          <cell r="I1237" t="str">
            <v>IA0006</v>
          </cell>
          <cell r="J1237">
            <v>12600</v>
          </cell>
        </row>
        <row r="1238">
          <cell r="I1238" t="str">
            <v>IA0007</v>
          </cell>
          <cell r="J1238">
            <v>14200</v>
          </cell>
        </row>
        <row r="1239">
          <cell r="I1239" t="str">
            <v>IA0008</v>
          </cell>
          <cell r="J1239">
            <v>15800</v>
          </cell>
        </row>
        <row r="1240">
          <cell r="I1240" t="str">
            <v>IA0010</v>
          </cell>
          <cell r="J1240">
            <v>18900</v>
          </cell>
        </row>
        <row r="1241">
          <cell r="I1241" t="str">
            <v>IA0012</v>
          </cell>
          <cell r="J1241">
            <v>21000</v>
          </cell>
        </row>
        <row r="1242">
          <cell r="I1242" t="str">
            <v>IA9901</v>
          </cell>
          <cell r="J1242">
            <v>5800</v>
          </cell>
        </row>
        <row r="1243">
          <cell r="I1243" t="str">
            <v>IF060</v>
          </cell>
          <cell r="J1243">
            <v>102400</v>
          </cell>
        </row>
        <row r="1244">
          <cell r="I1244" t="str">
            <v>IF070</v>
          </cell>
          <cell r="J1244">
            <v>112900</v>
          </cell>
        </row>
        <row r="1245">
          <cell r="I1245" t="str">
            <v>IF080</v>
          </cell>
          <cell r="J1245">
            <v>123900</v>
          </cell>
        </row>
        <row r="1246">
          <cell r="I1246" t="str">
            <v>IF100</v>
          </cell>
          <cell r="J1246">
            <v>140700</v>
          </cell>
        </row>
        <row r="1247">
          <cell r="I1247" t="str">
            <v>IF120</v>
          </cell>
          <cell r="J1247">
            <v>157500</v>
          </cell>
        </row>
        <row r="1248">
          <cell r="I1248" t="str">
            <v>IF062</v>
          </cell>
          <cell r="J1248">
            <v>118100</v>
          </cell>
        </row>
        <row r="1249">
          <cell r="I1249" t="str">
            <v>IF072</v>
          </cell>
          <cell r="J1249">
            <v>128600</v>
          </cell>
        </row>
        <row r="1250">
          <cell r="I1250" t="str">
            <v>IF082</v>
          </cell>
          <cell r="J1250">
            <v>139700</v>
          </cell>
        </row>
        <row r="1251">
          <cell r="I1251" t="str">
            <v>IF102</v>
          </cell>
          <cell r="J1251">
            <v>159600</v>
          </cell>
        </row>
        <row r="1252">
          <cell r="I1252" t="str">
            <v>IF122</v>
          </cell>
          <cell r="J1252">
            <v>179600</v>
          </cell>
        </row>
        <row r="1253">
          <cell r="I1253" t="str">
            <v>IF064</v>
          </cell>
          <cell r="J1253">
            <v>136000</v>
          </cell>
        </row>
        <row r="1254">
          <cell r="I1254" t="str">
            <v>IF074</v>
          </cell>
          <cell r="J1254">
            <v>146500</v>
          </cell>
        </row>
        <row r="1255">
          <cell r="I1255" t="str">
            <v>IF084</v>
          </cell>
          <cell r="J1255">
            <v>157500</v>
          </cell>
        </row>
        <row r="1256">
          <cell r="I1256" t="str">
            <v>IF104</v>
          </cell>
          <cell r="J1256">
            <v>177500</v>
          </cell>
        </row>
        <row r="1257">
          <cell r="I1257" t="str">
            <v>IF124</v>
          </cell>
          <cell r="J1257">
            <v>197400</v>
          </cell>
        </row>
        <row r="1258">
          <cell r="I1258" t="str">
            <v>IF066</v>
          </cell>
          <cell r="J1258">
            <v>158000</v>
          </cell>
        </row>
        <row r="1259">
          <cell r="I1259" t="str">
            <v>IF076</v>
          </cell>
          <cell r="J1259">
            <v>171700</v>
          </cell>
        </row>
        <row r="1260">
          <cell r="I1260" t="str">
            <v>IF086</v>
          </cell>
          <cell r="J1260">
            <v>185900</v>
          </cell>
        </row>
        <row r="1261">
          <cell r="I1261" t="str">
            <v>IF106</v>
          </cell>
          <cell r="J1261">
            <v>212100</v>
          </cell>
        </row>
        <row r="1262">
          <cell r="I1262" t="str">
            <v>IF126</v>
          </cell>
          <cell r="J1262">
            <v>238400</v>
          </cell>
        </row>
        <row r="1263">
          <cell r="I1263" t="str">
            <v>IF068</v>
          </cell>
          <cell r="J1263">
            <v>174800</v>
          </cell>
        </row>
        <row r="1264">
          <cell r="I1264" t="str">
            <v>IF078</v>
          </cell>
          <cell r="J1264">
            <v>188500</v>
          </cell>
        </row>
        <row r="1265">
          <cell r="I1265" t="str">
            <v>IF088</v>
          </cell>
          <cell r="J1265">
            <v>202700</v>
          </cell>
        </row>
        <row r="1266">
          <cell r="I1266" t="str">
            <v>IF108</v>
          </cell>
          <cell r="J1266">
            <v>228900</v>
          </cell>
        </row>
        <row r="1267">
          <cell r="I1267" t="str">
            <v>IF128</v>
          </cell>
          <cell r="J1267">
            <v>255200</v>
          </cell>
        </row>
        <row r="1268">
          <cell r="I1268" t="str">
            <v>IF060T</v>
          </cell>
          <cell r="J1268">
            <v>96100</v>
          </cell>
        </row>
        <row r="1269">
          <cell r="I1269" t="str">
            <v>IF070T</v>
          </cell>
          <cell r="J1269">
            <v>106600</v>
          </cell>
        </row>
        <row r="1270">
          <cell r="I1270" t="str">
            <v>IF080T</v>
          </cell>
          <cell r="J1270">
            <v>117600</v>
          </cell>
        </row>
        <row r="1271">
          <cell r="I1271" t="str">
            <v>IF100T</v>
          </cell>
          <cell r="J1271">
            <v>132300</v>
          </cell>
        </row>
        <row r="1272">
          <cell r="I1272" t="str">
            <v>IF120T</v>
          </cell>
          <cell r="J1272">
            <v>149100</v>
          </cell>
        </row>
        <row r="1273">
          <cell r="I1273" t="str">
            <v>IF062T</v>
          </cell>
          <cell r="J1273">
            <v>111800</v>
          </cell>
        </row>
        <row r="1274">
          <cell r="I1274" t="str">
            <v>IF072T</v>
          </cell>
          <cell r="J1274">
            <v>122300</v>
          </cell>
        </row>
        <row r="1275">
          <cell r="I1275" t="str">
            <v>IF082T</v>
          </cell>
          <cell r="J1275">
            <v>133400</v>
          </cell>
        </row>
        <row r="1276">
          <cell r="I1276" t="str">
            <v>IF102T</v>
          </cell>
          <cell r="J1276">
            <v>151200</v>
          </cell>
        </row>
        <row r="1277">
          <cell r="I1277" t="str">
            <v>IF122T</v>
          </cell>
          <cell r="J1277">
            <v>171200</v>
          </cell>
        </row>
        <row r="1278">
          <cell r="I1278" t="str">
            <v>IF064T</v>
          </cell>
          <cell r="J1278">
            <v>129700</v>
          </cell>
        </row>
        <row r="1279">
          <cell r="I1279" t="str">
            <v>IF074T</v>
          </cell>
          <cell r="J1279">
            <v>140200</v>
          </cell>
        </row>
        <row r="1280">
          <cell r="I1280" t="str">
            <v>IF084T</v>
          </cell>
          <cell r="J1280">
            <v>151200</v>
          </cell>
        </row>
        <row r="1281">
          <cell r="I1281" t="str">
            <v>IF104T</v>
          </cell>
          <cell r="J1281">
            <v>169100</v>
          </cell>
        </row>
        <row r="1282">
          <cell r="I1282" t="str">
            <v>IF124T</v>
          </cell>
          <cell r="J1282">
            <v>189000</v>
          </cell>
        </row>
        <row r="1283">
          <cell r="I1283" t="str">
            <v>IF066T</v>
          </cell>
          <cell r="J1283">
            <v>151700</v>
          </cell>
        </row>
        <row r="1284">
          <cell r="I1284" t="str">
            <v>IF076T</v>
          </cell>
          <cell r="J1284">
            <v>165400</v>
          </cell>
        </row>
        <row r="1285">
          <cell r="I1285" t="str">
            <v>IF086T</v>
          </cell>
          <cell r="J1285">
            <v>179600</v>
          </cell>
        </row>
        <row r="1286">
          <cell r="I1286" t="str">
            <v>IF106T</v>
          </cell>
          <cell r="J1286">
            <v>302700</v>
          </cell>
        </row>
        <row r="1287">
          <cell r="I1287" t="str">
            <v>IF126T</v>
          </cell>
          <cell r="J1287">
            <v>230000</v>
          </cell>
        </row>
        <row r="1288">
          <cell r="I1288" t="str">
            <v>IF068T</v>
          </cell>
          <cell r="J1288">
            <v>168500</v>
          </cell>
        </row>
        <row r="1289">
          <cell r="I1289" t="str">
            <v>IF078T</v>
          </cell>
          <cell r="J1289">
            <v>182200</v>
          </cell>
        </row>
        <row r="1290">
          <cell r="I1290" t="str">
            <v>IF088T</v>
          </cell>
          <cell r="J1290">
            <v>196400</v>
          </cell>
        </row>
        <row r="1291">
          <cell r="I1291" t="str">
            <v>IF108T</v>
          </cell>
          <cell r="J1291">
            <v>220500</v>
          </cell>
        </row>
        <row r="1292">
          <cell r="I1292" t="str">
            <v>IF128T</v>
          </cell>
          <cell r="J1292">
            <v>246800</v>
          </cell>
        </row>
        <row r="1293">
          <cell r="I1293" t="str">
            <v>IF060W</v>
          </cell>
          <cell r="J1293">
            <v>99200</v>
          </cell>
        </row>
        <row r="1294">
          <cell r="I1294" t="str">
            <v>IF070W</v>
          </cell>
          <cell r="J1294">
            <v>109700</v>
          </cell>
        </row>
        <row r="1295">
          <cell r="I1295" t="str">
            <v>IF080W</v>
          </cell>
          <cell r="J1295">
            <v>120800</v>
          </cell>
        </row>
        <row r="1296">
          <cell r="I1296" t="str">
            <v>IF100W</v>
          </cell>
          <cell r="J1296">
            <v>136500</v>
          </cell>
        </row>
        <row r="1297">
          <cell r="I1297" t="str">
            <v>IF120W</v>
          </cell>
          <cell r="J1297">
            <v>153300</v>
          </cell>
        </row>
        <row r="1298">
          <cell r="I1298" t="str">
            <v>IF062W</v>
          </cell>
          <cell r="J1298">
            <v>115000</v>
          </cell>
        </row>
        <row r="1299">
          <cell r="I1299" t="str">
            <v>IF072W</v>
          </cell>
          <cell r="J1299">
            <v>125500</v>
          </cell>
        </row>
        <row r="1300">
          <cell r="I1300" t="str">
            <v>IF082W</v>
          </cell>
          <cell r="J1300">
            <v>136500</v>
          </cell>
        </row>
        <row r="1301">
          <cell r="I1301" t="str">
            <v>IF102W</v>
          </cell>
          <cell r="J1301">
            <v>155400</v>
          </cell>
        </row>
        <row r="1302">
          <cell r="I1302" t="str">
            <v>IF122W</v>
          </cell>
          <cell r="J1302">
            <v>175400</v>
          </cell>
        </row>
        <row r="1303">
          <cell r="I1303" t="str">
            <v>IF064W</v>
          </cell>
          <cell r="J1303">
            <v>132800</v>
          </cell>
        </row>
        <row r="1304">
          <cell r="I1304" t="str">
            <v>IF074W</v>
          </cell>
          <cell r="J1304">
            <v>143300</v>
          </cell>
        </row>
        <row r="1305">
          <cell r="I1305" t="str">
            <v>IF084W</v>
          </cell>
          <cell r="J1305">
            <v>154400</v>
          </cell>
        </row>
        <row r="1306">
          <cell r="I1306" t="str">
            <v>IF104W</v>
          </cell>
          <cell r="J1306">
            <v>173300</v>
          </cell>
        </row>
        <row r="1307">
          <cell r="I1307" t="str">
            <v>IF124W</v>
          </cell>
          <cell r="J1307">
            <v>193200</v>
          </cell>
        </row>
        <row r="1308">
          <cell r="I1308" t="str">
            <v>IF066W</v>
          </cell>
          <cell r="J1308">
            <v>154900</v>
          </cell>
        </row>
        <row r="1309">
          <cell r="I1309" t="str">
            <v>IF076W</v>
          </cell>
          <cell r="J1309">
            <v>168500</v>
          </cell>
        </row>
        <row r="1310">
          <cell r="I1310" t="str">
            <v>IF086W</v>
          </cell>
          <cell r="J1310">
            <v>182700</v>
          </cell>
        </row>
        <row r="1311">
          <cell r="I1311" t="str">
            <v>IF106W</v>
          </cell>
          <cell r="J1311">
            <v>207900</v>
          </cell>
        </row>
        <row r="1312">
          <cell r="I1312" t="str">
            <v>IF126W</v>
          </cell>
          <cell r="J1312">
            <v>234200</v>
          </cell>
        </row>
        <row r="1313">
          <cell r="I1313" t="str">
            <v>IF068W</v>
          </cell>
          <cell r="J1313">
            <v>171700</v>
          </cell>
        </row>
        <row r="1314">
          <cell r="I1314" t="str">
            <v>IF078W</v>
          </cell>
          <cell r="J1314">
            <v>185300</v>
          </cell>
        </row>
        <row r="1315">
          <cell r="I1315" t="str">
            <v>IF088W</v>
          </cell>
          <cell r="J1315">
            <v>199500</v>
          </cell>
        </row>
        <row r="1316">
          <cell r="I1316" t="str">
            <v>IF108W</v>
          </cell>
          <cell r="J1316">
            <v>224700</v>
          </cell>
        </row>
        <row r="1317">
          <cell r="I1317" t="str">
            <v>IF128W</v>
          </cell>
          <cell r="J1317">
            <v>251000</v>
          </cell>
        </row>
        <row r="1318">
          <cell r="I1318" t="str">
            <v>IF062G</v>
          </cell>
          <cell r="J1318">
            <v>116000</v>
          </cell>
        </row>
        <row r="1319">
          <cell r="I1319" t="str">
            <v>IF072G</v>
          </cell>
          <cell r="J1319">
            <v>130700</v>
          </cell>
        </row>
        <row r="1320">
          <cell r="I1320" t="str">
            <v>IF082G</v>
          </cell>
          <cell r="J1320">
            <v>148100</v>
          </cell>
        </row>
        <row r="1321">
          <cell r="I1321" t="str">
            <v>IF102G</v>
          </cell>
          <cell r="J1321">
            <v>176400</v>
          </cell>
        </row>
        <row r="1322">
          <cell r="I1322" t="str">
            <v>IF122G</v>
          </cell>
          <cell r="J1322">
            <v>204800</v>
          </cell>
        </row>
        <row r="1323">
          <cell r="I1323" t="str">
            <v>IF064G</v>
          </cell>
          <cell r="J1323">
            <v>138100</v>
          </cell>
        </row>
        <row r="1324">
          <cell r="I1324" t="str">
            <v>IF074G</v>
          </cell>
          <cell r="J1324">
            <v>152800</v>
          </cell>
        </row>
        <row r="1325">
          <cell r="I1325" t="str">
            <v>IF084G</v>
          </cell>
          <cell r="J1325">
            <v>170100</v>
          </cell>
        </row>
        <row r="1326">
          <cell r="I1326" t="str">
            <v>IF104G</v>
          </cell>
          <cell r="J1326">
            <v>198500</v>
          </cell>
        </row>
        <row r="1327">
          <cell r="I1327" t="str">
            <v>IF124G</v>
          </cell>
          <cell r="J1327">
            <v>226800</v>
          </cell>
        </row>
        <row r="1328">
          <cell r="I1328" t="str">
            <v>IF066G</v>
          </cell>
          <cell r="J1328">
            <v>152800</v>
          </cell>
        </row>
        <row r="1329">
          <cell r="I1329" t="str">
            <v>IF076G</v>
          </cell>
          <cell r="J1329">
            <v>172700</v>
          </cell>
        </row>
        <row r="1330">
          <cell r="I1330" t="str">
            <v>IF086G</v>
          </cell>
          <cell r="J1330">
            <v>196400</v>
          </cell>
        </row>
        <row r="1331">
          <cell r="I1331" t="str">
            <v>IF106G</v>
          </cell>
          <cell r="J1331">
            <v>235200</v>
          </cell>
        </row>
        <row r="1332">
          <cell r="I1332" t="str">
            <v>IF126G</v>
          </cell>
          <cell r="J1332">
            <v>274100</v>
          </cell>
        </row>
        <row r="1333">
          <cell r="I1333" t="str">
            <v>IF068G</v>
          </cell>
          <cell r="J1333">
            <v>173800</v>
          </cell>
        </row>
        <row r="1334">
          <cell r="I1334" t="str">
            <v>IF078G</v>
          </cell>
          <cell r="J1334">
            <v>193700</v>
          </cell>
        </row>
        <row r="1335">
          <cell r="I1335" t="str">
            <v>IF088G</v>
          </cell>
          <cell r="J1335">
            <v>217400</v>
          </cell>
        </row>
        <row r="1336">
          <cell r="I1336" t="str">
            <v>IF108G</v>
          </cell>
          <cell r="J1336">
            <v>256200</v>
          </cell>
        </row>
        <row r="1337">
          <cell r="I1337" t="str">
            <v>IF128G</v>
          </cell>
          <cell r="J1337">
            <v>295100</v>
          </cell>
        </row>
        <row r="1338">
          <cell r="I1338" t="str">
            <v>IF062H</v>
          </cell>
          <cell r="J1338">
            <v>115000</v>
          </cell>
        </row>
        <row r="1339">
          <cell r="I1339" t="str">
            <v>IF072H</v>
          </cell>
          <cell r="J1339">
            <v>127600</v>
          </cell>
        </row>
        <row r="1340">
          <cell r="I1340" t="str">
            <v>IF082H</v>
          </cell>
          <cell r="J1340">
            <v>141800</v>
          </cell>
        </row>
        <row r="1341">
          <cell r="I1341" t="str">
            <v>IF102H</v>
          </cell>
          <cell r="J1341">
            <v>165900</v>
          </cell>
        </row>
        <row r="1342">
          <cell r="I1342" t="str">
            <v>IF122H</v>
          </cell>
          <cell r="J1342">
            <v>190100</v>
          </cell>
        </row>
        <row r="1343">
          <cell r="I1343" t="str">
            <v>IF064H</v>
          </cell>
          <cell r="J1343">
            <v>137000</v>
          </cell>
        </row>
        <row r="1344">
          <cell r="I1344" t="str">
            <v>IF074H</v>
          </cell>
          <cell r="J1344">
            <v>149600</v>
          </cell>
        </row>
        <row r="1345">
          <cell r="I1345" t="str">
            <v>IF084H</v>
          </cell>
          <cell r="J1345">
            <v>163800</v>
          </cell>
        </row>
        <row r="1346">
          <cell r="I1346" t="str">
            <v>IF104H</v>
          </cell>
          <cell r="J1346">
            <v>188000</v>
          </cell>
        </row>
        <row r="1347">
          <cell r="I1347" t="str">
            <v>IF124H</v>
          </cell>
          <cell r="J1347">
            <v>212100</v>
          </cell>
        </row>
        <row r="1348">
          <cell r="I1348" t="str">
            <v>IF066H</v>
          </cell>
          <cell r="J1348">
            <v>154900</v>
          </cell>
        </row>
        <row r="1349">
          <cell r="I1349" t="str">
            <v>IF076H</v>
          </cell>
          <cell r="J1349">
            <v>170600</v>
          </cell>
        </row>
        <row r="1350">
          <cell r="I1350" t="str">
            <v>IF086H</v>
          </cell>
          <cell r="J1350">
            <v>188000</v>
          </cell>
        </row>
        <row r="1351">
          <cell r="I1351" t="str">
            <v>IF106H</v>
          </cell>
          <cell r="J1351">
            <v>218400</v>
          </cell>
        </row>
        <row r="1352">
          <cell r="I1352" t="str">
            <v>IF126H</v>
          </cell>
          <cell r="J1352">
            <v>248900</v>
          </cell>
        </row>
        <row r="1353">
          <cell r="I1353" t="str">
            <v>IF068H</v>
          </cell>
          <cell r="J1353">
            <v>175900</v>
          </cell>
        </row>
        <row r="1354">
          <cell r="I1354" t="str">
            <v>IF078H</v>
          </cell>
          <cell r="J1354">
            <v>191600</v>
          </cell>
        </row>
        <row r="1355">
          <cell r="I1355" t="str">
            <v>IF088H</v>
          </cell>
          <cell r="J1355">
            <v>209000</v>
          </cell>
        </row>
        <row r="1356">
          <cell r="I1356" t="str">
            <v>IF108H</v>
          </cell>
          <cell r="J1356">
            <v>239400</v>
          </cell>
        </row>
        <row r="1357">
          <cell r="I1357" t="str">
            <v>IF128H</v>
          </cell>
          <cell r="J1357">
            <v>269900</v>
          </cell>
        </row>
        <row r="1358">
          <cell r="I1358" t="str">
            <v>IF062B</v>
          </cell>
          <cell r="J1358">
            <v>128600</v>
          </cell>
        </row>
        <row r="1359">
          <cell r="I1359" t="str">
            <v>IF072B</v>
          </cell>
          <cell r="J1359">
            <v>140200</v>
          </cell>
        </row>
        <row r="1360">
          <cell r="I1360" t="str">
            <v>IF082B</v>
          </cell>
          <cell r="J1360">
            <v>152300</v>
          </cell>
        </row>
        <row r="1361">
          <cell r="I1361" t="str">
            <v>IF102B</v>
          </cell>
          <cell r="J1361">
            <v>176400</v>
          </cell>
        </row>
        <row r="1362">
          <cell r="I1362" t="str">
            <v>IF122B</v>
          </cell>
          <cell r="J1362">
            <v>200600</v>
          </cell>
        </row>
        <row r="1363">
          <cell r="I1363" t="str">
            <v>IF064B</v>
          </cell>
          <cell r="J1363">
            <v>148600</v>
          </cell>
        </row>
        <row r="1364">
          <cell r="I1364" t="str">
            <v>IF074B</v>
          </cell>
          <cell r="J1364">
            <v>162200</v>
          </cell>
        </row>
        <row r="1365">
          <cell r="I1365" t="str">
            <v>IF084B</v>
          </cell>
          <cell r="J1365">
            <v>176400</v>
          </cell>
        </row>
        <row r="1366">
          <cell r="I1366" t="str">
            <v>IF104B</v>
          </cell>
          <cell r="J1366">
            <v>202700</v>
          </cell>
        </row>
        <row r="1367">
          <cell r="I1367" t="str">
            <v>IF124B</v>
          </cell>
          <cell r="J1367">
            <v>228900</v>
          </cell>
        </row>
        <row r="1368">
          <cell r="I1368" t="str">
            <v>IF066B</v>
          </cell>
          <cell r="J1368">
            <v>168500</v>
          </cell>
        </row>
        <row r="1369">
          <cell r="I1369" t="str">
            <v>IF076B</v>
          </cell>
          <cell r="J1369">
            <v>183200</v>
          </cell>
        </row>
        <row r="1370">
          <cell r="I1370" t="str">
            <v>IF086B</v>
          </cell>
          <cell r="J1370">
            <v>198500</v>
          </cell>
        </row>
        <row r="1371">
          <cell r="I1371" t="str">
            <v>IF106B</v>
          </cell>
          <cell r="J1371">
            <v>228900</v>
          </cell>
        </row>
        <row r="1372">
          <cell r="I1372" t="str">
            <v>IF126B</v>
          </cell>
          <cell r="J1372">
            <v>259400</v>
          </cell>
        </row>
        <row r="1373">
          <cell r="I1373" t="str">
            <v>IF068B</v>
          </cell>
          <cell r="J1373">
            <v>187400</v>
          </cell>
        </row>
        <row r="1374">
          <cell r="I1374" t="str">
            <v>IF078B</v>
          </cell>
          <cell r="J1374">
            <v>204200</v>
          </cell>
        </row>
        <row r="1375">
          <cell r="I1375" t="str">
            <v>IF088B</v>
          </cell>
          <cell r="J1375">
            <v>221600</v>
          </cell>
        </row>
        <row r="1376">
          <cell r="I1376" t="str">
            <v>IF108B</v>
          </cell>
          <cell r="J1376">
            <v>254100</v>
          </cell>
        </row>
        <row r="1377">
          <cell r="I1377" t="str">
            <v>IF128B</v>
          </cell>
          <cell r="J1377">
            <v>286700</v>
          </cell>
        </row>
        <row r="1378">
          <cell r="I1378" t="str">
            <v>IF066HB</v>
          </cell>
          <cell r="J1378">
            <v>151700</v>
          </cell>
        </row>
        <row r="1379">
          <cell r="I1379" t="str">
            <v>IF076HB</v>
          </cell>
          <cell r="J1379">
            <v>169600</v>
          </cell>
        </row>
        <row r="1380">
          <cell r="I1380" t="str">
            <v>IF086HB</v>
          </cell>
          <cell r="J1380">
            <v>190100</v>
          </cell>
        </row>
        <row r="1381">
          <cell r="I1381" t="str">
            <v>IF106HB</v>
          </cell>
          <cell r="J1381">
            <v>224700</v>
          </cell>
        </row>
        <row r="1382">
          <cell r="I1382" t="str">
            <v>IF126HB</v>
          </cell>
          <cell r="J1382">
            <v>259400</v>
          </cell>
        </row>
        <row r="1383">
          <cell r="I1383" t="str">
            <v>IF068HB</v>
          </cell>
          <cell r="J1383">
            <v>172700</v>
          </cell>
        </row>
        <row r="1384">
          <cell r="I1384" t="str">
            <v>IF078HB</v>
          </cell>
          <cell r="J1384">
            <v>190600</v>
          </cell>
        </row>
        <row r="1385">
          <cell r="I1385" t="str">
            <v>IF088HB</v>
          </cell>
          <cell r="J1385">
            <v>211100</v>
          </cell>
        </row>
        <row r="1386">
          <cell r="I1386" t="str">
            <v>IF108HB</v>
          </cell>
          <cell r="J1386">
            <v>245700</v>
          </cell>
        </row>
        <row r="1387">
          <cell r="I1387" t="str">
            <v>IF128HB</v>
          </cell>
          <cell r="J1387">
            <v>280400</v>
          </cell>
        </row>
        <row r="1388">
          <cell r="I1388" t="str">
            <v>IF062D</v>
          </cell>
          <cell r="J1388">
            <v>123400</v>
          </cell>
        </row>
        <row r="1389">
          <cell r="I1389" t="str">
            <v>IF072D</v>
          </cell>
          <cell r="J1389">
            <v>134400</v>
          </cell>
        </row>
        <row r="1390">
          <cell r="I1390" t="str">
            <v>IF082D</v>
          </cell>
          <cell r="J1390">
            <v>146000</v>
          </cell>
        </row>
        <row r="1391">
          <cell r="I1391" t="str">
            <v>IF102D</v>
          </cell>
          <cell r="J1391">
            <v>168000</v>
          </cell>
        </row>
        <row r="1392">
          <cell r="I1392" t="str">
            <v>IF122D</v>
          </cell>
          <cell r="J1392">
            <v>190100</v>
          </cell>
        </row>
        <row r="1393">
          <cell r="I1393" t="str">
            <v>IF064D</v>
          </cell>
          <cell r="J1393">
            <v>142300</v>
          </cell>
        </row>
        <row r="1394">
          <cell r="I1394" t="str">
            <v>IF074D</v>
          </cell>
          <cell r="J1394">
            <v>154400</v>
          </cell>
        </row>
        <row r="1395">
          <cell r="I1395" t="str">
            <v>IF084D</v>
          </cell>
          <cell r="J1395">
            <v>167000</v>
          </cell>
        </row>
        <row r="1396">
          <cell r="I1396" t="str">
            <v>IF104D</v>
          </cell>
          <cell r="J1396">
            <v>190100</v>
          </cell>
        </row>
        <row r="1397">
          <cell r="I1397" t="str">
            <v>IF124D</v>
          </cell>
          <cell r="J1397">
            <v>213200</v>
          </cell>
        </row>
        <row r="1398">
          <cell r="I1398" t="str">
            <v>IF066D</v>
          </cell>
          <cell r="J1398">
            <v>163300</v>
          </cell>
        </row>
        <row r="1399">
          <cell r="I1399" t="str">
            <v>IF076D</v>
          </cell>
          <cell r="J1399">
            <v>177500</v>
          </cell>
        </row>
        <row r="1400">
          <cell r="I1400" t="str">
            <v>IF086D</v>
          </cell>
          <cell r="J1400">
            <v>192200</v>
          </cell>
        </row>
        <row r="1401">
          <cell r="I1401" t="str">
            <v>IF106D</v>
          </cell>
          <cell r="J1401">
            <v>220500</v>
          </cell>
        </row>
        <row r="1402">
          <cell r="I1402" t="str">
            <v>IF126D</v>
          </cell>
          <cell r="J1402">
            <v>248900</v>
          </cell>
        </row>
        <row r="1403">
          <cell r="I1403" t="str">
            <v>IF068D</v>
          </cell>
          <cell r="J1403">
            <v>181100</v>
          </cell>
        </row>
        <row r="1404">
          <cell r="I1404" t="str">
            <v>IF078D</v>
          </cell>
          <cell r="J1404">
            <v>196400</v>
          </cell>
        </row>
        <row r="1405">
          <cell r="I1405" t="str">
            <v>IF088D</v>
          </cell>
          <cell r="J1405">
            <v>212100</v>
          </cell>
        </row>
        <row r="1406">
          <cell r="I1406" t="str">
            <v>IF108D</v>
          </cell>
          <cell r="J1406">
            <v>241500</v>
          </cell>
        </row>
        <row r="1407">
          <cell r="I1407" t="str">
            <v>IF128D</v>
          </cell>
          <cell r="J1407">
            <v>270900</v>
          </cell>
        </row>
        <row r="1408">
          <cell r="I1408" t="str">
            <v>유리ED008</v>
          </cell>
          <cell r="J1408">
            <v>28000</v>
          </cell>
        </row>
        <row r="1409">
          <cell r="I1409" t="str">
            <v>유리ED012</v>
          </cell>
          <cell r="J1409">
            <v>32000</v>
          </cell>
        </row>
        <row r="1410">
          <cell r="I1410" t="str">
            <v>유리ED014</v>
          </cell>
          <cell r="J1410">
            <v>37000</v>
          </cell>
        </row>
        <row r="1411">
          <cell r="I1411" t="str">
            <v>유리ED016</v>
          </cell>
          <cell r="J1411">
            <v>43000</v>
          </cell>
        </row>
        <row r="1412">
          <cell r="I1412" t="str">
            <v>유리ED018</v>
          </cell>
          <cell r="J1412">
            <v>48000</v>
          </cell>
        </row>
        <row r="1413">
          <cell r="I1413" t="str">
            <v>유리ED018X</v>
          </cell>
          <cell r="J1413">
            <v>50000</v>
          </cell>
        </row>
        <row r="1414">
          <cell r="I1414" t="str">
            <v>유리ED0108</v>
          </cell>
          <cell r="J1414">
            <v>22000</v>
          </cell>
        </row>
        <row r="1415">
          <cell r="I1415" t="str">
            <v>유리ED0112</v>
          </cell>
          <cell r="J1415">
            <v>26000</v>
          </cell>
        </row>
        <row r="1416">
          <cell r="I1416" t="str">
            <v>유리ED0114</v>
          </cell>
          <cell r="J1416">
            <v>28000</v>
          </cell>
        </row>
        <row r="1417">
          <cell r="I1417" t="str">
            <v>유리ED0116</v>
          </cell>
          <cell r="J1417">
            <v>32000</v>
          </cell>
        </row>
        <row r="1418">
          <cell r="I1418" t="str">
            <v>유리ED401</v>
          </cell>
          <cell r="J1418">
            <v>20000</v>
          </cell>
        </row>
        <row r="1419">
          <cell r="I1419" t="str">
            <v>유리ED410</v>
          </cell>
          <cell r="J1419">
            <v>20000</v>
          </cell>
        </row>
        <row r="1420">
          <cell r="I1420" t="str">
            <v>유리ED412</v>
          </cell>
          <cell r="J1420">
            <v>22000</v>
          </cell>
        </row>
        <row r="1421">
          <cell r="I1421" t="str">
            <v>유리ED0706</v>
          </cell>
          <cell r="J1421">
            <v>22000</v>
          </cell>
        </row>
        <row r="1422">
          <cell r="I1422" t="str">
            <v>유리ED0708</v>
          </cell>
          <cell r="J1422">
            <v>27000</v>
          </cell>
        </row>
        <row r="1423">
          <cell r="I1423" t="str">
            <v>유리ED0806</v>
          </cell>
          <cell r="J1423">
            <v>15000</v>
          </cell>
        </row>
        <row r="1424">
          <cell r="I1424" t="str">
            <v>유리ED0808</v>
          </cell>
          <cell r="J1424">
            <v>18000</v>
          </cell>
        </row>
        <row r="1425">
          <cell r="I1425" t="str">
            <v>유리ED5466</v>
          </cell>
          <cell r="J1425">
            <v>22000</v>
          </cell>
        </row>
        <row r="1426">
          <cell r="I1426" t="str">
            <v>유리ED5488</v>
          </cell>
          <cell r="J1426">
            <v>25000</v>
          </cell>
        </row>
        <row r="1427">
          <cell r="I1427" t="str">
            <v>유리ED5966</v>
          </cell>
          <cell r="J1427">
            <v>22000</v>
          </cell>
        </row>
        <row r="1428">
          <cell r="I1428" t="str">
            <v>유리ED5988</v>
          </cell>
          <cell r="J1428">
            <v>25000</v>
          </cell>
        </row>
        <row r="1429">
          <cell r="I1429" t="str">
            <v>유리ED950</v>
          </cell>
          <cell r="J1429">
            <v>40000</v>
          </cell>
        </row>
        <row r="1430">
          <cell r="I1430" t="str">
            <v>유리ED912</v>
          </cell>
          <cell r="J1430">
            <v>28000</v>
          </cell>
        </row>
        <row r="1431">
          <cell r="I1431" t="str">
            <v>유리ED916</v>
          </cell>
          <cell r="J1431">
            <v>43000</v>
          </cell>
        </row>
        <row r="1432">
          <cell r="I1432" t="str">
            <v>유리EZ016</v>
          </cell>
          <cell r="J1432">
            <v>30000</v>
          </cell>
        </row>
        <row r="1433">
          <cell r="I1433" t="str">
            <v>유리TD008</v>
          </cell>
          <cell r="J1433">
            <v>30000</v>
          </cell>
        </row>
        <row r="1434">
          <cell r="I1434" t="str">
            <v>유리TD010</v>
          </cell>
          <cell r="J1434">
            <v>35000</v>
          </cell>
        </row>
        <row r="1435">
          <cell r="I1435" t="str">
            <v>유리TD012</v>
          </cell>
          <cell r="J1435">
            <v>37000</v>
          </cell>
        </row>
        <row r="1436">
          <cell r="I1436" t="str">
            <v>유리TD014</v>
          </cell>
          <cell r="J1436">
            <v>42000</v>
          </cell>
        </row>
        <row r="1437">
          <cell r="I1437" t="str">
            <v>유리TD016</v>
          </cell>
          <cell r="J1437">
            <v>47000</v>
          </cell>
        </row>
        <row r="1438">
          <cell r="I1438" t="str">
            <v>유리TD018</v>
          </cell>
          <cell r="J1438">
            <v>52000</v>
          </cell>
        </row>
        <row r="1439">
          <cell r="I1439" t="str">
            <v>유리TD108</v>
          </cell>
          <cell r="J1439">
            <v>23000</v>
          </cell>
        </row>
        <row r="1440">
          <cell r="I1440" t="str">
            <v>유리TD110</v>
          </cell>
          <cell r="J1440">
            <v>28000</v>
          </cell>
        </row>
        <row r="1441">
          <cell r="I1441" t="str">
            <v>유리TD112</v>
          </cell>
          <cell r="J1441">
            <v>30000</v>
          </cell>
        </row>
        <row r="1442">
          <cell r="I1442" t="str">
            <v>유리TD114</v>
          </cell>
          <cell r="J1442">
            <v>35000</v>
          </cell>
        </row>
        <row r="1443">
          <cell r="I1443" t="str">
            <v>유리TD116</v>
          </cell>
          <cell r="J1443">
            <v>40000</v>
          </cell>
        </row>
        <row r="1444">
          <cell r="I1444" t="str">
            <v>유리TD118</v>
          </cell>
          <cell r="J1444">
            <v>43000</v>
          </cell>
        </row>
        <row r="1445">
          <cell r="I1445" t="str">
            <v>유리TD912</v>
          </cell>
          <cell r="J1445">
            <v>27000</v>
          </cell>
        </row>
        <row r="1446">
          <cell r="I1446" t="str">
            <v>유리TD916</v>
          </cell>
          <cell r="J1446">
            <v>40000</v>
          </cell>
        </row>
        <row r="1447">
          <cell r="I1447" t="str">
            <v>유리TD990</v>
          </cell>
          <cell r="J1447">
            <v>42000</v>
          </cell>
        </row>
        <row r="1448">
          <cell r="I1448" t="str">
            <v>유리TD966</v>
          </cell>
          <cell r="J1448">
            <v>32000</v>
          </cell>
        </row>
        <row r="1449">
          <cell r="I1449" t="str">
            <v>유리TD988</v>
          </cell>
          <cell r="J1449">
            <v>43000</v>
          </cell>
        </row>
        <row r="1450">
          <cell r="I1450" t="str">
            <v>유리TD412</v>
          </cell>
          <cell r="J1450">
            <v>20000</v>
          </cell>
        </row>
        <row r="1451">
          <cell r="I1451" t="str">
            <v>유리TD508</v>
          </cell>
          <cell r="J1451">
            <v>46000</v>
          </cell>
        </row>
        <row r="1452">
          <cell r="I1452" t="str">
            <v>유리TD507</v>
          </cell>
          <cell r="J1452">
            <v>46000</v>
          </cell>
        </row>
        <row r="1453">
          <cell r="I1453" t="str">
            <v>유리TD518</v>
          </cell>
          <cell r="J1453">
            <v>35000</v>
          </cell>
        </row>
        <row r="1454">
          <cell r="I1454" t="str">
            <v>유리TD516</v>
          </cell>
          <cell r="J1454">
            <v>30000</v>
          </cell>
        </row>
        <row r="1455">
          <cell r="I1455" t="str">
            <v>유리NT0006</v>
          </cell>
          <cell r="J1455">
            <v>18000</v>
          </cell>
        </row>
        <row r="1456">
          <cell r="I1456" t="str">
            <v>유리NT0008</v>
          </cell>
          <cell r="J1456">
            <v>23000</v>
          </cell>
        </row>
        <row r="1457">
          <cell r="I1457" t="str">
            <v>유리NT0010</v>
          </cell>
          <cell r="J1457">
            <v>28000</v>
          </cell>
        </row>
        <row r="1458">
          <cell r="I1458" t="str">
            <v>유리NT0012</v>
          </cell>
          <cell r="J1458">
            <v>32000</v>
          </cell>
        </row>
        <row r="1459">
          <cell r="I1459" t="str">
            <v>유리NT0016</v>
          </cell>
          <cell r="J1459">
            <v>43000</v>
          </cell>
        </row>
        <row r="1460">
          <cell r="I1460" t="str">
            <v>유리NT0018</v>
          </cell>
          <cell r="J1460">
            <v>45000</v>
          </cell>
        </row>
        <row r="1461">
          <cell r="I1461" t="str">
            <v>유리NT0106</v>
          </cell>
          <cell r="J1461">
            <v>18000</v>
          </cell>
        </row>
        <row r="1462">
          <cell r="I1462" t="str">
            <v>유리NT0108</v>
          </cell>
          <cell r="J1462">
            <v>22000</v>
          </cell>
        </row>
        <row r="1463">
          <cell r="I1463" t="str">
            <v>유리NT0110</v>
          </cell>
          <cell r="J1463">
            <v>23000</v>
          </cell>
        </row>
        <row r="1464">
          <cell r="I1464" t="str">
            <v>유리NT0112</v>
          </cell>
          <cell r="J1464">
            <v>25000</v>
          </cell>
        </row>
        <row r="1465">
          <cell r="I1465" t="str">
            <v>유리NT0114</v>
          </cell>
          <cell r="J1465">
            <v>30000</v>
          </cell>
        </row>
        <row r="1466">
          <cell r="I1466" t="str">
            <v>유리NT0116</v>
          </cell>
          <cell r="J1466">
            <v>34000</v>
          </cell>
        </row>
        <row r="1467">
          <cell r="I1467" t="str">
            <v>유리NT0118</v>
          </cell>
          <cell r="J1467">
            <v>38000</v>
          </cell>
        </row>
        <row r="1468">
          <cell r="I1468" t="str">
            <v>유리NT966</v>
          </cell>
          <cell r="J1468">
            <v>40000</v>
          </cell>
        </row>
        <row r="1469">
          <cell r="I1469" t="str">
            <v>유리NT5566</v>
          </cell>
          <cell r="J1469">
            <v>47000</v>
          </cell>
        </row>
        <row r="1470">
          <cell r="I1470" t="str">
            <v>유리NT988</v>
          </cell>
          <cell r="J1470">
            <v>45000</v>
          </cell>
        </row>
        <row r="1471">
          <cell r="I1471" t="str">
            <v>유리NT912</v>
          </cell>
          <cell r="J1471">
            <v>28000</v>
          </cell>
        </row>
        <row r="1472">
          <cell r="I1472" t="str">
            <v>유리NT916</v>
          </cell>
          <cell r="J1472">
            <v>38000</v>
          </cell>
        </row>
        <row r="1473">
          <cell r="I1473" t="str">
            <v>유리NT918</v>
          </cell>
          <cell r="J1473">
            <v>45000</v>
          </cell>
        </row>
        <row r="1474">
          <cell r="I1474" t="str">
            <v>유리NT5586</v>
          </cell>
          <cell r="J1474">
            <v>50000</v>
          </cell>
        </row>
        <row r="1475">
          <cell r="I1475" t="str">
            <v>유리NT5588</v>
          </cell>
          <cell r="J1475">
            <v>52000</v>
          </cell>
        </row>
        <row r="1476">
          <cell r="I1476" t="str">
            <v>유리YD018</v>
          </cell>
          <cell r="J1476">
            <v>60000</v>
          </cell>
        </row>
        <row r="1477">
          <cell r="I1477" t="str">
            <v>유리YD412</v>
          </cell>
          <cell r="J1477">
            <v>25000</v>
          </cell>
        </row>
        <row r="1478">
          <cell r="I1478" t="str">
            <v>유리YD990</v>
          </cell>
          <cell r="J1478">
            <v>40000</v>
          </cell>
        </row>
        <row r="1479">
          <cell r="I1479" t="str">
            <v>유리CR009</v>
          </cell>
          <cell r="J1479">
            <v>27000</v>
          </cell>
        </row>
        <row r="1480">
          <cell r="I1480" t="str">
            <v>유리CR012</v>
          </cell>
          <cell r="J1480">
            <v>40000</v>
          </cell>
        </row>
        <row r="1481">
          <cell r="I1481" t="str">
            <v>유리CR018</v>
          </cell>
          <cell r="J1481">
            <v>48000</v>
          </cell>
        </row>
        <row r="1482">
          <cell r="I1482" t="str">
            <v>유리CR024</v>
          </cell>
          <cell r="J1482">
            <v>75000</v>
          </cell>
        </row>
        <row r="1483">
          <cell r="I1483" t="str">
            <v>유리SR009</v>
          </cell>
          <cell r="J1483">
            <v>25000</v>
          </cell>
        </row>
        <row r="1484">
          <cell r="I1484" t="str">
            <v>유리SR012</v>
          </cell>
          <cell r="J1484">
            <v>40000</v>
          </cell>
        </row>
        <row r="1485">
          <cell r="I1485" t="str">
            <v>유리SR018</v>
          </cell>
          <cell r="J1485">
            <v>46000</v>
          </cell>
        </row>
        <row r="1486">
          <cell r="I1486" t="str">
            <v>유리SR024S</v>
          </cell>
          <cell r="J1486">
            <v>62000</v>
          </cell>
        </row>
        <row r="1487">
          <cell r="I1487" t="str">
            <v>유리SR024</v>
          </cell>
          <cell r="J1487">
            <v>70000</v>
          </cell>
        </row>
        <row r="1488">
          <cell r="I1488" t="str">
            <v>유리SR032</v>
          </cell>
          <cell r="J1488">
            <v>85000</v>
          </cell>
        </row>
        <row r="1489">
          <cell r="I1489" t="str">
            <v>유리PD018</v>
          </cell>
          <cell r="J1489">
            <v>56000</v>
          </cell>
        </row>
        <row r="1490">
          <cell r="I1490" t="str">
            <v>유리PD021</v>
          </cell>
          <cell r="J1490">
            <v>72000</v>
          </cell>
        </row>
        <row r="1491">
          <cell r="I1491" t="str">
            <v>유리PD414</v>
          </cell>
          <cell r="J1491">
            <v>28000</v>
          </cell>
        </row>
        <row r="1492">
          <cell r="I1492" t="str">
            <v>유리EL0112</v>
          </cell>
          <cell r="J1492">
            <v>25000</v>
          </cell>
        </row>
        <row r="1493">
          <cell r="I1493" t="str">
            <v>유리EL0104</v>
          </cell>
          <cell r="J1493">
            <v>15000</v>
          </cell>
        </row>
        <row r="1494">
          <cell r="I1494" t="str">
            <v>유리CL0207</v>
          </cell>
          <cell r="J1494">
            <v>26000</v>
          </cell>
        </row>
        <row r="1495">
          <cell r="I1495" t="str">
            <v>유리CL0212</v>
          </cell>
          <cell r="J1495">
            <v>25000</v>
          </cell>
        </row>
        <row r="1496">
          <cell r="I1496" t="str">
            <v>유리CL0204</v>
          </cell>
          <cell r="J1496">
            <v>18000</v>
          </cell>
        </row>
        <row r="1497">
          <cell r="I1497" t="str">
            <v>유리LD021</v>
          </cell>
          <cell r="J1497">
            <v>70000</v>
          </cell>
        </row>
        <row r="1498">
          <cell r="I1498" t="str">
            <v>유리LD018</v>
          </cell>
          <cell r="J1498">
            <v>45000</v>
          </cell>
        </row>
        <row r="1499">
          <cell r="I1499" t="str">
            <v>유리LZ01</v>
          </cell>
          <cell r="J1499">
            <v>40000</v>
          </cell>
        </row>
        <row r="1500">
          <cell r="I1500" t="str">
            <v>유리LZ11</v>
          </cell>
          <cell r="J1500">
            <v>30000</v>
          </cell>
        </row>
        <row r="1501">
          <cell r="I1501" t="str">
            <v>유리LL016</v>
          </cell>
          <cell r="J1501">
            <v>45000</v>
          </cell>
        </row>
        <row r="1502">
          <cell r="I1502" t="str">
            <v>유리LL008</v>
          </cell>
          <cell r="J1502">
            <v>25000</v>
          </cell>
        </row>
        <row r="1503">
          <cell r="I1503" t="str">
            <v>유리LL0007</v>
          </cell>
          <cell r="J1503">
            <v>18000</v>
          </cell>
        </row>
        <row r="1504">
          <cell r="I1504" t="str">
            <v>유리CR1107</v>
          </cell>
          <cell r="J1504">
            <v>18000</v>
          </cell>
        </row>
        <row r="1505">
          <cell r="I1505" t="str">
            <v>유리CR1115</v>
          </cell>
          <cell r="J1505">
            <v>25000</v>
          </cell>
        </row>
        <row r="1506">
          <cell r="I1506" t="str">
            <v>유리CR1166</v>
          </cell>
          <cell r="J1506">
            <v>25000</v>
          </cell>
        </row>
        <row r="1507">
          <cell r="I1507" t="str">
            <v>유리CR1007</v>
          </cell>
          <cell r="J1507">
            <v>20000</v>
          </cell>
        </row>
        <row r="1508">
          <cell r="I1508" t="str">
            <v>유리CR1015</v>
          </cell>
          <cell r="J1508">
            <v>40000</v>
          </cell>
        </row>
        <row r="1509">
          <cell r="I1509" t="str">
            <v>유리CR1066</v>
          </cell>
          <cell r="J1509">
            <v>45000</v>
          </cell>
        </row>
        <row r="1510">
          <cell r="I1510" t="str">
            <v>유리CR3118</v>
          </cell>
          <cell r="J1510">
            <v>30000</v>
          </cell>
        </row>
        <row r="1511">
          <cell r="I1511" t="str">
            <v>유리SD008</v>
          </cell>
          <cell r="J1511">
            <v>23000</v>
          </cell>
        </row>
        <row r="1512">
          <cell r="I1512" t="str">
            <v>유리SD008L</v>
          </cell>
          <cell r="J1512">
            <v>23000</v>
          </cell>
        </row>
        <row r="1513">
          <cell r="I1513" t="str">
            <v>유리SD008R</v>
          </cell>
          <cell r="J1513">
            <v>23000</v>
          </cell>
        </row>
        <row r="1514">
          <cell r="I1514" t="str">
            <v>유리SD012</v>
          </cell>
          <cell r="J1514">
            <v>30000</v>
          </cell>
        </row>
        <row r="1515">
          <cell r="I1515" t="str">
            <v>유리SD012L</v>
          </cell>
          <cell r="J1515">
            <v>30000</v>
          </cell>
        </row>
        <row r="1516">
          <cell r="I1516" t="str">
            <v>유리SD012R</v>
          </cell>
          <cell r="J1516">
            <v>30000</v>
          </cell>
        </row>
        <row r="1517">
          <cell r="I1517" t="str">
            <v>유리SD014</v>
          </cell>
          <cell r="J1517">
            <v>40000</v>
          </cell>
        </row>
        <row r="1518">
          <cell r="I1518" t="str">
            <v>유리SD014L</v>
          </cell>
          <cell r="J1518">
            <v>40000</v>
          </cell>
        </row>
        <row r="1519">
          <cell r="I1519" t="str">
            <v>유리SD014R</v>
          </cell>
          <cell r="J1519">
            <v>40000</v>
          </cell>
        </row>
        <row r="1520">
          <cell r="I1520" t="str">
            <v>유리SD016</v>
          </cell>
          <cell r="J1520">
            <v>50000</v>
          </cell>
        </row>
        <row r="1521">
          <cell r="I1521" t="str">
            <v>유리SD016R</v>
          </cell>
          <cell r="J1521">
            <v>50000</v>
          </cell>
        </row>
        <row r="1522">
          <cell r="I1522" t="str">
            <v>유리SD016L</v>
          </cell>
          <cell r="J1522">
            <v>50000</v>
          </cell>
        </row>
        <row r="1523">
          <cell r="I1523" t="str">
            <v>유리SD316R</v>
          </cell>
          <cell r="J1523">
            <v>60000</v>
          </cell>
        </row>
        <row r="1524">
          <cell r="I1524" t="str">
            <v>유리SD316L</v>
          </cell>
          <cell r="J1524">
            <v>60000</v>
          </cell>
        </row>
        <row r="1525">
          <cell r="I1525" t="str">
            <v>유리SD507</v>
          </cell>
          <cell r="J1525">
            <v>40000</v>
          </cell>
        </row>
        <row r="1526">
          <cell r="I1526" t="str">
            <v>유리SD517</v>
          </cell>
          <cell r="J1526">
            <v>30000</v>
          </cell>
        </row>
        <row r="1527">
          <cell r="I1527" t="str">
            <v>유리SD547</v>
          </cell>
          <cell r="J1527">
            <v>18000</v>
          </cell>
        </row>
        <row r="1528">
          <cell r="I1528" t="str">
            <v>유리SD597</v>
          </cell>
          <cell r="J1528">
            <v>23000</v>
          </cell>
        </row>
        <row r="1529">
          <cell r="I1529" t="str">
            <v>유리SD406L</v>
          </cell>
          <cell r="J1529">
            <v>15000</v>
          </cell>
        </row>
        <row r="1530">
          <cell r="I1530" t="str">
            <v>유리SD406R</v>
          </cell>
          <cell r="J1530">
            <v>15000</v>
          </cell>
        </row>
        <row r="1531">
          <cell r="I1531" t="str">
            <v>유리SD912</v>
          </cell>
          <cell r="J1531">
            <v>23000</v>
          </cell>
        </row>
        <row r="1532">
          <cell r="I1532" t="str">
            <v>유리SD955</v>
          </cell>
          <cell r="J1532">
            <v>20000</v>
          </cell>
        </row>
        <row r="1533">
          <cell r="I1533" t="str">
            <v>유리SD977</v>
          </cell>
          <cell r="J1533">
            <v>34000</v>
          </cell>
        </row>
        <row r="1534">
          <cell r="I1534" t="str">
            <v>유리SD927L</v>
          </cell>
          <cell r="J1534">
            <v>40000</v>
          </cell>
        </row>
        <row r="1535">
          <cell r="I1535" t="str">
            <v>유리SD927R</v>
          </cell>
          <cell r="J1535">
            <v>40000</v>
          </cell>
        </row>
        <row r="1536">
          <cell r="I1536" t="str">
            <v>유리SD990</v>
          </cell>
          <cell r="J1536">
            <v>42000</v>
          </cell>
        </row>
        <row r="1537">
          <cell r="I1537" t="str">
            <v>유리SD0300</v>
          </cell>
          <cell r="J1537">
            <v>15000</v>
          </cell>
        </row>
        <row r="1538">
          <cell r="I1538" t="str">
            <v>유리SD662</v>
          </cell>
          <cell r="J1538">
            <v>18000</v>
          </cell>
        </row>
        <row r="1539">
          <cell r="I1539" t="str">
            <v>유리IT0008</v>
          </cell>
          <cell r="J1539">
            <v>24000</v>
          </cell>
        </row>
        <row r="1540">
          <cell r="I1540" t="str">
            <v>유리IT0008L</v>
          </cell>
          <cell r="J1540">
            <v>24000</v>
          </cell>
        </row>
        <row r="1541">
          <cell r="I1541" t="str">
            <v>유리IT0008R</v>
          </cell>
          <cell r="J1541">
            <v>24000</v>
          </cell>
        </row>
        <row r="1542">
          <cell r="I1542" t="str">
            <v>유리IT0010</v>
          </cell>
          <cell r="J1542">
            <v>30000</v>
          </cell>
        </row>
        <row r="1543">
          <cell r="I1543" t="str">
            <v>유리IT0010L</v>
          </cell>
          <cell r="J1543">
            <v>30000</v>
          </cell>
        </row>
        <row r="1544">
          <cell r="I1544" t="str">
            <v>유리IT0010R</v>
          </cell>
          <cell r="J1544">
            <v>30000</v>
          </cell>
        </row>
        <row r="1545">
          <cell r="I1545" t="str">
            <v>유리IT0012</v>
          </cell>
          <cell r="J1545">
            <v>32000</v>
          </cell>
        </row>
        <row r="1546">
          <cell r="I1546" t="str">
            <v>유리IT0012L</v>
          </cell>
          <cell r="J1546">
            <v>32000</v>
          </cell>
        </row>
        <row r="1547">
          <cell r="I1547" t="str">
            <v>유리IT0012R</v>
          </cell>
          <cell r="J1547">
            <v>32000</v>
          </cell>
        </row>
        <row r="1548">
          <cell r="I1548" t="str">
            <v>유리IT0116</v>
          </cell>
          <cell r="J1548">
            <v>38000</v>
          </cell>
        </row>
        <row r="1549">
          <cell r="I1549" t="str">
            <v>유리IT0118</v>
          </cell>
          <cell r="J1549">
            <v>40000</v>
          </cell>
        </row>
        <row r="1550">
          <cell r="I1550" t="str">
            <v>유리IT5066</v>
          </cell>
          <cell r="J1550">
            <v>42000</v>
          </cell>
        </row>
        <row r="1551">
          <cell r="I1551" t="str">
            <v>유리IT5077</v>
          </cell>
          <cell r="J1551">
            <v>45000</v>
          </cell>
        </row>
        <row r="1552">
          <cell r="I1552" t="str">
            <v>유리IT912</v>
          </cell>
          <cell r="J1552">
            <v>27000</v>
          </cell>
        </row>
        <row r="1553">
          <cell r="I1553" t="str">
            <v>유리IT916</v>
          </cell>
          <cell r="J1553">
            <v>43000</v>
          </cell>
        </row>
        <row r="1554">
          <cell r="I1554" t="str">
            <v>유리IT966</v>
          </cell>
          <cell r="J1554">
            <v>28000</v>
          </cell>
        </row>
        <row r="1555">
          <cell r="I1555" t="str">
            <v>유리IT977</v>
          </cell>
          <cell r="J1555">
            <v>43000</v>
          </cell>
        </row>
        <row r="1556">
          <cell r="I1556" t="str">
            <v>유리IT926L</v>
          </cell>
          <cell r="J1556">
            <v>43000</v>
          </cell>
        </row>
        <row r="1557">
          <cell r="I1557" t="str">
            <v>유리IT926R</v>
          </cell>
          <cell r="J1557">
            <v>43000</v>
          </cell>
        </row>
        <row r="1558">
          <cell r="I1558" t="str">
            <v>유리IT927L</v>
          </cell>
          <cell r="J1558">
            <v>43000</v>
          </cell>
        </row>
        <row r="1559">
          <cell r="I1559" t="str">
            <v>유리IT927R</v>
          </cell>
          <cell r="J1559">
            <v>43000</v>
          </cell>
        </row>
        <row r="1560">
          <cell r="I1560" t="str">
            <v>유리IT912DL</v>
          </cell>
          <cell r="J1560">
            <v>38000</v>
          </cell>
        </row>
        <row r="1561">
          <cell r="I1561" t="str">
            <v>유리IT912DR</v>
          </cell>
          <cell r="J1561">
            <v>38000</v>
          </cell>
        </row>
        <row r="1562">
          <cell r="I1562" t="str">
            <v>유리IT918DL</v>
          </cell>
          <cell r="J1562">
            <v>43000</v>
          </cell>
        </row>
        <row r="1563">
          <cell r="I1563" t="str">
            <v>유리IT918DR</v>
          </cell>
          <cell r="J1563">
            <v>43000</v>
          </cell>
        </row>
        <row r="1564">
          <cell r="I1564" t="str">
            <v>유리IT912CL</v>
          </cell>
          <cell r="J1564">
            <v>38000</v>
          </cell>
        </row>
        <row r="1565">
          <cell r="I1565" t="str">
            <v>유리IT912CR</v>
          </cell>
          <cell r="J1565">
            <v>38000</v>
          </cell>
        </row>
        <row r="1566">
          <cell r="I1566" t="str">
            <v>유리IT918CL</v>
          </cell>
          <cell r="J1566">
            <v>43000</v>
          </cell>
        </row>
        <row r="1567">
          <cell r="I1567" t="str">
            <v>유리IT918CR</v>
          </cell>
          <cell r="J1567">
            <v>43000</v>
          </cell>
        </row>
        <row r="1568">
          <cell r="I1568" t="str">
            <v>유리IT2004</v>
          </cell>
          <cell r="J1568">
            <v>15000</v>
          </cell>
        </row>
        <row r="1569">
          <cell r="I1569" t="str">
            <v>유리IT2005</v>
          </cell>
          <cell r="J1569">
            <v>15000</v>
          </cell>
        </row>
        <row r="1570">
          <cell r="I1570" t="str">
            <v>유리IT2006</v>
          </cell>
          <cell r="J1570">
            <v>15000</v>
          </cell>
        </row>
        <row r="1571">
          <cell r="I1571" t="str">
            <v>유리IT2007</v>
          </cell>
          <cell r="J1571">
            <v>17000</v>
          </cell>
        </row>
        <row r="1572">
          <cell r="I1572" t="str">
            <v>유리IT2008</v>
          </cell>
          <cell r="J1572">
            <v>20000</v>
          </cell>
        </row>
        <row r="1573">
          <cell r="I1573" t="str">
            <v>유리IT2010</v>
          </cell>
          <cell r="J1573">
            <v>20000</v>
          </cell>
        </row>
        <row r="1574">
          <cell r="I1574" t="str">
            <v>유리IT2012</v>
          </cell>
          <cell r="J1574">
            <v>22000</v>
          </cell>
        </row>
        <row r="1575">
          <cell r="I1575" t="str">
            <v>유리IT2014</v>
          </cell>
          <cell r="J1575">
            <v>25000</v>
          </cell>
        </row>
        <row r="1576">
          <cell r="I1576" t="str">
            <v>유리IT2016</v>
          </cell>
          <cell r="J1576">
            <v>28000</v>
          </cell>
        </row>
        <row r="1577">
          <cell r="I1577" t="str">
            <v>유리IT2122</v>
          </cell>
          <cell r="J1577">
            <v>15000</v>
          </cell>
        </row>
        <row r="1578">
          <cell r="I1578" t="str">
            <v>유리IT2204</v>
          </cell>
          <cell r="J1578">
            <v>15000</v>
          </cell>
        </row>
        <row r="1579">
          <cell r="I1579" t="str">
            <v>유리IT2205</v>
          </cell>
          <cell r="J1579">
            <v>15000</v>
          </cell>
        </row>
        <row r="1580">
          <cell r="I1580" t="str">
            <v>유리IT2206</v>
          </cell>
          <cell r="J1580">
            <v>18000</v>
          </cell>
        </row>
        <row r="1581">
          <cell r="I1581" t="str">
            <v>유리IT2207</v>
          </cell>
          <cell r="J1581">
            <v>20000</v>
          </cell>
        </row>
        <row r="1582">
          <cell r="I1582" t="str">
            <v>유리IT2208</v>
          </cell>
          <cell r="J1582">
            <v>22000</v>
          </cell>
        </row>
        <row r="1583">
          <cell r="I1583" t="str">
            <v>유리IT2210</v>
          </cell>
          <cell r="J1583">
            <v>22000</v>
          </cell>
        </row>
        <row r="1584">
          <cell r="I1584" t="str">
            <v>유리IT2212</v>
          </cell>
          <cell r="J1584">
            <v>25000</v>
          </cell>
        </row>
        <row r="1585">
          <cell r="I1585" t="str">
            <v>유리PL0904</v>
          </cell>
          <cell r="J1585">
            <v>18000</v>
          </cell>
        </row>
        <row r="1586">
          <cell r="I1586" t="str">
            <v>유리PL0908</v>
          </cell>
          <cell r="J1586">
            <v>28000</v>
          </cell>
        </row>
        <row r="1587">
          <cell r="I1587" t="str">
            <v>유리PL0912</v>
          </cell>
          <cell r="J1587">
            <v>30000</v>
          </cell>
        </row>
        <row r="1588">
          <cell r="I1588" t="str">
            <v>유리PL0914</v>
          </cell>
          <cell r="J1588">
            <v>34000</v>
          </cell>
        </row>
        <row r="1589">
          <cell r="I1589" t="str">
            <v>유리CR2008</v>
          </cell>
          <cell r="J1589">
            <v>28000</v>
          </cell>
        </row>
        <row r="1590">
          <cell r="I1590" t="str">
            <v>유리CR2590</v>
          </cell>
          <cell r="J1590">
            <v>28000</v>
          </cell>
        </row>
        <row r="1591">
          <cell r="I1591" t="str">
            <v>유리CR2016</v>
          </cell>
          <cell r="J1591">
            <v>42000</v>
          </cell>
        </row>
        <row r="1592">
          <cell r="I1592" t="str">
            <v>유리CC1083</v>
          </cell>
          <cell r="J1592">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efreshError="1"/>
      <sheetData sheetId="312" refreshError="1"/>
      <sheetData sheetId="313" refreshError="1"/>
      <sheetData sheetId="314"/>
      <sheetData sheetId="315"/>
      <sheetData sheetId="316"/>
      <sheetData sheetId="317" refreshError="1"/>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refreshError="1"/>
      <sheetData sheetId="473" refreshError="1"/>
      <sheetData sheetId="474" refreshError="1"/>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refreshError="1"/>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sheetData sheetId="584"/>
      <sheetData sheetId="585"/>
      <sheetData sheetId="586"/>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efreshError="1"/>
      <sheetData sheetId="629" refreshError="1"/>
      <sheetData sheetId="630" refreshError="1"/>
      <sheetData sheetId="631" refreshError="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sheetData sheetId="663"/>
      <sheetData sheetId="664"/>
      <sheetData sheetId="665"/>
      <sheetData sheetId="666"/>
      <sheetData sheetId="667"/>
      <sheetData sheetId="668"/>
      <sheetData sheetId="669"/>
      <sheetData sheetId="670"/>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L"/>
      <sheetName val="NEWDRAW"/>
      <sheetName val="총공사집계"/>
      <sheetName val="원가계산"/>
      <sheetName val="내역서"/>
      <sheetName val="대가집계(1)"/>
      <sheetName val="대가집계"/>
      <sheetName val="일위대가(1)"/>
      <sheetName val="일위대가"/>
      <sheetName val="집계(1)"/>
      <sheetName val="단가산출(1)"/>
      <sheetName val="단가산출"/>
      <sheetName val="중기"/>
      <sheetName val="노임"/>
      <sheetName val="물가"/>
      <sheetName val="단가"/>
      <sheetName val="대가표"/>
      <sheetName val="대가"/>
      <sheetName val="사토정산현황"/>
      <sheetName val="목차"/>
      <sheetName val="간지"/>
      <sheetName val="위치도"/>
      <sheetName val="사유서"/>
      <sheetName val="단가대비표(미첨부)"/>
      <sheetName val="토적표(길명리)"/>
      <sheetName val="사토(토사)"/>
      <sheetName val="사토(리핑)"/>
      <sheetName val="사토(발파)"/>
      <sheetName val="사토(발파) (2)"/>
      <sheetName val="노무비"/>
      <sheetName val="중기비"/>
      <sheetName val="운반거리표"/>
      <sheetName val="자금총괄"/>
      <sheetName val="현장별청구"/>
      <sheetName val="자금집행집계표"/>
      <sheetName val="Sheet1"/>
      <sheetName val="자재비"/>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총괄표"/>
      <sheetName val="현장별집행"/>
      <sheetName val="10월식대(직영)"/>
      <sheetName val="9월철근공"/>
      <sheetName val="10월철근공 "/>
      <sheetName val="9월목공 "/>
      <sheetName val="10월목공 "/>
      <sheetName val="1"/>
      <sheetName val="Sheet3"/>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연결임시"/>
      <sheetName val="내역서(총)"/>
      <sheetName val="공통가설"/>
      <sheetName val="부대대비"/>
      <sheetName val="냉연집계"/>
      <sheetName val="BOQ건축"/>
      <sheetName val="beam"/>
      <sheetName val="BOQ"/>
      <sheetName val="Project Brief"/>
      <sheetName val="1-1"/>
      <sheetName val="수량산출서"/>
      <sheetName val="교각1"/>
      <sheetName val="APT내역"/>
      <sheetName val="CONCRETE"/>
      <sheetName val="일위대가목차"/>
      <sheetName val="wall"/>
      <sheetName val="내역"/>
      <sheetName val="2011년"/>
      <sheetName val="2.대외공문"/>
      <sheetName val="예산M12A"/>
      <sheetName val="코드표"/>
      <sheetName val="감가상각"/>
      <sheetName val="2000년1차"/>
      <sheetName val="98지급계획"/>
      <sheetName val="CI_GL Mapping"/>
      <sheetName val="3본사"/>
      <sheetName val="CODE"/>
      <sheetName val="소업1교"/>
      <sheetName val="금액집계"/>
      <sheetName val="노원열병합  건축공사기성내역서"/>
      <sheetName val="점수계산1-2"/>
      <sheetName val="6호기"/>
      <sheetName val="소비자가"/>
      <sheetName val="사토(발파)_(2)"/>
      <sheetName val="10월철근공_"/>
      <sheetName val="9월목공_"/>
      <sheetName val="10월목공_"/>
      <sheetName val="공사별_사정분석표-ㅌ"/>
      <sheetName val="Y-WORK"/>
      <sheetName val="WORKSHOP"/>
      <sheetName val="운영 비용(Infra)-원가"/>
      <sheetName val="토공"/>
      <sheetName val="001"/>
      <sheetName val="전기"/>
      <sheetName val="EACT10"/>
      <sheetName val="입찰안"/>
      <sheetName val="단가조사서"/>
      <sheetName val="평형공사비"/>
      <sheetName val="기계내역"/>
      <sheetName val="대비"/>
      <sheetName val="가도공"/>
      <sheetName val="9-1차이내역"/>
      <sheetName val="영업.일"/>
      <sheetName val="매부산출"/>
      <sheetName val="현관"/>
      <sheetName val="부하계산서"/>
      <sheetName val="지급자재"/>
      <sheetName val="2000.05"/>
      <sheetName val="COPING"/>
      <sheetName val="Total"/>
      <sheetName val="협조전"/>
      <sheetName val="차수"/>
      <sheetName val="동해title"/>
      <sheetName val="차액보증"/>
      <sheetName val="예산M2"/>
      <sheetName val="예산변경사항"/>
      <sheetName val="충주"/>
      <sheetName val="기성내역서표지"/>
      <sheetName val="실행철강하도"/>
      <sheetName val="분양금할인"/>
      <sheetName val="제출내역 (2)"/>
      <sheetName val="토공계산서(부체도로)"/>
      <sheetName val="1.설계조건"/>
      <sheetName val="공사비예산서(토목분)"/>
      <sheetName val="영업.일1"/>
      <sheetName val="hvac(제어동)"/>
      <sheetName val="coll#"/>
      <sheetName val="재집"/>
      <sheetName val="직재"/>
      <sheetName val="CC Down load 0716"/>
      <sheetName val="Sheet2"/>
      <sheetName val="경상비내역"/>
      <sheetName val="전기일위대가"/>
      <sheetName val="개요"/>
      <sheetName val="노임단가"/>
      <sheetName val="I一般比"/>
      <sheetName val="일반관리비"/>
      <sheetName val="총요약서"/>
      <sheetName val="설계조건"/>
      <sheetName val="저"/>
      <sheetName val="A-8 PD(도로중앙)"/>
      <sheetName val="B"/>
      <sheetName val="type-F"/>
      <sheetName val="송라터널총괄"/>
      <sheetName val="설직재-1"/>
      <sheetName val="정부노임단가"/>
      <sheetName val="1월"/>
      <sheetName val="2_대외공문"/>
      <sheetName val="Project_Brief"/>
      <sheetName val="CI_GL_Mapping"/>
      <sheetName val="노원열병합__건축공사기성내역서"/>
      <sheetName val="운영_비용(Infra)-원가"/>
      <sheetName val="문서처리전"/>
      <sheetName val="단가표"/>
      <sheetName val="경산"/>
      <sheetName val="안정계산"/>
      <sheetName val="단면검토"/>
      <sheetName val="COVER"/>
      <sheetName val="Macro1 (2)"/>
      <sheetName val="인건비"/>
      <sheetName val="정공공사"/>
      <sheetName val="공종별 집계"/>
      <sheetName val="기성내역"/>
      <sheetName val="최초침전지집계표"/>
      <sheetName val="건축원가계산서"/>
      <sheetName val="일위대가표"/>
      <sheetName val="AP1"/>
      <sheetName val="터파기및재료"/>
      <sheetName val="반포2차"/>
      <sheetName val="중간부"/>
      <sheetName val="#REF"/>
      <sheetName val="음료실행"/>
      <sheetName val="유통망계획"/>
      <sheetName val="도로"/>
      <sheetName val="단"/>
      <sheetName val="수목표준대가"/>
      <sheetName val="PAINT (2)"/>
      <sheetName val="물량표"/>
      <sheetName val="FOB발"/>
      <sheetName val="보통예금"/>
      <sheetName val="plan&amp;section of foundation"/>
      <sheetName val="design criteria"/>
      <sheetName val="A-4"/>
      <sheetName val="JUCK"/>
      <sheetName val="견적서"/>
      <sheetName val="원가"/>
      <sheetName val="건축내역"/>
      <sheetName val="EJ"/>
      <sheetName val="지장물총괄표"/>
      <sheetName val="실행대비"/>
      <sheetName val="경상직원"/>
      <sheetName val="154TW"/>
      <sheetName val="SILICATE"/>
      <sheetName val="WORK"/>
      <sheetName val="말뚝지지력산정"/>
      <sheetName val="ABUT수량-A1"/>
      <sheetName val="현장식당(1)"/>
      <sheetName val="cp-e1"/>
      <sheetName val="Calcs"/>
      <sheetName val="Sheet5"/>
      <sheetName val="용소리교"/>
      <sheetName val="Variable"/>
      <sheetName val="N賃率-職"/>
      <sheetName val="SG"/>
      <sheetName val="경비_원본"/>
      <sheetName val="상가지급현황"/>
      <sheetName val="학교기부"/>
      <sheetName val="Area"/>
      <sheetName val="인원계획-미화"/>
      <sheetName val="설 계"/>
      <sheetName val="대공종"/>
      <sheetName val="Assumptions"/>
      <sheetName val="APOD"/>
      <sheetName val="960318-1"/>
      <sheetName val="계수시트"/>
      <sheetName val="시설물일위"/>
      <sheetName val="ORDER매입"/>
      <sheetName val="FORM-0"/>
      <sheetName val="부대시설"/>
      <sheetName val="일위대가(계측기설치)"/>
      <sheetName val="DATE"/>
      <sheetName val="공종별현황"/>
      <sheetName val="SUMMARY(S)"/>
      <sheetName val="손익분석"/>
      <sheetName val="표지"/>
      <sheetName val="982월원안"/>
      <sheetName val="설명"/>
      <sheetName val="3.현장배치"/>
      <sheetName val="3련 BOX"/>
      <sheetName val="현장배치"/>
      <sheetName val="변수"/>
      <sheetName val="직노"/>
      <sheetName val="견적"/>
      <sheetName val="주요량(96)"/>
      <sheetName val="FAB별"/>
      <sheetName val="수량산출서 (2)"/>
      <sheetName val="FB25JN"/>
      <sheetName val="TC표지"/>
      <sheetName val="도급"/>
      <sheetName val="기초수량집"/>
      <sheetName val="01"/>
      <sheetName val="파일의이용"/>
      <sheetName val="산출내역서집계표"/>
      <sheetName val="본장"/>
      <sheetName val="BID"/>
      <sheetName val="I.설계조건"/>
      <sheetName val="JUCKEYK"/>
      <sheetName val="기초자료"/>
      <sheetName val="일위대가표 (2)"/>
      <sheetName val="Budget 2004(DW)"/>
      <sheetName val="교통대책내역"/>
      <sheetName val="재무가정"/>
      <sheetName val="Summary"/>
      <sheetName val="토지조서"/>
      <sheetName val="건축내역서"/>
      <sheetName val="분전반"/>
      <sheetName val="지수"/>
      <sheetName val="데이타"/>
      <sheetName val="식재인부"/>
      <sheetName val="PROJECT BRIEF(EX.NEW)"/>
      <sheetName val="토공(우물통,기타) "/>
      <sheetName val="자판실행"/>
      <sheetName val="깨기"/>
      <sheetName val="매매"/>
      <sheetName val="1.설계기준"/>
      <sheetName val="시설총괄"/>
      <sheetName val="S&amp;R"/>
      <sheetName val="원가조정"/>
      <sheetName val="Intro2"/>
      <sheetName val="Id"/>
      <sheetName val="분양가"/>
      <sheetName val="골조시행"/>
      <sheetName val="부대공Ⅱ"/>
      <sheetName val="사토(발파)_(2)1"/>
      <sheetName val="10월철근공_1"/>
      <sheetName val="9월목공_1"/>
      <sheetName val="10월목공_1"/>
      <sheetName val="공사별_사정분석표-ㅌ1"/>
      <sheetName val="영업_일"/>
      <sheetName val="2000_05"/>
      <sheetName val="제출내역_(2)"/>
      <sheetName val="1_설계조건"/>
      <sheetName val="영업_일1"/>
      <sheetName val="CC_Down_load_0716"/>
      <sheetName val="TYPE-A"/>
      <sheetName val="일위"/>
      <sheetName val="APT"/>
      <sheetName val="공틀공사"/>
      <sheetName val="PLarp"/>
      <sheetName val="전체"/>
      <sheetName val="6PILE  (돌출)"/>
      <sheetName val="년도별실"/>
      <sheetName val="운항율"/>
      <sheetName val="2004년전체승무원"/>
      <sheetName val="편성안2"/>
      <sheetName val="1월 예산"/>
      <sheetName val="0006_FLT_IR_NAME"/>
      <sheetName val="연간점유"/>
      <sheetName val="B767"/>
      <sheetName val="확인서"/>
      <sheetName val="DATA98"/>
      <sheetName val="blocktime"/>
      <sheetName val="B737"/>
      <sheetName val="data"/>
      <sheetName val="Assumption"/>
      <sheetName val="New_Table"/>
      <sheetName val="임원기본"/>
      <sheetName val="B747"/>
      <sheetName val="Calendar"/>
      <sheetName val="Bang can doi so phat sinh"/>
      <sheetName val="1_當期시산표"/>
      <sheetName val="가시설단위수량"/>
      <sheetName val="2_대외공문1"/>
      <sheetName val="Project_Brief1"/>
      <sheetName val="CI_GL_Mapping1"/>
      <sheetName val="노원열병합__건축공사기성내역서1"/>
      <sheetName val="운영_비용(Infra)-원가1"/>
      <sheetName val="A-8_PD(도로중앙)"/>
      <sheetName val="Macro1_(2)"/>
      <sheetName val="공종별_집계"/>
      <sheetName val="PAINT_(2)"/>
      <sheetName val="plan&amp;section_of_foundation"/>
      <sheetName val="design_criteria"/>
      <sheetName val="설_계"/>
      <sheetName val="3_현장배치"/>
      <sheetName val="3련_BOX"/>
      <sheetName val="수량산출서_(2)"/>
      <sheetName val="I_설계조건"/>
      <sheetName val="집계표"/>
      <sheetName val="전체현황"/>
      <sheetName val="적용환율"/>
      <sheetName val="인건-측정"/>
      <sheetName val="MOTOR"/>
      <sheetName val="ITEM"/>
      <sheetName val="ATS단가"/>
      <sheetName val="04심사3"/>
      <sheetName val="설계내역(2001)"/>
      <sheetName val="1단계"/>
      <sheetName val="예가표"/>
      <sheetName val="장비"/>
      <sheetName val="노무"/>
      <sheetName val="자재"/>
      <sheetName val="산근1"/>
      <sheetName val="AS포장복구 "/>
      <sheetName val="UR2-Calculation"/>
      <sheetName val="ERM-골조"/>
      <sheetName val="사급자재"/>
      <sheetName val="설계서"/>
      <sheetName val="설계내역서"/>
      <sheetName val="현장관리비"/>
      <sheetName val="10월"/>
      <sheetName val="기초코드"/>
      <sheetName val="간선굵기"/>
      <sheetName val="별제권_정리담보권"/>
      <sheetName val="분석항목"/>
      <sheetName val="N+P"/>
      <sheetName val="2-2.매출분석"/>
      <sheetName val="토지등소유자 주소록"/>
      <sheetName val="갑지(추정)"/>
      <sheetName val="Tables"/>
      <sheetName val="설변물량"/>
      <sheetName val="공사현황"/>
      <sheetName val="매출"/>
      <sheetName val="Replacement"/>
      <sheetName val="Rent Roll"/>
      <sheetName val="Collateral"/>
      <sheetName val="적용단가"/>
      <sheetName val="공사개요(입력)"/>
      <sheetName val="기성관리"/>
      <sheetName val="본사공가현황"/>
      <sheetName val="남평내역"/>
      <sheetName val="조명시설"/>
      <sheetName val="내역서01"/>
      <sheetName val="Sheet6"/>
      <sheetName val="가로등기초"/>
      <sheetName val="정문앞"/>
      <sheetName val="유림골조"/>
      <sheetName val="O-단가조사서"/>
      <sheetName val="안산기계장치"/>
      <sheetName val="comparables"/>
      <sheetName val="Deduction"/>
      <sheetName val="other"/>
      <sheetName val="conclusion"/>
      <sheetName val="결정단가"/>
      <sheetName val="교각계산"/>
      <sheetName val="disposition"/>
      <sheetName val="매립"/>
      <sheetName val="4.안전점검 조치 사진대지"/>
      <sheetName val="9확정실적"/>
      <sheetName val="수량산출"/>
      <sheetName val="주요업무LIST"/>
      <sheetName val="선적일정"/>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refreshError="1"/>
      <sheetData sheetId="424" refreshError="1"/>
      <sheetData sheetId="425" refreshError="1"/>
      <sheetData sheetId="42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stomer Databas"/>
      <sheetName val="NAME"/>
      <sheetName val="cover"/>
      <sheetName val="실행갑지"/>
      <sheetName val="BOQ 실행10.9"/>
      <sheetName val="Sheet1"/>
      <sheetName val="대비"/>
      <sheetName val="금액집계"/>
      <sheetName val="전기일위대가"/>
      <sheetName val="설계내역서"/>
      <sheetName val="입찰안"/>
      <sheetName val="소비자가"/>
      <sheetName val="TEL"/>
      <sheetName val="기계경비(시간당)"/>
      <sheetName val="램머"/>
      <sheetName val="6호기"/>
      <sheetName val="갑지"/>
      <sheetName val="1차 내역서"/>
      <sheetName val="골조시행"/>
      <sheetName val="1ST"/>
      <sheetName val="일위대가"/>
      <sheetName val="EACT10"/>
      <sheetName val="개요"/>
      <sheetName val="일위대가목차"/>
      <sheetName val="내역서(총)"/>
      <sheetName val="BID"/>
      <sheetName val="Sheet2 (2)"/>
      <sheetName val="산출금액내역"/>
      <sheetName val="청천내"/>
      <sheetName val="DESIGN CRITERIA"/>
      <sheetName val="기본일위"/>
      <sheetName val="실행(표지,갑,을)"/>
      <sheetName val="기계내역"/>
      <sheetName val="데이타"/>
      <sheetName val="부대대비"/>
      <sheetName val="냉연집계"/>
      <sheetName val="공통비(전체)"/>
      <sheetName val="내역_FILE"/>
      <sheetName val="asd"/>
      <sheetName val="중갑지"/>
      <sheetName val="수량산출"/>
      <sheetName val="총투입계"/>
      <sheetName val="계정"/>
      <sheetName val="내역서"/>
      <sheetName val="CUSTOMER"/>
      <sheetName val="백암비스타내역"/>
      <sheetName val="공통가설"/>
      <sheetName val="1-1"/>
      <sheetName val="직재"/>
      <sheetName val="#REF"/>
      <sheetName val="일위대가(4층원격)"/>
      <sheetName val="N賃率-職"/>
      <sheetName val="일위대가목록"/>
      <sheetName val="아파트"/>
      <sheetName val="노임단가"/>
      <sheetName val="예가표"/>
      <sheetName val="견적서세부내용"/>
      <sheetName val="견적내용입력"/>
      <sheetName val="코스모공장 (어음)"/>
      <sheetName val="Customer_Databas"/>
      <sheetName val="BOQ_실행10_9"/>
      <sheetName val="1차_내역서"/>
      <sheetName val="Sheet2_(2)"/>
      <sheetName val="DESIGN_CRITERIA"/>
      <sheetName val="FANDBS"/>
      <sheetName val="GRDATA"/>
      <sheetName val="SHAFTDBSE"/>
      <sheetName val="신고서.전"/>
      <sheetName val="공사내역"/>
      <sheetName val="일용직내역"/>
      <sheetName val="재집"/>
      <sheetName val="건축원가계산서"/>
      <sheetName val="0226"/>
      <sheetName val="Customer_Databas1"/>
      <sheetName val="BOQ_실행10_91"/>
      <sheetName val="1차_내역서1"/>
      <sheetName val="Sheet2_(2)1"/>
      <sheetName val="DESIGN_CRITERIA1"/>
      <sheetName val="코스모공장_(어음)"/>
      <sheetName val="신고서_전"/>
      <sheetName val="경산"/>
      <sheetName val="건축(충일분)"/>
      <sheetName val="작성"/>
      <sheetName val="저"/>
      <sheetName val="직노"/>
      <sheetName val="예산M12A"/>
      <sheetName val="기초자료입력"/>
      <sheetName val="Tender Summary"/>
      <sheetName val="hvac(제어동)"/>
      <sheetName val="준공정산"/>
      <sheetName val="평가데이터"/>
      <sheetName val="터파기및재료"/>
      <sheetName val="EKOG10건축"/>
      <sheetName val="범례표"/>
      <sheetName val="원가"/>
      <sheetName val="3월팀계 "/>
      <sheetName val="UR2-Calculation"/>
      <sheetName val="공사원가계산서"/>
      <sheetName val="도급예산내역서총괄표"/>
      <sheetName val="지급어음(일별)"/>
      <sheetName val="노원열병합  건축공사기성내역서"/>
      <sheetName val="Baby일위대가"/>
      <sheetName val="갑지(추정)"/>
      <sheetName val="DATE"/>
      <sheetName val="INPUT"/>
      <sheetName val="납부서"/>
      <sheetName val="VENDOR LIST"/>
      <sheetName val="실행(ALT1)"/>
      <sheetName val="주소"/>
      <sheetName val="견적서"/>
      <sheetName val="협조전"/>
      <sheetName val="BUS제원1"/>
      <sheetName val="Build Up"/>
      <sheetName val="database"/>
      <sheetName val="Sheet5"/>
      <sheetName val="소운반"/>
      <sheetName val="단"/>
      <sheetName val="주요항목별"/>
      <sheetName val="변동인원"/>
      <sheetName val="차액보증"/>
      <sheetName val="인원계획-미화"/>
      <sheetName val="Cash Flows"/>
      <sheetName val="Area"/>
      <sheetName val="BDGTCE"/>
      <sheetName val="Building Input"/>
      <sheetName val="총괄내역서"/>
      <sheetName val="단가산출1"/>
      <sheetName val="단가산출2"/>
      <sheetName val="I一般比"/>
      <sheetName val="Ⅴ-2.공종별내역"/>
      <sheetName val="인건비"/>
      <sheetName val="1.설계조건"/>
      <sheetName val="내부부하"/>
      <sheetName val="물가시세"/>
      <sheetName val="밸브설치"/>
      <sheetName val="경비_원본"/>
      <sheetName val="CON'C"/>
      <sheetName val="실행"/>
      <sheetName val="G004601"/>
      <sheetName val="구조물공"/>
      <sheetName val="부대공"/>
      <sheetName val="배수공"/>
      <sheetName val="토공"/>
      <sheetName val="포장공"/>
      <sheetName val="예산M5A"/>
      <sheetName val="약품공급2"/>
      <sheetName val="을"/>
      <sheetName val="내역"/>
      <sheetName val="200"/>
      <sheetName val="식재인부"/>
      <sheetName val="물량표"/>
      <sheetName val="적용률"/>
      <sheetName val="Sheet2"/>
      <sheetName val="code"/>
      <sheetName val="dtxl"/>
      <sheetName val="단가"/>
      <sheetName val="자판실행"/>
      <sheetName val="F4-F7"/>
      <sheetName val="CASHFLOW"/>
      <sheetName val="Collateral"/>
      <sheetName val="cover "/>
      <sheetName val="제출"/>
      <sheetName val="제출 (2)"/>
      <sheetName val="compare"/>
      <sheetName val="XXXXXX"/>
      <sheetName val="공사일보"/>
      <sheetName val="교통대책내역"/>
      <sheetName val="지질조사"/>
      <sheetName val="#3_일위대가목록"/>
      <sheetName val="101동"/>
      <sheetName val="조명율표"/>
      <sheetName val="중기"/>
      <sheetName val="단가일람"/>
      <sheetName val="조경일람"/>
      <sheetName val="4.전기"/>
      <sheetName val="품셈TABLE"/>
      <sheetName val="바닥판"/>
      <sheetName val="입력DATA"/>
      <sheetName val="내역서(전기)"/>
      <sheetName val="간접1"/>
      <sheetName val="장비내역"/>
      <sheetName val="잡철물"/>
      <sheetName val="입력"/>
      <sheetName val="cover_"/>
      <sheetName val="제출_(2)"/>
      <sheetName val="4_전기"/>
      <sheetName val="2000년1차"/>
      <sheetName val="DB"/>
      <sheetName val="일위대가표"/>
      <sheetName val="환산"/>
      <sheetName val="내역서1"/>
      <sheetName val="기본사항"/>
      <sheetName val="인부신상자료"/>
      <sheetName val="토목주소"/>
      <sheetName val="cover_1"/>
      <sheetName val="제출_(2)1"/>
      <sheetName val="4_전기1"/>
      <sheetName val="8-1"/>
      <sheetName val="내역전기"/>
      <sheetName val="제품목록"/>
      <sheetName val="실행(1)"/>
      <sheetName val="98지급계획"/>
      <sheetName val="전사계"/>
      <sheetName val="공사착공계"/>
      <sheetName val="DI1"/>
      <sheetName val="원가계산"/>
      <sheetName val="진주방향"/>
      <sheetName val="일 위 목 록 표"/>
      <sheetName val="자료"/>
      <sheetName val="시운전연료"/>
      <sheetName val="산출내역서"/>
      <sheetName val="2000전체분"/>
      <sheetName val="99년하반기"/>
      <sheetName val="유림총괄"/>
      <sheetName val="단가비교"/>
      <sheetName val="전기혼잡제경비(45)"/>
      <sheetName val="종배수관면벽구"/>
      <sheetName val="입찰보고"/>
      <sheetName val="조명일위"/>
      <sheetName val="Total"/>
      <sheetName val="건축내역"/>
      <sheetName val="공기압축기실"/>
      <sheetName val="차수"/>
      <sheetName val="공사개요"/>
      <sheetName val="집계표"/>
      <sheetName val="간접비계산"/>
      <sheetName val="자재단가비교표"/>
      <sheetName val="잡비"/>
      <sheetName val="실행내역"/>
      <sheetName val="간접"/>
      <sheetName val="목록"/>
      <sheetName val="총괄표"/>
      <sheetName val="선급비용"/>
      <sheetName val="Macro(MCC)"/>
      <sheetName val="정보"/>
      <sheetName val="#2_일위대가목록"/>
      <sheetName val="기존단가 (2)"/>
      <sheetName val="일반부표"/>
      <sheetName val="현우실적"/>
      <sheetName val="산출내역서집계표"/>
      <sheetName val="97년 추정"/>
      <sheetName val="BSD (2)"/>
      <sheetName val="추가예산"/>
      <sheetName val="조직"/>
      <sheetName val="BOJUNGGM"/>
      <sheetName val="경비"/>
      <sheetName val=" 냉각수펌프"/>
      <sheetName val="구의33고"/>
      <sheetName val="sheets"/>
      <sheetName val="BOQ-1"/>
      <sheetName val="BANG TONG HOP (2)"/>
      <sheetName val="분석"/>
      <sheetName val="단중표"/>
      <sheetName val="MATRLDATA"/>
      <sheetName val="단가표"/>
      <sheetName val="견적을지"/>
      <sheetName val="EJ"/>
      <sheetName val="전기공사"/>
      <sheetName val="ACCESS FLOOR"/>
      <sheetName val="4 LINE"/>
      <sheetName val="7 th"/>
      <sheetName val="건설"/>
      <sheetName val="GRDBS"/>
      <sheetName val="확산동"/>
      <sheetName val="Y-WORK"/>
      <sheetName val="노무비"/>
      <sheetName val="상반기손익차2총괄"/>
      <sheetName val="CAPVC"/>
      <sheetName val="약품설비"/>
      <sheetName val="서울대규장각(가시설흙막이)"/>
      <sheetName val="danga"/>
      <sheetName val="ilch"/>
      <sheetName val="DATA"/>
      <sheetName val="금액"/>
      <sheetName val="환경기계공정표 (3)"/>
      <sheetName val="Apt내역"/>
      <sheetName val="미장"/>
      <sheetName val="철골"/>
      <sheetName val="Customer_Databas2"/>
      <sheetName val="BOQ_실행10_92"/>
      <sheetName val="1차_내역서2"/>
      <sheetName val="Sheet2_(2)2"/>
      <sheetName val="DESIGN_CRITERIA2"/>
      <sheetName val="코스모공장_(어음)1"/>
      <sheetName val="신고서_전1"/>
      <sheetName val="노원열병합__건축공사기성내역서"/>
      <sheetName val="3월팀계_"/>
      <sheetName val="VENDOR_LIST"/>
      <sheetName val="Tender_Summary"/>
      <sheetName val="Build_Up"/>
      <sheetName val="Cash_Flows"/>
      <sheetName val="Building_Input"/>
      <sheetName val="Ⅴ-2_공종별내역"/>
      <sheetName val="1_설계조건"/>
      <sheetName val="cover_2"/>
      <sheetName val="제출_(2)2"/>
      <sheetName val="4_전기2"/>
      <sheetName val="일_위_목_록_표"/>
      <sheetName val="기존단가_(2)"/>
      <sheetName val="97년_추정"/>
      <sheetName val="BSD_(2)"/>
      <sheetName val="식재"/>
      <sheetName val="시설물"/>
      <sheetName val="식재출력용"/>
      <sheetName val="유지관리"/>
      <sheetName val="BOQ건축"/>
      <sheetName val="현장경상비"/>
      <sheetName val="관접합및부설"/>
      <sheetName val="물량산출"/>
      <sheetName val="수량산출서"/>
      <sheetName val="기초단가"/>
      <sheetName val="FAB별"/>
      <sheetName val="FACTOR"/>
      <sheetName val="sun"/>
      <sheetName val="FRP배관단가(만수)"/>
      <sheetName val="만수배관단가"/>
      <sheetName val="공종구간"/>
      <sheetName val="Macro(전기)"/>
      <sheetName val="현장관리비"/>
      <sheetName val="말뚝지지력산정"/>
      <sheetName val="음료실행"/>
      <sheetName val="견적"/>
      <sheetName val="견적내역"/>
      <sheetName val="2공구산출내역"/>
      <sheetName val="설변물량"/>
      <sheetName val="요율"/>
      <sheetName val="ASEM내역"/>
      <sheetName val="Sheet4"/>
      <sheetName val="전사집계"/>
      <sheetName val="기타투자자산LS1."/>
      <sheetName val="고정자산원본"/>
      <sheetName val="도급실행(본관-주차장)"/>
      <sheetName val="옹벽"/>
      <sheetName val="현장"/>
      <sheetName val="폐수토목내역서"/>
      <sheetName val="실행철강하도"/>
      <sheetName val="NEWDRAW"/>
      <sheetName val="ITEM"/>
      <sheetName val="Customer_Databas4"/>
      <sheetName val="BOQ_실행10_94"/>
      <sheetName val="1차_내역서4"/>
      <sheetName val="Sheet2_(2)4"/>
      <sheetName val="DESIGN_CRITERIA4"/>
      <sheetName val="코스모공장_(어음)3"/>
      <sheetName val="신고서_전3"/>
      <sheetName val="Tender_Summary2"/>
      <sheetName val="3월팀계_2"/>
      <sheetName val="노원열병합__건축공사기성내역서2"/>
      <sheetName val="VENDOR_LIST2"/>
      <sheetName val="Build_Up2"/>
      <sheetName val="Cash_Flows2"/>
      <sheetName val="Building_Input2"/>
      <sheetName val="Ⅴ-2_공종별내역2"/>
      <sheetName val="1_설계조건2"/>
      <sheetName val="cover_4"/>
      <sheetName val="제출_(2)4"/>
      <sheetName val="4_전기4"/>
      <sheetName val="일_위_목_록_표2"/>
      <sheetName val="기존단가_(2)2"/>
      <sheetName val="97년_추정2"/>
      <sheetName val="BSD_(2)2"/>
      <sheetName val="_냉각수펌프1"/>
      <sheetName val="ACCESS_FLOOR1"/>
      <sheetName val="4_LINE1"/>
      <sheetName val="7_th1"/>
      <sheetName val="BANG_TONG_HOP_(2)1"/>
      <sheetName val="환경기계공정표_(3)1"/>
      <sheetName val="Customer_Databas3"/>
      <sheetName val="BOQ_실행10_93"/>
      <sheetName val="1차_내역서3"/>
      <sheetName val="Sheet2_(2)3"/>
      <sheetName val="DESIGN_CRITERIA3"/>
      <sheetName val="코스모공장_(어음)2"/>
      <sheetName val="신고서_전2"/>
      <sheetName val="Tender_Summary1"/>
      <sheetName val="3월팀계_1"/>
      <sheetName val="노원열병합__건축공사기성내역서1"/>
      <sheetName val="VENDOR_LIST1"/>
      <sheetName val="Build_Up1"/>
      <sheetName val="Cash_Flows1"/>
      <sheetName val="Building_Input1"/>
      <sheetName val="Ⅴ-2_공종별내역1"/>
      <sheetName val="1_설계조건1"/>
      <sheetName val="cover_3"/>
      <sheetName val="제출_(2)3"/>
      <sheetName val="4_전기3"/>
      <sheetName val="일_위_목_록_표1"/>
      <sheetName val="기존단가_(2)1"/>
      <sheetName val="97년_추정1"/>
      <sheetName val="BSD_(2)1"/>
      <sheetName val="_냉각수펌프"/>
      <sheetName val="ACCESS_FLOOR"/>
      <sheetName val="4_LINE"/>
      <sheetName val="7_th"/>
      <sheetName val="BANG_TONG_HOP_(2)"/>
      <sheetName val="환경기계공정표_(3)"/>
      <sheetName val="내역(입찰)"/>
      <sheetName val="내역_FIɌ_x0000_"/>
      <sheetName val="일산실행내역"/>
      <sheetName val="TYPE-A"/>
      <sheetName val="ELECTRIC"/>
      <sheetName val="3.공통공사대비"/>
      <sheetName val="CAP"/>
      <sheetName val="dV&amp;Cl"/>
      <sheetName val="변수"/>
      <sheetName val="F-T Voltage"/>
      <sheetName val="전압하강"/>
      <sheetName val="R"/>
      <sheetName val="S631_HEI"/>
      <sheetName val="guard(mac)"/>
      <sheetName val="부속동"/>
      <sheetName val="재료집계"/>
      <sheetName val="구분자"/>
      <sheetName val="자재"/>
      <sheetName val="이니스프리 마트_입찰견적서_풀기획디자인_서동현 수정_13"/>
      <sheetName val="Customer_Databas5"/>
      <sheetName val="BOQ_실행10_95"/>
      <sheetName val="1차_내역서5"/>
      <sheetName val="Sheet2_(2)5"/>
      <sheetName val="DESIGN_CRITERIA5"/>
      <sheetName val="1_설계조건3"/>
      <sheetName val="코스모공장_(어음)4"/>
      <sheetName val="신고서_전4"/>
      <sheetName val="3월팀계_3"/>
      <sheetName val="노원열병합__건축공사기성내역서3"/>
      <sheetName val="VENDOR_LIST3"/>
      <sheetName val="Tender_Summary3"/>
      <sheetName val="Build_Up3"/>
      <sheetName val="Cash_Flows3"/>
      <sheetName val="Building_Input3"/>
      <sheetName val="Ⅴ-2_공종별내역3"/>
      <sheetName val="cover_5"/>
      <sheetName val="제출_(2)5"/>
      <sheetName val="4_전기5"/>
      <sheetName val="일_위_목_록_표3"/>
      <sheetName val="기존단가_(2)3"/>
      <sheetName val="97년_추정3"/>
      <sheetName val="BSD_(2)3"/>
      <sheetName val="_냉각수펌프2"/>
      <sheetName val="ACCESS_FLOOR2"/>
      <sheetName val="4_LINE2"/>
      <sheetName val="7_th2"/>
      <sheetName val="BANG_TONG_HOP_(2)2"/>
      <sheetName val="환경기계공정표_(3)2"/>
      <sheetName val="기타투자자산LS1_"/>
      <sheetName val="차도조도계산"/>
      <sheetName val="노임이"/>
      <sheetName val="01"/>
      <sheetName val="금융비용"/>
      <sheetName val="날개벽수량표"/>
      <sheetName val="예산총괄"/>
      <sheetName val="LD"/>
      <sheetName val="13LPMCC"/>
      <sheetName val="SG"/>
      <sheetName val="완성차 미수금"/>
      <sheetName val="Office only Letup"/>
      <sheetName val="Sheet3 (2)"/>
      <sheetName val="S&amp;R"/>
      <sheetName val="Sheet16"/>
      <sheetName val="청주-교대(A1)"/>
      <sheetName val="1련박스"/>
      <sheetName val="설비"/>
      <sheetName val="프랜트면허"/>
      <sheetName val="적용환율"/>
      <sheetName val="전기"/>
      <sheetName val="21301동"/>
      <sheetName val="재료"/>
      <sheetName val="방배동내역(리라)"/>
      <sheetName val="현장경비"/>
      <sheetName val="건축공사집계표"/>
      <sheetName val="조경"/>
      <sheetName val="경비2내역"/>
      <sheetName val="ET2TOT"/>
      <sheetName val="FC-01"/>
      <sheetName val="FC-06"/>
      <sheetName val="CONCRETE"/>
      <sheetName val="정부노임단가"/>
      <sheetName val="시화점실행"/>
      <sheetName val="ITB COST"/>
      <sheetName val="FRP내역서"/>
      <sheetName val="설계조건"/>
      <sheetName val="kimre scrubber"/>
      <sheetName val="물량산출근거"/>
      <sheetName val="LINELEV4"/>
      <sheetName val="MEMORY"/>
      <sheetName val="2-3.V.D일위"/>
      <sheetName val="네고율"/>
      <sheetName val="YM-IL1"/>
      <sheetName val="도장면"/>
      <sheetName val="계수시트"/>
      <sheetName val="20관리비율"/>
      <sheetName val="산업"/>
      <sheetName val="CTEMCOST"/>
      <sheetName val="Main"/>
      <sheetName val="WORK"/>
      <sheetName val="견적대비표"/>
      <sheetName val="코드"/>
      <sheetName val="연돌일위집계"/>
      <sheetName val="cable-data"/>
      <sheetName val="1.우편집중내역서"/>
      <sheetName val="예총"/>
      <sheetName val="단면가정"/>
      <sheetName val="COA-17"/>
      <sheetName val="C-18"/>
      <sheetName val="준공내역"/>
      <sheetName val=" HIT-&gt;HMC 견적(3900)"/>
      <sheetName val="공문"/>
      <sheetName val="2002년"/>
      <sheetName val="CDTK"/>
      <sheetName val="CDPS"/>
      <sheetName val="controll"/>
      <sheetName val="원가계산서"/>
      <sheetName val="분석표_아파트동"/>
      <sheetName val="분석표_부속동"/>
      <sheetName val="자금운용계획표"/>
      <sheetName val="부서코드표"/>
      <sheetName val="집계"/>
      <sheetName val="소방"/>
      <sheetName val="세부내역"/>
      <sheetName val="표지"/>
      <sheetName val="AR1.01"/>
      <sheetName val="PS3-01(3-1)"/>
      <sheetName val="."/>
      <sheetName val="선급금신청서"/>
      <sheetName val="노임"/>
      <sheetName val="건축"/>
      <sheetName val="제품원재"/>
      <sheetName val="3련 BOX"/>
      <sheetName val="단가조사-2"/>
      <sheetName val="단가대비표"/>
      <sheetName val="공비대비"/>
      <sheetName val="_1"/>
      <sheetName val="_"/>
      <sheetName val="조명시설"/>
      <sheetName val="본장"/>
      <sheetName val="RD제품개발투자비(매가)"/>
      <sheetName val="광혁기성"/>
      <sheetName val="제이스_일위대가표"/>
      <sheetName val="전체"/>
      <sheetName val="3월연장근무"/>
      <sheetName val="wall"/>
      <sheetName val=" 견적서"/>
      <sheetName val="공사내역_08월"/>
      <sheetName val="APT"/>
      <sheetName val=" HIT-&gt;HMC 견적(39砐7ﾈ"/>
      <sheetName val=" HIT-&gt;HMC 견적(39ﾈȜ萹"/>
      <sheetName val=" HIT-&gt;HMC 견적(39ﾈʅ萹"/>
      <sheetName val=" HIT-&gt;HMC 견적(39_x0000__x0000__x0005_"/>
      <sheetName val="Tables"/>
      <sheetName val="crews"/>
      <sheetName val="Macro Codes"/>
      <sheetName val="토목"/>
      <sheetName val="시설총괄"/>
      <sheetName val=" HIT-&gt;HMC 견적(39׃⼫_x0000_"/>
      <sheetName val=" HIT-&gt;HMC 견적(39_x0010__x0000_쯐"/>
      <sheetName val="유기공정"/>
      <sheetName val="연결임시"/>
      <sheetName val=" HIT-&gt;HMC 견적(39_x0000__x0000_ᡐ"/>
      <sheetName val=" HIT-&gt;HMC 견적(39_x0000__x0000_剨"/>
      <sheetName val=" HIT-&gt;HMC 견적(39泠⿡_x0000_"/>
      <sheetName val=" HIT-&gt;HMC 견적(39㦨$⅐"/>
      <sheetName val=" HIT-&gt;HMC 견적(39ꝸま_x0000_"/>
      <sheetName val=" HIT-&gt;HMC 견적(39쿸ぬ_x0000_"/>
      <sheetName val=" HIT-&gt;HMC 견적(39ᒰɳ꣔"/>
      <sheetName val=" HIT-&gt;HMC 견적(39乍ã"/>
      <sheetName val="대전월평내역"/>
      <sheetName val="기별수량산출서"/>
      <sheetName val=" HIT-&gt;HMC 견적(39篰4ﾈ"/>
      <sheetName val=" HIT-&gt;HMC 견적(39㛬țᓠ"/>
      <sheetName val=" HIT-&gt;HMC 견적(39㛬ț㜠"/>
      <sheetName val=" HIT-&gt;HMC 견적(39㛬Y괨"/>
      <sheetName val=" HIT-&gt;HMC 견적(39結.ﾈ"/>
      <sheetName val="2.대외공문"/>
      <sheetName val="P-산#1-1(WOWA1)"/>
      <sheetName val="개산공사비"/>
      <sheetName val="설계명세서"/>
      <sheetName val="일위대가표 (2)"/>
      <sheetName val="Sheet3_(2)"/>
      <sheetName val="Office_only_Letup"/>
      <sheetName val="Annex C - 1 - Cash"/>
      <sheetName val=" HIT-&gt;HMC_x0000__x0000_Ԁ_x0000_뀀䴅扶_x0002__x0000_"/>
      <sheetName val=" HIT-&gt;HMC_x0000__x0000_Ԁ_x0000_婙_x0002__x0000_"/>
      <sheetName val=" HIT-&gt;HMC_x0000__x0000_Ԁ_x0000_ꀀ㡠扸_x0002__x0000_"/>
      <sheetName val=" HIT-&gt;HMC_x0000__x0000_Ԁ_x0000_　躌婡_x0002__x0000_"/>
      <sheetName val=" HIT-&gt;HMC_x0000__x0000_Ԁ_x0000_ꀀ섮婡_x0002__x0000_"/>
      <sheetName val="6월실적"/>
      <sheetName val="산출근거"/>
      <sheetName val="첨부파일"/>
      <sheetName val="G.R300경비"/>
      <sheetName val="설계산출기초"/>
      <sheetName val="을부담운반비"/>
      <sheetName val="설계산출표지"/>
      <sheetName val="운반비산출"/>
      <sheetName val="구천"/>
      <sheetName val="건축집계표"/>
      <sheetName val="소일위대가코드표"/>
      <sheetName val="00내역서"/>
      <sheetName val="내역_FIɌ_x005f_x0000_"/>
      <sheetName val="FD"/>
      <sheetName val="현장관리비데이타"/>
      <sheetName val="기본 상수"/>
      <sheetName val="완성차_미수금"/>
      <sheetName val=" HIT-&gt;HMC 견적(39þର"/>
      <sheetName val="9GNG운반"/>
      <sheetName val="단가(1)"/>
      <sheetName val="연령현황"/>
      <sheetName val="감가상각"/>
      <sheetName val="재무가정"/>
      <sheetName val="CostData"/>
      <sheetName val="IncomeData"/>
      <sheetName val="PropertyData"/>
      <sheetName val="공_x0000_"/>
      <sheetName val=" HIT-&gt;HMC 견적(39"/>
      <sheetName val=" HIT-&gt;HMC 견적(39_x0010_"/>
      <sheetName val="11"/>
      <sheetName val="하조서"/>
      <sheetName val=" HIT-&gt;HMC"/>
      <sheetName val="direct"/>
      <sheetName val="wage"/>
      <sheetName val="03전반노무비"/>
      <sheetName val="내역_FIɌ?"/>
      <sheetName val="유림골조"/>
      <sheetName val="비교1"/>
      <sheetName val="건축내역서"/>
      <sheetName val="FC-101"/>
      <sheetName val="첨"/>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sheetData sheetId="546"/>
      <sheetData sheetId="547"/>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예산서"/>
      <sheetName val="NAV000"/>
      <sheetName val="실행"/>
      <sheetName val="예산"/>
      <sheetName val="집계"/>
      <sheetName val="45,46"/>
      <sheetName val="제출견적(을)"/>
      <sheetName val="내역"/>
      <sheetName val="BSD (2)"/>
      <sheetName val="수입"/>
      <sheetName val="b_gunmul"/>
      <sheetName val="b_balju (2)"/>
      <sheetName val="소비자가"/>
      <sheetName val="차액보증"/>
      <sheetName val="데이타"/>
      <sheetName val="DATA"/>
      <sheetName val="금액집계"/>
      <sheetName val="Customer Databas"/>
      <sheetName val="갑지"/>
      <sheetName val="을"/>
      <sheetName val="기계내역"/>
      <sheetName val="내역서"/>
      <sheetName val="배관증축"/>
      <sheetName val="공사개요"/>
      <sheetName val="TEL"/>
      <sheetName val="보일러"/>
      <sheetName val="#REF"/>
      <sheetName val="원가"/>
      <sheetName val="노원열병합  건축공사기성내역서"/>
      <sheetName val="갑지(추정)"/>
      <sheetName val="BSD_(2)"/>
      <sheetName val="b_balju_(2)"/>
      <sheetName val="Customer_Databas"/>
      <sheetName val="설계명세서"/>
      <sheetName val="견적서"/>
      <sheetName val="관람석제출"/>
      <sheetName val="ilch"/>
      <sheetName val="설계내역서"/>
      <sheetName val="3BL공동구 수량"/>
      <sheetName val="Sheet1"/>
      <sheetName val="ITEM"/>
      <sheetName val="협조전"/>
      <sheetName val="주식"/>
      <sheetName val="삼성전기"/>
      <sheetName val="Sheet1 (2)"/>
      <sheetName val="1차 내역서"/>
      <sheetName val="경산"/>
      <sheetName val="1단계"/>
      <sheetName val="Sheet1(X)"/>
      <sheetName val="PROJECT BRIEF"/>
      <sheetName val="약품공급2"/>
      <sheetName val="물량표"/>
      <sheetName val="dg"/>
      <sheetName val=" 견적서"/>
      <sheetName val="날개벽(좌,우=45도,75도)"/>
      <sheetName val="금액"/>
      <sheetName val="design criteria"/>
      <sheetName val="plan&amp;section of foundation"/>
      <sheetName val="수량산출서"/>
      <sheetName val="Sheet17"/>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갑지 (3)"/>
      <sheetName val="내역"/>
      <sheetName val="을"/>
      <sheetName val="화재 탐지 설비"/>
      <sheetName val="연수동"/>
      <sheetName val="터널조도"/>
      <sheetName val="KT수도권 고객1센타 "/>
      <sheetName val="copy"/>
      <sheetName val="DATE"/>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불.요약"/>
      <sheetName val="보유.연령"/>
      <sheetName val="열령別"/>
      <sheetName val="잔여지"/>
      <sheetName val="99지급.요약"/>
      <sheetName val="98지급계획"/>
      <sheetName val="총괄표"/>
      <sheetName val="지사별 현황"/>
      <sheetName val="주택용지내역"/>
      <sheetName val="사업개발용지내역"/>
      <sheetName val="잔여지내역"/>
      <sheetName val="TYPE-B 평균H"/>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전기공사원가"/>
      <sheetName val="공사비총괄표"/>
      <sheetName val="공사비집계표"/>
      <sheetName val="인입선로공사"/>
      <sheetName val="수배전반 설비공사"/>
      <sheetName val="케이블 포설공사"/>
      <sheetName val="전선로 설치공사"/>
      <sheetName val="전등 및 전열설비"/>
      <sheetName val="접지 및 피뢰설비"/>
      <sheetName val="방송 설비"/>
      <sheetName val="PAGING 설비"/>
      <sheetName val="전화 설비"/>
      <sheetName val="TV 설비"/>
      <sheetName val="시계설비"/>
      <sheetName val="화재 탐지 설비"/>
      <sheetName val="옥외설비공사"/>
      <sheetName val="일위대가"/>
      <sheetName val="자재"/>
      <sheetName val="견적"/>
      <sheetName val="산출근거 "/>
      <sheetName val="노무비"/>
      <sheetName val="표지"/>
      <sheetName val="예비품 "/>
      <sheetName val="특수공구"/>
      <sheetName val="갑지"/>
      <sheetName val="내역"/>
      <sheetName val="전도금정산서(27)"/>
      <sheetName val="BCK3672"/>
      <sheetName val="수배전반_설비공사"/>
      <sheetName val="케이블_포설공사"/>
      <sheetName val="전선로_설치공사"/>
      <sheetName val="전등_및_전열설비"/>
      <sheetName val="접지_및_피뢰설비"/>
      <sheetName val="방송_설비"/>
      <sheetName val="PAGING_설비"/>
      <sheetName val="전화_설비"/>
      <sheetName val="TV_설비"/>
      <sheetName val="화재_탐지_설비"/>
      <sheetName val="산출근거_"/>
      <sheetName val="예비품_"/>
      <sheetName val="Piping Design Data"/>
      <sheetName val="asd"/>
      <sheetName val="상세공정율표"/>
      <sheetName val="shcwae01"/>
      <sheetName val="Customer Databas"/>
      <sheetName val="수량산출"/>
      <sheetName val="PART_DISCOUNT"/>
      <sheetName val="평형공사비"/>
      <sheetName val="POOM_MOTO"/>
      <sheetName val="POOM_MOTO2"/>
      <sheetName val="Total"/>
      <sheetName val="터널조도"/>
      <sheetName val="Sheet1"/>
      <sheetName val="MOTOR"/>
      <sheetName val="우수"/>
      <sheetName val="98지급계획"/>
      <sheetName val="단"/>
      <sheetName val="실행"/>
      <sheetName val="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예산서"/>
      <sheetName val="NAV000"/>
      <sheetName val="실행"/>
      <sheetName val="예산"/>
      <sheetName val="집계"/>
      <sheetName val="전도금정산서(27)"/>
      <sheetName val="내역"/>
      <sheetName val="화재 탐지 설비"/>
      <sheetName val="5.전사투자계획종함안"/>
      <sheetName val="표지"/>
      <sheetName val="OD5000"/>
      <sheetName val="약품공급2"/>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대외공문"/>
      <sheetName val="hori. vessel(E-895)"/>
      <sheetName val="부재력정리"/>
      <sheetName val="시산표"/>
    </sheetNames>
    <sheetDataSet>
      <sheetData sheetId="0"/>
      <sheetData sheetId="1" refreshError="1"/>
      <sheetData sheetId="2" refreshError="1"/>
      <sheetData sheetId="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약품공급2"/>
      <sheetName val="견"/>
      <sheetName val="DATA"/>
      <sheetName val="Totowa commitment"/>
      <sheetName val="화재 탐지 설비"/>
      <sheetName val="예정(3)"/>
      <sheetName val="J直材4"/>
      <sheetName val="3.하중산정4.지지력"/>
      <sheetName val="일위대가"/>
      <sheetName val="공사원가계산서"/>
      <sheetName val="P-산#1-1(WOWA1)"/>
      <sheetName val="예산서"/>
      <sheetName val="원가계산서"/>
      <sheetName val="내역"/>
      <sheetName val="갑지(추정)"/>
      <sheetName val="평형공사비"/>
      <sheetName val="7.경제성결과"/>
      <sheetName val="집수정(600-700)"/>
      <sheetName val="2.대외공문"/>
      <sheetName val="DNT OSBL"/>
      <sheetName val="표지"/>
      <sheetName val="POOM_MOTO"/>
      <sheetName val="POOM_MOTO2"/>
      <sheetName val="GODO"/>
      <sheetName val="Macro1"/>
      <sheetName val="1.동력공사"/>
      <sheetName val="DATE"/>
      <sheetName val="기기리스트"/>
      <sheetName val="일위"/>
      <sheetName val="Requirement(Work Crew)"/>
      <sheetName val="Sheet1"/>
      <sheetName val="인부신상자료"/>
      <sheetName val="내역1"/>
      <sheetName val="EQT-ESTN"/>
      <sheetName val="Totowa_commitment"/>
      <sheetName val="화재_탐지_설비"/>
      <sheetName val="3_하중산정4_지지력"/>
      <sheetName val="건축집계"/>
      <sheetName val="계수시트"/>
      <sheetName val="단가산출"/>
      <sheetName val="bm(CIcable)"/>
      <sheetName val="일위(PN)"/>
      <sheetName val="CTEMCOST"/>
      <sheetName val="종배수관"/>
      <sheetName val="9GNG운반"/>
      <sheetName val="물량산출"/>
      <sheetName val="지수"/>
      <sheetName val="1공구 건정토건 토공"/>
      <sheetName val="2000년1차"/>
      <sheetName val="2000전체분"/>
      <sheetName val="내역서"/>
      <sheetName val="01"/>
      <sheetName val="원가계산"/>
      <sheetName val="단위세대물량"/>
      <sheetName val="48일위(기존)"/>
      <sheetName val="S0"/>
      <sheetName val="실행철강하도"/>
      <sheetName val="1을"/>
      <sheetName val="주경기-오배수"/>
      <sheetName val="매입세"/>
      <sheetName val="원형1호맨홀토공수량"/>
      <sheetName val="갑지"/>
      <sheetName val="자재단가"/>
      <sheetName val="CAT_5"/>
      <sheetName val="일위대가목차"/>
      <sheetName val="날개벽"/>
      <sheetName val="총괄"/>
      <sheetName val="현장관리비 산출내역"/>
      <sheetName val="공사개요"/>
      <sheetName val="PROJECT BRIEF"/>
      <sheetName val="DATA(VTL)"/>
      <sheetName val="교각계산"/>
      <sheetName val="G.R300경비"/>
      <sheetName val="내역서1"/>
      <sheetName val="GI-LIST"/>
      <sheetName val="한일양산"/>
      <sheetName val="입고장부 (4)"/>
      <sheetName val="구조물철거타공정이월"/>
      <sheetName val="일위대가 "/>
      <sheetName val="노임"/>
      <sheetName val="1호토공"/>
      <sheetName val="C3"/>
      <sheetName val="연부97-1"/>
      <sheetName val="보할공정"/>
      <sheetName val="woo(mac)"/>
      <sheetName val="터파기및재료"/>
      <sheetName val="가도공"/>
      <sheetName val="노임조서"/>
      <sheetName val="N賃率-職"/>
      <sheetName val="UNIT"/>
      <sheetName val="제출내역 (2)"/>
      <sheetName val="상-교대(A1-A2)"/>
      <sheetName val="퍼스트"/>
      <sheetName val="자재"/>
      <sheetName val="토공연장"/>
      <sheetName val="5.정산서"/>
      <sheetName val="토공총괄표"/>
      <sheetName val="#REF"/>
      <sheetName val="단면가정"/>
      <sheetName val="인원"/>
      <sheetName val="표층포설및다짐"/>
      <sheetName val="인부노임"/>
      <sheetName val="지장물C"/>
      <sheetName val="말뚝지지력산정"/>
      <sheetName val="(A)내역서"/>
      <sheetName val="배수공1"/>
      <sheetName val="지하"/>
      <sheetName val="건축내역서"/>
      <sheetName val="집계표"/>
      <sheetName val="설비내역서"/>
      <sheetName val="전기내역서"/>
      <sheetName val="급여"/>
      <sheetName val="밸브설치"/>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수량집계(본역사)"/>
      <sheetName val="수량집계(임시역사)"/>
      <sheetName val="수량산출(TV)"/>
      <sheetName val="DATA-UPS"/>
      <sheetName val="일위단가"/>
      <sheetName val="사통"/>
      <sheetName val="22수량"/>
      <sheetName val="맨홀수량산출"/>
      <sheetName val="상 부"/>
      <sheetName val="관급자재"/>
      <sheetName val="NOMUBI"/>
      <sheetName val="sw1"/>
      <sheetName val="일위집계(기존)"/>
      <sheetName val="노임단가"/>
      <sheetName val="MACRO(MCC)"/>
      <sheetName val="입출재고현황 (2)"/>
      <sheetName val="일위대가표"/>
      <sheetName val="Start"/>
      <sheetName val="중기일위대가"/>
      <sheetName val="심사공종"/>
      <sheetName val="정부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1"/>
      <sheetName val="01"/>
      <sheetName val="소비자가"/>
      <sheetName val="#REF"/>
      <sheetName val="2000년1차"/>
      <sheetName val="2000전체분"/>
      <sheetName val="총누계"/>
      <sheetName val="전기혼잡제경비(45)"/>
      <sheetName val="경비"/>
      <sheetName val="D16"/>
      <sheetName val="D25"/>
      <sheetName val="D22"/>
      <sheetName val="원가계산"/>
      <sheetName val="내역서"/>
      <sheetName val="노임이"/>
      <sheetName val="잡비"/>
      <sheetName val="P.M 별"/>
      <sheetName val="(갑지)"/>
      <sheetName val="Sheet5"/>
      <sheetName val="교통대책내역"/>
      <sheetName val="일위_파일"/>
      <sheetName val="Total"/>
      <sheetName val="견적율"/>
      <sheetName val="총괄표"/>
      <sheetName val="수량산출"/>
      <sheetName val="INPUT"/>
      <sheetName val="Sheet4"/>
      <sheetName val="3BL공동구 수량"/>
      <sheetName val="Sheet1"/>
      <sheetName val="약품공급2"/>
      <sheetName val="1.동력공사"/>
      <sheetName val="항목(1)"/>
      <sheetName val="BOOK4"/>
      <sheetName val="갑지"/>
      <sheetName val="6호기"/>
      <sheetName val="약품설비"/>
      <sheetName val="일반부표"/>
      <sheetName val="노임단가"/>
      <sheetName val="시설일위"/>
      <sheetName val="식재수량표"/>
      <sheetName val="식재일위"/>
      <sheetName val="유림골조"/>
      <sheetName val="1ST"/>
      <sheetName val="P_M_별"/>
      <sheetName val="금액내역서"/>
      <sheetName val="시멘트"/>
      <sheetName val="인제내역"/>
      <sheetName val="소일위대가코드표"/>
      <sheetName val="수목데이타_"/>
      <sheetName val="수목표준대가"/>
      <sheetName val="통장출금액"/>
      <sheetName val="대비표(토공1안)"/>
      <sheetName val="b_balju_(2)"/>
      <sheetName val="b_balju"/>
      <sheetName val="포장공사"/>
      <sheetName val="손익분석"/>
      <sheetName val="대비내역"/>
      <sheetName val="현황CODE"/>
      <sheetName val="NEWDRAW"/>
      <sheetName val="b_gunmul"/>
      <sheetName val="BID"/>
      <sheetName val="손익현황"/>
      <sheetName val="여흥"/>
      <sheetName val="중갑지"/>
      <sheetName val="3BL공동구_수량"/>
      <sheetName val="1_동력공사"/>
      <sheetName val="일반관리비"/>
      <sheetName val="조명율표"/>
      <sheetName val="DATA"/>
      <sheetName val="차도조도계산"/>
      <sheetName val="도급"/>
      <sheetName val="공구원가계산"/>
      <sheetName val="asd"/>
      <sheetName val="FURNITURE-01"/>
      <sheetName val="갑지1"/>
      <sheetName val="설계내역서"/>
      <sheetName val="N賃率-職"/>
      <sheetName val="I一般比"/>
      <sheetName val="공문"/>
      <sheetName val="업무일지 및 금액정산"/>
      <sheetName val="투자정리"/>
      <sheetName val="작성불가-지결베이스"/>
      <sheetName val="호환성 보고서"/>
      <sheetName val="부대공Ⅱ"/>
      <sheetName val="P_M_별1"/>
      <sheetName val="3BL공동구_수량1"/>
      <sheetName val="1_동력공사1"/>
      <sheetName val="CC16-내역서"/>
      <sheetName val="데이타"/>
      <sheetName val="실행간접비용"/>
      <sheetName val="실행철강하도"/>
      <sheetName val="광혁기성"/>
      <sheetName val="DATE"/>
      <sheetName val="토적계산"/>
      <sheetName val="sh1"/>
      <sheetName val="슬래브(유곡)"/>
      <sheetName val="PIPE"/>
      <sheetName val="FLANGE"/>
      <sheetName val="VALVE"/>
      <sheetName val="예가표"/>
      <sheetName val="S0"/>
      <sheetName val="에너지동"/>
      <sheetName val="와동25-3(변경)"/>
      <sheetName val="X17-TOTAL"/>
      <sheetName val="주관사업"/>
      <sheetName val="현장"/>
      <sheetName val="전기"/>
      <sheetName val="손익차9월2"/>
      <sheetName val="간접비"/>
      <sheetName val="간접1"/>
      <sheetName val="카렌스센터계량기설치공사"/>
      <sheetName val="사급자재"/>
      <sheetName val="Front"/>
      <sheetName val="wall"/>
      <sheetName val="Customer Databas"/>
      <sheetName val="전력"/>
      <sheetName val="AS복구"/>
      <sheetName val="중기터파기"/>
      <sheetName val="변수값"/>
      <sheetName val="중기상차"/>
      <sheetName val="재료집계"/>
      <sheetName val="부안일위"/>
      <sheetName val="직재"/>
      <sheetName val="재집"/>
      <sheetName val="일위"/>
      <sheetName val="TOT"/>
      <sheetName val="HP1AMLIST"/>
      <sheetName val="노임"/>
      <sheetName val="일위(PN)"/>
      <sheetName val="AHU집계"/>
      <sheetName val="공조기휀"/>
      <sheetName val="공조기"/>
      <sheetName val="산출내역서집계표"/>
      <sheetName val="신청서"/>
      <sheetName val="영업.일1"/>
      <sheetName val="Summary"/>
      <sheetName val="중기일위대가"/>
      <sheetName val="갑지(추정)"/>
      <sheetName val="견"/>
      <sheetName val="표지 (2)"/>
      <sheetName val="EQT-ESTN"/>
      <sheetName val="내역"/>
      <sheetName val="전계가"/>
      <sheetName val="설계명세서"/>
      <sheetName val="공내역"/>
      <sheetName val="TEST1.XLS"/>
      <sheetName val="화재 탐지 설비"/>
      <sheetName val="집계"/>
      <sheetName val="일위대가표"/>
      <sheetName val="청천내"/>
      <sheetName val="copy"/>
      <sheetName val="서식"/>
      <sheetName val="AILC004"/>
      <sheetName val="Summary Sheets"/>
      <sheetName val="COST"/>
      <sheetName val="지수"/>
      <sheetName val="2.대외공문"/>
      <sheetName val="단가표"/>
      <sheetName val="공사개요"/>
      <sheetName val="직노"/>
      <sheetName val="GAEYO"/>
      <sheetName val="입찰안"/>
      <sheetName val="부속동"/>
      <sheetName val="EACT10"/>
      <sheetName val="기계내역"/>
      <sheetName val="시화점실행"/>
      <sheetName val="b_balju (2)"/>
      <sheetName val="간선계산"/>
      <sheetName val="포장복구집계"/>
      <sheetName val="공사수행방안"/>
      <sheetName val="교각1"/>
      <sheetName val="수주실적0709"/>
      <sheetName val="ETC"/>
      <sheetName val="점수계산1-2"/>
      <sheetName val="수로교총재료집계"/>
      <sheetName val="남양시작동자105노65기1.3화1.2"/>
      <sheetName val="2F 회의실견적(5_14 일대)"/>
      <sheetName val="전선"/>
      <sheetName val="XXXXXX"/>
      <sheetName val="VXXXXX"/>
      <sheetName val="2월1주차"/>
      <sheetName val="공통가설"/>
      <sheetName val="조건표"/>
      <sheetName val="업무절차서"/>
      <sheetName val="근로자명부"/>
      <sheetName val="증빙SCAN"/>
      <sheetName val="근로계약서"/>
      <sheetName val="실행예산서"/>
      <sheetName val="작업지시서"/>
      <sheetName val="MEMBER"/>
      <sheetName val="일위대가"/>
      <sheetName val="단면 (2)"/>
      <sheetName val="을지"/>
      <sheetName val="공통부대비"/>
      <sheetName val="LEGEND"/>
      <sheetName val="연수동"/>
      <sheetName val="ilch"/>
      <sheetName val="차액보증"/>
      <sheetName val="DONGIA"/>
      <sheetName val="CHITIET"/>
      <sheetName val="BSD (2)"/>
      <sheetName val="예산서"/>
      <sheetName val="말뚝물량"/>
      <sheetName val="_x000d__x000a__x000d__x000a__x0000__x0003_"/>
      <sheetName val="조직"/>
      <sheetName val="개요"/>
      <sheetName val="내역1"/>
      <sheetName val="ITEM"/>
      <sheetName val="JUCK"/>
      <sheetName val="quotation"/>
      <sheetName val="9-1차이내역"/>
      <sheetName val="Customer_Databas"/>
      <sheetName val="Summary_Sheets"/>
      <sheetName val="남양시작동자105노65기1_3화1_2"/>
      <sheetName val="2F_회의실견적(5_14_일대)"/>
      <sheetName val="단면_(2)"/>
      <sheetName val="BSD_(2)"/>
      <sheetName val="_x000a__x000a_"/>
      <sheetName val="수입"/>
      <sheetName val="_x000a__x000a__x000a__x000a__x0000__x0003_"/>
      <sheetName val="열린교실"/>
      <sheetName val="FB25JN"/>
      <sheetName val="선급비용"/>
      <sheetName val="노무비"/>
      <sheetName val="표지"/>
      <sheetName val="실행내역서"/>
      <sheetName val="TABLE"/>
      <sheetName val="정부노임단가"/>
      <sheetName val="Customer_Databas1"/>
      <sheetName val="b_balju_(2)1"/>
      <sheetName val="Summary_Sheets1"/>
      <sheetName val="남양시작동자105노65기1_3화1_21"/>
      <sheetName val="2F_회의실견적(5_14_일대)1"/>
      <sheetName val="단면_(2)1"/>
      <sheetName val="BSD_(2)1"/>
      <sheetName val="판관"/>
      <sheetName val="B767"/>
      <sheetName val="guard(mac)"/>
      <sheetName val="일위대가목차"/>
      <sheetName val="기계경비(시간당)"/>
      <sheetName val="램머"/>
      <sheetName val="단가 및 재료비"/>
      <sheetName val="Sheet6"/>
      <sheetName val="SULKEA"/>
      <sheetName val="잔수량(작성)"/>
      <sheetName val="교각계산"/>
      <sheetName val="산정기준"/>
      <sheetName val="매입세"/>
      <sheetName val="전차선로 물량표"/>
      <sheetName val="구의동공내역서"/>
      <sheetName val="일반전기"/>
      <sheetName val="총투입계"/>
      <sheetName val="주요항목별"/>
      <sheetName val="단가"/>
      <sheetName val="진주방향"/>
      <sheetName val="인사자료총집계"/>
      <sheetName val="sort"/>
      <sheetName val="EKOG10건축"/>
      <sheetName val="DESIGN"/>
      <sheetName val="Macro1"/>
      <sheetName val="품셈TABLE"/>
      <sheetName val="품셈표"/>
      <sheetName val="1.설계조건"/>
      <sheetName val="자재단가비교표"/>
      <sheetName val="일위대가목록"/>
      <sheetName val="단가대비표"/>
      <sheetName val="매출"/>
      <sheetName val="2. Summary-cash"/>
      <sheetName val="2.주요계수총괄"/>
      <sheetName val="2.Summary-cash"/>
      <sheetName val="INMD1198"/>
      <sheetName val="賃料等一覧"/>
      <sheetName val="Initial Input Variable"/>
      <sheetName val="법면"/>
      <sheetName val="부대공"/>
      <sheetName val="구조물공"/>
      <sheetName val="포장공"/>
      <sheetName val="토공"/>
      <sheetName val="배수공1"/>
      <sheetName val="전압강하계산"/>
      <sheetName val="blocktime"/>
      <sheetName val="참조자료"/>
      <sheetName val="외주업체발주서(태라)"/>
      <sheetName val="대비표(현설)"/>
      <sheetName val="견적서"/>
      <sheetName val="암거공"/>
      <sheetName val="토목주소"/>
      <sheetName val="프랜트면허"/>
      <sheetName val="음료실행"/>
      <sheetName val="Sheet3"/>
      <sheetName val="Sheet2"/>
      <sheetName val="20관리비율"/>
      <sheetName val="예정(3)"/>
      <sheetName val="월별수입"/>
      <sheetName val="기초견적가"/>
      <sheetName val="준검 내역서"/>
      <sheetName val="マスタ"/>
      <sheetName val="점별(추정)"/>
      <sheetName val="재무가정"/>
      <sheetName val="2공구산출내역"/>
      <sheetName val="인원계획-미화"/>
      <sheetName val="APT"/>
      <sheetName val="실행"/>
      <sheetName val="SAKUB"/>
      <sheetName val="을"/>
      <sheetName val="총괄"/>
      <sheetName val="식재인부"/>
      <sheetName val="P_M_별2"/>
      <sheetName val="1_동력공사2"/>
      <sheetName val="3BL공동구_수량2"/>
      <sheetName val="업무일지_및_금액정산"/>
      <sheetName val="호환성_보고서"/>
      <sheetName val="Customer_Databas2"/>
      <sheetName val="영업_일1"/>
      <sheetName val="표지_(2)"/>
      <sheetName val="TEST1_XLS"/>
      <sheetName val="화재_탐지_설비"/>
      <sheetName val="Summary_Sheets2"/>
      <sheetName val="2_대외공문"/>
      <sheetName val="b_balju_(2)2"/>
      <sheetName val="남양시작동자105노65기1_3화1_22"/>
      <sheetName val="2F_회의실견적(5_14_일대)2"/>
      <sheetName val="단면_(2)2"/>
      <sheetName val="BSD_(2)2"/>
      <sheetName val="_x000a__x000a__x000a__x000a_"/>
      <sheetName val="단가_및_재료비"/>
      <sheetName val="전차선로_물량표"/>
      <sheetName val="1_설계조건"/>
      <sheetName val="2__Summary-cash"/>
      <sheetName val="2_주요계수총괄"/>
      <sheetName val="2_Summary-cash"/>
      <sheetName val="Initial_Input_Variable"/>
      <sheetName val="준검_내역서"/>
      <sheetName val="CTEMCOST"/>
      <sheetName val="빙장비사양"/>
      <sheetName val="장비사양"/>
      <sheetName val="관람석제출"/>
      <sheetName val="마산월령동골조물량변경"/>
      <sheetName val="부대내역"/>
      <sheetName val="예산명세서"/>
      <sheetName val="자료입력"/>
      <sheetName val="국내조달(통합-1)"/>
      <sheetName val="Assumptions"/>
      <sheetName val="산출기초"/>
      <sheetName val="연돌일위집계"/>
      <sheetName val="_x000d__x000a__x000d__x000a_"/>
      <sheetName val="기기리스트"/>
      <sheetName val="단"/>
      <sheetName val="날개벽"/>
      <sheetName val="중기손료"/>
      <sheetName val="품"/>
      <sheetName val="일위대가(가설)"/>
      <sheetName val="적용률"/>
      <sheetName val="설비원가"/>
      <sheetName val="수목데이타 "/>
      <sheetName val="총괄집계표"/>
      <sheetName val="9GNG운반"/>
      <sheetName val="날개벽(좌,우=60도-4개)"/>
      <sheetName val="단위가격"/>
      <sheetName val="BJ_SP3.1"/>
      <sheetName val="B부대공"/>
      <sheetName val="부재예실"/>
      <sheetName val="간접비계산"/>
      <sheetName val="예방접종계획"/>
      <sheetName val="버스운행안내"/>
      <sheetName val="근태계획서"/>
      <sheetName val="CAT_5"/>
      <sheetName val="건축집계"/>
      <sheetName val="간접경상비"/>
      <sheetName val="1안"/>
      <sheetName val="98지급계획"/>
      <sheetName val="_x000d___x000d__"/>
      <sheetName val="__"/>
      <sheetName val="____"/>
      <sheetName val="    "/>
      <sheetName val="  "/>
      <sheetName val="archi(본사)"/>
      <sheetName val="PROJECT BRIEF"/>
      <sheetName val="연결임시"/>
      <sheetName val="공사비산출내역"/>
      <sheetName val="결재판(삭제하지말아주세요)"/>
      <sheetName val="O＆P"/>
      <sheetName val="세부내역"/>
      <sheetName val="결재란"/>
      <sheetName val="단목"/>
      <sheetName val="토목수량"/>
      <sheetName val="발주품의"/>
      <sheetName val="대비표(정산)"/>
      <sheetName val="우드플로링 바닥 마감 자재 내역"/>
      <sheetName val="추가납품"/>
      <sheetName val="대비표(최종)"/>
      <sheetName val="홍인내화-2 갑지"/>
      <sheetName val="홍인내화-2 을지"/>
      <sheetName val="Sheet7"/>
      <sheetName val="물량산출 및 첨부도면"/>
      <sheetName val="말고개터널조명전압강하"/>
      <sheetName val="정공공사"/>
      <sheetName val="G.R300경비"/>
      <sheetName val="시추주상도"/>
      <sheetName val="총물량"/>
      <sheetName val="수주추정"/>
      <sheetName val="전기내역1"/>
      <sheetName val="코드"/>
      <sheetName val="J直材4"/>
      <sheetName val="본사인상전"/>
      <sheetName val="집수정(600-700)"/>
      <sheetName val="_x000a___x000a__"/>
      <sheetName val="내역서을지"/>
      <sheetName val="전선관"/>
      <sheetName val="cal"/>
      <sheetName val="입고장부 (4)"/>
      <sheetName val="매립"/>
      <sheetName val="문학간접"/>
      <sheetName val="인부신상자료"/>
      <sheetName val="ELECTRIC"/>
      <sheetName val="설계예산2"/>
      <sheetName val="P_M_별3"/>
      <sheetName val="3BL공동구_수량3"/>
      <sheetName val="1_동력공사3"/>
      <sheetName val="업무일지_및_금액정산1"/>
      <sheetName val="호환성_보고서1"/>
      <sheetName val="Customer_Databas3"/>
      <sheetName val="영업_일11"/>
      <sheetName val="표지_(2)1"/>
      <sheetName val="TEST1_XLS1"/>
      <sheetName val="Summary_Sheets3"/>
      <sheetName val="2_대외공문1"/>
      <sheetName val="b_balju_(2)3"/>
      <sheetName val="남양시작동자105노65기1_3화1_23"/>
      <sheetName val="2F_회의실견적(5_14_일대)3"/>
      <sheetName val="단면_(2)3"/>
      <sheetName val="BSD_(2)3"/>
      <sheetName val="단가_및_재료비1"/>
      <sheetName val="전차선로_물량표1"/>
      <sheetName val="1_설계조건1"/>
      <sheetName val="2__Summary-cash1"/>
      <sheetName val="2_주요계수총괄1"/>
      <sheetName val="2_Summary-cash1"/>
      <sheetName val="Initial_Input_Variable1"/>
      <sheetName val="준검_내역서1"/>
      <sheetName val="화재_탐지_설비1"/>
      <sheetName val="수목데이타_1"/>
      <sheetName val="BJ_SP3_1"/>
      <sheetName val="____1"/>
      <sheetName val="__1"/>
      <sheetName val="PROJECT_BRIEF"/>
      <sheetName val="우드플로링_바닥_마감_자재_내역"/>
      <sheetName val="홍인내화-2_갑지"/>
      <sheetName val="홍인내화-2_을지"/>
      <sheetName val="물량산출_및_첨부도면"/>
      <sheetName val="G_R300경비"/>
      <sheetName val="0420"/>
      <sheetName val="0420 사진리포트"/>
      <sheetName val="0419"/>
      <sheetName val="0419 사진리포트"/>
      <sheetName val="0418"/>
      <sheetName val="0418 사진리포트"/>
      <sheetName val="전도금정산일계표"/>
      <sheetName val="0.갑지"/>
      <sheetName val="8.현장관리비"/>
      <sheetName val="7.안전관리비"/>
      <sheetName val="공사원가계산서"/>
      <sheetName val="재료비내역서"/>
      <sheetName val="작업"/>
      <sheetName val="단위수량"/>
      <sheetName val="_x000d_ _x000d_ _x0000__x0003_"/>
      <sheetName val="    _x0000__x0003_"/>
      <sheetName val="_x000d_ _x000d_ "/>
      <sheetName val="1층"/>
      <sheetName val="Centrally Managed"/>
      <sheetName val="집계표"/>
      <sheetName val="70%"/>
      <sheetName val="산출내역(K2)"/>
      <sheetName val="지급자재"/>
      <sheetName val="제출내역 (2)"/>
      <sheetName val="6공구(당초)"/>
      <sheetName val="배수공"/>
      <sheetName val="투찰"/>
      <sheetName val="수량집계"/>
      <sheetName val="공사비집계"/>
      <sheetName val="전체제잡비"/>
      <sheetName val="단가비교표"/>
      <sheetName val="106C0300"/>
      <sheetName val="_x000a_ _x000a_ _x0000__x0003_"/>
      <sheetName val="_x000a_ _x000a_ "/>
      <sheetName val=" _ _"/>
      <sheetName val="가도공"/>
      <sheetName val="참고"/>
      <sheetName val="물가시세"/>
      <sheetName val="A공구"/>
      <sheetName val="UPDATA"/>
      <sheetName val="실행(ALT1)"/>
      <sheetName val="동일대내"/>
      <sheetName val="기성2"/>
      <sheetName val="한일양산"/>
      <sheetName val="금융"/>
      <sheetName val="외주"/>
      <sheetName val="P-산#1-1(WOWA1)"/>
      <sheetName val=""/>
      <sheetName val="SG"/>
      <sheetName val="한강운반비"/>
      <sheetName val="토목"/>
      <sheetName val="admin"/>
      <sheetName val="원본(01~02)"/>
      <sheetName val="DANGA"/>
      <sheetName val="토사(PE)"/>
      <sheetName val=" _x000a_ _x000a__x0000__x0003_"/>
      <sheetName val=" _x000a_ _x000a_"/>
      <sheetName val="합천내역"/>
      <sheetName val="PAINT"/>
      <sheetName val="8."/>
      <sheetName val="10."/>
      <sheetName val="5."/>
      <sheetName val="11"/>
      <sheetName val="12."/>
      <sheetName val="14."/>
      <sheetName val="9."/>
      <sheetName val="13"/>
      <sheetName val="7."/>
      <sheetName val="의왕실행"/>
      <sheetName val="Mc"/>
      <sheetName val="_x005f_x000d__x005f_x000a__x005f_x000d__x005f_x000a__x0"/>
      <sheetName val="_x005f_x000a__x005f_x000a_"/>
      <sheetName val="_x005f_x000a__x005f_x000a__x005f_x000a__x005f_x000a__x0"/>
      <sheetName val="_x005f_x000a__x005f_x000a__x005f_x000a__x005f_x000a_"/>
      <sheetName val="_x005f_x000d___x005f_x000d___x005f_x0000__x005f_x0003_"/>
      <sheetName val="_____x005f_x0000__x005f_x0003_"/>
      <sheetName val="_x005f_x000d___x005f_x000d__"/>
      <sheetName val="_x005f_x005f_x005f_x000d__x005f_x005f_x005f_x000a__x005"/>
      <sheetName val="_x005f_x005f_x005f_x000a__x005f_x005f_x005f_x000a_"/>
      <sheetName val="_x005f_x005f_x005f_x000a__x005f_x005f_x005f_x000a__x005"/>
      <sheetName val="내역서2안"/>
      <sheetName val="B2BERP"/>
      <sheetName val=" 견적서"/>
      <sheetName val="계화배수(3대)"/>
      <sheetName val="21301동"/>
      <sheetName val="IMPEADENCE MAP 취수장"/>
      <sheetName val="견적을지"/>
      <sheetName val="AV시스템"/>
      <sheetName val="현장지지물물량"/>
      <sheetName val="Y-WORK"/>
      <sheetName val="FOB발"/>
      <sheetName val="잡철물"/>
      <sheetName val="CONCRETE"/>
      <sheetName val="4 LINE"/>
      <sheetName val="7 th"/>
      <sheetName val="견적대비표"/>
      <sheetName val="EJ"/>
      <sheetName val="BASE"/>
      <sheetName val="원본"/>
      <sheetName val="CATV"/>
      <sheetName val="기존단가 (2)"/>
      <sheetName val="_x000a__x000a__x000a__x000a__x0"/>
      <sheetName val="_x005f_x000d__x005f_x000a__x005"/>
      <sheetName val="_x005f_x000a__x005f_x000a__x005"/>
      <sheetName val="_x000a___x000a___x0"/>
      <sheetName val="_____x0"/>
      <sheetName val="97년추정손익계산서"/>
      <sheetName val="Cash Flow"/>
      <sheetName val="Source"/>
      <sheetName val="BDGTCE"/>
      <sheetName val="Cover sheet"/>
      <sheetName val="System furniture"/>
      <sheetName val="Cabinet&amp;CPU Holder"/>
      <sheetName val="Chair"/>
      <sheetName val="Steelcase Fur"/>
      <sheetName val="Steelcase Chair"/>
      <sheetName val="Stelecase Fur - Cabinet"/>
      <sheetName val="_견적서"/>
      <sheetName val="토적계산서"/>
      <sheetName val="입력"/>
      <sheetName val="자판실행"/>
      <sheetName val="Cover(IF)"/>
      <sheetName val="Prelim"/>
      <sheetName val="Arch"/>
      <sheetName val="Mechanical"/>
      <sheetName val="Electrical"/>
      <sheetName val="견적 조건"/>
      <sheetName val="실행갑지"/>
      <sheetName val="실행을지"/>
      <sheetName val="현설일정표"/>
      <sheetName val="형틀공사"/>
      <sheetName val="BOM"/>
      <sheetName val="현설내역서"/>
      <sheetName val="_x000d__x000a__x000d__x000a__x0"/>
      <sheetName val="_x000d___x000d___x0000__x0003_"/>
      <sheetName val="_____x0000__x0003_"/>
      <sheetName val="    _x0"/>
      <sheetName val="_x000d__x000a__x005"/>
      <sheetName val="_x000a__x000a__x005"/>
      <sheetName val=" _ __x0"/>
      <sheetName val="전체"/>
      <sheetName val="소방"/>
      <sheetName val="기본사항"/>
      <sheetName val="을-ATYPE"/>
      <sheetName val="Breakdown"/>
      <sheetName val="금액집계"/>
      <sheetName val="1공구(을)"/>
      <sheetName val="UnitRate"/>
      <sheetName val="전도금정산서(27)"/>
      <sheetName val="유동표"/>
      <sheetName val="별표총괄"/>
      <sheetName val="1,2공구원가계산서"/>
      <sheetName val="1공구산출내역서"/>
      <sheetName val="_x005f_x005f_x005f_x000d__x005f_x005f_x005f_x000a__x0乍ã"/>
      <sheetName val="날개벽수량표"/>
      <sheetName val="공사진행"/>
      <sheetName val="HVAC"/>
      <sheetName val="DATA(VTL)"/>
      <sheetName val="DATASPEC(VT1)"/>
      <sheetName val="Factor"/>
      <sheetName val="_x005f_x005f_x005f_x000d__x005f_x005f_x005f_x000a__x0篰4"/>
      <sheetName val="기초1"/>
      <sheetName val="빌딩 안내"/>
      <sheetName val="일위대가표 (2)"/>
      <sheetName val="_x005f_x005f_x005f_x000d__x005f_x005f_x005f_x000a__x0㛬Y"/>
      <sheetName val="\\이미지\C\MSOFFICE\EXCEL\EXAMPLES"/>
      <sheetName val="  _x005"/>
      <sheetName val="_x005f_x000d__x005f_x000a__x0乍ã"/>
      <sheetName val="_x005f_x000d__x005f_x000a__x0篰4"/>
      <sheetName val="_x005f_x005f_x005f_x000d__x005f_x005f_x005f_x000a__x0_x0000__x0000_"/>
      <sheetName val="건축내역서"/>
      <sheetName val="설비내역서"/>
      <sheetName val="전기내역서"/>
      <sheetName val="제출내역서"/>
      <sheetName val="내역서(실행)"/>
      <sheetName val="내역서 (원본)"/>
      <sheetName val="내역서(실행)3"/>
      <sheetName val="건축내역"/>
      <sheetName val="토공집계표"/>
      <sheetName val="_x005f_x000d__x005f_x000a__x0㛬Y"/>
      <sheetName val="_x000d__x000a__x0乍ã"/>
      <sheetName val="_x000d__x000a__x0篰4"/>
      <sheetName val="_x005f_x000d__x005f_x000a__x0"/>
      <sheetName val="4층내역"/>
      <sheetName val="JUCKEYK"/>
      <sheetName val="Sheet498"/>
      <sheetName val="_x000d__x000a__x0㛬Y"/>
      <sheetName val="  _x0乍ã"/>
      <sheetName val="  _x0篰4"/>
      <sheetName val="_x000d__x000a__x0"/>
      <sheetName val="강당집계표-하임"/>
      <sheetName val="_x000d__x000a__x000d__x000a_?_x0003_"/>
      <sheetName val="_x000a__x000a__x000a__x000a_?_x0003_"/>
      <sheetName val="Fail"/>
      <sheetName val="______C_MSOFFICE_EXCEL_EXAMPL_2"/>
      <sheetName val="_x000d_ _x000d_ ?_x0003_"/>
      <sheetName val="    ?_x0003_"/>
      <sheetName val="_x000a_ _x000a_ ?_x0003_"/>
      <sheetName val=" _x000a_ _x000a_?_x0003_"/>
      <sheetName val="_x000d___x000d__?_x0003_"/>
      <sheetName val="____?_x0003_"/>
      <sheetName val="마감재수량(전체)"/>
      <sheetName val="LVT 단가비교"/>
      <sheetName val="자재"/>
      <sheetName val="Macro(차단기)"/>
      <sheetName val="단중표"/>
      <sheetName val="설계"/>
      <sheetName val="신표지1"/>
      <sheetName val="C3"/>
      <sheetName val="터파기및재료"/>
      <sheetName val="의정부문예회관변경내역"/>
      <sheetName val="설명"/>
      <sheetName val="탑(을지)"/>
      <sheetName val="______C_MSOFFICE_EXCEL_EXAMPL_3"/>
      <sheetName val="자원"/>
      <sheetName val="수량산출서"/>
      <sheetName val="_x005f_x005f_x005f_x000d__x005f_x005f_x005f_x000a__x0þ"/>
      <sheetName val="실행(표지,갑,을)"/>
      <sheetName val="대비"/>
      <sheetName val="1.R18 BF"/>
      <sheetName val="A"/>
      <sheetName val="G"/>
      <sheetName val="F-B"/>
      <sheetName val="H-J"/>
      <sheetName val="6.External works-R18"/>
      <sheetName val="기안"/>
      <sheetName val="ctTBA"/>
      <sheetName val="개산공사비"/>
      <sheetName val="______C_MSOFFICE_EXCEL_EXAMPL_4"/>
      <sheetName val="nhap"/>
      <sheetName val="______C_MSOFFICE_EXCEL_EXAMPL_5"/>
      <sheetName val="P_M_별4"/>
      <sheetName val="3BL공동구_수량4"/>
      <sheetName val="1_동력공사4"/>
      <sheetName val="업무일지_및_금액정산2"/>
      <sheetName val="호환성_보고서2"/>
      <sheetName val="Customer_Databas4"/>
      <sheetName val="표지_(2)2"/>
      <sheetName val="영업_일12"/>
      <sheetName val="TEST1_XLS2"/>
      <sheetName val="Summary_Sheets4"/>
      <sheetName val="화재_탐지_설비2"/>
      <sheetName val="2_대외공문2"/>
      <sheetName val="b_balju_(2)4"/>
      <sheetName val="남양시작동자105노65기1_3화1_24"/>
      <sheetName val="2F_회의실견적(5_14_일대)4"/>
      <sheetName val="단면_(2)4"/>
      <sheetName val="BSD_(2)4"/>
      <sheetName val="단가_및_재료비2"/>
      <sheetName val="전차선로_물량표2"/>
      <sheetName val="1_설계조건2"/>
      <sheetName val="2__Summary-cash2"/>
      <sheetName val="2_주요계수총괄2"/>
      <sheetName val="2_Summary-cash2"/>
      <sheetName val="Initial_Input_Variable2"/>
      <sheetName val="준검_내역서2"/>
      <sheetName val="수목데이타_2"/>
      <sheetName val="BJ_SP3_11"/>
      <sheetName val="____2"/>
      <sheetName val="__2"/>
      <sheetName val="PROJECT_BRIEF1"/>
      <sheetName val="우드플로링_바닥_마감_자재_내역1"/>
      <sheetName val="홍인내화-2_갑지1"/>
      <sheetName val="홍인내화-2_을지1"/>
      <sheetName val="물량산출_및_첨부도면1"/>
      <sheetName val="G_R300경비1"/>
      <sheetName val="0420_사진리포트"/>
      <sheetName val="0419_사진리포트"/>
      <sheetName val="0418_사진리포트"/>
      <sheetName val="0_갑지"/>
      <sheetName val="8_현장관리비"/>
      <sheetName val="7_안전관리비"/>
      <sheetName val="Centrally_Managed"/>
      <sheetName val="입고장부_(4)"/>
      <sheetName val="_x000a___x000a__1"/>
      <sheetName val="____3"/>
      <sheetName val="제출내역_(2)"/>
      <sheetName val="__x000a___x000a_"/>
      <sheetName val="8_"/>
      <sheetName val="10_"/>
      <sheetName val="5_"/>
      <sheetName val="12_"/>
      <sheetName val="14_"/>
      <sheetName val="9_"/>
      <sheetName val="7_"/>
      <sheetName val="_견적서1"/>
      <sheetName val="IMPEADENCE_MAP_취수장"/>
      <sheetName val="4_LINE"/>
      <sheetName val="7_th"/>
      <sheetName val="기존단가_(2)"/>
      <sheetName val="Cash_Flow"/>
      <sheetName val="Cover_sheet"/>
      <sheetName val="System_furniture"/>
      <sheetName val="Cabinet&amp;CPU_Holder"/>
      <sheetName val="Steelcase_Fur"/>
      <sheetName val="Steelcase_Chair"/>
      <sheetName val="Stelecase_Fur_-_Cabinet"/>
      <sheetName val="견적_조건"/>
      <sheetName val="_x000a__x000a__x0"/>
      <sheetName val="_____x01"/>
      <sheetName val="_x000a__x005"/>
      <sheetName val="_____x02"/>
      <sheetName val="빌딩_안내"/>
      <sheetName val="일위대가표_(2)"/>
      <sheetName val="___x005"/>
      <sheetName val="내역서_(원본)"/>
      <sheetName val="_x000a__x0乍ã"/>
      <sheetName val="_x000a__x0篰4"/>
      <sheetName val="_x000a__x0㛬Y"/>
      <sheetName val="___x0乍ã"/>
      <sheetName val="___x0篰4"/>
      <sheetName val="_x000a__x0"/>
      <sheetName val="_x000a__x000a_?"/>
      <sheetName val="_x000a__x000a__x000a__x000a_?"/>
      <sheetName val="_x000a___x000a__?1"/>
      <sheetName val="____?1"/>
      <sheetName val="_x000a___x000a__?"/>
      <sheetName val="__x000a___x000a_?"/>
      <sheetName val="____?"/>
      <sheetName val="LVT_단가비교"/>
      <sheetName val="982월원안"/>
      <sheetName val="암거단위"/>
      <sheetName val="횡 연장"/>
      <sheetName val="1차증가원가계산"/>
      <sheetName val="노임(1차)"/>
      <sheetName val="현장별손익"/>
      <sheetName val="수금계획"/>
      <sheetName val="지급계획"/>
      <sheetName val="영동(D)"/>
      <sheetName val="기성신청"/>
      <sheetName val="_x005f_x000d__x005f_x000a__x005f_x000d__x005f_x000a_"/>
      <sheetName val="_x005f_x000a___x005f_x000a__"/>
      <sheetName val="_x005f_x000d_ _x005f_x000d_ _x005f_x0000__x005f_x0003_"/>
      <sheetName val="    _x005f_x0000__x005f_x0003_"/>
      <sheetName val="_x005f_x000d_ _x005f_x000d_ "/>
      <sheetName val="_x005f_x000a_ _x005f_x000a_ _x005f_x0000__x005f_x0003_"/>
      <sheetName val="_x005f_x000a_ _x005f_x000a_ "/>
      <sheetName val=" _x005f_x000a_ _x005f_x000a__x005f_x0000___x0000__x0000__x0005__x0000_䋰鄪"/>
      <sheetName val=" _x005f_x000a_ _x005f_x000a__x005f_x0000__"/>
    </sheetNames>
    <definedNames>
      <definedName name="StartSeller"/>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refreshError="1"/>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sheetData sheetId="613"/>
      <sheetData sheetId="614" refreshError="1"/>
      <sheetData sheetId="615"/>
      <sheetData sheetId="616" refreshError="1"/>
      <sheetData sheetId="617"/>
      <sheetData sheetId="618"/>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refreshError="1"/>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비용량 (1)"/>
      <sheetName val="장비용량(2)"/>
      <sheetName val="장비용량(3)"/>
      <sheetName val="장비용량 (4)"/>
      <sheetName val="장비용량 (5)"/>
      <sheetName val="장비용량 (6)"/>
      <sheetName val="장비사양"/>
      <sheetName val="차례"/>
      <sheetName val="표지"/>
      <sheetName val="목차"/>
      <sheetName val="설계사양"/>
      <sheetName val="서울,경기"/>
      <sheetName val="대구"/>
      <sheetName val="빙장비사양"/>
      <sheetName val="흡장비사양"/>
      <sheetName val="빙운전방식"/>
      <sheetName val="빙운전비"/>
      <sheetName val="흡운전방식"/>
      <sheetName val="흡운전비"/>
      <sheetName val="단순비교"/>
      <sheetName val="고정투자대조표"/>
      <sheetName val="지원내용"/>
      <sheetName val="database"/>
      <sheetName val="갑"/>
      <sheetName val="가격(장비)"/>
      <sheetName val="가격(축열조)"/>
      <sheetName val="가격(제어)"/>
      <sheetName val="노무(장비)"/>
      <sheetName val="견적(AFT갑지)"/>
      <sheetName val="내역서(AFT)"/>
      <sheetName val="원가+내역서"/>
      <sheetName val="멀티듀티원가 (2)"/>
      <sheetName val="전기집진기원가1"/>
      <sheetName val="전기집진기원가2"/>
      <sheetName val="C.E.R"/>
      <sheetName val="노무(배관)"/>
      <sheetName val="노무(제어)"/>
      <sheetName val="배관수량"/>
      <sheetName val="제어수량"/>
      <sheetName val="가격(배관)"/>
      <sheetName val="갑2"/>
      <sheetName val="내역서"/>
      <sheetName val="설계조건"/>
      <sheetName val="열관류율"/>
      <sheetName val="First"/>
      <sheetName val="부하계산서"/>
      <sheetName val="Front"/>
      <sheetName val="wall"/>
      <sheetName val="히팅펌프"/>
      <sheetName val="에어콘선정"/>
      <sheetName val="팬"/>
      <sheetName val="form"/>
      <sheetName val="ZONE"/>
      <sheetName val="DATA"/>
      <sheetName val="총부하"/>
      <sheetName val="F.C.U ZONE집계"/>
      <sheetName val="냉온수기"/>
      <sheetName val="PAC 집계"/>
      <sheetName val="보일러&amp;응축수탱크"/>
      <sheetName val="폐열회수기"/>
      <sheetName val="급탕탱크"/>
      <sheetName val="저수조"/>
      <sheetName val="펌프"/>
      <sheetName val="FAN"/>
      <sheetName val="스프링클러(아파트)"/>
      <sheetName val="스프링클러마찰손실(아파트)"/>
      <sheetName val="옥내소화전(아파트)"/>
      <sheetName val="옥내소화전마찰손실(아파트)"/>
      <sheetName val="ZONE대화"/>
      <sheetName val="출력대화"/>
      <sheetName val="기초자료"/>
      <sheetName val="설계개요"/>
      <sheetName val="ZONE모듈"/>
      <sheetName val="Module4"/>
      <sheetName val="장비선정"/>
      <sheetName val="장비선정 (PAC)"/>
      <sheetName val="팬선정"/>
      <sheetName val="팬대화"/>
      <sheetName val="팬모듈"/>
      <sheetName val="공조기"/>
      <sheetName val="부하집계"/>
      <sheetName val="부하계산"/>
      <sheetName val="열관류대화"/>
      <sheetName val="관류_MACRO_1"/>
      <sheetName val="장비대화"/>
      <sheetName val="장비모듈"/>
      <sheetName val="Module1"/>
      <sheetName val="Module2"/>
      <sheetName val="Module3"/>
      <sheetName val="공조기대화(1)"/>
      <sheetName val="공조기대화(2)"/>
      <sheetName val="공조기대화(3)"/>
      <sheetName val="공조기모듈"/>
      <sheetName val="Dialog1"/>
      <sheetName val="Dialog2"/>
      <sheetName val="Dialog3"/>
      <sheetName val="Dialog4"/>
      <sheetName val="덕트"/>
      <sheetName val="송풍기"/>
      <sheetName val="덕트규격"/>
      <sheetName val="환기량"/>
      <sheetName val="TITLE"/>
      <sheetName val="급수입상"/>
      <sheetName val="급수횡주"/>
      <sheetName val="기계실배기팬"/>
      <sheetName val="옥외급수간선"/>
      <sheetName val="급수가압펌프"/>
      <sheetName val="급수감압밸브(미완성)"/>
      <sheetName val="옥내세대_감압변"/>
      <sheetName val="배수입상"/>
      <sheetName val="배수횡주"/>
      <sheetName val="소화배관"/>
      <sheetName val="소화양정"/>
      <sheetName val="1m당손실"/>
      <sheetName val="감압양정"/>
      <sheetName val="자동제어"/>
      <sheetName val="급수용 케미컬피더"/>
      <sheetName val="배기팬"/>
      <sheetName val="덕트크기"/>
      <sheetName val="참조영역"/>
      <sheetName val="(복지관)관류율"/>
      <sheetName val="면적계산"/>
      <sheetName val="난방부하계산서"/>
      <sheetName val="부하집계표"/>
      <sheetName val="난방관경"/>
      <sheetName val="보일러선정"/>
      <sheetName val="주민복지관상가위생 (2)"/>
      <sheetName val="3.위생부하 및 관경 (3)"/>
      <sheetName val="주민복지관(환기)"/>
      <sheetName val="상가위생"/>
      <sheetName val="공동구 규격"/>
      <sheetName val="공동구관로"/>
      <sheetName val="펌프실가대규격(미완성)"/>
      <sheetName val="배관두께"/>
      <sheetName val="목차 "/>
      <sheetName val="온수보일러"/>
      <sheetName val="온수순환펌프"/>
      <sheetName val="급수펌프"/>
      <sheetName val="급탕탱크 "/>
      <sheetName val="급탕순환펌프"/>
      <sheetName val="급탕재순환펌프"/>
      <sheetName val="배수펌프1"/>
      <sheetName val="환기설비"/>
      <sheetName val="환기장비선정"/>
      <sheetName val="조건표"/>
      <sheetName val="보일러"/>
      <sheetName val="보일러보급수펌프"/>
      <sheetName val="펌프(급탕)"/>
      <sheetName val="환기(최종)"/>
      <sheetName val="풍량"/>
      <sheetName val="계산서"/>
      <sheetName val="수목표준대가"/>
      <sheetName val="난방설비"/>
      <sheetName val="PUMP"/>
      <sheetName val="개요및설계기준"/>
      <sheetName val="열원설비"/>
      <sheetName val="우수및배수"/>
      <sheetName val="위생설비"/>
      <sheetName val="환기"/>
      <sheetName val="주차장"/>
      <sheetName val="팽창탱크"/>
      <sheetName val="참고자료(AD)"/>
      <sheetName val="1.설계조건"/>
      <sheetName val="2.부하집계"/>
      <sheetName val="3.열원설비"/>
      <sheetName val="4.위생"/>
      <sheetName val="5.펌프선정"/>
      <sheetName val="6.환기"/>
      <sheetName val="7.AHU"/>
      <sheetName val="8.항온항습기"/>
      <sheetName val="건축개요"/>
      <sheetName val="AHU집계"/>
      <sheetName val="AHU-1"/>
      <sheetName val="AHU-2"/>
      <sheetName val="냉온수유니트"/>
      <sheetName val="냉각탑"/>
      <sheetName val="냉온수펌프"/>
      <sheetName val="냉각수펌프"/>
      <sheetName val="경유탱크"/>
      <sheetName val="PAC선정"/>
      <sheetName val="PAC-1"/>
      <sheetName val="PAC정압계산"/>
      <sheetName val="FCU선정"/>
      <sheetName val="고가수조"/>
      <sheetName val="FAN정압계산-1"/>
      <sheetName val="AHU-3"/>
      <sheetName val="ATU-1"/>
      <sheetName val="HVU계산"/>
      <sheetName val="HVU-1"/>
      <sheetName val="개요"/>
      <sheetName val="조건"/>
      <sheetName val="실별부하집계"/>
      <sheetName val="방열기"/>
      <sheetName val="시스템에어컨"/>
      <sheetName val="HWG"/>
      <sheetName val="급탕"/>
      <sheetName val="전열교환기"/>
      <sheetName val="부하계산서(1층)"/>
      <sheetName val="부하계산서(2층)"/>
      <sheetName val="laroux"/>
      <sheetName val="계산표지"/>
      <sheetName val="기준자료"/>
      <sheetName val="TR"/>
      <sheetName val="GEN"/>
      <sheetName val="SS수배전"/>
      <sheetName val="단위세대"/>
      <sheetName val="동공용"/>
      <sheetName val="부대복리"/>
      <sheetName val="비상.동력"/>
      <sheetName val="상가"/>
      <sheetName val="세로내간선"/>
      <sheetName val="세로외간선"/>
      <sheetName val="비상일반"/>
      <sheetName val="세동별비상"/>
      <sheetName val="LX"/>
      <sheetName val="전력사다리"/>
      <sheetName val="전화사다리"/>
      <sheetName val="Tel"/>
      <sheetName val="PA"/>
      <sheetName val="Sheet15"/>
      <sheetName val="Sheet16"/>
      <sheetName val="케이블적용자료"/>
      <sheetName val="장비"/>
      <sheetName val="휀코일사양"/>
      <sheetName val="공조기용휀"/>
      <sheetName val="실별 부하"/>
      <sheetName val="1설계"/>
      <sheetName val="2장비"/>
      <sheetName val="공조용펌프"/>
      <sheetName val="급수 유량"/>
      <sheetName val="배수설비"/>
      <sheetName val="금호"/>
      <sheetName val="데이타"/>
      <sheetName val="표지 (2)"/>
      <sheetName val="표지 (3)"/>
      <sheetName val="표지 (4)"/>
      <sheetName val="급탕부하"/>
      <sheetName val="1.급수설비"/>
      <sheetName val="4)급수펌프"/>
      <sheetName val="Sheet1"/>
      <sheetName val="3.배수펌프"/>
      <sheetName val="2.환기설비"/>
      <sheetName val="3).정압계산"/>
      <sheetName val="3)장비선정"/>
      <sheetName val="Sheet3"/>
      <sheetName val="Sheet4"/>
      <sheetName val="Sheet4 (2)"/>
      <sheetName val="냉온수기용"/>
      <sheetName val="수형군"/>
      <sheetName val="1변압기용량"/>
      <sheetName val="2부하집계"/>
      <sheetName val="2부하LIST"/>
      <sheetName val="4MCC용량"/>
      <sheetName val="5직류전원"/>
      <sheetName val="6콘덴서용량"/>
      <sheetName val="7간선케이블"/>
      <sheetName val="7분기케이블"/>
      <sheetName val="8조도계산서"/>
      <sheetName val="PRINTER"/>
      <sheetName val="4차단기선정"/>
      <sheetName val="9정보통신"/>
      <sheetName val="L-LIST"/>
      <sheetName val="CableSchedule"/>
      <sheetName val="CABLE개요"/>
      <sheetName val="9정보통신 (2)"/>
      <sheetName val="sdata"/>
      <sheetName val="Cable Size(설명)"/>
      <sheetName val="콘덴서"/>
      <sheetName val="DATA1"/>
      <sheetName val="CABdata"/>
      <sheetName val="Imp-Data"/>
      <sheetName val="COPING"/>
      <sheetName val="붙임#3-1"/>
      <sheetName val="부하계산서(59A)"/>
      <sheetName val="펌프배점"/>
      <sheetName val="급배기팬"/>
      <sheetName val="환기량-1(지하2)"/>
      <sheetName val=" 송풍기-1(지하2)"/>
      <sheetName val="환기량-1 (지하1)"/>
      <sheetName val=" 송풍기-1 (지하1)"/>
      <sheetName val="가중평균"/>
      <sheetName val="주7)"/>
      <sheetName val="배수펌프"/>
      <sheetName val="주차장환기-1"/>
      <sheetName val="주차장환기-2"/>
      <sheetName val="송풍기-1 "/>
      <sheetName val="송풍기-2"/>
      <sheetName val="전기붙임#8 "/>
      <sheetName val="고효율 전동기 적용여부"/>
      <sheetName val="PAC"/>
      <sheetName val="열교환기"/>
      <sheetName val="가열코일"/>
      <sheetName val="응축수탱크"/>
      <sheetName val="펌프류"/>
      <sheetName val="팬류"/>
      <sheetName val="아파트_저수조"/>
      <sheetName val="일반_저수조"/>
      <sheetName val="순간온수기"/>
      <sheetName val="주방 개별보일러"/>
      <sheetName val="냉난방부하집계"/>
      <sheetName val="시스템에어콘선정"/>
      <sheetName val="가스탱크"/>
      <sheetName val="VXXXXX"/>
      <sheetName val="오.배수탱크"/>
      <sheetName val="저수조 (2)"/>
      <sheetName val="펌프 (2)"/>
      <sheetName val="송풍기 (2)"/>
      <sheetName val="Sheet5"/>
      <sheetName val="입찰안"/>
      <sheetName val="SIL98"/>
      <sheetName val="변압기용량"/>
      <sheetName val="전압조건"/>
      <sheetName val="전압강하계산서"/>
      <sheetName val="부하조건"/>
      <sheetName val="부하계산서(전등,전열)"/>
      <sheetName val="부하계산서(동력)"/>
      <sheetName val="조도계산서"/>
      <sheetName val="발전기부하"/>
      <sheetName val="발전기"/>
      <sheetName val="VXXXXXX"/>
      <sheetName val="설계조건1"/>
      <sheetName val="설계조건2"/>
      <sheetName val="부하계산(1)"/>
      <sheetName val="부하계산(2)"/>
      <sheetName val="부하계산(3)"/>
      <sheetName val="부하계산(4)"/>
      <sheetName val="급수설비 (2)"/>
      <sheetName val="급수기구"/>
      <sheetName val="급탕설비 (2)"/>
      <sheetName val="보일러 (2)"/>
      <sheetName val="배기휀-1"/>
      <sheetName val="지하주차장"/>
      <sheetName val="AHU"/>
      <sheetName val="가스냉온풍기"/>
      <sheetName val="온풍기"/>
      <sheetName val="전기온풍기+방열기"/>
      <sheetName val="4.환기설비"/>
      <sheetName val="2).정압계산"/>
      <sheetName val="4)주차장환기"/>
      <sheetName val="제1장 환기설비"/>
      <sheetName val="1.풍량선정"/>
      <sheetName val="2.휀선정"/>
      <sheetName val="제2장 위생설비"/>
      <sheetName val="1-1 급수량 선정"/>
      <sheetName val="1-2 급수펌프 용량 선정"/>
      <sheetName val="2.PUMP"/>
      <sheetName val="단지개요"/>
      <sheetName val="건설규모"/>
      <sheetName val="열량집계"/>
      <sheetName val="열량집계(3-가)-2"/>
      <sheetName val="연결열부하"/>
      <sheetName val="연결열부하(3-나)-2"/>
      <sheetName val="기계실장비"/>
      <sheetName val="기계실장비(3-다)-2"/>
      <sheetName val="설계기준 (4)"/>
      <sheetName val="난열교환기(5-가)"/>
      <sheetName val="급열교환기(5-나)"/>
      <sheetName val="케미컬피더(6-가)"/>
      <sheetName val="케미컬피더(급수)"/>
      <sheetName val="탈기장치(6-나)"/>
      <sheetName val="신축접수(7)"/>
      <sheetName val="1차압자동(8-가-1)"/>
      <sheetName val="온도조절V(8-다)"/>
      <sheetName val="1중온수(9-가)"/>
      <sheetName val="난방 2차측(9-나)"/>
      <sheetName val="급탕환탕관경(9-다)"/>
      <sheetName val="급탕보급(9-라)"/>
      <sheetName val="급수배관경(9-마)"/>
      <sheetName val="소화배관(9-바)"/>
      <sheetName val="형별발주관경(9-사)"/>
      <sheetName val="펌프선정(10-가)"/>
      <sheetName val="난방펌프(10-나)"/>
      <sheetName val="급탕펌프(10-다)"/>
      <sheetName val="급수펌프(10-라)"/>
      <sheetName val="급수감압밸브(3-가-5)"/>
      <sheetName val="구간별저항검토(급수1F기준)"/>
      <sheetName val="잔류압력검토(급수공동구구간)"/>
      <sheetName val="잔류압력검토(급수PITF기준)"/>
      <sheetName val="잔류압력검토(급수1F기준)"/>
      <sheetName val="배기팬(11)"/>
      <sheetName val="덕트 및 배기그릴선정"/>
      <sheetName val="자동제어관제점(12)"/>
      <sheetName val="지하주차장 가대규격(13)"/>
      <sheetName val="펌프,기계실가대규격"/>
      <sheetName val="공동구규격"/>
      <sheetName val="붙임-난방관수기계"/>
      <sheetName val="붙임-난방관수량"/>
      <sheetName val="붙임-난방양정1"/>
      <sheetName val="붙임-난방양정2"/>
      <sheetName val="붙임-난방양정(저층)3"/>
      <sheetName val="붙임-난방양정(고층)3"/>
      <sheetName val="붙임-급탕양정"/>
      <sheetName val="붙임-옥내급탕양정"/>
      <sheetName val="유량DATA(참고)"/>
      <sheetName val="배관별두께"/>
      <sheetName val="세대별부하계산표"/>
      <sheetName val="단위세대부하계산"/>
      <sheetName val="1설계조건2설계기준"/>
      <sheetName val="3.난방부하집계,4.연결열부하부하"/>
      <sheetName val="5장비선정"/>
      <sheetName val="2)온수순환펌프"/>
      <sheetName val="6.1차압자동"/>
      <sheetName val="1차측 PDCV"/>
      <sheetName val="2차차압밸브"/>
      <sheetName val="온도조절V"/>
      <sheetName val="2차측 PDCV"/>
      <sheetName val="7.팽창기체분리기"/>
      <sheetName val="101,104,106,107동(저),경로당난방용"/>
      <sheetName val="101,104,106,107동(중)난방용"/>
      <sheetName val="101,104,106,107동(고)난방용"/>
      <sheetName val="102,103,105,108,동(저),보육시설난방용"/>
      <sheetName val="102,103,105,108,동(중)난방용"/>
      <sheetName val="102,103,105,108,동(고)난방용"/>
      <sheetName val="장비표기법"/>
      <sheetName val="3.급탕부하집계"/>
      <sheetName val="2.급탕설비"/>
      <sheetName val="3)급탕순환펌프"/>
      <sheetName val="지하주차장 환기량"/>
      <sheetName val="Ⅳ.가스설비"/>
      <sheetName val="동시사용율표"/>
      <sheetName val="공식"/>
      <sheetName val="관경표"/>
      <sheetName val="2.급수펌프"/>
      <sheetName val="3.급탕부하 "/>
      <sheetName val="4.배수펌프"/>
      <sheetName val="장비선정(급기) "/>
      <sheetName val="장비선정(배기)"/>
      <sheetName val="A zone"/>
      <sheetName val="B zone"/>
      <sheetName val="5.가스"/>
      <sheetName val="동별유량 "/>
      <sheetName val="6.부하계산"/>
      <sheetName val="변경내역"/>
      <sheetName val="설계서(본관)"/>
      <sheetName val="변압기(동력)"/>
      <sheetName val="발전기(갑지)"/>
      <sheetName val="발전기(을지)"/>
      <sheetName val="세대부하"/>
      <sheetName val="동력(기계실)"/>
      <sheetName val="전압강하(주간선)"/>
      <sheetName val="설비개요"/>
      <sheetName val="냉동기"/>
      <sheetName val="냉각탑1"/>
      <sheetName val="냉수펌프"/>
      <sheetName val="FCU선정 (2)"/>
      <sheetName val="보일러(증기)"/>
      <sheetName val="온수펌프"/>
      <sheetName val="급,배기팬"/>
      <sheetName val="유량"/>
      <sheetName val="일반실"/>
      <sheetName val="화장실"/>
      <sheetName val="급수사용량"/>
      <sheetName val="첨부파일"/>
      <sheetName val="지열"/>
      <sheetName val="OHU"/>
      <sheetName val="상업시설 냉방용"/>
      <sheetName val="영화관 냉, 난방용"/>
      <sheetName val="빙축열 냉방용"/>
      <sheetName val="난방data"/>
      <sheetName val="위생data"/>
      <sheetName val="4.2.열관류율"/>
      <sheetName val="4.3비난방온도"/>
      <sheetName val="4-4.평형별 면적계산"/>
      <sheetName val="4.6방열기"/>
      <sheetName val="base"/>
      <sheetName val="부표총괄"/>
      <sheetName val="설계명세서"/>
      <sheetName val="흡장비炬┪"/>
      <sheetName val="원가계산서(남측)"/>
      <sheetName val="하조서"/>
      <sheetName val="표 지"/>
      <sheetName val="일반부하"/>
      <sheetName val="동력,MCC"/>
      <sheetName val="간 선"/>
      <sheetName val="변압기"/>
      <sheetName val="발전기(갑)"/>
      <sheetName val="발전기(을)"/>
      <sheetName val="조 도"/>
      <sheetName val="전화회선"/>
      <sheetName val="방송 AMP"/>
      <sheetName val="TV전계강도"/>
      <sheetName val="Macro(차단기)"/>
      <sheetName val="Macro(전선)"/>
      <sheetName val="Macro(전동기)"/>
      <sheetName val="laroux1"/>
      <sheetName val="일위대가"/>
      <sheetName val="#REF"/>
      <sheetName val="식재인부"/>
      <sheetName val="판매시설"/>
      <sheetName val="조건입력"/>
      <sheetName val="조건입력(2)"/>
      <sheetName val="가-1지역(집계)"/>
      <sheetName val="가-2"/>
      <sheetName val="나-1,2"/>
      <sheetName val="영외숙소"/>
      <sheetName val="A-시설"/>
      <sheetName val="B-시설"/>
      <sheetName val="병영생활관"/>
      <sheetName val="복지시설"/>
      <sheetName val="D-시설"/>
      <sheetName val="000000"/>
      <sheetName val="XXXXXX"/>
      <sheetName val="Recovered_Sheet1"/>
      <sheetName val="시방서표지"/>
      <sheetName val="전체표지 "/>
      <sheetName val="1.건축개요"/>
      <sheetName val="2.설계조건-1"/>
      <sheetName val="설계조건-2"/>
      <sheetName val="3.부하집계 "/>
      <sheetName val="관류보일러"/>
      <sheetName val="난방열교환기(스팀)"/>
      <sheetName val="4.위생설비"/>
      <sheetName val="펌프류 "/>
      <sheetName val="5.1환기설비"/>
      <sheetName val="휀류"/>
      <sheetName val="6.가스설비"/>
      <sheetName val="관경선정_2"/>
      <sheetName val="관경선정_3"/>
      <sheetName val="주차장환기"/>
      <sheetName val="7.관경선정_1"/>
      <sheetName val="시방서"/>
      <sheetName val="FU"/>
      <sheetName val="DATA_K"/>
      <sheetName val="빙설"/>
      <sheetName val="사양"/>
      <sheetName val="e_0512"/>
      <sheetName val="Sizing"/>
      <sheetName val="냉난방(실별부하)"/>
      <sheetName val="난방(실별부하)"/>
      <sheetName val="냉온수기집계 및 선정"/>
      <sheetName val="보일러집계 및 선정"/>
      <sheetName val="냉난방용펌프선정"/>
      <sheetName val="급수설비"/>
      <sheetName val="급수펌프선정"/>
      <sheetName val="급탕설비"/>
      <sheetName val="배수펌프선정(집수정,우수)"/>
      <sheetName val="인원계획-미화"/>
      <sheetName val="추진계획서"/>
      <sheetName val="견적대비(기계배관공사)"/>
      <sheetName val="INPUT"/>
      <sheetName val="내역"/>
      <sheetName val="4.시스템냉난방용량"/>
      <sheetName val="7.경제성결과"/>
      <sheetName val="프랜트면허"/>
      <sheetName val="포장복구집계"/>
      <sheetName val="납부서"/>
      <sheetName val="관음목장(제출용)자105인97.5"/>
      <sheetName val="대비"/>
      <sheetName val="토목주소"/>
      <sheetName val="수목데이타 "/>
      <sheetName val="98지급계획"/>
      <sheetName val="품셈TABLE"/>
      <sheetName val="ABUT수량-A1"/>
      <sheetName val="실행철강하도"/>
      <sheetName val="단가조사"/>
      <sheetName val="일위대가표"/>
      <sheetName val="패널"/>
      <sheetName val="밸브설치"/>
      <sheetName val="빙100장비사양"/>
      <sheetName val="예산명세서"/>
      <sheetName val="자료입력"/>
      <sheetName val="소방"/>
      <sheetName val="첨부1-1"/>
      <sheetName val="DROP"/>
      <sheetName val="LN-M"/>
      <sheetName val="LN-2"/>
      <sheetName val="LN-2A"/>
      <sheetName val="LN-K"/>
      <sheetName val="MCP-F"/>
      <sheetName val="MCCDATA"/>
      <sheetName val="CURRENT"/>
      <sheetName val="수량산출"/>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sheetData sheetId="414"/>
      <sheetData sheetId="415"/>
      <sheetData sheetId="416"/>
      <sheetData sheetId="417"/>
      <sheetData sheetId="418"/>
      <sheetData sheetId="419"/>
      <sheetData sheetId="420"/>
      <sheetData sheetId="421"/>
      <sheetData sheetId="422" refreshError="1"/>
      <sheetData sheetId="423"/>
      <sheetData sheetId="424"/>
      <sheetData sheetId="425" refreshError="1"/>
      <sheetData sheetId="426" refreshError="1"/>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sheetData sheetId="565"/>
      <sheetData sheetId="566" refreshError="1"/>
      <sheetData sheetId="567"/>
      <sheetData sheetId="568"/>
      <sheetData sheetId="569"/>
      <sheetData sheetId="570" refreshError="1"/>
      <sheetData sheetId="57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소비자가"/>
      <sheetName val="공사개요"/>
      <sheetName val="데이타"/>
      <sheetName val="식재인부"/>
      <sheetName val="6호기"/>
      <sheetName val="Customer Databas"/>
      <sheetName val="1차 내역서"/>
      <sheetName val="Sheet1"/>
      <sheetName val="공사비산출내역"/>
      <sheetName val="단가"/>
      <sheetName val="4 노임단가"/>
      <sheetName val="노무비"/>
      <sheetName val="M-EQPT-Z"/>
      <sheetName val="실행,원가 최종예상"/>
      <sheetName val="골조시행"/>
      <sheetName val="내역표지"/>
      <sheetName val="다원(ZENECA)"/>
      <sheetName val="내역서 제출"/>
      <sheetName val="설계명세서"/>
      <sheetName val="노임단가"/>
      <sheetName val="수목단가"/>
      <sheetName val="시설수량표"/>
      <sheetName val="식재수량표"/>
      <sheetName val="자재단가"/>
      <sheetName val="납부서"/>
      <sheetName val="수량산출"/>
      <sheetName val="정공공사"/>
      <sheetName val="인제내역"/>
      <sheetName val="건축내역서"/>
      <sheetName val="설비내역서"/>
      <sheetName val="전기내역서"/>
      <sheetName val="집계표"/>
      <sheetName val="설명서 "/>
      <sheetName val="토목"/>
      <sheetName val="Sheet5"/>
      <sheetName val="내역서"/>
      <sheetName val="입찰안"/>
      <sheetName val="내역"/>
      <sheetName val="#REF"/>
      <sheetName val="실행(ALT1)"/>
      <sheetName val="내역서2안"/>
      <sheetName val="연습"/>
      <sheetName val="Customer_Databas"/>
      <sheetName val="1차_내역서"/>
      <sheetName val="4_노임단가"/>
      <sheetName val="실행,원가_최종예상"/>
      <sheetName val="내역서_제출"/>
      <sheetName val="설명서_"/>
      <sheetName val="사장실도배발주서"/>
      <sheetName val="WC96709"/>
      <sheetName val="문학간접"/>
      <sheetName val="간접"/>
      <sheetName val="SG"/>
      <sheetName val="DATA1"/>
      <sheetName val="개산공사비"/>
      <sheetName val="순공사비"/>
      <sheetName val="갑지"/>
      <sheetName val="Customer_Databas1"/>
      <sheetName val="1차_내역서1"/>
      <sheetName val="4_노임단가1"/>
      <sheetName val="실행,원가_최종예상1"/>
      <sheetName val="내역서_제출1"/>
      <sheetName val="설명서_1"/>
      <sheetName val="환경기계공정표 (3)"/>
      <sheetName val="결재갑지"/>
      <sheetName val="철거산출근거"/>
      <sheetName val="인건비"/>
      <sheetName val="판관"/>
      <sheetName val="중기"/>
      <sheetName val="건축명"/>
      <sheetName val="기계명"/>
      <sheetName val="전기명"/>
      <sheetName val="토목명"/>
      <sheetName val="빙장비사양"/>
      <sheetName val="장비사양"/>
      <sheetName val="견적을(1안)"/>
      <sheetName val="2.대외공문"/>
      <sheetName val="일위목록"/>
      <sheetName val="조명율표"/>
      <sheetName val="DATA"/>
      <sheetName val="차도조도계산"/>
      <sheetName val="기결의"/>
      <sheetName val="물량표"/>
      <sheetName val="99노임기준"/>
      <sheetName val="단가대비표"/>
      <sheetName val="일위대가"/>
      <sheetName val="경비"/>
      <sheetName val="토목공사일반"/>
      <sheetName val="101동"/>
      <sheetName val="말뚝지지력산정"/>
      <sheetName val="현장"/>
      <sheetName val="을지"/>
      <sheetName val="건축내역"/>
      <sheetName val="원가계산서"/>
      <sheetName val="01"/>
      <sheetName val="약품공급2"/>
      <sheetName val="전도금정산서(27)"/>
      <sheetName val="전기"/>
      <sheetName val="노임이"/>
      <sheetName val="원가계산"/>
      <sheetName val="기본단가표"/>
      <sheetName val="노임"/>
      <sheetName val="주공 갑지"/>
      <sheetName val="인테리어내역"/>
      <sheetName val="수량산출(음암)"/>
      <sheetName val="단가표"/>
      <sheetName val="Total"/>
      <sheetName val="건축"/>
      <sheetName val="대비표(토공1안)"/>
      <sheetName val="도급자재"/>
      <sheetName val="2-1. 경관조명 내역총괄표"/>
      <sheetName val="내역서1999.8최종"/>
      <sheetName val="금호내역서"/>
      <sheetName val="참조"/>
      <sheetName val="케이블류 OLD"/>
      <sheetName val="설계기준"/>
      <sheetName val="내역1"/>
      <sheetName val="총원가계산서(요율)"/>
      <sheetName val="내역을"/>
      <sheetName val="경산"/>
      <sheetName val="가스(내역)"/>
      <sheetName val="갑지(추정)"/>
      <sheetName val="경비2내역"/>
      <sheetName val="빗물받이(910-510-410)"/>
      <sheetName val="집수정(600-700)"/>
      <sheetName val="토목공사"/>
      <sheetName val="총물량"/>
      <sheetName val="1월"/>
      <sheetName val="설계"/>
      <sheetName val="분석표_아파트동"/>
      <sheetName val="분석표_부속동"/>
      <sheetName val="일위대가목록"/>
      <sheetName val="일반부표"/>
      <sheetName val="정보"/>
      <sheetName val="공사비"/>
      <sheetName val="코드"/>
      <sheetName val="직노"/>
      <sheetName val="입력1"/>
      <sheetName val="맨홀수량산출"/>
      <sheetName val="을-ATYPE"/>
      <sheetName val="I一般比"/>
      <sheetName val="분전함신설"/>
      <sheetName val="접지1종"/>
      <sheetName val="인사자료총집계"/>
      <sheetName val="집계"/>
      <sheetName val="기본사항"/>
      <sheetName val="금액내역서"/>
      <sheetName val="1ST"/>
      <sheetName val="도급실행(본관-주차장)"/>
      <sheetName val="마산월령동골조물량변경"/>
      <sheetName val="기본일위"/>
      <sheetName val="노무산출서"/>
      <sheetName val="총괄갑 "/>
      <sheetName val="샤워실위생"/>
      <sheetName val="Sheet1 (2)"/>
      <sheetName val="Sheet4"/>
      <sheetName val="교통대책내역"/>
      <sheetName val="노무비단가"/>
      <sheetName val="견적내역"/>
      <sheetName val="N賃率-職"/>
      <sheetName val="국내조달(통합-1)"/>
      <sheetName val="형틀공사"/>
      <sheetName val="환산"/>
      <sheetName val="일위대가 "/>
      <sheetName val="노임단가 (2)"/>
      <sheetName val="부재리스트"/>
      <sheetName val="총괄갑_"/>
      <sheetName val="Sheet1_(2)"/>
      <sheetName val="단가 및 재료비"/>
      <sheetName val="상반기손익차2총괄"/>
      <sheetName val="기초자료입력"/>
      <sheetName val="하수급견적대비"/>
      <sheetName val="호표"/>
      <sheetName val="수입"/>
      <sheetName val="자재 DB LIST"/>
      <sheetName val="공통가설"/>
      <sheetName val="새공통"/>
      <sheetName val="회사정보"/>
      <sheetName val="."/>
      <sheetName val="Y-WORK"/>
      <sheetName val="공통비(전체)"/>
      <sheetName val="0000"/>
      <sheetName val="업체명"/>
      <sheetName val="관리"/>
      <sheetName val="J直材4"/>
      <sheetName val="공사내역"/>
      <sheetName val="일용직내역"/>
      <sheetName val="본공사"/>
      <sheetName val="tggwan(mac)"/>
      <sheetName val="가격조사서"/>
      <sheetName val="손익현황"/>
      <sheetName val="현황CODE"/>
      <sheetName val="분석"/>
      <sheetName val="EKOG10건축"/>
      <sheetName val="일위대가목차"/>
      <sheetName val="조경"/>
      <sheetName val="FB25JN"/>
      <sheetName val="hvac(제어동)"/>
      <sheetName val="전기일위대가"/>
      <sheetName val="현장지지물물량"/>
      <sheetName val="표지"/>
      <sheetName val="실행"/>
      <sheetName val="을"/>
      <sheetName val="대비내역"/>
      <sheetName val="BOQ건축"/>
      <sheetName val="1-1"/>
      <sheetName val="COPING"/>
      <sheetName val="Material U.P"/>
      <sheetName val="미장"/>
      <sheetName val="철골"/>
      <sheetName val="danga"/>
      <sheetName val="ilch"/>
      <sheetName val="부속동"/>
      <sheetName val="GAEYO"/>
      <sheetName val="Material_U_P"/>
      <sheetName val="INPUT"/>
      <sheetName val="본선 토공 분배표"/>
      <sheetName val="정부노임단가"/>
      <sheetName val="Material_U_P1"/>
      <sheetName val="copy"/>
      <sheetName val="서식"/>
      <sheetName val="주경기-오배수"/>
      <sheetName val="본선_토공_분배표"/>
      <sheetName val="물량표S"/>
      <sheetName val="물량표(신)"/>
      <sheetName val="DI1"/>
      <sheetName val="미드수량"/>
      <sheetName val="건축집계"/>
      <sheetName val=" 냉각수펌프"/>
      <sheetName val="T1"/>
      <sheetName val="wall"/>
      <sheetName val="CAPVC"/>
      <sheetName val="내역서 "/>
      <sheetName val="h-013211-2"/>
      <sheetName val="카렌스센터계량기설치공사"/>
      <sheetName val="평형공사비"/>
      <sheetName val="48평형"/>
      <sheetName val="62평형"/>
      <sheetName val="plan&amp;section of foundation"/>
      <sheetName val="design criteria"/>
      <sheetName val="조명시설"/>
      <sheetName val="백암비스타내역"/>
      <sheetName val="FD"/>
      <sheetName val="기둥(원형)"/>
      <sheetName val="견적"/>
      <sheetName val="자료"/>
      <sheetName val="적용률"/>
      <sheetName val="AP1"/>
      <sheetName val="수량산출서"/>
      <sheetName val="금액집계"/>
      <sheetName val="Customer_Databas2"/>
      <sheetName val="1차_내역서2"/>
      <sheetName val="4_노임단가2"/>
      <sheetName val="실행,원가_최종예상2"/>
      <sheetName val="내역서_제출2"/>
      <sheetName val="설명서_2"/>
      <sheetName val="환경기계공정표_(3)"/>
      <sheetName val="2_대외공문"/>
      <sheetName val="주공_갑지"/>
      <sheetName val="2-1__경관조명_내역총괄표"/>
      <sheetName val="내역서1999_8최종"/>
      <sheetName val="케이블류_OLD"/>
      <sheetName val="총괄갑_1"/>
      <sheetName val="Sheet1_(2)1"/>
      <sheetName val="일위대가_"/>
      <sheetName val="노임단가_(2)"/>
      <sheetName val="단가_및_재료비"/>
      <sheetName val="자재_DB_LIST"/>
      <sheetName val="_"/>
      <sheetName val="Material_U_P2"/>
      <sheetName val="본선_토공_분배표1"/>
      <sheetName val="_냉각수펌프"/>
      <sheetName val="내역서_"/>
      <sheetName val="plan&amp;section_of_foundation"/>
      <sheetName val="design_criteria"/>
      <sheetName val="연결임시"/>
      <sheetName val="가격비"/>
      <sheetName val="설계내역서"/>
      <sheetName val="약품설비"/>
      <sheetName val="기기리스트"/>
      <sheetName val="단중표"/>
      <sheetName val="실행철강하도"/>
      <sheetName val="Customer_Databas3"/>
      <sheetName val="1차_내역서3"/>
      <sheetName val="4_노임단가3"/>
      <sheetName val="실행,원가_최종예상3"/>
      <sheetName val="내역서_제출3"/>
      <sheetName val="설명서_3"/>
      <sheetName val="2_대외공문1"/>
      <sheetName val="환경기계공정표_(3)1"/>
      <sheetName val="2-1__경관조명_내역총괄표1"/>
      <sheetName val="내역서1999_8최종1"/>
      <sheetName val="주공_갑지1"/>
      <sheetName val="케이블류_OLD1"/>
      <sheetName val="상계견적"/>
      <sheetName val="H-PILE수량집계"/>
      <sheetName val="경비내역(을)-1"/>
      <sheetName val="공사원가계산서"/>
      <sheetName val="갑지1"/>
      <sheetName val="연부97-1"/>
      <sheetName val="산출근거"/>
      <sheetName val="가시설수량"/>
      <sheetName val="단위수량"/>
      <sheetName val="목차"/>
      <sheetName val="건축공사"/>
      <sheetName val="2.Summary-cash"/>
      <sheetName val="95WBS"/>
      <sheetName val="CASHFLOW"/>
      <sheetName val="견적990322"/>
      <sheetName val="건축내역서 (2)"/>
      <sheetName val="Inve. &amp; Income Assum."/>
      <sheetName val="Annex C - 1 - Cash"/>
      <sheetName val="Assumptions"/>
      <sheetName val="Macro Codes"/>
      <sheetName val="지급자재"/>
      <sheetName val="화재 탐지 설비"/>
      <sheetName val="단"/>
      <sheetName val="FRP내역서"/>
      <sheetName val="MATRLDATA"/>
      <sheetName val="공종단가"/>
      <sheetName val="냉천부속동"/>
      <sheetName val="4 LINE"/>
      <sheetName val="7 th"/>
      <sheetName val="월별손익"/>
      <sheetName val="FANDBS"/>
      <sheetName val="GRDATA"/>
      <sheetName val="SHAFTDBSE"/>
      <sheetName val="EJ"/>
      <sheetName val="2002상반기노임기준"/>
      <sheetName val="960318-1"/>
      <sheetName val="T13(P68~72,78)"/>
      <sheetName val="제경비율"/>
      <sheetName val="현장관리비"/>
      <sheetName val="테이블"/>
      <sheetName val="토적계산서"/>
      <sheetName val="할증 "/>
      <sheetName val="경동~상록"/>
      <sheetName val="우주~로베로"/>
      <sheetName val="직공비"/>
      <sheetName val="예총"/>
      <sheetName val="가시설단위수량"/>
      <sheetName val="SORCE1"/>
      <sheetName val="일위대가표"/>
      <sheetName val="직접비"/>
      <sheetName val="직재"/>
      <sheetName val="재집"/>
      <sheetName val="SAM"/>
      <sheetName val="EQT-ESTN"/>
      <sheetName val="수지표"/>
      <sheetName val="셀명"/>
      <sheetName val="식재"/>
      <sheetName val="시설물"/>
      <sheetName val="식재출력용"/>
      <sheetName val="유지관리"/>
      <sheetName val="D"/>
      <sheetName val="PL단가산정"/>
      <sheetName val="그림"/>
      <sheetName val="그림2"/>
      <sheetName val="지질조사"/>
      <sheetName val="Front"/>
      <sheetName val="AS포장복구 "/>
      <sheetName val="2공구산출내역"/>
      <sheetName val="산출내역서집계표"/>
      <sheetName val="DB"/>
      <sheetName val="Customer_Databas4"/>
      <sheetName val="1차_내역서4"/>
      <sheetName val="4_노임단가4"/>
      <sheetName val="실행,원가_최종예상4"/>
      <sheetName val="내역서_제출4"/>
      <sheetName val="설명서_4"/>
      <sheetName val="환경기계공정표_(3)2"/>
      <sheetName val="2_대외공문2"/>
      <sheetName val="주공_갑지2"/>
      <sheetName val="2-1__경관조명_내역총괄표2"/>
      <sheetName val="내역서1999_8최종2"/>
      <sheetName val="케이블류_OLD2"/>
      <sheetName val="총괄갑_2"/>
      <sheetName val="Sheet1_(2)2"/>
      <sheetName val="일위대가_1"/>
      <sheetName val="노임단가_(2)1"/>
      <sheetName val="단가_및_재료비1"/>
      <sheetName val="자재_DB_LIST1"/>
      <sheetName val="_1"/>
      <sheetName val="Material_U_P3"/>
      <sheetName val="본선_토공_분배표2"/>
      <sheetName val="_냉각수펌프1"/>
      <sheetName val="내역서_1"/>
      <sheetName val="plan&amp;section_of_foundation1"/>
      <sheetName val="design_criteria1"/>
      <sheetName val="2_Summary-cash"/>
      <sheetName val="건축내역서_(2)"/>
      <sheetName val="Inve__&amp;_Income_Assum_"/>
      <sheetName val="Annex_C_-_1_-_Cash"/>
      <sheetName val="Macro_Codes"/>
      <sheetName val="화재_탐지_설비"/>
      <sheetName val="4_LINE"/>
      <sheetName val="7_th"/>
      <sheetName val="할증_"/>
      <sheetName val="AS포장복구_"/>
      <sheetName val="Customer_Databas5"/>
      <sheetName val="1차_내역서5"/>
      <sheetName val="4_노임단가5"/>
      <sheetName val="실행,원가_최종예상5"/>
      <sheetName val="내역서_제출5"/>
      <sheetName val="설명서_5"/>
      <sheetName val="환경기계공정표_(3)3"/>
      <sheetName val="2_대외공문3"/>
      <sheetName val="주공_갑지3"/>
      <sheetName val="2-1__경관조명_내역총괄표3"/>
      <sheetName val="내역서1999_8최종3"/>
      <sheetName val="케이블류_OLD3"/>
      <sheetName val="총괄갑_3"/>
      <sheetName val="Sheet1_(2)3"/>
      <sheetName val="일위대가_2"/>
      <sheetName val="노임단가_(2)2"/>
      <sheetName val="단가_및_재료비2"/>
      <sheetName val="자재_DB_LIST2"/>
      <sheetName val="_2"/>
      <sheetName val="Material_U_P4"/>
      <sheetName val="본선_토공_분배표3"/>
      <sheetName val="_냉각수펌프2"/>
      <sheetName val="내역서_2"/>
      <sheetName val="plan&amp;section_of_foundation2"/>
      <sheetName val="design_criteria2"/>
      <sheetName val="2_Summary-cash1"/>
      <sheetName val="건축내역서_(2)1"/>
      <sheetName val="Inve__&amp;_Income_Assum_1"/>
      <sheetName val="Annex_C_-_1_-_Cash1"/>
      <sheetName val="Macro_Codes1"/>
      <sheetName val="화재_탐지_설비1"/>
      <sheetName val="4_LINE1"/>
      <sheetName val="7_th1"/>
      <sheetName val="할증_1"/>
      <sheetName val="AS포장복구_1"/>
      <sheetName val="설계가"/>
      <sheetName val="ITEM"/>
      <sheetName val="수목데이타"/>
      <sheetName val="시설물일위"/>
      <sheetName val="가설공사"/>
      <sheetName val="단가결정"/>
      <sheetName val="내역아"/>
      <sheetName val="울타리"/>
      <sheetName val="본사인상전"/>
      <sheetName val="가격표"/>
      <sheetName val="간접1"/>
      <sheetName val="Customer_Databas6"/>
      <sheetName val="1차_내역서6"/>
      <sheetName val="4_노임단가6"/>
      <sheetName val="실행,원가_최종예상6"/>
      <sheetName val="내역서_제출6"/>
      <sheetName val="설명서_6"/>
      <sheetName val="2_대외공문4"/>
      <sheetName val="환경기계공정표_(3)4"/>
      <sheetName val="주공_갑지4"/>
      <sheetName val="2-1__경관조명_내역총괄표4"/>
      <sheetName val="내역서1999_8최종4"/>
      <sheetName val="케이블류_OLD4"/>
      <sheetName val="총괄갑_4"/>
      <sheetName val="Sheet1_(2)4"/>
      <sheetName val="일위대가_3"/>
      <sheetName val="노임단가_(2)3"/>
      <sheetName val="단가_및_재료비3"/>
      <sheetName val="자재_DB_LIST3"/>
      <sheetName val="_3"/>
      <sheetName val="Material_U_P5"/>
      <sheetName val="본선_토공_분배표4"/>
      <sheetName val="_냉각수펌프3"/>
      <sheetName val="내역서_3"/>
      <sheetName val="plan&amp;section_of_foundation3"/>
      <sheetName val="design_criteria3"/>
      <sheetName val="2_Summary-cash2"/>
      <sheetName val="건축내역서_(2)2"/>
      <sheetName val="Inve__&amp;_Income_Assum_2"/>
      <sheetName val="Annex_C_-_1_-_Cash2"/>
      <sheetName val="Macro_Codes2"/>
      <sheetName val="화재_탐지_설비2"/>
      <sheetName val="4_LINE2"/>
      <sheetName val="7_th2"/>
      <sheetName val="할증_2"/>
      <sheetName val="AS포장복구_2"/>
      <sheetName val="CTEMCOST"/>
      <sheetName val="터널조도"/>
      <sheetName val="개요"/>
      <sheetName val="단가일람"/>
      <sheetName val="표지 (2)"/>
      <sheetName val="Customer_Databas7"/>
      <sheetName val="1차_내역서7"/>
      <sheetName val="4_노임단가7"/>
      <sheetName val="실행,원가_최종예상7"/>
      <sheetName val="내역서_제출7"/>
      <sheetName val="설명서_7"/>
      <sheetName val="환경기계공정표_(3)5"/>
      <sheetName val="2_대외공문5"/>
      <sheetName val="2-1__경관조명_내역총괄표5"/>
      <sheetName val="내역서1999_8최종5"/>
      <sheetName val="주공_갑지5"/>
      <sheetName val="케이블류_OLD5"/>
      <sheetName val="총괄갑_5"/>
      <sheetName val="Sheet1_(2)5"/>
      <sheetName val="일위대가_4"/>
      <sheetName val="노임단가_(2)4"/>
      <sheetName val="단가_및_재료비4"/>
      <sheetName val="자재_DB_LIST4"/>
      <sheetName val="_4"/>
      <sheetName val="Material_U_P6"/>
      <sheetName val="본선_토공_분배표5"/>
      <sheetName val="_냉각수펌프4"/>
      <sheetName val="내역서_4"/>
      <sheetName val="plan&amp;section_of_foundation4"/>
      <sheetName val="design_criteria4"/>
      <sheetName val="2_Summary-cash3"/>
      <sheetName val="건축내역서_(2)3"/>
      <sheetName val="Inve__&amp;_Income_Assum_3"/>
      <sheetName val="Annex_C_-_1_-_Cash3"/>
      <sheetName val="Macro_Codes3"/>
      <sheetName val="화재_탐지_설비3"/>
      <sheetName val="4_LINE3"/>
      <sheetName val="7_th3"/>
      <sheetName val="할증_3"/>
      <sheetName val="AS포장복구_3"/>
      <sheetName val="Customer_Databas8"/>
      <sheetName val="1차_내역서8"/>
      <sheetName val="4_노임단가8"/>
      <sheetName val="실행,원가_최종예상8"/>
      <sheetName val="내역서_제출8"/>
      <sheetName val="설명서_8"/>
      <sheetName val="환경기계공정표_(3)6"/>
      <sheetName val="2_대외공문6"/>
      <sheetName val="주공_갑지6"/>
      <sheetName val="2-1__경관조명_내역총괄표6"/>
      <sheetName val="내역서1999_8최종6"/>
      <sheetName val="케이블류_OLD6"/>
      <sheetName val="총괄갑_6"/>
      <sheetName val="Sheet1_(2)6"/>
      <sheetName val="일위대가_5"/>
      <sheetName val="노임단가_(2)5"/>
      <sheetName val="단가_및_재료비5"/>
      <sheetName val="자재_DB_LIST5"/>
      <sheetName val="_5"/>
      <sheetName val="Material_U_P7"/>
      <sheetName val="본선_토공_분배표6"/>
      <sheetName val="_냉각수펌프5"/>
      <sheetName val="내역서_5"/>
      <sheetName val="plan&amp;section_of_foundation5"/>
      <sheetName val="design_criteria5"/>
      <sheetName val="2_Summary-cash4"/>
      <sheetName val="건축내역서_(2)4"/>
      <sheetName val="Inve__&amp;_Income_Assum_4"/>
      <sheetName val="Annex_C_-_1_-_Cash4"/>
      <sheetName val="Macro_Codes4"/>
      <sheetName val="화재_탐지_설비4"/>
      <sheetName val="4_LINE4"/>
      <sheetName val="투찰"/>
      <sheetName val="기계시공"/>
      <sheetName val="수량산출서(철거)"/>
      <sheetName val="실행내역"/>
      <sheetName val="APT"/>
      <sheetName val="금융비용"/>
      <sheetName val="날개벽수량표"/>
      <sheetName val="o현장경비"/>
      <sheetName val="WORK"/>
      <sheetName val="page#1(총괄)"/>
      <sheetName val="Tables"/>
      <sheetName val="전체"/>
      <sheetName val="손익분석"/>
      <sheetName val="LD"/>
      <sheetName val="인원계획-미화"/>
      <sheetName val="Expense Schedule (4)"/>
      <sheetName val="Sheet16"/>
      <sheetName val="99판매상세"/>
      <sheetName val="7_th4"/>
      <sheetName val="할증_4"/>
      <sheetName val="AS포장복구_4"/>
      <sheetName val="Customer_Databas9"/>
      <sheetName val="1차_내역서9"/>
      <sheetName val="4_노임단가9"/>
      <sheetName val="실행,원가_최종예상9"/>
      <sheetName val="내역서_제출9"/>
      <sheetName val="설명서_9"/>
      <sheetName val="2_대외공문7"/>
      <sheetName val="환경기계공정표_(3)7"/>
      <sheetName val="주공_갑지7"/>
      <sheetName val="2-1__경관조명_내역총괄표7"/>
      <sheetName val="내역서1999_8최종7"/>
      <sheetName val="케이블류_OLD7"/>
      <sheetName val="총괄갑_7"/>
      <sheetName val="Sheet1_(2)7"/>
      <sheetName val="일위대가_6"/>
      <sheetName val="노임단가_(2)6"/>
      <sheetName val="단가_및_재료비6"/>
      <sheetName val="자재_DB_LIST6"/>
      <sheetName val="_6"/>
      <sheetName val="Material_U_P8"/>
      <sheetName val="본선_토공_분배표7"/>
      <sheetName val="_냉각수펌프6"/>
      <sheetName val="내역서_6"/>
      <sheetName val="plan&amp;section_of_foundation6"/>
      <sheetName val="design_criteria6"/>
      <sheetName val="2_Summary-cash5"/>
      <sheetName val="건축내역서_(2)5"/>
      <sheetName val="Inve__&amp;_Income_Assum_5"/>
      <sheetName val="Annex_C_-_1_-_Cash5"/>
      <sheetName val="Macro_Codes5"/>
      <sheetName val="화재_탐지_설비5"/>
      <sheetName val="4_LINE5"/>
      <sheetName val="7_th5"/>
      <sheetName val="할증_5"/>
      <sheetName val="AS포장복구_5"/>
      <sheetName val="2-1__경관조명_내역총괄표ꢠ"/>
      <sheetName val="2-1__경관조명_내역총괄표恴"/>
      <sheetName val="단가조사"/>
      <sheetName val="역T형교대(말뚝기초)"/>
      <sheetName val="2-1__경관조명_내역총괄표悯"/>
      <sheetName val="2-1__경관조명_내역총괄표큞"/>
      <sheetName val=" 견적서"/>
      <sheetName val="총 원가계산"/>
      <sheetName val="암센터"/>
      <sheetName val="2-1__경관조명_내역총괄표Ҡ"/>
      <sheetName val="tong du toan"/>
      <sheetName val="시화점실행"/>
      <sheetName val="98지급계획"/>
      <sheetName val="2-1__경관조명_내역총괄표쌀"/>
      <sheetName val="2-1__경관조명_내역총괄표က"/>
      <sheetName val="2-1__경관조명_내역총괄표䴀"/>
      <sheetName val="2-1__경관조명_내역총괄표"/>
      <sheetName val="2004,상노임"/>
      <sheetName val="프랜트면허"/>
      <sheetName val="예산결제란"/>
      <sheetName val="신청서"/>
      <sheetName val="중기사용료산출근거"/>
      <sheetName val="예산내역서(총괄)"/>
      <sheetName val="예산내역서"/>
      <sheetName val="공제대산출"/>
      <sheetName val="운반공사,공구손료"/>
      <sheetName val="기안"/>
      <sheetName val="2-1__경관조명_내역총괄표°"/>
      <sheetName val="총괄내역"/>
      <sheetName val="견적서"/>
      <sheetName val="친환경주택"/>
      <sheetName val="설변관련"/>
      <sheetName val="지수"/>
      <sheetName val="사회복지관"/>
      <sheetName val="인원배치기준표(변경안)"/>
      <sheetName val="1.개요입력"/>
      <sheetName val="연동내역"/>
      <sheetName val="인원배치기준표"/>
      <sheetName val="DATE"/>
      <sheetName val=""/>
      <sheetName val="예산명세서"/>
      <sheetName val="자료입력"/>
      <sheetName val="토목주소"/>
      <sheetName val="도시가스현황"/>
      <sheetName val="2-1__경관조명_내역총괄표椀"/>
      <sheetName val="해평견적"/>
      <sheetName val="유효성"/>
      <sheetName val="사업성분석"/>
      <sheetName val="4.건축집계"/>
      <sheetName val="설명서_0"/>
      <sheetName val="P-산#1-1(WOWA1)"/>
      <sheetName val="2-1__경관조명_내역총괄표´"/>
      <sheetName val="FAB별"/>
      <sheetName val="C1.공사개요"/>
      <sheetName val="A1.스케쥴"/>
      <sheetName val="5사남"/>
      <sheetName val="이채널"/>
      <sheetName val="Customer_Databas10"/>
      <sheetName val="1차_내역서10"/>
      <sheetName val="4_노임단가10"/>
      <sheetName val="실행,원가_최종예상10"/>
      <sheetName val="내역서_제출10"/>
      <sheetName val="설명서_10"/>
      <sheetName val="2_대외공문8"/>
      <sheetName val="환경기계공정표_(3)8"/>
      <sheetName val="주공_갑지8"/>
      <sheetName val="2-1__경관조명_내역총괄표8"/>
      <sheetName val="내역서1999_8최종8"/>
      <sheetName val="케이블류_OLD8"/>
      <sheetName val="총괄갑_8"/>
      <sheetName val="Sheet1_(2)8"/>
      <sheetName val="일위대가_7"/>
      <sheetName val="노임단가_(2)7"/>
      <sheetName val="단가_및_재료비7"/>
      <sheetName val="자재_DB_LIST7"/>
      <sheetName val="_7"/>
      <sheetName val="Material_U_P9"/>
      <sheetName val="본선_토공_분배표8"/>
      <sheetName val="_냉각수펌프7"/>
      <sheetName val="내역서_7"/>
      <sheetName val="plan&amp;section_of_foundation7"/>
      <sheetName val="design_criteria7"/>
      <sheetName val="2_Summary-cash6"/>
      <sheetName val="건축내역서_(2)6"/>
      <sheetName val="Inve__&amp;_Income_Assum_6"/>
      <sheetName val="Annex_C_-_1_-_Cash6"/>
      <sheetName val="Macro_Codes6"/>
      <sheetName val="화재_탐지_설비6"/>
      <sheetName val="4_LINE6"/>
      <sheetName val="7_th6"/>
      <sheetName val="할증_6"/>
      <sheetName val="AS포장복구_6"/>
      <sheetName val="표지_(2)"/>
      <sheetName val="_견적서"/>
      <sheetName val="총_원가계산"/>
      <sheetName val="tong_du_toan"/>
      <sheetName val="Expense_Schedule_(4)"/>
      <sheetName val="2-1__경관조명_내역총괄표È"/>
      <sheetName val="2-1__경관조명_내역총괄표ト"/>
      <sheetName val="______C_My_Documents_Data_Uni_2"/>
    </sheetNames>
    <sheetDataSet>
      <sheetData sheetId="0" refreshError="1"/>
      <sheetData sheetId="1" refreshError="1">
        <row r="46">
          <cell r="I46" t="str">
            <v>내용</v>
          </cell>
          <cell r="J46" t="str">
            <v>단가</v>
          </cell>
        </row>
        <row r="47">
          <cell r="I47" t="str">
            <v>ED008</v>
          </cell>
          <cell r="J47">
            <v>141800</v>
          </cell>
        </row>
        <row r="48">
          <cell r="I48" t="str">
            <v>ED012</v>
          </cell>
          <cell r="J48">
            <v>173300</v>
          </cell>
        </row>
        <row r="49">
          <cell r="I49" t="str">
            <v>ED014</v>
          </cell>
          <cell r="J49">
            <v>216300</v>
          </cell>
        </row>
        <row r="50">
          <cell r="I50" t="str">
            <v>ED016</v>
          </cell>
          <cell r="J50">
            <v>231000</v>
          </cell>
        </row>
        <row r="51">
          <cell r="I51" t="str">
            <v>ED018</v>
          </cell>
          <cell r="J51">
            <v>243600</v>
          </cell>
        </row>
        <row r="52">
          <cell r="I52" t="str">
            <v>ED018X</v>
          </cell>
          <cell r="J52">
            <v>268800</v>
          </cell>
        </row>
        <row r="53">
          <cell r="I53" t="str">
            <v>ED0108</v>
          </cell>
          <cell r="J53">
            <v>105000</v>
          </cell>
        </row>
        <row r="54">
          <cell r="I54" t="str">
            <v>ED0112</v>
          </cell>
          <cell r="J54">
            <v>132300</v>
          </cell>
        </row>
        <row r="55">
          <cell r="I55" t="str">
            <v>ED0114</v>
          </cell>
          <cell r="J55">
            <v>162800</v>
          </cell>
        </row>
        <row r="56">
          <cell r="I56" t="str">
            <v>ED0116</v>
          </cell>
          <cell r="J56">
            <v>177500</v>
          </cell>
        </row>
        <row r="57">
          <cell r="I57" t="str">
            <v>EP0202</v>
          </cell>
          <cell r="J57">
            <v>131300</v>
          </cell>
        </row>
        <row r="58">
          <cell r="I58" t="str">
            <v>EP0203</v>
          </cell>
          <cell r="J58">
            <v>131300</v>
          </cell>
        </row>
        <row r="59">
          <cell r="I59" t="str">
            <v>EP0302</v>
          </cell>
          <cell r="J59">
            <v>168000</v>
          </cell>
        </row>
        <row r="60">
          <cell r="I60" t="str">
            <v>EP0303</v>
          </cell>
          <cell r="J60">
            <v>168000</v>
          </cell>
        </row>
        <row r="61">
          <cell r="I61" t="str">
            <v>ED401</v>
          </cell>
          <cell r="J61">
            <v>128100</v>
          </cell>
        </row>
        <row r="62">
          <cell r="I62" t="str">
            <v>ED410R</v>
          </cell>
          <cell r="J62">
            <v>160700</v>
          </cell>
        </row>
        <row r="63">
          <cell r="I63" t="str">
            <v>ED410L</v>
          </cell>
          <cell r="J63">
            <v>160700</v>
          </cell>
        </row>
        <row r="64">
          <cell r="I64" t="str">
            <v>ED412</v>
          </cell>
          <cell r="J64">
            <v>160700</v>
          </cell>
        </row>
        <row r="65">
          <cell r="I65" t="str">
            <v>ED950</v>
          </cell>
          <cell r="J65">
            <v>264600</v>
          </cell>
        </row>
        <row r="66">
          <cell r="I66" t="str">
            <v>ED5086R</v>
          </cell>
          <cell r="J66">
            <v>105000</v>
          </cell>
        </row>
        <row r="67">
          <cell r="I67" t="str">
            <v>ED5086L</v>
          </cell>
          <cell r="J67">
            <v>105000</v>
          </cell>
        </row>
        <row r="68">
          <cell r="I68" t="str">
            <v>ED5466</v>
          </cell>
          <cell r="J68">
            <v>33600</v>
          </cell>
        </row>
        <row r="69">
          <cell r="I69" t="str">
            <v>ED5966</v>
          </cell>
          <cell r="J69">
            <v>56700</v>
          </cell>
        </row>
        <row r="70">
          <cell r="I70" t="str">
            <v>ED912</v>
          </cell>
          <cell r="J70">
            <v>203700</v>
          </cell>
        </row>
        <row r="71">
          <cell r="I71" t="str">
            <v>ED916</v>
          </cell>
          <cell r="J71">
            <v>249900</v>
          </cell>
        </row>
        <row r="72">
          <cell r="I72" t="str">
            <v>ED516</v>
          </cell>
          <cell r="J72">
            <v>63000</v>
          </cell>
        </row>
        <row r="73">
          <cell r="I73" t="str">
            <v>ED517R</v>
          </cell>
          <cell r="J73">
            <v>74600</v>
          </cell>
        </row>
        <row r="74">
          <cell r="I74" t="str">
            <v>ED517L</v>
          </cell>
          <cell r="J74">
            <v>74600</v>
          </cell>
        </row>
        <row r="75">
          <cell r="I75" t="str">
            <v>ED5488</v>
          </cell>
          <cell r="J75">
            <v>39900</v>
          </cell>
        </row>
        <row r="76">
          <cell r="I76" t="str">
            <v>ED5988</v>
          </cell>
          <cell r="J76">
            <v>65100</v>
          </cell>
        </row>
        <row r="77">
          <cell r="I77" t="str">
            <v>ED0608</v>
          </cell>
          <cell r="J77">
            <v>54600</v>
          </cell>
        </row>
        <row r="78">
          <cell r="I78" t="str">
            <v>ED0612</v>
          </cell>
          <cell r="J78">
            <v>65100</v>
          </cell>
        </row>
        <row r="81">
          <cell r="I81" t="str">
            <v>ED0616</v>
          </cell>
          <cell r="J81">
            <v>92400</v>
          </cell>
        </row>
        <row r="82">
          <cell r="I82" t="str">
            <v>ED0706</v>
          </cell>
          <cell r="J82">
            <v>105000</v>
          </cell>
        </row>
        <row r="83">
          <cell r="I83" t="str">
            <v>ED0708</v>
          </cell>
          <cell r="J83">
            <v>141800</v>
          </cell>
        </row>
        <row r="84">
          <cell r="I84" t="str">
            <v>ED0806</v>
          </cell>
          <cell r="J84">
            <v>122900</v>
          </cell>
        </row>
        <row r="85">
          <cell r="I85" t="str">
            <v>ED0808</v>
          </cell>
          <cell r="J85">
            <v>164900</v>
          </cell>
        </row>
        <row r="86">
          <cell r="I86" t="str">
            <v>EZ016</v>
          </cell>
          <cell r="J86">
            <v>371700</v>
          </cell>
        </row>
        <row r="87">
          <cell r="I87" t="str">
            <v>EZ018</v>
          </cell>
          <cell r="J87">
            <v>400100</v>
          </cell>
        </row>
        <row r="88">
          <cell r="I88" t="str">
            <v>TD008</v>
          </cell>
          <cell r="J88">
            <v>155400</v>
          </cell>
        </row>
        <row r="89">
          <cell r="I89" t="str">
            <v>TD010</v>
          </cell>
          <cell r="J89">
            <v>173300</v>
          </cell>
        </row>
        <row r="90">
          <cell r="I90" t="str">
            <v>TD012</v>
          </cell>
          <cell r="J90">
            <v>191100</v>
          </cell>
        </row>
        <row r="91">
          <cell r="I91" t="str">
            <v>TD014</v>
          </cell>
          <cell r="J91">
            <v>236300</v>
          </cell>
        </row>
        <row r="92">
          <cell r="I92" t="str">
            <v>TD016</v>
          </cell>
          <cell r="J92">
            <v>254100</v>
          </cell>
        </row>
        <row r="93">
          <cell r="I93" t="str">
            <v>TD018</v>
          </cell>
          <cell r="J93">
            <v>272000</v>
          </cell>
        </row>
        <row r="94">
          <cell r="I94" t="str">
            <v>TD108</v>
          </cell>
          <cell r="J94">
            <v>115500</v>
          </cell>
        </row>
        <row r="112">
          <cell r="I112" t="str">
            <v>TD110</v>
          </cell>
          <cell r="J112">
            <v>130200</v>
          </cell>
        </row>
        <row r="113">
          <cell r="I113" t="str">
            <v>TD112</v>
          </cell>
          <cell r="J113">
            <v>147000</v>
          </cell>
        </row>
        <row r="114">
          <cell r="I114" t="str">
            <v>TD114</v>
          </cell>
          <cell r="J114">
            <v>178500</v>
          </cell>
        </row>
        <row r="115">
          <cell r="I115" t="str">
            <v>TD116</v>
          </cell>
          <cell r="J115">
            <v>196400</v>
          </cell>
        </row>
        <row r="116">
          <cell r="I116" t="str">
            <v>TD118</v>
          </cell>
          <cell r="J116">
            <v>222600</v>
          </cell>
        </row>
        <row r="117">
          <cell r="I117" t="str">
            <v>TP0302</v>
          </cell>
          <cell r="J117">
            <v>198500</v>
          </cell>
        </row>
        <row r="118">
          <cell r="I118" t="str">
            <v>TP0303</v>
          </cell>
          <cell r="J118">
            <v>206900</v>
          </cell>
        </row>
        <row r="119">
          <cell r="I119" t="str">
            <v>TP0312</v>
          </cell>
          <cell r="J119">
            <v>156500</v>
          </cell>
        </row>
        <row r="120">
          <cell r="I120" t="str">
            <v>TP0313</v>
          </cell>
          <cell r="J120">
            <v>162800</v>
          </cell>
        </row>
        <row r="121">
          <cell r="I121" t="str">
            <v>TP0502</v>
          </cell>
          <cell r="J121">
            <v>149100</v>
          </cell>
        </row>
        <row r="122">
          <cell r="I122" t="str">
            <v>TP0503</v>
          </cell>
          <cell r="J122">
            <v>152300</v>
          </cell>
        </row>
        <row r="123">
          <cell r="I123" t="str">
            <v>TD410</v>
          </cell>
          <cell r="J123">
            <v>163800</v>
          </cell>
        </row>
        <row r="124">
          <cell r="I124" t="str">
            <v>TD412</v>
          </cell>
          <cell r="J124">
            <v>173300</v>
          </cell>
        </row>
        <row r="125">
          <cell r="I125" t="str">
            <v>TD546</v>
          </cell>
          <cell r="J125">
            <v>46200</v>
          </cell>
        </row>
        <row r="126">
          <cell r="I126" t="str">
            <v>TD596</v>
          </cell>
          <cell r="J126">
            <v>68300</v>
          </cell>
        </row>
        <row r="127">
          <cell r="I127" t="str">
            <v>TD516</v>
          </cell>
          <cell r="J127">
            <v>83000</v>
          </cell>
        </row>
        <row r="128">
          <cell r="I128" t="str">
            <v>TD517R</v>
          </cell>
          <cell r="J128">
            <v>97700</v>
          </cell>
        </row>
        <row r="129">
          <cell r="I129" t="str">
            <v>TD517L</v>
          </cell>
          <cell r="J129">
            <v>97700</v>
          </cell>
        </row>
        <row r="130">
          <cell r="I130" t="str">
            <v>TD518</v>
          </cell>
          <cell r="J130">
            <v>108200</v>
          </cell>
        </row>
        <row r="131">
          <cell r="I131" t="str">
            <v>TD546</v>
          </cell>
          <cell r="J131">
            <v>46200</v>
          </cell>
        </row>
        <row r="132">
          <cell r="I132" t="str">
            <v>TD548</v>
          </cell>
          <cell r="J132">
            <v>66200</v>
          </cell>
        </row>
        <row r="133">
          <cell r="I133" t="str">
            <v>TD506</v>
          </cell>
          <cell r="J133">
            <v>159600</v>
          </cell>
        </row>
        <row r="134">
          <cell r="I134" t="str">
            <v>TD507R</v>
          </cell>
          <cell r="J134">
            <v>171200</v>
          </cell>
        </row>
        <row r="135">
          <cell r="I135" t="str">
            <v>TD507L</v>
          </cell>
          <cell r="J135">
            <v>171200</v>
          </cell>
        </row>
        <row r="136">
          <cell r="I136" t="str">
            <v>TD508</v>
          </cell>
          <cell r="J136">
            <v>183800</v>
          </cell>
        </row>
        <row r="137">
          <cell r="I137" t="str">
            <v>TD598</v>
          </cell>
          <cell r="J137">
            <v>95600</v>
          </cell>
        </row>
        <row r="138">
          <cell r="I138" t="str">
            <v>TD597R</v>
          </cell>
          <cell r="J138">
            <v>86100</v>
          </cell>
        </row>
        <row r="139">
          <cell r="I139" t="str">
            <v>TD597L</v>
          </cell>
          <cell r="J139">
            <v>86100</v>
          </cell>
        </row>
        <row r="140">
          <cell r="I140" t="str">
            <v>TD0608</v>
          </cell>
          <cell r="J140">
            <v>56700</v>
          </cell>
        </row>
        <row r="141">
          <cell r="I141" t="str">
            <v>TD0612</v>
          </cell>
          <cell r="J141">
            <v>68300</v>
          </cell>
        </row>
        <row r="142">
          <cell r="I142" t="str">
            <v>TD0614</v>
          </cell>
          <cell r="J142">
            <v>86100</v>
          </cell>
        </row>
        <row r="143">
          <cell r="I143" t="str">
            <v>TD0616</v>
          </cell>
          <cell r="J143">
            <v>96600</v>
          </cell>
        </row>
        <row r="144">
          <cell r="I144" t="str">
            <v>TD712</v>
          </cell>
          <cell r="J144">
            <v>212100</v>
          </cell>
        </row>
        <row r="145">
          <cell r="I145" t="str">
            <v>TD808</v>
          </cell>
          <cell r="J145">
            <v>180600</v>
          </cell>
        </row>
        <row r="146">
          <cell r="I146" t="str">
            <v>TD990</v>
          </cell>
          <cell r="J146">
            <v>159600</v>
          </cell>
        </row>
        <row r="147">
          <cell r="I147" t="str">
            <v>TD912</v>
          </cell>
          <cell r="J147">
            <v>129200</v>
          </cell>
        </row>
        <row r="148">
          <cell r="I148" t="str">
            <v>TD916</v>
          </cell>
          <cell r="J148">
            <v>171200</v>
          </cell>
        </row>
        <row r="149">
          <cell r="I149" t="str">
            <v>TD966</v>
          </cell>
          <cell r="J149">
            <v>96600</v>
          </cell>
        </row>
        <row r="150">
          <cell r="I150" t="str">
            <v>TD988</v>
          </cell>
          <cell r="J150">
            <v>155400</v>
          </cell>
        </row>
        <row r="151">
          <cell r="I151" t="str">
            <v>TF008</v>
          </cell>
          <cell r="J151">
            <v>51500</v>
          </cell>
        </row>
        <row r="152">
          <cell r="I152" t="str">
            <v>TF010</v>
          </cell>
          <cell r="J152">
            <v>61700</v>
          </cell>
        </row>
        <row r="153">
          <cell r="I153" t="str">
            <v>TF012</v>
          </cell>
          <cell r="J153">
            <v>69300</v>
          </cell>
        </row>
        <row r="154">
          <cell r="I154" t="str">
            <v>TF014</v>
          </cell>
          <cell r="J154">
            <v>85100</v>
          </cell>
        </row>
        <row r="155">
          <cell r="I155" t="str">
            <v>TF016</v>
          </cell>
          <cell r="J155">
            <v>92400</v>
          </cell>
        </row>
        <row r="156">
          <cell r="I156" t="str">
            <v>TF018</v>
          </cell>
          <cell r="J156">
            <v>103800</v>
          </cell>
        </row>
        <row r="157">
          <cell r="I157" t="str">
            <v>YD018</v>
          </cell>
          <cell r="J157">
            <v>351800</v>
          </cell>
        </row>
        <row r="158">
          <cell r="I158" t="str">
            <v>YP0302</v>
          </cell>
          <cell r="J158">
            <v>233100</v>
          </cell>
        </row>
        <row r="159">
          <cell r="I159" t="str">
            <v>YP0303</v>
          </cell>
          <cell r="J159">
            <v>233100</v>
          </cell>
        </row>
        <row r="160">
          <cell r="I160" t="str">
            <v>YD412</v>
          </cell>
          <cell r="J160">
            <v>194300</v>
          </cell>
        </row>
        <row r="161">
          <cell r="I161" t="str">
            <v>YC055L</v>
          </cell>
          <cell r="J161">
            <v>290900</v>
          </cell>
        </row>
        <row r="162">
          <cell r="I162" t="str">
            <v>YC555R</v>
          </cell>
          <cell r="J162">
            <v>290900</v>
          </cell>
        </row>
        <row r="163">
          <cell r="I163" t="str">
            <v>YC085</v>
          </cell>
          <cell r="J163">
            <v>396900</v>
          </cell>
        </row>
        <row r="164">
          <cell r="I164" t="str">
            <v>YC2082</v>
          </cell>
          <cell r="J164">
            <v>411600</v>
          </cell>
        </row>
        <row r="165">
          <cell r="I165" t="str">
            <v>YC182</v>
          </cell>
          <cell r="J165">
            <v>226800</v>
          </cell>
        </row>
        <row r="166">
          <cell r="I166" t="str">
            <v>YD990</v>
          </cell>
          <cell r="J166">
            <v>202700</v>
          </cell>
        </row>
        <row r="167">
          <cell r="I167" t="str">
            <v>PD018</v>
          </cell>
          <cell r="J167">
            <v>584900</v>
          </cell>
        </row>
        <row r="168">
          <cell r="I168" t="str">
            <v>PD021</v>
          </cell>
          <cell r="J168">
            <v>621600</v>
          </cell>
        </row>
        <row r="169">
          <cell r="I169" t="str">
            <v>PP0202</v>
          </cell>
          <cell r="J169">
            <v>246800</v>
          </cell>
        </row>
        <row r="170">
          <cell r="I170" t="str">
            <v>PP0203</v>
          </cell>
          <cell r="J170">
            <v>246800</v>
          </cell>
        </row>
        <row r="171">
          <cell r="I171" t="str">
            <v>PP0302</v>
          </cell>
          <cell r="J171">
            <v>246800</v>
          </cell>
        </row>
        <row r="172">
          <cell r="I172" t="str">
            <v>PP0303</v>
          </cell>
          <cell r="J172">
            <v>246800</v>
          </cell>
        </row>
        <row r="173">
          <cell r="I173" t="str">
            <v>PD414</v>
          </cell>
          <cell r="J173">
            <v>484100</v>
          </cell>
        </row>
        <row r="174">
          <cell r="I174" t="str">
            <v>PZ021</v>
          </cell>
          <cell r="J174">
            <v>696200</v>
          </cell>
        </row>
        <row r="175">
          <cell r="I175" t="str">
            <v>PC055L</v>
          </cell>
          <cell r="J175">
            <v>347600</v>
          </cell>
        </row>
        <row r="176">
          <cell r="I176" t="str">
            <v>PC355L</v>
          </cell>
          <cell r="J176">
            <v>487200</v>
          </cell>
        </row>
        <row r="177">
          <cell r="I177" t="str">
            <v>PC5055R</v>
          </cell>
          <cell r="J177">
            <v>353900</v>
          </cell>
        </row>
        <row r="178">
          <cell r="I178" t="str">
            <v>PC085</v>
          </cell>
          <cell r="J178">
            <v>513500</v>
          </cell>
        </row>
        <row r="179">
          <cell r="I179" t="str">
            <v>LD021</v>
          </cell>
          <cell r="J179">
            <v>2876000</v>
          </cell>
        </row>
        <row r="180">
          <cell r="I180" t="str">
            <v>LD018</v>
          </cell>
          <cell r="J180">
            <v>2595600</v>
          </cell>
        </row>
        <row r="181">
          <cell r="I181" t="str">
            <v>LD712R</v>
          </cell>
          <cell r="J181">
            <v>781200</v>
          </cell>
        </row>
        <row r="182">
          <cell r="I182" t="str">
            <v>LD712L</v>
          </cell>
          <cell r="J182">
            <v>781200</v>
          </cell>
        </row>
        <row r="183">
          <cell r="I183" t="str">
            <v>LC01</v>
          </cell>
          <cell r="J183">
            <v>5120900</v>
          </cell>
        </row>
        <row r="184">
          <cell r="I184" t="str">
            <v>LC02</v>
          </cell>
          <cell r="J184">
            <v>4102400</v>
          </cell>
        </row>
        <row r="185">
          <cell r="I185" t="str">
            <v>LC03</v>
          </cell>
          <cell r="J185">
            <v>3716000</v>
          </cell>
        </row>
        <row r="186">
          <cell r="I186" t="str">
            <v>LC04</v>
          </cell>
          <cell r="J186">
            <v>5292000</v>
          </cell>
        </row>
        <row r="187">
          <cell r="I187" t="str">
            <v>LC05</v>
          </cell>
          <cell r="J187">
            <v>4273500</v>
          </cell>
        </row>
        <row r="188">
          <cell r="I188" t="str">
            <v>LC11</v>
          </cell>
          <cell r="J188">
            <v>4237800</v>
          </cell>
        </row>
        <row r="189">
          <cell r="I189" t="str">
            <v>LC12</v>
          </cell>
          <cell r="J189">
            <v>3182600</v>
          </cell>
        </row>
        <row r="190">
          <cell r="I190" t="str">
            <v>LC06</v>
          </cell>
          <cell r="J190">
            <v>3887100</v>
          </cell>
        </row>
        <row r="191">
          <cell r="I191" t="str">
            <v>LC21</v>
          </cell>
          <cell r="J191">
            <v>3257100</v>
          </cell>
        </row>
        <row r="192">
          <cell r="I192" t="str">
            <v>LC22</v>
          </cell>
          <cell r="J192">
            <v>2519000</v>
          </cell>
        </row>
        <row r="193">
          <cell r="I193" t="str">
            <v>LC23</v>
          </cell>
          <cell r="J193">
            <v>3782100</v>
          </cell>
        </row>
        <row r="194">
          <cell r="I194" t="str">
            <v>LC24</v>
          </cell>
          <cell r="J194">
            <v>3044000</v>
          </cell>
        </row>
        <row r="195">
          <cell r="I195" t="str">
            <v>LC565R</v>
          </cell>
          <cell r="J195">
            <v>750800</v>
          </cell>
        </row>
        <row r="196">
          <cell r="I196" t="str">
            <v>LC065L</v>
          </cell>
          <cell r="J196">
            <v>729800</v>
          </cell>
        </row>
        <row r="197">
          <cell r="I197" t="str">
            <v>LC162R</v>
          </cell>
          <cell r="J197">
            <v>343400</v>
          </cell>
        </row>
        <row r="198">
          <cell r="I198" t="str">
            <v>LC162L</v>
          </cell>
          <cell r="J198">
            <v>343400</v>
          </cell>
        </row>
        <row r="199">
          <cell r="I199" t="str">
            <v>LC6122</v>
          </cell>
          <cell r="J199">
            <v>515600</v>
          </cell>
        </row>
        <row r="200">
          <cell r="I200" t="str">
            <v>LC7064</v>
          </cell>
          <cell r="J200">
            <v>605900</v>
          </cell>
        </row>
        <row r="201">
          <cell r="I201" t="str">
            <v>LC1063S</v>
          </cell>
          <cell r="J201">
            <v>89300</v>
          </cell>
        </row>
        <row r="202">
          <cell r="I202" t="str">
            <v>LB1063G</v>
          </cell>
          <cell r="J202">
            <v>190100</v>
          </cell>
        </row>
        <row r="203">
          <cell r="I203" t="str">
            <v>LC9112</v>
          </cell>
          <cell r="J203">
            <v>179600</v>
          </cell>
        </row>
        <row r="204">
          <cell r="I204" t="str">
            <v>LC9118</v>
          </cell>
          <cell r="J204">
            <v>237300</v>
          </cell>
        </row>
        <row r="205">
          <cell r="I205" t="str">
            <v>LC9124</v>
          </cell>
          <cell r="J205">
            <v>336000</v>
          </cell>
        </row>
        <row r="206">
          <cell r="I206" t="str">
            <v>LC9106T</v>
          </cell>
          <cell r="J206">
            <v>86100</v>
          </cell>
        </row>
        <row r="207">
          <cell r="I207" t="str">
            <v>LC9112T</v>
          </cell>
          <cell r="J207">
            <v>179600</v>
          </cell>
        </row>
        <row r="208">
          <cell r="I208" t="str">
            <v>LC9118T</v>
          </cell>
          <cell r="J208">
            <v>217400</v>
          </cell>
        </row>
        <row r="209">
          <cell r="I209" t="str">
            <v>LC9124T</v>
          </cell>
          <cell r="J209">
            <v>287700</v>
          </cell>
        </row>
        <row r="210">
          <cell r="I210" t="str">
            <v>LC9124N</v>
          </cell>
          <cell r="J210">
            <v>336000</v>
          </cell>
        </row>
        <row r="211">
          <cell r="I211" t="str">
            <v>LZ01</v>
          </cell>
          <cell r="J211">
            <v>2063300</v>
          </cell>
        </row>
        <row r="212">
          <cell r="I212" t="str">
            <v>LZ02</v>
          </cell>
          <cell r="J212">
            <v>2234400</v>
          </cell>
        </row>
        <row r="213">
          <cell r="I213" t="str">
            <v>LZ11</v>
          </cell>
          <cell r="J213">
            <v>1529900</v>
          </cell>
        </row>
        <row r="214">
          <cell r="I214" t="str">
            <v>LR024</v>
          </cell>
          <cell r="J214">
            <v>1932000</v>
          </cell>
        </row>
        <row r="215">
          <cell r="I215" t="str">
            <v>LR012</v>
          </cell>
          <cell r="J215">
            <v>1430100</v>
          </cell>
        </row>
        <row r="216">
          <cell r="I216" t="str">
            <v>LS7001C</v>
          </cell>
          <cell r="J216">
            <v>1045800</v>
          </cell>
        </row>
        <row r="217">
          <cell r="I217" t="str">
            <v>LS7001W</v>
          </cell>
          <cell r="J217">
            <v>1045800</v>
          </cell>
        </row>
        <row r="218">
          <cell r="I218" t="str">
            <v>LS7003C</v>
          </cell>
          <cell r="J218">
            <v>1708400</v>
          </cell>
        </row>
        <row r="219">
          <cell r="I219" t="str">
            <v>LS7003W</v>
          </cell>
          <cell r="J219">
            <v>1708400</v>
          </cell>
        </row>
        <row r="220">
          <cell r="I220" t="str">
            <v>LL016</v>
          </cell>
          <cell r="J220">
            <v>1146600</v>
          </cell>
        </row>
        <row r="221">
          <cell r="I221" t="str">
            <v>LL008</v>
          </cell>
          <cell r="J221">
            <v>1019600</v>
          </cell>
        </row>
        <row r="222">
          <cell r="I222" t="str">
            <v>LL0007</v>
          </cell>
          <cell r="J222">
            <v>393800</v>
          </cell>
        </row>
        <row r="223">
          <cell r="I223" t="str">
            <v>CA0302</v>
          </cell>
          <cell r="J223">
            <v>60900</v>
          </cell>
        </row>
        <row r="224">
          <cell r="I224" t="str">
            <v>CA0301</v>
          </cell>
          <cell r="J224">
            <v>10500</v>
          </cell>
        </row>
        <row r="225">
          <cell r="I225" t="str">
            <v>CA1101</v>
          </cell>
          <cell r="J225">
            <v>10500</v>
          </cell>
        </row>
        <row r="226">
          <cell r="I226" t="str">
            <v>CC1082</v>
          </cell>
          <cell r="J226">
            <v>107100</v>
          </cell>
        </row>
        <row r="227">
          <cell r="I227" t="str">
            <v>CC1083</v>
          </cell>
          <cell r="J227">
            <v>147000</v>
          </cell>
        </row>
        <row r="228">
          <cell r="I228" t="str">
            <v>CC0054</v>
          </cell>
          <cell r="J228">
            <v>108200</v>
          </cell>
        </row>
        <row r="229">
          <cell r="I229" t="str">
            <v>CC0055</v>
          </cell>
          <cell r="J229">
            <v>129200</v>
          </cell>
        </row>
        <row r="230">
          <cell r="I230" t="str">
            <v>CC0084</v>
          </cell>
          <cell r="J230">
            <v>147000</v>
          </cell>
        </row>
        <row r="231">
          <cell r="I231" t="str">
            <v>CC0085</v>
          </cell>
          <cell r="J231">
            <v>164900</v>
          </cell>
        </row>
        <row r="232">
          <cell r="I232" t="str">
            <v>CC0084N</v>
          </cell>
          <cell r="J232">
            <v>113400</v>
          </cell>
        </row>
        <row r="233">
          <cell r="I233" t="str">
            <v>CC0085N</v>
          </cell>
          <cell r="J233">
            <v>129200</v>
          </cell>
        </row>
        <row r="234">
          <cell r="I234" t="str">
            <v>CC5054</v>
          </cell>
          <cell r="J234">
            <v>101900</v>
          </cell>
        </row>
        <row r="235">
          <cell r="I235" t="str">
            <v>CC5055</v>
          </cell>
          <cell r="J235">
            <v>117600</v>
          </cell>
        </row>
        <row r="236">
          <cell r="I236" t="str">
            <v>TB1082</v>
          </cell>
          <cell r="J236">
            <v>69300</v>
          </cell>
        </row>
        <row r="237">
          <cell r="I237" t="str">
            <v>TB1083</v>
          </cell>
          <cell r="J237">
            <v>90300</v>
          </cell>
        </row>
        <row r="238">
          <cell r="I238" t="str">
            <v>TB0082</v>
          </cell>
          <cell r="J238">
            <v>69300</v>
          </cell>
        </row>
        <row r="239">
          <cell r="I239" t="str">
            <v>TB084</v>
          </cell>
          <cell r="J239">
            <v>127100</v>
          </cell>
        </row>
        <row r="240">
          <cell r="I240" t="str">
            <v>TB085</v>
          </cell>
          <cell r="J240">
            <v>152300</v>
          </cell>
        </row>
        <row r="241">
          <cell r="I241" t="str">
            <v>TB0052R</v>
          </cell>
          <cell r="J241">
            <v>50400</v>
          </cell>
        </row>
        <row r="242">
          <cell r="I242" t="str">
            <v>TB0052L</v>
          </cell>
          <cell r="J242">
            <v>50400</v>
          </cell>
        </row>
        <row r="243">
          <cell r="I243" t="str">
            <v>TB0054R</v>
          </cell>
          <cell r="J243">
            <v>90300</v>
          </cell>
        </row>
        <row r="244">
          <cell r="I244" t="str">
            <v>TB0054L</v>
          </cell>
          <cell r="J244">
            <v>90300</v>
          </cell>
        </row>
        <row r="245">
          <cell r="I245" t="str">
            <v>TB0055R</v>
          </cell>
          <cell r="J245">
            <v>102900</v>
          </cell>
        </row>
        <row r="246">
          <cell r="I246" t="str">
            <v>TB0055L</v>
          </cell>
          <cell r="J246">
            <v>102900</v>
          </cell>
        </row>
        <row r="247">
          <cell r="I247" t="str">
            <v>TB0083G</v>
          </cell>
          <cell r="J247">
            <v>76700</v>
          </cell>
        </row>
        <row r="248">
          <cell r="I248" t="str">
            <v>EB1083G</v>
          </cell>
          <cell r="J248">
            <v>72500</v>
          </cell>
        </row>
        <row r="249">
          <cell r="I249" t="str">
            <v>EB1082</v>
          </cell>
          <cell r="J249">
            <v>54600</v>
          </cell>
        </row>
        <row r="250">
          <cell r="I250" t="str">
            <v>EB1083</v>
          </cell>
          <cell r="J250">
            <v>72500</v>
          </cell>
        </row>
        <row r="251">
          <cell r="I251" t="str">
            <v>EB0082</v>
          </cell>
          <cell r="J251">
            <v>54600</v>
          </cell>
        </row>
        <row r="252">
          <cell r="I252" t="str">
            <v>EB084</v>
          </cell>
          <cell r="J252">
            <v>101900</v>
          </cell>
        </row>
        <row r="253">
          <cell r="I253" t="str">
            <v>EB085</v>
          </cell>
          <cell r="J253">
            <v>120800</v>
          </cell>
        </row>
        <row r="254">
          <cell r="I254" t="str">
            <v>EB0052R</v>
          </cell>
          <cell r="J254">
            <v>42000</v>
          </cell>
        </row>
        <row r="255">
          <cell r="I255" t="str">
            <v>EB0052L</v>
          </cell>
          <cell r="J255">
            <v>42000</v>
          </cell>
        </row>
        <row r="256">
          <cell r="I256" t="str">
            <v>EB0054R</v>
          </cell>
          <cell r="J256">
            <v>74600</v>
          </cell>
        </row>
        <row r="257">
          <cell r="I257" t="str">
            <v>EB0054L</v>
          </cell>
          <cell r="J257">
            <v>74600</v>
          </cell>
        </row>
        <row r="258">
          <cell r="I258" t="str">
            <v>EB0055R</v>
          </cell>
          <cell r="J258">
            <v>86100</v>
          </cell>
        </row>
        <row r="259">
          <cell r="I259" t="str">
            <v>EB0055L</v>
          </cell>
          <cell r="J259">
            <v>86100</v>
          </cell>
        </row>
        <row r="260">
          <cell r="I260" t="str">
            <v>EC2052</v>
          </cell>
          <cell r="J260">
            <v>201600</v>
          </cell>
        </row>
        <row r="261">
          <cell r="I261" t="str">
            <v>EC2053</v>
          </cell>
          <cell r="J261">
            <v>269900</v>
          </cell>
        </row>
        <row r="262">
          <cell r="I262" t="str">
            <v>EC2050</v>
          </cell>
          <cell r="J262">
            <v>38900</v>
          </cell>
        </row>
        <row r="263">
          <cell r="I263" t="str">
            <v>TC2042</v>
          </cell>
          <cell r="J263">
            <v>242600</v>
          </cell>
        </row>
        <row r="264">
          <cell r="I264" t="str">
            <v>TC2043</v>
          </cell>
          <cell r="J264">
            <v>327600</v>
          </cell>
        </row>
        <row r="265">
          <cell r="I265" t="str">
            <v>TC2082</v>
          </cell>
          <cell r="J265">
            <v>371700</v>
          </cell>
        </row>
        <row r="266">
          <cell r="I266" t="str">
            <v>TC2083</v>
          </cell>
          <cell r="J266">
            <v>492500</v>
          </cell>
        </row>
        <row r="267">
          <cell r="I267" t="str">
            <v>TC242S</v>
          </cell>
          <cell r="J267">
            <v>253100</v>
          </cell>
        </row>
        <row r="268">
          <cell r="I268" t="str">
            <v>TC242N</v>
          </cell>
          <cell r="J268">
            <v>246800</v>
          </cell>
        </row>
        <row r="269">
          <cell r="I269" t="str">
            <v>CB9054</v>
          </cell>
          <cell r="J269">
            <v>27300</v>
          </cell>
        </row>
        <row r="270">
          <cell r="I270" t="str">
            <v>CB955</v>
          </cell>
          <cell r="J270">
            <v>35700</v>
          </cell>
        </row>
        <row r="271">
          <cell r="I271" t="str">
            <v>CB9084</v>
          </cell>
          <cell r="J271">
            <v>42000</v>
          </cell>
        </row>
        <row r="272">
          <cell r="I272" t="str">
            <v>CB985</v>
          </cell>
          <cell r="J272">
            <v>54600</v>
          </cell>
        </row>
        <row r="273">
          <cell r="I273" t="str">
            <v>XX100</v>
          </cell>
          <cell r="J273">
            <v>459900</v>
          </cell>
        </row>
        <row r="274">
          <cell r="I274" t="str">
            <v>XC100</v>
          </cell>
          <cell r="J274">
            <v>430500</v>
          </cell>
        </row>
        <row r="275">
          <cell r="I275" t="str">
            <v>XC150R</v>
          </cell>
          <cell r="J275">
            <v>279300</v>
          </cell>
        </row>
        <row r="276">
          <cell r="I276" t="str">
            <v>XC150L</v>
          </cell>
          <cell r="J276">
            <v>279300</v>
          </cell>
        </row>
        <row r="277">
          <cell r="I277" t="str">
            <v>CR1007</v>
          </cell>
          <cell r="J277">
            <v>132300</v>
          </cell>
        </row>
        <row r="278">
          <cell r="I278" t="str">
            <v>CR1015</v>
          </cell>
          <cell r="J278">
            <v>183800</v>
          </cell>
        </row>
        <row r="279">
          <cell r="I279" t="str">
            <v>CR1066</v>
          </cell>
          <cell r="J279">
            <v>201600</v>
          </cell>
        </row>
        <row r="280">
          <cell r="I280" t="str">
            <v>CR1107</v>
          </cell>
          <cell r="J280">
            <v>114500</v>
          </cell>
        </row>
        <row r="281">
          <cell r="I281" t="str">
            <v>CR1115</v>
          </cell>
          <cell r="J281">
            <v>150200</v>
          </cell>
        </row>
        <row r="282">
          <cell r="I282" t="str">
            <v>CR1166</v>
          </cell>
          <cell r="J282">
            <v>158600</v>
          </cell>
        </row>
        <row r="283">
          <cell r="I283" t="str">
            <v>CR1206</v>
          </cell>
          <cell r="J283">
            <v>30500</v>
          </cell>
        </row>
        <row r="284">
          <cell r="I284" t="str">
            <v>CR1207</v>
          </cell>
          <cell r="J284">
            <v>33600</v>
          </cell>
        </row>
        <row r="285">
          <cell r="I285" t="str">
            <v>CR1307</v>
          </cell>
          <cell r="J285">
            <v>17900</v>
          </cell>
        </row>
        <row r="286">
          <cell r="I286" t="str">
            <v>CR1315</v>
          </cell>
          <cell r="J286">
            <v>33600</v>
          </cell>
        </row>
        <row r="287">
          <cell r="I287" t="str">
            <v>CR1360</v>
          </cell>
          <cell r="J287">
            <v>17900</v>
          </cell>
        </row>
        <row r="288">
          <cell r="I288" t="str">
            <v>CR1361</v>
          </cell>
          <cell r="J288">
            <v>17900</v>
          </cell>
        </row>
        <row r="289">
          <cell r="I289" t="str">
            <v>CR2008N</v>
          </cell>
          <cell r="J289">
            <v>150200</v>
          </cell>
        </row>
        <row r="290">
          <cell r="I290" t="str">
            <v>CR2016N</v>
          </cell>
          <cell r="J290">
            <v>246800</v>
          </cell>
        </row>
        <row r="291">
          <cell r="I291" t="str">
            <v>CR2590N</v>
          </cell>
          <cell r="J291">
            <v>135500</v>
          </cell>
        </row>
        <row r="292">
          <cell r="I292" t="str">
            <v>CR2000</v>
          </cell>
          <cell r="J292">
            <v>48300</v>
          </cell>
        </row>
        <row r="293">
          <cell r="I293" t="str">
            <v>CR2000S</v>
          </cell>
          <cell r="J293">
            <v>26300</v>
          </cell>
        </row>
        <row r="294">
          <cell r="I294" t="str">
            <v>CR2000E</v>
          </cell>
          <cell r="J294">
            <v>48300</v>
          </cell>
        </row>
        <row r="295">
          <cell r="I295" t="str">
            <v>CR018</v>
          </cell>
          <cell r="J295">
            <v>278300</v>
          </cell>
        </row>
        <row r="296">
          <cell r="I296" t="str">
            <v>CR024</v>
          </cell>
          <cell r="J296">
            <v>354900</v>
          </cell>
        </row>
        <row r="297">
          <cell r="I297" t="str">
            <v>CR3118</v>
          </cell>
          <cell r="J297">
            <v>285600</v>
          </cell>
        </row>
        <row r="298">
          <cell r="I298" t="str">
            <v>CR3218</v>
          </cell>
          <cell r="J298">
            <v>249900</v>
          </cell>
        </row>
        <row r="299">
          <cell r="I299" t="str">
            <v>CR3114N</v>
          </cell>
          <cell r="J299">
            <v>225800</v>
          </cell>
        </row>
        <row r="300">
          <cell r="I300" t="str">
            <v>CR3214N</v>
          </cell>
          <cell r="J300">
            <v>206900</v>
          </cell>
        </row>
        <row r="301">
          <cell r="I301" t="str">
            <v>CR4110</v>
          </cell>
          <cell r="J301">
            <v>107100</v>
          </cell>
        </row>
        <row r="302">
          <cell r="I302" t="str">
            <v>SR009</v>
          </cell>
          <cell r="J302">
            <v>225800</v>
          </cell>
        </row>
        <row r="303">
          <cell r="I303" t="str">
            <v>SR012</v>
          </cell>
          <cell r="J303">
            <v>241500</v>
          </cell>
        </row>
        <row r="304">
          <cell r="I304" t="str">
            <v>SR018</v>
          </cell>
          <cell r="J304">
            <v>303500</v>
          </cell>
        </row>
        <row r="305">
          <cell r="I305" t="str">
            <v>SR024S</v>
          </cell>
          <cell r="J305">
            <v>375900</v>
          </cell>
        </row>
        <row r="306">
          <cell r="I306" t="str">
            <v>SR024</v>
          </cell>
          <cell r="J306">
            <v>375900</v>
          </cell>
        </row>
        <row r="307">
          <cell r="I307" t="str">
            <v>SR032</v>
          </cell>
          <cell r="J307">
            <v>483000</v>
          </cell>
        </row>
        <row r="308">
          <cell r="I308" t="str">
            <v>CR413</v>
          </cell>
          <cell r="J308">
            <v>129200</v>
          </cell>
        </row>
        <row r="309">
          <cell r="I309" t="str">
            <v>CA9900</v>
          </cell>
          <cell r="J309">
            <v>5300</v>
          </cell>
        </row>
        <row r="310">
          <cell r="I310" t="str">
            <v>CA9901</v>
          </cell>
          <cell r="J310">
            <v>4200</v>
          </cell>
        </row>
        <row r="311">
          <cell r="I311" t="str">
            <v>CA0100</v>
          </cell>
          <cell r="J311">
            <v>26300</v>
          </cell>
        </row>
        <row r="312">
          <cell r="I312" t="str">
            <v>CA0401</v>
          </cell>
          <cell r="J312">
            <v>175400</v>
          </cell>
        </row>
        <row r="313">
          <cell r="I313" t="str">
            <v>CA0402</v>
          </cell>
          <cell r="J313">
            <v>194300</v>
          </cell>
        </row>
        <row r="314">
          <cell r="I314" t="str">
            <v>CA0501</v>
          </cell>
          <cell r="J314">
            <v>161700</v>
          </cell>
        </row>
        <row r="315">
          <cell r="I315" t="str">
            <v>CA0601</v>
          </cell>
          <cell r="J315">
            <v>99800</v>
          </cell>
        </row>
        <row r="316">
          <cell r="I316" t="str">
            <v>CA0702</v>
          </cell>
          <cell r="J316">
            <v>24200</v>
          </cell>
        </row>
        <row r="317">
          <cell r="I317" t="str">
            <v>CA0703</v>
          </cell>
          <cell r="J317">
            <v>18900</v>
          </cell>
        </row>
        <row r="318">
          <cell r="I318" t="str">
            <v>CA0801</v>
          </cell>
          <cell r="J318">
            <v>15800</v>
          </cell>
        </row>
        <row r="319">
          <cell r="I319" t="str">
            <v>CA0802</v>
          </cell>
          <cell r="J319">
            <v>142800</v>
          </cell>
        </row>
        <row r="320">
          <cell r="I320" t="str">
            <v>CA0803</v>
          </cell>
          <cell r="J320">
            <v>66200</v>
          </cell>
        </row>
        <row r="321">
          <cell r="I321" t="str">
            <v>CA0901</v>
          </cell>
          <cell r="J321">
            <v>48300</v>
          </cell>
        </row>
        <row r="322">
          <cell r="I322" t="str">
            <v>CA0001</v>
          </cell>
          <cell r="J322">
            <v>62000</v>
          </cell>
        </row>
        <row r="323">
          <cell r="I323" t="str">
            <v>CA0002</v>
          </cell>
          <cell r="J323">
            <v>172200</v>
          </cell>
        </row>
        <row r="324">
          <cell r="I324" t="str">
            <v>CA0110</v>
          </cell>
          <cell r="J324">
            <v>105000</v>
          </cell>
        </row>
        <row r="325">
          <cell r="I325" t="str">
            <v>CA1003</v>
          </cell>
          <cell r="J325">
            <v>44100</v>
          </cell>
        </row>
        <row r="326">
          <cell r="I326" t="str">
            <v>CA1004</v>
          </cell>
          <cell r="J326">
            <v>44100</v>
          </cell>
        </row>
        <row r="327">
          <cell r="I327" t="str">
            <v>CA1005</v>
          </cell>
          <cell r="J327">
            <v>44000</v>
          </cell>
        </row>
        <row r="328">
          <cell r="I328" t="str">
            <v>CA120</v>
          </cell>
          <cell r="J328">
            <v>123900</v>
          </cell>
        </row>
        <row r="329">
          <cell r="I329" t="str">
            <v>CA0120</v>
          </cell>
          <cell r="J329">
            <v>62000</v>
          </cell>
        </row>
        <row r="330">
          <cell r="I330" t="str">
            <v>NF0060</v>
          </cell>
          <cell r="J330">
            <v>110300</v>
          </cell>
        </row>
        <row r="331">
          <cell r="I331" t="str">
            <v>NF0080</v>
          </cell>
          <cell r="J331">
            <v>122900</v>
          </cell>
        </row>
        <row r="332">
          <cell r="I332" t="str">
            <v>NF0100</v>
          </cell>
          <cell r="J332">
            <v>134400</v>
          </cell>
        </row>
        <row r="333">
          <cell r="I333" t="str">
            <v>NF0120</v>
          </cell>
          <cell r="J333">
            <v>144900</v>
          </cell>
        </row>
        <row r="334">
          <cell r="I334" t="str">
            <v>NF0062</v>
          </cell>
          <cell r="J334">
            <v>123900</v>
          </cell>
        </row>
        <row r="335">
          <cell r="I335" t="str">
            <v>NF0082</v>
          </cell>
          <cell r="J335">
            <v>135500</v>
          </cell>
        </row>
        <row r="336">
          <cell r="I336" t="str">
            <v>NF0102</v>
          </cell>
          <cell r="J336">
            <v>147000</v>
          </cell>
        </row>
        <row r="337">
          <cell r="I337" t="str">
            <v>NF0122</v>
          </cell>
          <cell r="J337">
            <v>159600</v>
          </cell>
        </row>
        <row r="338">
          <cell r="I338" t="str">
            <v>NF0065</v>
          </cell>
          <cell r="J338">
            <v>143900</v>
          </cell>
        </row>
        <row r="339">
          <cell r="I339" t="str">
            <v>NF0085</v>
          </cell>
          <cell r="J339">
            <v>161700</v>
          </cell>
        </row>
        <row r="340">
          <cell r="I340" t="str">
            <v>NF0105</v>
          </cell>
          <cell r="J340">
            <v>177500</v>
          </cell>
        </row>
        <row r="341">
          <cell r="I341" t="str">
            <v>NF0125</v>
          </cell>
          <cell r="J341">
            <v>195300</v>
          </cell>
        </row>
        <row r="342">
          <cell r="I342" t="str">
            <v>NF0068</v>
          </cell>
          <cell r="J342">
            <v>170100</v>
          </cell>
        </row>
        <row r="343">
          <cell r="I343" t="str">
            <v>NF0088</v>
          </cell>
          <cell r="J343">
            <v>195300</v>
          </cell>
        </row>
        <row r="344">
          <cell r="I344" t="str">
            <v>NF0108</v>
          </cell>
          <cell r="J344">
            <v>221600</v>
          </cell>
        </row>
        <row r="345">
          <cell r="I345" t="str">
            <v>NF0128</v>
          </cell>
          <cell r="J345">
            <v>245700</v>
          </cell>
        </row>
        <row r="346">
          <cell r="I346" t="str">
            <v>NF1082</v>
          </cell>
          <cell r="J346">
            <v>204800</v>
          </cell>
        </row>
        <row r="347">
          <cell r="I347" t="str">
            <v>NF1102</v>
          </cell>
          <cell r="J347">
            <v>231000</v>
          </cell>
        </row>
        <row r="348">
          <cell r="I348" t="str">
            <v>NF1085</v>
          </cell>
          <cell r="J348">
            <v>234200</v>
          </cell>
        </row>
        <row r="349">
          <cell r="I349" t="str">
            <v>NF1105</v>
          </cell>
          <cell r="J349">
            <v>273000</v>
          </cell>
        </row>
        <row r="350">
          <cell r="I350" t="str">
            <v>NF1088</v>
          </cell>
          <cell r="J350">
            <v>273000</v>
          </cell>
        </row>
        <row r="351">
          <cell r="I351" t="str">
            <v>NF1108</v>
          </cell>
          <cell r="J351">
            <v>321300</v>
          </cell>
        </row>
        <row r="352">
          <cell r="I352" t="str">
            <v>NF2085</v>
          </cell>
          <cell r="J352">
            <v>242600</v>
          </cell>
        </row>
        <row r="353">
          <cell r="I353" t="str">
            <v>NF2105</v>
          </cell>
          <cell r="J353">
            <v>281400</v>
          </cell>
        </row>
        <row r="354">
          <cell r="I354" t="str">
            <v>NF2088</v>
          </cell>
          <cell r="J354">
            <v>281400</v>
          </cell>
        </row>
        <row r="355">
          <cell r="I355" t="str">
            <v>NF2108</v>
          </cell>
          <cell r="J355">
            <v>329700</v>
          </cell>
        </row>
        <row r="356">
          <cell r="I356" t="str">
            <v>NF0060X</v>
          </cell>
          <cell r="J356">
            <v>114500</v>
          </cell>
        </row>
        <row r="357">
          <cell r="I357" t="str">
            <v>NF0080X</v>
          </cell>
          <cell r="J357">
            <v>128100</v>
          </cell>
        </row>
        <row r="358">
          <cell r="I358" t="str">
            <v>NF0100X</v>
          </cell>
          <cell r="J358">
            <v>138600</v>
          </cell>
        </row>
        <row r="359">
          <cell r="I359" t="str">
            <v>NF0120X</v>
          </cell>
          <cell r="J359">
            <v>150200</v>
          </cell>
        </row>
        <row r="360">
          <cell r="I360" t="str">
            <v>NA0001</v>
          </cell>
          <cell r="J360">
            <v>1600</v>
          </cell>
        </row>
        <row r="361">
          <cell r="I361" t="str">
            <v>NA0006</v>
          </cell>
          <cell r="J361">
            <v>11300</v>
          </cell>
        </row>
        <row r="362">
          <cell r="I362" t="str">
            <v>NA0008</v>
          </cell>
          <cell r="J362">
            <v>14500</v>
          </cell>
        </row>
        <row r="363">
          <cell r="I363" t="str">
            <v>NA0010</v>
          </cell>
          <cell r="J363">
            <v>17700</v>
          </cell>
        </row>
        <row r="364">
          <cell r="I364" t="str">
            <v>NA0012</v>
          </cell>
          <cell r="J364">
            <v>21000</v>
          </cell>
        </row>
        <row r="365">
          <cell r="I365" t="str">
            <v>NA0014</v>
          </cell>
          <cell r="J365">
            <v>24300</v>
          </cell>
        </row>
        <row r="366">
          <cell r="I366" t="str">
            <v>NA0016</v>
          </cell>
          <cell r="J366">
            <v>27500</v>
          </cell>
        </row>
        <row r="367">
          <cell r="I367" t="str">
            <v>NA0101</v>
          </cell>
          <cell r="J367">
            <v>14500</v>
          </cell>
        </row>
        <row r="368">
          <cell r="I368" t="str">
            <v>NA0102</v>
          </cell>
          <cell r="J368">
            <v>27500</v>
          </cell>
        </row>
        <row r="369">
          <cell r="I369" t="str">
            <v>NA0103</v>
          </cell>
          <cell r="J369">
            <v>16200</v>
          </cell>
        </row>
        <row r="370">
          <cell r="I370" t="str">
            <v>NA0104</v>
          </cell>
          <cell r="J370">
            <v>50100</v>
          </cell>
        </row>
        <row r="371">
          <cell r="I371" t="str">
            <v>NA0105</v>
          </cell>
          <cell r="J371">
            <v>14500</v>
          </cell>
        </row>
        <row r="372">
          <cell r="I372" t="str">
            <v>NA0106</v>
          </cell>
          <cell r="J372">
            <v>11300</v>
          </cell>
        </row>
        <row r="373">
          <cell r="I373" t="str">
            <v>NA0107</v>
          </cell>
          <cell r="J373">
            <v>11300</v>
          </cell>
        </row>
        <row r="374">
          <cell r="I374" t="str">
            <v>NF8001</v>
          </cell>
          <cell r="J374">
            <v>25700</v>
          </cell>
        </row>
        <row r="375">
          <cell r="I375" t="str">
            <v>NF8002</v>
          </cell>
          <cell r="J375">
            <v>3300</v>
          </cell>
        </row>
        <row r="376">
          <cell r="I376" t="str">
            <v>NF5109</v>
          </cell>
          <cell r="J376">
            <v>14700</v>
          </cell>
        </row>
        <row r="377">
          <cell r="I377" t="str">
            <v>NF5110</v>
          </cell>
          <cell r="J377">
            <v>16300</v>
          </cell>
        </row>
        <row r="378">
          <cell r="I378" t="str">
            <v>NF5112</v>
          </cell>
          <cell r="J378">
            <v>16300</v>
          </cell>
        </row>
        <row r="379">
          <cell r="I379" t="str">
            <v>NF5115</v>
          </cell>
          <cell r="J379">
            <v>21000</v>
          </cell>
        </row>
        <row r="380">
          <cell r="I380" t="str">
            <v>NF5118</v>
          </cell>
          <cell r="J380">
            <v>24200</v>
          </cell>
        </row>
        <row r="381">
          <cell r="I381" t="str">
            <v>NF5209</v>
          </cell>
          <cell r="J381">
            <v>17900</v>
          </cell>
        </row>
        <row r="382">
          <cell r="I382" t="str">
            <v>NF5210</v>
          </cell>
          <cell r="J382">
            <v>21000</v>
          </cell>
        </row>
        <row r="383">
          <cell r="I383" t="str">
            <v>NF5212</v>
          </cell>
          <cell r="J383">
            <v>21000</v>
          </cell>
        </row>
        <row r="384">
          <cell r="I384" t="str">
            <v>NF5215</v>
          </cell>
          <cell r="J384">
            <v>24200</v>
          </cell>
        </row>
        <row r="385">
          <cell r="I385" t="str">
            <v>NF5218</v>
          </cell>
          <cell r="J385">
            <v>27300</v>
          </cell>
        </row>
        <row r="386">
          <cell r="I386" t="str">
            <v>NF5309</v>
          </cell>
          <cell r="J386">
            <v>14700</v>
          </cell>
        </row>
        <row r="387">
          <cell r="I387" t="str">
            <v>NF5310</v>
          </cell>
          <cell r="J387">
            <v>16300</v>
          </cell>
        </row>
        <row r="388">
          <cell r="I388" t="str">
            <v>NF5312</v>
          </cell>
          <cell r="J388">
            <v>16300</v>
          </cell>
        </row>
        <row r="389">
          <cell r="I389" t="str">
            <v>NF5315</v>
          </cell>
          <cell r="J389">
            <v>21000</v>
          </cell>
        </row>
        <row r="390">
          <cell r="I390" t="str">
            <v>NF5318</v>
          </cell>
          <cell r="J390">
            <v>24200</v>
          </cell>
        </row>
        <row r="391">
          <cell r="I391" t="str">
            <v>NF5409</v>
          </cell>
          <cell r="J391">
            <v>14700</v>
          </cell>
        </row>
        <row r="392">
          <cell r="I392" t="str">
            <v>NF5410</v>
          </cell>
          <cell r="J392">
            <v>16300</v>
          </cell>
        </row>
        <row r="393">
          <cell r="I393" t="str">
            <v>NF5412</v>
          </cell>
          <cell r="J393">
            <v>16300</v>
          </cell>
        </row>
        <row r="394">
          <cell r="I394" t="str">
            <v>NF5415</v>
          </cell>
          <cell r="J394">
            <v>21000</v>
          </cell>
        </row>
        <row r="395">
          <cell r="I395" t="str">
            <v>NF5418</v>
          </cell>
          <cell r="J395">
            <v>24200</v>
          </cell>
        </row>
        <row r="396">
          <cell r="I396" t="str">
            <v>NF5500</v>
          </cell>
          <cell r="J396">
            <v>11600</v>
          </cell>
        </row>
        <row r="397">
          <cell r="I397" t="str">
            <v>NF5600</v>
          </cell>
          <cell r="J397">
            <v>11600</v>
          </cell>
        </row>
        <row r="398">
          <cell r="I398" t="str">
            <v>NF6009</v>
          </cell>
          <cell r="J398">
            <v>3200</v>
          </cell>
        </row>
        <row r="399">
          <cell r="I399" t="str">
            <v>NF6010</v>
          </cell>
          <cell r="J399">
            <v>3200</v>
          </cell>
        </row>
        <row r="400">
          <cell r="I400" t="str">
            <v>NF6012</v>
          </cell>
          <cell r="J400">
            <v>3200</v>
          </cell>
        </row>
        <row r="401">
          <cell r="I401" t="str">
            <v>NF6015</v>
          </cell>
          <cell r="J401">
            <v>4700</v>
          </cell>
        </row>
        <row r="402">
          <cell r="I402" t="str">
            <v>NF6018</v>
          </cell>
          <cell r="J402">
            <v>4700</v>
          </cell>
        </row>
        <row r="403">
          <cell r="I403" t="str">
            <v>NF6103</v>
          </cell>
          <cell r="J403">
            <v>1600</v>
          </cell>
        </row>
        <row r="404">
          <cell r="I404" t="str">
            <v>NF6106</v>
          </cell>
          <cell r="J404">
            <v>1600</v>
          </cell>
        </row>
        <row r="405">
          <cell r="I405" t="str">
            <v>NF6109</v>
          </cell>
          <cell r="J405">
            <v>3200</v>
          </cell>
        </row>
        <row r="406">
          <cell r="I406" t="str">
            <v>NF6303</v>
          </cell>
          <cell r="J406">
            <v>9500</v>
          </cell>
        </row>
        <row r="407">
          <cell r="I407" t="str">
            <v>NF6306</v>
          </cell>
          <cell r="J407">
            <v>11600</v>
          </cell>
        </row>
        <row r="408">
          <cell r="I408" t="str">
            <v>NF6309</v>
          </cell>
          <cell r="J408">
            <v>13100</v>
          </cell>
        </row>
        <row r="409">
          <cell r="I409" t="str">
            <v>NF6403</v>
          </cell>
          <cell r="J409">
            <v>9500</v>
          </cell>
        </row>
        <row r="410">
          <cell r="I410" t="str">
            <v>NF6406</v>
          </cell>
          <cell r="J410">
            <v>11600</v>
          </cell>
        </row>
        <row r="411">
          <cell r="I411" t="str">
            <v>NF6409</v>
          </cell>
          <cell r="J411">
            <v>12600</v>
          </cell>
        </row>
        <row r="412">
          <cell r="I412" t="str">
            <v>NT8001</v>
          </cell>
          <cell r="J412">
            <v>17900</v>
          </cell>
        </row>
        <row r="413">
          <cell r="I413" t="str">
            <v>NT0006</v>
          </cell>
          <cell r="J413">
            <v>66200</v>
          </cell>
        </row>
        <row r="414">
          <cell r="I414" t="str">
            <v>NT0008</v>
          </cell>
          <cell r="J414">
            <v>74600</v>
          </cell>
        </row>
        <row r="415">
          <cell r="I415" t="str">
            <v>NT0010</v>
          </cell>
          <cell r="J415">
            <v>87200</v>
          </cell>
        </row>
        <row r="416">
          <cell r="I416" t="str">
            <v>NT0012</v>
          </cell>
          <cell r="J416">
            <v>92400</v>
          </cell>
        </row>
        <row r="417">
          <cell r="I417" t="str">
            <v>NT0016</v>
          </cell>
          <cell r="J417">
            <v>123900</v>
          </cell>
        </row>
        <row r="418">
          <cell r="I418" t="str">
            <v>NT0018</v>
          </cell>
          <cell r="J418">
            <v>140700</v>
          </cell>
        </row>
        <row r="419">
          <cell r="I419" t="str">
            <v>NT0106</v>
          </cell>
          <cell r="J419">
            <v>54600</v>
          </cell>
        </row>
        <row r="420">
          <cell r="I420" t="str">
            <v>NT0108</v>
          </cell>
          <cell r="J420">
            <v>63000</v>
          </cell>
        </row>
        <row r="421">
          <cell r="I421" t="str">
            <v>NT0110</v>
          </cell>
          <cell r="J421">
            <v>72500</v>
          </cell>
        </row>
        <row r="422">
          <cell r="I422" t="str">
            <v>NT0112</v>
          </cell>
          <cell r="J422">
            <v>75600</v>
          </cell>
        </row>
        <row r="423">
          <cell r="I423" t="str">
            <v>NT0116</v>
          </cell>
          <cell r="J423">
            <v>102900</v>
          </cell>
        </row>
        <row r="424">
          <cell r="I424" t="str">
            <v>NT0118</v>
          </cell>
          <cell r="J424">
            <v>116600</v>
          </cell>
        </row>
        <row r="425">
          <cell r="I425" t="str">
            <v>NT0100</v>
          </cell>
          <cell r="J425">
            <v>63000</v>
          </cell>
        </row>
        <row r="426">
          <cell r="I426" t="str">
            <v>NT0000</v>
          </cell>
          <cell r="J426">
            <v>72500</v>
          </cell>
        </row>
        <row r="427">
          <cell r="I427" t="str">
            <v>NT2004</v>
          </cell>
          <cell r="J427">
            <v>39900</v>
          </cell>
        </row>
        <row r="428">
          <cell r="I428" t="str">
            <v>NT2006</v>
          </cell>
          <cell r="J428">
            <v>45200</v>
          </cell>
        </row>
        <row r="429">
          <cell r="I429" t="str">
            <v>NT2008</v>
          </cell>
          <cell r="J429">
            <v>53600</v>
          </cell>
        </row>
        <row r="430">
          <cell r="I430" t="str">
            <v>NT2010</v>
          </cell>
          <cell r="J430">
            <v>63000</v>
          </cell>
        </row>
        <row r="431">
          <cell r="I431" t="str">
            <v>NT2012</v>
          </cell>
          <cell r="J431">
            <v>66200</v>
          </cell>
        </row>
        <row r="432">
          <cell r="I432" t="str">
            <v>NT2014</v>
          </cell>
          <cell r="J432">
            <v>81900</v>
          </cell>
        </row>
        <row r="433">
          <cell r="I433" t="str">
            <v>NT2016</v>
          </cell>
          <cell r="J433">
            <v>92400</v>
          </cell>
        </row>
        <row r="434">
          <cell r="I434" t="str">
            <v>NT2018</v>
          </cell>
          <cell r="J434">
            <v>95600</v>
          </cell>
        </row>
        <row r="435">
          <cell r="I435" t="str">
            <v>NT2122</v>
          </cell>
          <cell r="J435">
            <v>26300</v>
          </cell>
        </row>
        <row r="436">
          <cell r="I436" t="str">
            <v>NT2206</v>
          </cell>
          <cell r="J436">
            <v>53600</v>
          </cell>
        </row>
        <row r="437">
          <cell r="I437" t="str">
            <v>NT2208</v>
          </cell>
          <cell r="J437">
            <v>59900</v>
          </cell>
        </row>
        <row r="438">
          <cell r="I438" t="str">
            <v>NT2210</v>
          </cell>
          <cell r="J438">
            <v>66200</v>
          </cell>
        </row>
        <row r="439">
          <cell r="I439" t="str">
            <v>NT2212</v>
          </cell>
          <cell r="J439">
            <v>75600</v>
          </cell>
        </row>
        <row r="440">
          <cell r="I440" t="str">
            <v>NT2308</v>
          </cell>
          <cell r="J440">
            <v>45200</v>
          </cell>
        </row>
        <row r="441">
          <cell r="I441" t="str">
            <v>NT912</v>
          </cell>
          <cell r="J441">
            <v>84000</v>
          </cell>
        </row>
        <row r="442">
          <cell r="I442" t="str">
            <v>NT916</v>
          </cell>
          <cell r="J442">
            <v>129200</v>
          </cell>
        </row>
        <row r="443">
          <cell r="I443" t="str">
            <v>NT918</v>
          </cell>
          <cell r="J443">
            <v>153300</v>
          </cell>
        </row>
        <row r="444">
          <cell r="I444" t="str">
            <v>NT966</v>
          </cell>
          <cell r="J444">
            <v>112400</v>
          </cell>
        </row>
        <row r="445">
          <cell r="I445" t="str">
            <v>NT988</v>
          </cell>
          <cell r="J445">
            <v>143900</v>
          </cell>
        </row>
        <row r="446">
          <cell r="I446" t="str">
            <v>NT5566</v>
          </cell>
          <cell r="J446">
            <v>119700</v>
          </cell>
        </row>
        <row r="447">
          <cell r="I447" t="str">
            <v>NT5586R</v>
          </cell>
          <cell r="J447">
            <v>137600</v>
          </cell>
        </row>
        <row r="448">
          <cell r="I448" t="str">
            <v>NT5586L</v>
          </cell>
          <cell r="J448">
            <v>137600</v>
          </cell>
        </row>
        <row r="449">
          <cell r="I449" t="str">
            <v>NT5588</v>
          </cell>
          <cell r="J449">
            <v>144900</v>
          </cell>
        </row>
        <row r="450">
          <cell r="I450" t="str">
            <v>NT5806R</v>
          </cell>
          <cell r="J450">
            <v>80900</v>
          </cell>
        </row>
        <row r="451">
          <cell r="I451" t="str">
            <v>NT5806L</v>
          </cell>
          <cell r="J451">
            <v>80900</v>
          </cell>
        </row>
        <row r="452">
          <cell r="I452" t="str">
            <v>NT5266</v>
          </cell>
          <cell r="J452">
            <v>150200</v>
          </cell>
        </row>
        <row r="453">
          <cell r="I453" t="str">
            <v>NT5288</v>
          </cell>
          <cell r="J453">
            <v>155400</v>
          </cell>
        </row>
        <row r="454">
          <cell r="I454" t="str">
            <v>NT3006</v>
          </cell>
          <cell r="J454">
            <v>30500</v>
          </cell>
        </row>
        <row r="455">
          <cell r="I455" t="str">
            <v>NT3008</v>
          </cell>
          <cell r="J455">
            <v>35700</v>
          </cell>
        </row>
        <row r="456">
          <cell r="I456" t="str">
            <v>NT3010</v>
          </cell>
          <cell r="J456">
            <v>39900</v>
          </cell>
        </row>
        <row r="457">
          <cell r="I457" t="str">
            <v>NT3012</v>
          </cell>
          <cell r="J457">
            <v>45200</v>
          </cell>
        </row>
        <row r="458">
          <cell r="I458" t="str">
            <v>NT3306</v>
          </cell>
          <cell r="J458">
            <v>90300</v>
          </cell>
        </row>
        <row r="459">
          <cell r="I459" t="str">
            <v>NT3308</v>
          </cell>
          <cell r="J459">
            <v>99800</v>
          </cell>
        </row>
        <row r="460">
          <cell r="I460" t="str">
            <v>NT3310</v>
          </cell>
          <cell r="J460">
            <v>119700</v>
          </cell>
        </row>
        <row r="461">
          <cell r="I461" t="str">
            <v>NT3312</v>
          </cell>
          <cell r="J461">
            <v>161700</v>
          </cell>
        </row>
        <row r="462">
          <cell r="I462" t="str">
            <v>NA0206</v>
          </cell>
          <cell r="J462">
            <v>6500</v>
          </cell>
        </row>
        <row r="463">
          <cell r="I463" t="str">
            <v>NA0208</v>
          </cell>
          <cell r="J463">
            <v>6500</v>
          </cell>
        </row>
        <row r="464">
          <cell r="I464" t="str">
            <v>NA0210</v>
          </cell>
          <cell r="J464">
            <v>8100</v>
          </cell>
        </row>
        <row r="465">
          <cell r="I465" t="str">
            <v>NA0212</v>
          </cell>
          <cell r="J465">
            <v>8100</v>
          </cell>
        </row>
        <row r="466">
          <cell r="I466" t="str">
            <v>NA0300</v>
          </cell>
          <cell r="J466">
            <v>4800</v>
          </cell>
        </row>
        <row r="467">
          <cell r="I467" t="str">
            <v>NA0400</v>
          </cell>
          <cell r="J467">
            <v>1300</v>
          </cell>
        </row>
        <row r="468">
          <cell r="I468" t="str">
            <v>CH0001</v>
          </cell>
          <cell r="J468">
            <v>39900</v>
          </cell>
        </row>
        <row r="469">
          <cell r="I469" t="str">
            <v>CH0002</v>
          </cell>
          <cell r="J469">
            <v>75600</v>
          </cell>
        </row>
        <row r="470">
          <cell r="I470" t="str">
            <v>CH0003</v>
          </cell>
          <cell r="J470">
            <v>65100</v>
          </cell>
        </row>
        <row r="471">
          <cell r="I471" t="str">
            <v>CH0004</v>
          </cell>
          <cell r="J471">
            <v>80900</v>
          </cell>
        </row>
        <row r="472">
          <cell r="I472" t="str">
            <v>CH0005</v>
          </cell>
          <cell r="J472">
            <v>158600</v>
          </cell>
        </row>
        <row r="473">
          <cell r="I473" t="str">
            <v>CH0005R</v>
          </cell>
          <cell r="J473">
            <v>13700</v>
          </cell>
        </row>
        <row r="474">
          <cell r="I474" t="str">
            <v>CH0005T</v>
          </cell>
          <cell r="J474">
            <v>34700</v>
          </cell>
        </row>
        <row r="475">
          <cell r="I475" t="str">
            <v>CH0007</v>
          </cell>
          <cell r="J475">
            <v>94500</v>
          </cell>
        </row>
        <row r="476">
          <cell r="I476" t="str">
            <v>CH0007천</v>
          </cell>
          <cell r="J476">
            <v>113400</v>
          </cell>
        </row>
        <row r="477">
          <cell r="I477" t="str">
            <v>CH0007B</v>
          </cell>
          <cell r="J477">
            <v>55700</v>
          </cell>
        </row>
        <row r="478">
          <cell r="I478" t="str">
            <v>CH0007B천</v>
          </cell>
          <cell r="J478">
            <v>75600</v>
          </cell>
        </row>
        <row r="479">
          <cell r="I479" t="str">
            <v>CH0007T</v>
          </cell>
          <cell r="J479">
            <v>27300</v>
          </cell>
        </row>
        <row r="480">
          <cell r="I480" t="str">
            <v>CH0007A</v>
          </cell>
          <cell r="J480">
            <v>10700</v>
          </cell>
        </row>
        <row r="481">
          <cell r="I481" t="str">
            <v>CH0007S</v>
          </cell>
          <cell r="J481">
            <v>27300</v>
          </cell>
        </row>
        <row r="482">
          <cell r="I482" t="str">
            <v>CH0007C</v>
          </cell>
          <cell r="J482">
            <v>26800</v>
          </cell>
        </row>
        <row r="483">
          <cell r="I483" t="str">
            <v>CH0007N</v>
          </cell>
          <cell r="J483">
            <v>500</v>
          </cell>
        </row>
        <row r="484">
          <cell r="I484" t="str">
            <v>CH0100</v>
          </cell>
          <cell r="J484">
            <v>602700</v>
          </cell>
        </row>
        <row r="485">
          <cell r="I485" t="str">
            <v>CH0101</v>
          </cell>
          <cell r="J485">
            <v>383300</v>
          </cell>
        </row>
        <row r="486">
          <cell r="I486" t="str">
            <v>CH0111</v>
          </cell>
          <cell r="J486">
            <v>254100</v>
          </cell>
        </row>
        <row r="487">
          <cell r="I487" t="str">
            <v>CH0200</v>
          </cell>
          <cell r="J487">
            <v>326600</v>
          </cell>
        </row>
        <row r="488">
          <cell r="I488" t="str">
            <v>CH0201</v>
          </cell>
          <cell r="J488">
            <v>302400</v>
          </cell>
        </row>
        <row r="489">
          <cell r="I489" t="str">
            <v>CH0211</v>
          </cell>
          <cell r="J489">
            <v>246800</v>
          </cell>
        </row>
        <row r="490">
          <cell r="I490" t="str">
            <v>CH0300</v>
          </cell>
          <cell r="J490">
            <v>153300</v>
          </cell>
        </row>
        <row r="491">
          <cell r="I491" t="str">
            <v>CH0303</v>
          </cell>
          <cell r="J491">
            <v>152300</v>
          </cell>
        </row>
        <row r="492">
          <cell r="I492" t="str">
            <v>CH0301</v>
          </cell>
          <cell r="J492">
            <v>135500</v>
          </cell>
        </row>
        <row r="493">
          <cell r="I493" t="str">
            <v>CH0302</v>
          </cell>
          <cell r="J493">
            <v>117600</v>
          </cell>
        </row>
        <row r="494">
          <cell r="I494" t="str">
            <v>CH0311</v>
          </cell>
          <cell r="J494">
            <v>98700</v>
          </cell>
        </row>
        <row r="495">
          <cell r="I495" t="str">
            <v>CH0300B</v>
          </cell>
          <cell r="J495">
            <v>170100</v>
          </cell>
        </row>
        <row r="496">
          <cell r="I496" t="str">
            <v>CH0301B</v>
          </cell>
          <cell r="J496">
            <v>143900</v>
          </cell>
        </row>
        <row r="497">
          <cell r="I497" t="str">
            <v>CH0311B</v>
          </cell>
          <cell r="J497">
            <v>119700</v>
          </cell>
        </row>
        <row r="498">
          <cell r="I498" t="str">
            <v>CH0332</v>
          </cell>
          <cell r="J498">
            <v>185900</v>
          </cell>
        </row>
        <row r="499">
          <cell r="I499" t="str">
            <v>CH0333</v>
          </cell>
          <cell r="J499">
            <v>257300</v>
          </cell>
        </row>
        <row r="500">
          <cell r="I500" t="str">
            <v>CH0332S</v>
          </cell>
          <cell r="J500">
            <v>210000</v>
          </cell>
        </row>
        <row r="501">
          <cell r="I501" t="str">
            <v>CH0032</v>
          </cell>
          <cell r="J501">
            <v>98100</v>
          </cell>
        </row>
        <row r="502">
          <cell r="I502" t="str">
            <v>CH0033</v>
          </cell>
          <cell r="J502">
            <v>126000</v>
          </cell>
        </row>
        <row r="503">
          <cell r="I503" t="str">
            <v>CH0032S</v>
          </cell>
          <cell r="J503">
            <v>120800</v>
          </cell>
        </row>
        <row r="504">
          <cell r="I504" t="str">
            <v>CH0342</v>
          </cell>
          <cell r="J504">
            <v>120800</v>
          </cell>
        </row>
        <row r="505">
          <cell r="I505" t="str">
            <v>CH0342S</v>
          </cell>
          <cell r="J505">
            <v>147000</v>
          </cell>
        </row>
        <row r="506">
          <cell r="I506" t="str">
            <v>CH0343</v>
          </cell>
          <cell r="J506">
            <v>159600</v>
          </cell>
        </row>
        <row r="507">
          <cell r="I507" t="str">
            <v>CH0401</v>
          </cell>
          <cell r="J507">
            <v>219500</v>
          </cell>
        </row>
        <row r="508">
          <cell r="I508" t="str">
            <v>CH0402</v>
          </cell>
          <cell r="J508">
            <v>189000</v>
          </cell>
        </row>
        <row r="509">
          <cell r="I509" t="str">
            <v>CH0411</v>
          </cell>
          <cell r="J509">
            <v>135500</v>
          </cell>
        </row>
        <row r="510">
          <cell r="I510" t="str">
            <v>CH0491</v>
          </cell>
          <cell r="J510">
            <v>23100</v>
          </cell>
        </row>
        <row r="511">
          <cell r="I511" t="str">
            <v>CH0500</v>
          </cell>
          <cell r="J511">
            <v>170100</v>
          </cell>
        </row>
        <row r="512">
          <cell r="I512" t="str">
            <v>CH0501</v>
          </cell>
          <cell r="J512">
            <v>159600</v>
          </cell>
        </row>
        <row r="513">
          <cell r="I513" t="str">
            <v>CH0502</v>
          </cell>
          <cell r="J513">
            <v>150200</v>
          </cell>
        </row>
        <row r="514">
          <cell r="I514" t="str">
            <v>CH0511</v>
          </cell>
          <cell r="J514">
            <v>107100</v>
          </cell>
        </row>
        <row r="515">
          <cell r="I515" t="str">
            <v>CH0600</v>
          </cell>
          <cell r="J515">
            <v>221600</v>
          </cell>
        </row>
        <row r="516">
          <cell r="I516" t="str">
            <v>CH0601</v>
          </cell>
          <cell r="J516">
            <v>201600</v>
          </cell>
        </row>
        <row r="517">
          <cell r="I517" t="str">
            <v>CH0602</v>
          </cell>
          <cell r="J517">
            <v>177500</v>
          </cell>
        </row>
        <row r="518">
          <cell r="I518" t="str">
            <v>CH0611</v>
          </cell>
          <cell r="J518">
            <v>159600</v>
          </cell>
        </row>
        <row r="519">
          <cell r="I519" t="str">
            <v>CH0701</v>
          </cell>
          <cell r="J519">
            <v>120800</v>
          </cell>
        </row>
        <row r="520">
          <cell r="I520" t="str">
            <v>CH0702</v>
          </cell>
          <cell r="J520">
            <v>102900</v>
          </cell>
        </row>
        <row r="521">
          <cell r="I521" t="str">
            <v>CH0712</v>
          </cell>
          <cell r="J521">
            <v>78800</v>
          </cell>
        </row>
        <row r="522">
          <cell r="I522" t="str">
            <v>CH0801</v>
          </cell>
          <cell r="J522">
            <v>108200</v>
          </cell>
        </row>
        <row r="523">
          <cell r="I523" t="str">
            <v>CH0802</v>
          </cell>
          <cell r="J523">
            <v>90300</v>
          </cell>
        </row>
        <row r="524">
          <cell r="I524" t="str">
            <v>CH0812</v>
          </cell>
          <cell r="J524">
            <v>66200</v>
          </cell>
        </row>
        <row r="525">
          <cell r="I525" t="str">
            <v>CH0900</v>
          </cell>
          <cell r="J525">
            <v>798000</v>
          </cell>
        </row>
        <row r="526">
          <cell r="I526" t="str">
            <v>CH0901</v>
          </cell>
          <cell r="J526">
            <v>707700</v>
          </cell>
        </row>
        <row r="527">
          <cell r="I527" t="str">
            <v>CH0911</v>
          </cell>
          <cell r="J527">
            <v>614300</v>
          </cell>
        </row>
        <row r="528">
          <cell r="I528" t="str">
            <v>CH1000</v>
          </cell>
          <cell r="J528">
            <v>882000</v>
          </cell>
        </row>
        <row r="529">
          <cell r="I529" t="str">
            <v>CH1001</v>
          </cell>
          <cell r="J529">
            <v>764400</v>
          </cell>
        </row>
        <row r="530">
          <cell r="I530" t="str">
            <v>CH9000</v>
          </cell>
          <cell r="J530">
            <v>3011400</v>
          </cell>
        </row>
        <row r="531">
          <cell r="I531" t="str">
            <v>CH9901</v>
          </cell>
          <cell r="J531">
            <v>45200</v>
          </cell>
        </row>
        <row r="532">
          <cell r="I532" t="str">
            <v>CH9903</v>
          </cell>
          <cell r="J532">
            <v>45200</v>
          </cell>
        </row>
        <row r="533">
          <cell r="I533" t="str">
            <v>CH9905</v>
          </cell>
          <cell r="J533">
            <v>66200</v>
          </cell>
        </row>
        <row r="534">
          <cell r="I534" t="str">
            <v>CH0907</v>
          </cell>
          <cell r="J534">
            <v>102900</v>
          </cell>
        </row>
        <row r="535">
          <cell r="I535" t="str">
            <v>CH9917</v>
          </cell>
          <cell r="J535">
            <v>210000</v>
          </cell>
        </row>
        <row r="536">
          <cell r="I536" t="str">
            <v>CS0101</v>
          </cell>
          <cell r="J536">
            <v>219500</v>
          </cell>
        </row>
        <row r="537">
          <cell r="I537" t="str">
            <v>CS0103</v>
          </cell>
          <cell r="J537">
            <v>392700</v>
          </cell>
        </row>
        <row r="538">
          <cell r="I538" t="str">
            <v>CS0301</v>
          </cell>
          <cell r="J538">
            <v>258300</v>
          </cell>
        </row>
        <row r="539">
          <cell r="I539" t="str">
            <v>CS0303</v>
          </cell>
          <cell r="J539">
            <v>449400</v>
          </cell>
        </row>
        <row r="540">
          <cell r="I540" t="str">
            <v>CS401천연</v>
          </cell>
          <cell r="J540">
            <v>407400</v>
          </cell>
        </row>
        <row r="541">
          <cell r="I541" t="str">
            <v>CS401인조</v>
          </cell>
          <cell r="J541">
            <v>300300</v>
          </cell>
        </row>
        <row r="542">
          <cell r="I542" t="str">
            <v>CS0501</v>
          </cell>
          <cell r="J542">
            <v>197400</v>
          </cell>
        </row>
        <row r="543">
          <cell r="I543" t="str">
            <v>CS0503</v>
          </cell>
          <cell r="J543">
            <v>329700</v>
          </cell>
        </row>
        <row r="544">
          <cell r="I544" t="str">
            <v>CS0601</v>
          </cell>
          <cell r="J544">
            <v>246800</v>
          </cell>
        </row>
        <row r="545">
          <cell r="I545" t="str">
            <v>CS0603</v>
          </cell>
          <cell r="J545">
            <v>411600</v>
          </cell>
        </row>
        <row r="546">
          <cell r="I546" t="str">
            <v>CS0701</v>
          </cell>
          <cell r="J546">
            <v>305600</v>
          </cell>
        </row>
        <row r="547">
          <cell r="I547" t="str">
            <v>CS0703</v>
          </cell>
          <cell r="J547">
            <v>483000</v>
          </cell>
        </row>
        <row r="548">
          <cell r="I548" t="str">
            <v>CS0801천연</v>
          </cell>
          <cell r="J548">
            <v>909300</v>
          </cell>
        </row>
        <row r="549">
          <cell r="I549" t="str">
            <v>CS0803천연</v>
          </cell>
          <cell r="J549">
            <v>357000</v>
          </cell>
        </row>
        <row r="550">
          <cell r="I550" t="str">
            <v>CS0801인조</v>
          </cell>
          <cell r="J550">
            <v>1494200</v>
          </cell>
        </row>
        <row r="551">
          <cell r="I551" t="str">
            <v>CS0803인조</v>
          </cell>
          <cell r="J551">
            <v>576500</v>
          </cell>
        </row>
        <row r="552">
          <cell r="I552" t="str">
            <v>CS0901</v>
          </cell>
          <cell r="J552">
            <v>906200</v>
          </cell>
        </row>
        <row r="553">
          <cell r="I553" t="str">
            <v>CS0902</v>
          </cell>
          <cell r="J553">
            <v>1107800</v>
          </cell>
        </row>
        <row r="554">
          <cell r="I554" t="str">
            <v>CS0903</v>
          </cell>
          <cell r="J554">
            <v>1434300</v>
          </cell>
        </row>
        <row r="555">
          <cell r="I555" t="str">
            <v>CS1001</v>
          </cell>
          <cell r="J555">
            <v>945000</v>
          </cell>
        </row>
        <row r="556">
          <cell r="I556" t="str">
            <v>CS1002</v>
          </cell>
          <cell r="J556">
            <v>1211700</v>
          </cell>
        </row>
        <row r="557">
          <cell r="I557" t="str">
            <v>CS1003</v>
          </cell>
          <cell r="J557">
            <v>1530900</v>
          </cell>
        </row>
        <row r="558">
          <cell r="I558" t="str">
            <v>EL0104</v>
          </cell>
          <cell r="J558">
            <v>68300</v>
          </cell>
        </row>
        <row r="559">
          <cell r="I559" t="str">
            <v>EL0112</v>
          </cell>
          <cell r="J559">
            <v>98700</v>
          </cell>
        </row>
        <row r="560">
          <cell r="I560" t="str">
            <v>CL0204</v>
          </cell>
          <cell r="J560">
            <v>90300</v>
          </cell>
        </row>
        <row r="561">
          <cell r="I561" t="str">
            <v>CL0207</v>
          </cell>
          <cell r="J561">
            <v>86100</v>
          </cell>
        </row>
        <row r="562">
          <cell r="I562" t="str">
            <v>CL0212</v>
          </cell>
          <cell r="J562">
            <v>107100</v>
          </cell>
        </row>
        <row r="563">
          <cell r="I563" t="str">
            <v>CL034</v>
          </cell>
          <cell r="J563">
            <v>153300</v>
          </cell>
        </row>
        <row r="564">
          <cell r="I564" t="str">
            <v>CL031</v>
          </cell>
          <cell r="J564">
            <v>183800</v>
          </cell>
        </row>
        <row r="565">
          <cell r="I565" t="str">
            <v>CL046</v>
          </cell>
          <cell r="J565">
            <v>174300</v>
          </cell>
        </row>
        <row r="566">
          <cell r="I566" t="str">
            <v>CL044</v>
          </cell>
          <cell r="J566">
            <v>185900</v>
          </cell>
        </row>
        <row r="567">
          <cell r="I567" t="str">
            <v>CL041</v>
          </cell>
          <cell r="J567">
            <v>243600</v>
          </cell>
        </row>
        <row r="568">
          <cell r="I568" t="str">
            <v>CL056</v>
          </cell>
          <cell r="J568">
            <v>117600</v>
          </cell>
        </row>
        <row r="569">
          <cell r="I569" t="str">
            <v>CL054</v>
          </cell>
          <cell r="J569">
            <v>129200</v>
          </cell>
        </row>
        <row r="570">
          <cell r="I570" t="str">
            <v>CL051</v>
          </cell>
          <cell r="J570">
            <v>185900</v>
          </cell>
        </row>
        <row r="571">
          <cell r="I571" t="str">
            <v>PL0904</v>
          </cell>
          <cell r="J571">
            <v>245700</v>
          </cell>
        </row>
        <row r="572">
          <cell r="I572" t="str">
            <v>PL0908</v>
          </cell>
          <cell r="J572">
            <v>227900</v>
          </cell>
        </row>
        <row r="573">
          <cell r="I573" t="str">
            <v>PL0912</v>
          </cell>
          <cell r="J573">
            <v>261500</v>
          </cell>
        </row>
        <row r="574">
          <cell r="I574" t="str">
            <v>PL0914</v>
          </cell>
          <cell r="J574">
            <v>297200</v>
          </cell>
        </row>
        <row r="575">
          <cell r="I575" t="str">
            <v>AT0106</v>
          </cell>
          <cell r="J575">
            <v>54600</v>
          </cell>
        </row>
        <row r="576">
          <cell r="I576" t="str">
            <v>AT0108</v>
          </cell>
          <cell r="J576">
            <v>63000</v>
          </cell>
        </row>
        <row r="577">
          <cell r="I577" t="str">
            <v>AT0110</v>
          </cell>
          <cell r="J577">
            <v>72500</v>
          </cell>
        </row>
        <row r="578">
          <cell r="I578" t="str">
            <v>AT0112</v>
          </cell>
          <cell r="J578">
            <v>75600</v>
          </cell>
        </row>
        <row r="579">
          <cell r="I579" t="str">
            <v>AT0114</v>
          </cell>
          <cell r="J579">
            <v>87200</v>
          </cell>
        </row>
        <row r="580">
          <cell r="I580" t="str">
            <v>AT0116</v>
          </cell>
          <cell r="J580">
            <v>102900</v>
          </cell>
        </row>
        <row r="581">
          <cell r="I581" t="str">
            <v>AT0118</v>
          </cell>
          <cell r="J581">
            <v>116600</v>
          </cell>
        </row>
        <row r="582">
          <cell r="I582" t="str">
            <v>AT0006</v>
          </cell>
          <cell r="J582">
            <v>66200</v>
          </cell>
        </row>
        <row r="583">
          <cell r="I583" t="str">
            <v>AT0008</v>
          </cell>
          <cell r="J583">
            <v>74600</v>
          </cell>
        </row>
        <row r="584">
          <cell r="I584" t="str">
            <v>AT0010</v>
          </cell>
          <cell r="J584">
            <v>87200</v>
          </cell>
        </row>
        <row r="585">
          <cell r="I585" t="str">
            <v>AT0012</v>
          </cell>
          <cell r="J585">
            <v>92400</v>
          </cell>
        </row>
        <row r="586">
          <cell r="I586" t="str">
            <v>AT0014</v>
          </cell>
          <cell r="J586">
            <v>110300</v>
          </cell>
        </row>
        <row r="587">
          <cell r="I587" t="str">
            <v>AT0016</v>
          </cell>
          <cell r="J587">
            <v>123900</v>
          </cell>
        </row>
        <row r="588">
          <cell r="I588" t="str">
            <v>AT0018</v>
          </cell>
          <cell r="J588">
            <v>140700</v>
          </cell>
        </row>
        <row r="589">
          <cell r="I589" t="str">
            <v>AT0000R</v>
          </cell>
          <cell r="J589">
            <v>56700</v>
          </cell>
        </row>
        <row r="590">
          <cell r="I590" t="str">
            <v>AT0000L</v>
          </cell>
          <cell r="J590">
            <v>56700</v>
          </cell>
        </row>
        <row r="591">
          <cell r="I591" t="str">
            <v>AT0100R</v>
          </cell>
          <cell r="J591">
            <v>45200</v>
          </cell>
        </row>
        <row r="592">
          <cell r="I592" t="str">
            <v>AT0100L</v>
          </cell>
          <cell r="J592">
            <v>45200</v>
          </cell>
        </row>
        <row r="593">
          <cell r="I593" t="str">
            <v>AT5066</v>
          </cell>
          <cell r="J593">
            <v>128100</v>
          </cell>
        </row>
        <row r="594">
          <cell r="I594" t="str">
            <v>AT5086R</v>
          </cell>
          <cell r="J594">
            <v>144900</v>
          </cell>
        </row>
        <row r="595">
          <cell r="I595" t="str">
            <v>AT5086L</v>
          </cell>
          <cell r="J595">
            <v>144900</v>
          </cell>
        </row>
        <row r="596">
          <cell r="I596" t="str">
            <v>AT5088</v>
          </cell>
          <cell r="J596">
            <v>155400</v>
          </cell>
        </row>
        <row r="597">
          <cell r="I597" t="str">
            <v>AT5806R</v>
          </cell>
          <cell r="J597">
            <v>90300</v>
          </cell>
        </row>
        <row r="598">
          <cell r="I598" t="str">
            <v>AT5806L</v>
          </cell>
          <cell r="J598">
            <v>90300</v>
          </cell>
        </row>
        <row r="599">
          <cell r="I599" t="str">
            <v>AT5166</v>
          </cell>
          <cell r="J599">
            <v>110300</v>
          </cell>
        </row>
        <row r="600">
          <cell r="I600" t="str">
            <v>AT5186R</v>
          </cell>
          <cell r="J600">
            <v>128100</v>
          </cell>
        </row>
        <row r="601">
          <cell r="I601" t="str">
            <v>AT5186L</v>
          </cell>
          <cell r="J601">
            <v>128100</v>
          </cell>
        </row>
        <row r="602">
          <cell r="I602" t="str">
            <v>AT5188</v>
          </cell>
          <cell r="J602">
            <v>137600</v>
          </cell>
        </row>
        <row r="603">
          <cell r="I603" t="str">
            <v>AT5266</v>
          </cell>
          <cell r="J603">
            <v>161700</v>
          </cell>
        </row>
        <row r="604">
          <cell r="I604" t="str">
            <v>AT5288</v>
          </cell>
          <cell r="J604">
            <v>164900</v>
          </cell>
        </row>
        <row r="605">
          <cell r="I605" t="str">
            <v>AT912</v>
          </cell>
          <cell r="J605">
            <v>122900</v>
          </cell>
        </row>
        <row r="606">
          <cell r="I606" t="str">
            <v>AT914</v>
          </cell>
          <cell r="J606">
            <v>156500</v>
          </cell>
        </row>
        <row r="607">
          <cell r="I607" t="str">
            <v>AT916</v>
          </cell>
          <cell r="J607">
            <v>162800</v>
          </cell>
        </row>
        <row r="608">
          <cell r="I608" t="str">
            <v>AT918</v>
          </cell>
          <cell r="J608">
            <v>185900</v>
          </cell>
        </row>
        <row r="609">
          <cell r="I609" t="str">
            <v>AT988A</v>
          </cell>
          <cell r="J609">
            <v>176400</v>
          </cell>
        </row>
        <row r="610">
          <cell r="I610" t="str">
            <v>AT966A</v>
          </cell>
          <cell r="J610">
            <v>144900</v>
          </cell>
        </row>
        <row r="611">
          <cell r="I611" t="str">
            <v>AT988B</v>
          </cell>
          <cell r="J611">
            <v>198500</v>
          </cell>
        </row>
        <row r="612">
          <cell r="I612" t="str">
            <v>AT966B</v>
          </cell>
          <cell r="J612">
            <v>186900</v>
          </cell>
        </row>
        <row r="613">
          <cell r="I613" t="str">
            <v>AT914CR</v>
          </cell>
          <cell r="J613">
            <v>183800</v>
          </cell>
        </row>
        <row r="614">
          <cell r="I614" t="str">
            <v>AT914CL</v>
          </cell>
          <cell r="J614">
            <v>183800</v>
          </cell>
        </row>
        <row r="615">
          <cell r="I615" t="str">
            <v>AT916CR</v>
          </cell>
          <cell r="J615">
            <v>195300</v>
          </cell>
        </row>
        <row r="616">
          <cell r="I616" t="str">
            <v>AT916CL</v>
          </cell>
          <cell r="J616">
            <v>195300</v>
          </cell>
        </row>
        <row r="617">
          <cell r="I617" t="str">
            <v>AT966D</v>
          </cell>
          <cell r="J617">
            <v>203700</v>
          </cell>
        </row>
        <row r="618">
          <cell r="I618" t="str">
            <v>AT2004</v>
          </cell>
          <cell r="J618">
            <v>39900</v>
          </cell>
        </row>
        <row r="619">
          <cell r="I619" t="str">
            <v>AT2006</v>
          </cell>
          <cell r="J619">
            <v>45200</v>
          </cell>
        </row>
        <row r="620">
          <cell r="I620" t="str">
            <v>AT2008</v>
          </cell>
          <cell r="J620">
            <v>53600</v>
          </cell>
        </row>
        <row r="621">
          <cell r="I621" t="str">
            <v>AT2010</v>
          </cell>
          <cell r="J621">
            <v>63000</v>
          </cell>
        </row>
        <row r="622">
          <cell r="I622" t="str">
            <v>AT2012</v>
          </cell>
          <cell r="J622">
            <v>66200</v>
          </cell>
        </row>
        <row r="623">
          <cell r="I623" t="str">
            <v>AT2014</v>
          </cell>
          <cell r="J623">
            <v>81900</v>
          </cell>
        </row>
        <row r="624">
          <cell r="I624" t="str">
            <v>AT2016</v>
          </cell>
          <cell r="J624">
            <v>92400</v>
          </cell>
        </row>
        <row r="625">
          <cell r="I625" t="str">
            <v>AT2018</v>
          </cell>
          <cell r="J625">
            <v>95600</v>
          </cell>
        </row>
        <row r="626">
          <cell r="I626" t="str">
            <v>AT2122</v>
          </cell>
          <cell r="J626">
            <v>26300</v>
          </cell>
        </row>
        <row r="627">
          <cell r="I627" t="str">
            <v>AT2206</v>
          </cell>
          <cell r="J627">
            <v>53600</v>
          </cell>
        </row>
        <row r="628">
          <cell r="I628" t="str">
            <v>AT2208</v>
          </cell>
          <cell r="J628">
            <v>59900</v>
          </cell>
        </row>
        <row r="629">
          <cell r="I629" t="str">
            <v>AT2210</v>
          </cell>
          <cell r="J629">
            <v>66200</v>
          </cell>
        </row>
        <row r="630">
          <cell r="I630" t="str">
            <v>AT2212</v>
          </cell>
          <cell r="J630">
            <v>75600</v>
          </cell>
        </row>
        <row r="631">
          <cell r="I631" t="str">
            <v>AT2308</v>
          </cell>
          <cell r="J631">
            <v>45200</v>
          </cell>
        </row>
        <row r="632">
          <cell r="I632" t="str">
            <v>AA0006</v>
          </cell>
          <cell r="J632">
            <v>12600</v>
          </cell>
        </row>
        <row r="633">
          <cell r="I633" t="str">
            <v>AA0007</v>
          </cell>
          <cell r="J633">
            <v>14700</v>
          </cell>
        </row>
        <row r="634">
          <cell r="I634" t="str">
            <v>AA0008</v>
          </cell>
          <cell r="J634">
            <v>16200</v>
          </cell>
        </row>
        <row r="635">
          <cell r="I635" t="str">
            <v>AA0010</v>
          </cell>
          <cell r="J635">
            <v>20000</v>
          </cell>
        </row>
        <row r="636">
          <cell r="I636" t="str">
            <v>AA0012</v>
          </cell>
          <cell r="J636">
            <v>23400</v>
          </cell>
        </row>
        <row r="637">
          <cell r="I637" t="str">
            <v>AA0101</v>
          </cell>
          <cell r="J637">
            <v>5400</v>
          </cell>
        </row>
        <row r="638">
          <cell r="I638" t="str">
            <v>AA0102</v>
          </cell>
          <cell r="J638">
            <v>7600</v>
          </cell>
        </row>
        <row r="639">
          <cell r="I639" t="str">
            <v>AA0103</v>
          </cell>
          <cell r="J639">
            <v>9500</v>
          </cell>
        </row>
        <row r="640">
          <cell r="I640" t="str">
            <v>AA0104</v>
          </cell>
          <cell r="J640">
            <v>4200</v>
          </cell>
        </row>
        <row r="641">
          <cell r="I641" t="str">
            <v>AA0105</v>
          </cell>
          <cell r="J641">
            <v>6600</v>
          </cell>
        </row>
        <row r="642">
          <cell r="I642" t="str">
            <v>AA0106</v>
          </cell>
          <cell r="J642">
            <v>3400</v>
          </cell>
        </row>
        <row r="643">
          <cell r="I643" t="str">
            <v>AA1006</v>
          </cell>
          <cell r="J643">
            <v>9700</v>
          </cell>
        </row>
        <row r="644">
          <cell r="I644" t="str">
            <v>AA1007</v>
          </cell>
          <cell r="J644">
            <v>10800</v>
          </cell>
        </row>
        <row r="645">
          <cell r="I645" t="str">
            <v>AA1008</v>
          </cell>
          <cell r="J645">
            <v>12000</v>
          </cell>
        </row>
        <row r="646">
          <cell r="I646" t="str">
            <v>AA1010</v>
          </cell>
          <cell r="J646">
            <v>14400</v>
          </cell>
        </row>
        <row r="647">
          <cell r="I647" t="str">
            <v>AA1012</v>
          </cell>
          <cell r="J647">
            <v>16800</v>
          </cell>
        </row>
        <row r="648">
          <cell r="I648" t="str">
            <v>AA0901B</v>
          </cell>
          <cell r="J648">
            <v>82200</v>
          </cell>
        </row>
        <row r="649">
          <cell r="I649" t="str">
            <v>AA9901</v>
          </cell>
          <cell r="J649">
            <v>6000</v>
          </cell>
        </row>
        <row r="650">
          <cell r="I650" t="str">
            <v>AA0200</v>
          </cell>
          <cell r="J650">
            <v>1300</v>
          </cell>
        </row>
        <row r="651">
          <cell r="I651" t="str">
            <v>AF060</v>
          </cell>
          <cell r="J651">
            <v>143900</v>
          </cell>
        </row>
        <row r="652">
          <cell r="I652" t="str">
            <v>AF070</v>
          </cell>
          <cell r="J652">
            <v>157500</v>
          </cell>
        </row>
        <row r="653">
          <cell r="I653" t="str">
            <v>AF080</v>
          </cell>
          <cell r="J653">
            <v>167000</v>
          </cell>
        </row>
        <row r="654">
          <cell r="I654" t="str">
            <v>AF100</v>
          </cell>
          <cell r="J654">
            <v>184800</v>
          </cell>
        </row>
        <row r="655">
          <cell r="I655" t="str">
            <v>AF120</v>
          </cell>
          <cell r="J655">
            <v>204800</v>
          </cell>
        </row>
        <row r="656">
          <cell r="I656" t="str">
            <v>AF062</v>
          </cell>
          <cell r="J656">
            <v>170100</v>
          </cell>
        </row>
        <row r="657">
          <cell r="I657" t="str">
            <v>AF072</v>
          </cell>
          <cell r="J657">
            <v>184800</v>
          </cell>
        </row>
        <row r="658">
          <cell r="I658" t="str">
            <v>AF082</v>
          </cell>
          <cell r="J658">
            <v>198500</v>
          </cell>
        </row>
        <row r="659">
          <cell r="I659" t="str">
            <v>AF102</v>
          </cell>
          <cell r="J659">
            <v>220500</v>
          </cell>
        </row>
        <row r="660">
          <cell r="I660" t="str">
            <v>AF122</v>
          </cell>
          <cell r="J660">
            <v>244700</v>
          </cell>
        </row>
        <row r="661">
          <cell r="I661" t="str">
            <v>AF064</v>
          </cell>
          <cell r="J661">
            <v>195300</v>
          </cell>
        </row>
        <row r="662">
          <cell r="I662" t="str">
            <v>AF074</v>
          </cell>
          <cell r="J662">
            <v>214200</v>
          </cell>
        </row>
        <row r="663">
          <cell r="I663" t="str">
            <v>AF084</v>
          </cell>
          <cell r="J663">
            <v>228900</v>
          </cell>
        </row>
        <row r="664">
          <cell r="I664" t="str">
            <v>AF104</v>
          </cell>
          <cell r="J664">
            <v>256200</v>
          </cell>
        </row>
        <row r="665">
          <cell r="I665" t="str">
            <v>AF124</v>
          </cell>
          <cell r="J665">
            <v>285600</v>
          </cell>
        </row>
        <row r="666">
          <cell r="I666" t="str">
            <v>AF066</v>
          </cell>
          <cell r="J666">
            <v>221600</v>
          </cell>
        </row>
        <row r="667">
          <cell r="I667" t="str">
            <v>AF076</v>
          </cell>
          <cell r="J667">
            <v>241500</v>
          </cell>
        </row>
        <row r="668">
          <cell r="I668" t="str">
            <v>AF086</v>
          </cell>
          <cell r="J668">
            <v>260400</v>
          </cell>
        </row>
        <row r="669">
          <cell r="I669" t="str">
            <v>AF106</v>
          </cell>
          <cell r="J669">
            <v>291900</v>
          </cell>
        </row>
        <row r="670">
          <cell r="I670" t="str">
            <v>AF126</v>
          </cell>
          <cell r="J670">
            <v>325500</v>
          </cell>
        </row>
        <row r="671">
          <cell r="I671" t="str">
            <v>AF068</v>
          </cell>
          <cell r="J671">
            <v>246800</v>
          </cell>
        </row>
        <row r="672">
          <cell r="I672" t="str">
            <v>AF078</v>
          </cell>
          <cell r="J672">
            <v>270900</v>
          </cell>
        </row>
        <row r="673">
          <cell r="I673" t="str">
            <v>AF088</v>
          </cell>
          <cell r="J673">
            <v>290900</v>
          </cell>
        </row>
        <row r="674">
          <cell r="I674" t="str">
            <v>AF108</v>
          </cell>
          <cell r="J674">
            <v>327600</v>
          </cell>
        </row>
        <row r="675">
          <cell r="I675" t="str">
            <v>AF128</v>
          </cell>
          <cell r="J675">
            <v>366500</v>
          </cell>
        </row>
        <row r="676">
          <cell r="I676" t="str">
            <v>AF062H</v>
          </cell>
          <cell r="J676">
            <v>179600</v>
          </cell>
        </row>
        <row r="677">
          <cell r="I677" t="str">
            <v>AF072H</v>
          </cell>
          <cell r="J677">
            <v>196400</v>
          </cell>
        </row>
        <row r="678">
          <cell r="I678" t="str">
            <v>AF082H</v>
          </cell>
          <cell r="J678">
            <v>211100</v>
          </cell>
        </row>
        <row r="679">
          <cell r="I679" t="str">
            <v>AF102H</v>
          </cell>
          <cell r="J679">
            <v>236300</v>
          </cell>
        </row>
        <row r="680">
          <cell r="I680" t="str">
            <v>AF122H</v>
          </cell>
          <cell r="J680">
            <v>263600</v>
          </cell>
        </row>
        <row r="681">
          <cell r="I681" t="str">
            <v>AF064H</v>
          </cell>
          <cell r="J681">
            <v>211100</v>
          </cell>
        </row>
        <row r="682">
          <cell r="I682" t="str">
            <v>AF074H</v>
          </cell>
          <cell r="J682">
            <v>232100</v>
          </cell>
        </row>
        <row r="683">
          <cell r="I683" t="str">
            <v>AF084H</v>
          </cell>
          <cell r="J683">
            <v>248900</v>
          </cell>
        </row>
        <row r="684">
          <cell r="I684" t="str">
            <v>AF104H</v>
          </cell>
          <cell r="J684">
            <v>279300</v>
          </cell>
        </row>
        <row r="685">
          <cell r="I685" t="str">
            <v>AF124H</v>
          </cell>
          <cell r="J685">
            <v>315000</v>
          </cell>
        </row>
        <row r="686">
          <cell r="I686" t="str">
            <v>AF066H</v>
          </cell>
          <cell r="J686">
            <v>237300</v>
          </cell>
        </row>
        <row r="687">
          <cell r="I687" t="str">
            <v>AF076H</v>
          </cell>
          <cell r="J687">
            <v>259400</v>
          </cell>
        </row>
        <row r="688">
          <cell r="I688" t="str">
            <v>AF086H</v>
          </cell>
          <cell r="J688">
            <v>280400</v>
          </cell>
        </row>
        <row r="689">
          <cell r="I689" t="str">
            <v>AF106H</v>
          </cell>
          <cell r="J689">
            <v>315000</v>
          </cell>
        </row>
        <row r="690">
          <cell r="I690" t="str">
            <v>AF126H</v>
          </cell>
          <cell r="J690">
            <v>354900</v>
          </cell>
        </row>
        <row r="691">
          <cell r="I691" t="str">
            <v>AF068H</v>
          </cell>
          <cell r="J691">
            <v>262500</v>
          </cell>
        </row>
        <row r="692">
          <cell r="I692" t="str">
            <v>AF078H</v>
          </cell>
          <cell r="J692">
            <v>288800</v>
          </cell>
        </row>
        <row r="693">
          <cell r="I693" t="str">
            <v>AF088H</v>
          </cell>
          <cell r="J693">
            <v>310800</v>
          </cell>
        </row>
        <row r="694">
          <cell r="I694" t="str">
            <v>AF108H</v>
          </cell>
          <cell r="J694">
            <v>350700</v>
          </cell>
        </row>
        <row r="695">
          <cell r="I695" t="str">
            <v>AF128H</v>
          </cell>
          <cell r="J695">
            <v>395900</v>
          </cell>
        </row>
        <row r="696">
          <cell r="I696" t="str">
            <v>AF060G</v>
          </cell>
          <cell r="J696">
            <v>170100</v>
          </cell>
        </row>
        <row r="697">
          <cell r="I697" t="str">
            <v>AF070G</v>
          </cell>
          <cell r="J697">
            <v>183800</v>
          </cell>
        </row>
        <row r="698">
          <cell r="I698" t="str">
            <v>AF080G</v>
          </cell>
          <cell r="J698">
            <v>193200</v>
          </cell>
        </row>
        <row r="699">
          <cell r="I699" t="str">
            <v>AF100G</v>
          </cell>
          <cell r="J699">
            <v>214200</v>
          </cell>
        </row>
        <row r="700">
          <cell r="I700" t="str">
            <v>AF120G</v>
          </cell>
          <cell r="J700">
            <v>237300</v>
          </cell>
        </row>
        <row r="701">
          <cell r="I701" t="str">
            <v>AF062G</v>
          </cell>
          <cell r="J701">
            <v>205800</v>
          </cell>
        </row>
        <row r="702">
          <cell r="I702" t="str">
            <v>AF072G</v>
          </cell>
          <cell r="J702">
            <v>222600</v>
          </cell>
        </row>
        <row r="703">
          <cell r="I703" t="str">
            <v>AF082G</v>
          </cell>
          <cell r="J703">
            <v>237300</v>
          </cell>
        </row>
        <row r="704">
          <cell r="I704" t="str">
            <v>AF102G</v>
          </cell>
          <cell r="J704">
            <v>265700</v>
          </cell>
        </row>
        <row r="705">
          <cell r="I705" t="str">
            <v>AF122G</v>
          </cell>
          <cell r="J705">
            <v>296100</v>
          </cell>
        </row>
        <row r="706">
          <cell r="I706" t="str">
            <v>AF064G</v>
          </cell>
          <cell r="J706">
            <v>237300</v>
          </cell>
        </row>
        <row r="707">
          <cell r="I707" t="str">
            <v>AF074G</v>
          </cell>
          <cell r="J707">
            <v>258300</v>
          </cell>
        </row>
        <row r="708">
          <cell r="I708" t="str">
            <v>AF084G</v>
          </cell>
          <cell r="J708">
            <v>275100</v>
          </cell>
        </row>
        <row r="709">
          <cell r="I709" t="str">
            <v>AF104G</v>
          </cell>
          <cell r="J709">
            <v>308700</v>
          </cell>
        </row>
        <row r="710">
          <cell r="I710" t="str">
            <v>AF124G</v>
          </cell>
          <cell r="J710">
            <v>347600</v>
          </cell>
        </row>
        <row r="711">
          <cell r="I711" t="str">
            <v>AF066G</v>
          </cell>
          <cell r="J711">
            <v>273000</v>
          </cell>
        </row>
        <row r="712">
          <cell r="I712" t="str">
            <v>AF076G</v>
          </cell>
          <cell r="J712">
            <v>297200</v>
          </cell>
        </row>
        <row r="713">
          <cell r="I713" t="str">
            <v>AF086G</v>
          </cell>
          <cell r="J713">
            <v>319200</v>
          </cell>
        </row>
        <row r="714">
          <cell r="I714" t="str">
            <v>AF106G</v>
          </cell>
          <cell r="J714">
            <v>360200</v>
          </cell>
        </row>
        <row r="715">
          <cell r="I715" t="str">
            <v>AF126G</v>
          </cell>
          <cell r="J715">
            <v>406400</v>
          </cell>
        </row>
        <row r="716">
          <cell r="I716" t="str">
            <v>AF068G</v>
          </cell>
          <cell r="J716">
            <v>304500</v>
          </cell>
        </row>
        <row r="717">
          <cell r="I717" t="str">
            <v>AF078G</v>
          </cell>
          <cell r="J717">
            <v>332900</v>
          </cell>
        </row>
        <row r="718">
          <cell r="I718" t="str">
            <v>AF088G</v>
          </cell>
          <cell r="J718">
            <v>357000</v>
          </cell>
        </row>
        <row r="719">
          <cell r="I719" t="str">
            <v>AF108G</v>
          </cell>
          <cell r="J719">
            <v>403200</v>
          </cell>
        </row>
        <row r="720">
          <cell r="I720" t="str">
            <v>AF128G</v>
          </cell>
          <cell r="J720">
            <v>457800</v>
          </cell>
        </row>
        <row r="721">
          <cell r="I721" t="str">
            <v>AF0060</v>
          </cell>
          <cell r="J721">
            <v>74600</v>
          </cell>
        </row>
        <row r="722">
          <cell r="I722" t="str">
            <v>AF0070</v>
          </cell>
          <cell r="J722">
            <v>77700</v>
          </cell>
        </row>
        <row r="723">
          <cell r="I723" t="str">
            <v>AF0080</v>
          </cell>
          <cell r="J723">
            <v>78800</v>
          </cell>
        </row>
        <row r="724">
          <cell r="I724" t="str">
            <v>AF0100</v>
          </cell>
          <cell r="J724">
            <v>84000</v>
          </cell>
        </row>
        <row r="725">
          <cell r="I725" t="str">
            <v>AF0120</v>
          </cell>
          <cell r="J725">
            <v>89300</v>
          </cell>
        </row>
        <row r="726">
          <cell r="I726" t="str">
            <v>AF0062</v>
          </cell>
          <cell r="J726">
            <v>77700</v>
          </cell>
        </row>
        <row r="727">
          <cell r="I727" t="str">
            <v>AF0072</v>
          </cell>
          <cell r="J727">
            <v>80900</v>
          </cell>
        </row>
        <row r="728">
          <cell r="I728" t="str">
            <v>AF0082</v>
          </cell>
          <cell r="J728">
            <v>84000</v>
          </cell>
        </row>
        <row r="729">
          <cell r="I729" t="str">
            <v>AF0102</v>
          </cell>
          <cell r="J729">
            <v>90300</v>
          </cell>
        </row>
        <row r="730">
          <cell r="I730" t="str">
            <v>AF0122</v>
          </cell>
          <cell r="J730">
            <v>96600</v>
          </cell>
        </row>
        <row r="731">
          <cell r="I731" t="str">
            <v>AF0064S</v>
          </cell>
          <cell r="J731">
            <v>18900</v>
          </cell>
        </row>
        <row r="732">
          <cell r="I732" t="str">
            <v>AF0074S</v>
          </cell>
          <cell r="J732">
            <v>21000</v>
          </cell>
        </row>
        <row r="733">
          <cell r="I733" t="str">
            <v>AF0084S</v>
          </cell>
          <cell r="J733">
            <v>23100</v>
          </cell>
        </row>
        <row r="734">
          <cell r="I734" t="str">
            <v>AF0104S</v>
          </cell>
          <cell r="J734">
            <v>26300</v>
          </cell>
        </row>
        <row r="735">
          <cell r="I735" t="str">
            <v>AF0124S</v>
          </cell>
          <cell r="J735">
            <v>29400</v>
          </cell>
        </row>
        <row r="736">
          <cell r="I736" t="str">
            <v>AF5110</v>
          </cell>
          <cell r="J736">
            <v>25800</v>
          </cell>
        </row>
        <row r="737">
          <cell r="I737" t="str">
            <v>AF5112</v>
          </cell>
          <cell r="J737">
            <v>29100</v>
          </cell>
        </row>
        <row r="738">
          <cell r="I738" t="str">
            <v>AF5114</v>
          </cell>
          <cell r="J738">
            <v>32300</v>
          </cell>
        </row>
        <row r="739">
          <cell r="I739" t="str">
            <v>AF5116</v>
          </cell>
          <cell r="J739">
            <v>35500</v>
          </cell>
        </row>
        <row r="740">
          <cell r="I740" t="str">
            <v>AF5118</v>
          </cell>
          <cell r="J740">
            <v>38700</v>
          </cell>
        </row>
        <row r="741">
          <cell r="I741" t="str">
            <v>AF5120</v>
          </cell>
          <cell r="J741">
            <v>42000</v>
          </cell>
        </row>
        <row r="742">
          <cell r="I742" t="str">
            <v>AF5210</v>
          </cell>
          <cell r="J742">
            <v>30700</v>
          </cell>
        </row>
        <row r="743">
          <cell r="I743" t="str">
            <v>AF5212</v>
          </cell>
          <cell r="J743">
            <v>35500</v>
          </cell>
        </row>
        <row r="744">
          <cell r="I744" t="str">
            <v>AF5214</v>
          </cell>
          <cell r="J744">
            <v>40400</v>
          </cell>
        </row>
        <row r="745">
          <cell r="I745" t="str">
            <v>AF5216</v>
          </cell>
          <cell r="J745">
            <v>45300</v>
          </cell>
        </row>
        <row r="746">
          <cell r="I746" t="str">
            <v>AF5218</v>
          </cell>
          <cell r="J746">
            <v>50100</v>
          </cell>
        </row>
        <row r="747">
          <cell r="I747" t="str">
            <v>AF5220</v>
          </cell>
          <cell r="J747">
            <v>54900</v>
          </cell>
        </row>
        <row r="748">
          <cell r="I748" t="str">
            <v>AF5510</v>
          </cell>
          <cell r="J748">
            <v>29100</v>
          </cell>
        </row>
        <row r="749">
          <cell r="I749" t="str">
            <v>AF5512</v>
          </cell>
          <cell r="J749">
            <v>33900</v>
          </cell>
        </row>
        <row r="750">
          <cell r="I750" t="str">
            <v>AF5514</v>
          </cell>
          <cell r="J750">
            <v>38700</v>
          </cell>
        </row>
        <row r="751">
          <cell r="I751" t="str">
            <v>AF5516</v>
          </cell>
          <cell r="J751">
            <v>43600</v>
          </cell>
        </row>
        <row r="752">
          <cell r="I752" t="str">
            <v>AF5518</v>
          </cell>
          <cell r="J752">
            <v>48500</v>
          </cell>
        </row>
        <row r="753">
          <cell r="I753" t="str">
            <v>AF5520</v>
          </cell>
          <cell r="J753">
            <v>53300</v>
          </cell>
        </row>
        <row r="754">
          <cell r="I754" t="str">
            <v>AF5310</v>
          </cell>
          <cell r="J754">
            <v>24300</v>
          </cell>
        </row>
        <row r="755">
          <cell r="I755" t="str">
            <v>AF5312</v>
          </cell>
          <cell r="J755">
            <v>27500</v>
          </cell>
        </row>
        <row r="756">
          <cell r="I756" t="str">
            <v>AF5314</v>
          </cell>
          <cell r="J756">
            <v>30700</v>
          </cell>
        </row>
        <row r="757">
          <cell r="I757" t="str">
            <v>AF5316</v>
          </cell>
          <cell r="J757">
            <v>33900</v>
          </cell>
        </row>
        <row r="758">
          <cell r="I758" t="str">
            <v>AF5318</v>
          </cell>
          <cell r="J758">
            <v>37200</v>
          </cell>
        </row>
        <row r="759">
          <cell r="I759" t="str">
            <v>AF5320</v>
          </cell>
          <cell r="J759">
            <v>40400</v>
          </cell>
        </row>
        <row r="760">
          <cell r="I760" t="str">
            <v>AF5610</v>
          </cell>
          <cell r="J760">
            <v>22600</v>
          </cell>
        </row>
        <row r="761">
          <cell r="I761" t="str">
            <v>AF5612</v>
          </cell>
          <cell r="J761">
            <v>25800</v>
          </cell>
        </row>
        <row r="762">
          <cell r="I762" t="str">
            <v>AF5614</v>
          </cell>
          <cell r="J762">
            <v>29100</v>
          </cell>
        </row>
        <row r="763">
          <cell r="I763" t="str">
            <v>AF5616</v>
          </cell>
          <cell r="J763">
            <v>32300</v>
          </cell>
        </row>
        <row r="764">
          <cell r="I764" t="str">
            <v>AF5618</v>
          </cell>
          <cell r="J764">
            <v>35500</v>
          </cell>
        </row>
        <row r="765">
          <cell r="I765" t="str">
            <v>AF5620</v>
          </cell>
          <cell r="J765">
            <v>38700</v>
          </cell>
        </row>
        <row r="766">
          <cell r="I766" t="str">
            <v>AF6010</v>
          </cell>
          <cell r="J766">
            <v>9700</v>
          </cell>
        </row>
        <row r="767">
          <cell r="I767" t="str">
            <v>AF6012</v>
          </cell>
          <cell r="J767">
            <v>11300</v>
          </cell>
        </row>
        <row r="768">
          <cell r="I768" t="str">
            <v>AF6014</v>
          </cell>
          <cell r="J768">
            <v>12900</v>
          </cell>
        </row>
        <row r="769">
          <cell r="I769" t="str">
            <v>AF6016</v>
          </cell>
          <cell r="J769">
            <v>14500</v>
          </cell>
        </row>
        <row r="770">
          <cell r="I770" t="str">
            <v>AF6018</v>
          </cell>
          <cell r="J770">
            <v>16200</v>
          </cell>
        </row>
        <row r="771">
          <cell r="I771" t="str">
            <v>AF6020</v>
          </cell>
          <cell r="J771">
            <v>17700</v>
          </cell>
        </row>
        <row r="772">
          <cell r="I772" t="str">
            <v>AF6102</v>
          </cell>
          <cell r="J772">
            <v>3300</v>
          </cell>
        </row>
        <row r="773">
          <cell r="I773" t="str">
            <v>AF6104</v>
          </cell>
          <cell r="J773">
            <v>4800</v>
          </cell>
        </row>
        <row r="774">
          <cell r="I774" t="str">
            <v>AF6106</v>
          </cell>
          <cell r="J774">
            <v>6500</v>
          </cell>
        </row>
        <row r="775">
          <cell r="I775" t="str">
            <v>AF6108</v>
          </cell>
          <cell r="J775">
            <v>8100</v>
          </cell>
        </row>
        <row r="776">
          <cell r="I776" t="str">
            <v>AF6102T</v>
          </cell>
          <cell r="J776">
            <v>3300</v>
          </cell>
        </row>
        <row r="777">
          <cell r="I777" t="str">
            <v>AF6104T</v>
          </cell>
          <cell r="J777">
            <v>4800</v>
          </cell>
        </row>
        <row r="778">
          <cell r="I778" t="str">
            <v>AF6106T</v>
          </cell>
          <cell r="J778">
            <v>6500</v>
          </cell>
        </row>
        <row r="779">
          <cell r="I779" t="str">
            <v>AF6108T</v>
          </cell>
          <cell r="J779">
            <v>8100</v>
          </cell>
        </row>
        <row r="780">
          <cell r="I780" t="str">
            <v>AF6202</v>
          </cell>
          <cell r="J780">
            <v>1600</v>
          </cell>
        </row>
        <row r="781">
          <cell r="I781" t="str">
            <v>AF6204</v>
          </cell>
          <cell r="J781">
            <v>3300</v>
          </cell>
        </row>
        <row r="782">
          <cell r="I782" t="str">
            <v>AF6206</v>
          </cell>
          <cell r="J782">
            <v>4800</v>
          </cell>
        </row>
        <row r="783">
          <cell r="I783" t="str">
            <v>AF6208</v>
          </cell>
          <cell r="J783">
            <v>6500</v>
          </cell>
        </row>
        <row r="784">
          <cell r="I784" t="str">
            <v>AF8001</v>
          </cell>
          <cell r="J784">
            <v>38900</v>
          </cell>
        </row>
        <row r="785">
          <cell r="I785" t="str">
            <v>AT8001</v>
          </cell>
          <cell r="J785">
            <v>6300</v>
          </cell>
        </row>
        <row r="786">
          <cell r="I786" t="str">
            <v>AT8002</v>
          </cell>
          <cell r="J786">
            <v>6300</v>
          </cell>
        </row>
        <row r="787">
          <cell r="I787" t="str">
            <v>AT8003</v>
          </cell>
          <cell r="J787">
            <v>3200</v>
          </cell>
        </row>
        <row r="788">
          <cell r="I788" t="str">
            <v>CX0011</v>
          </cell>
          <cell r="J788">
            <v>24200</v>
          </cell>
        </row>
        <row r="789">
          <cell r="I789" t="str">
            <v>CX0012</v>
          </cell>
          <cell r="J789">
            <v>24200</v>
          </cell>
        </row>
        <row r="790">
          <cell r="I790" t="str">
            <v>AT8006</v>
          </cell>
          <cell r="J790">
            <v>8400</v>
          </cell>
        </row>
        <row r="791">
          <cell r="I791" t="str">
            <v>AT8007</v>
          </cell>
          <cell r="J791">
            <v>8400</v>
          </cell>
        </row>
        <row r="792">
          <cell r="I792" t="str">
            <v>AT8008</v>
          </cell>
          <cell r="J792">
            <v>8400</v>
          </cell>
        </row>
        <row r="793">
          <cell r="I793" t="str">
            <v>AT8010</v>
          </cell>
          <cell r="J793">
            <v>10500</v>
          </cell>
        </row>
        <row r="794">
          <cell r="I794" t="str">
            <v>AT8012</v>
          </cell>
          <cell r="J794">
            <v>10500</v>
          </cell>
        </row>
        <row r="795">
          <cell r="I795" t="str">
            <v>AF1062</v>
          </cell>
          <cell r="J795">
            <v>11600</v>
          </cell>
        </row>
        <row r="796">
          <cell r="I796" t="str">
            <v>AF1064</v>
          </cell>
          <cell r="J796">
            <v>16300</v>
          </cell>
        </row>
        <row r="797">
          <cell r="I797" t="str">
            <v>AF1066</v>
          </cell>
          <cell r="J797">
            <v>19400</v>
          </cell>
        </row>
        <row r="798">
          <cell r="I798" t="str">
            <v>AF1072</v>
          </cell>
          <cell r="J798">
            <v>12100</v>
          </cell>
        </row>
        <row r="799">
          <cell r="I799" t="str">
            <v>AF1074</v>
          </cell>
          <cell r="J799">
            <v>17900</v>
          </cell>
        </row>
        <row r="800">
          <cell r="I800" t="str">
            <v>AF1076</v>
          </cell>
          <cell r="J800">
            <v>22600</v>
          </cell>
        </row>
        <row r="801">
          <cell r="I801" t="str">
            <v>AF1082</v>
          </cell>
          <cell r="J801">
            <v>13100</v>
          </cell>
        </row>
        <row r="802">
          <cell r="I802" t="str">
            <v>AF1084</v>
          </cell>
          <cell r="J802">
            <v>19400</v>
          </cell>
        </row>
        <row r="803">
          <cell r="I803" t="str">
            <v>AF1086</v>
          </cell>
          <cell r="J803">
            <v>25700</v>
          </cell>
        </row>
        <row r="804">
          <cell r="I804" t="str">
            <v>AF1102</v>
          </cell>
          <cell r="J804">
            <v>14700</v>
          </cell>
        </row>
        <row r="805">
          <cell r="I805" t="str">
            <v>AF1104</v>
          </cell>
          <cell r="J805">
            <v>22600</v>
          </cell>
        </row>
        <row r="806">
          <cell r="I806" t="str">
            <v>AF1106</v>
          </cell>
          <cell r="J806">
            <v>30500</v>
          </cell>
        </row>
        <row r="807">
          <cell r="I807" t="str">
            <v>AF1122</v>
          </cell>
          <cell r="J807">
            <v>16300</v>
          </cell>
        </row>
        <row r="808">
          <cell r="I808" t="str">
            <v>AF1124</v>
          </cell>
          <cell r="J808">
            <v>25700</v>
          </cell>
        </row>
        <row r="809">
          <cell r="I809" t="str">
            <v>AF1126</v>
          </cell>
          <cell r="J809">
            <v>35700</v>
          </cell>
        </row>
        <row r="810">
          <cell r="I810" t="str">
            <v>AF1062G</v>
          </cell>
          <cell r="J810">
            <v>16300</v>
          </cell>
        </row>
        <row r="811">
          <cell r="I811" t="str">
            <v>AF1064G</v>
          </cell>
          <cell r="J811">
            <v>24200</v>
          </cell>
        </row>
        <row r="812">
          <cell r="I812" t="str">
            <v>AF1066G</v>
          </cell>
          <cell r="J812">
            <v>32600</v>
          </cell>
        </row>
        <row r="813">
          <cell r="I813" t="str">
            <v>AF1072G</v>
          </cell>
          <cell r="J813">
            <v>17900</v>
          </cell>
        </row>
        <row r="814">
          <cell r="I814" t="str">
            <v>AF1074G</v>
          </cell>
          <cell r="J814">
            <v>26800</v>
          </cell>
        </row>
        <row r="815">
          <cell r="I815" t="str">
            <v>AF1076G</v>
          </cell>
          <cell r="J815">
            <v>35700</v>
          </cell>
        </row>
        <row r="816">
          <cell r="I816" t="str">
            <v>AF1082G</v>
          </cell>
          <cell r="J816">
            <v>19400</v>
          </cell>
        </row>
        <row r="817">
          <cell r="I817" t="str">
            <v>AF1084G</v>
          </cell>
          <cell r="J817">
            <v>29400</v>
          </cell>
        </row>
        <row r="818">
          <cell r="I818" t="str">
            <v>AF1086G</v>
          </cell>
          <cell r="J818">
            <v>38900</v>
          </cell>
        </row>
        <row r="819">
          <cell r="I819" t="str">
            <v>AF1102G</v>
          </cell>
          <cell r="J819">
            <v>22600</v>
          </cell>
        </row>
        <row r="820">
          <cell r="I820" t="str">
            <v>AF1104G</v>
          </cell>
          <cell r="J820">
            <v>34100</v>
          </cell>
        </row>
        <row r="821">
          <cell r="I821" t="str">
            <v>AF1106G</v>
          </cell>
          <cell r="J821">
            <v>45200</v>
          </cell>
        </row>
        <row r="822">
          <cell r="I822" t="str">
            <v>AF1122G</v>
          </cell>
          <cell r="J822">
            <v>25700</v>
          </cell>
        </row>
        <row r="823">
          <cell r="I823" t="str">
            <v>AF1124G</v>
          </cell>
          <cell r="J823">
            <v>40400</v>
          </cell>
        </row>
        <row r="824">
          <cell r="I824" t="str">
            <v>AF1126G</v>
          </cell>
          <cell r="J824">
            <v>52000</v>
          </cell>
        </row>
        <row r="825">
          <cell r="I825" t="str">
            <v>AF2062</v>
          </cell>
          <cell r="J825">
            <v>12100</v>
          </cell>
        </row>
        <row r="826">
          <cell r="I826" t="str">
            <v>AF2072</v>
          </cell>
          <cell r="J826">
            <v>13100</v>
          </cell>
        </row>
        <row r="827">
          <cell r="I827" t="str">
            <v>AF2082</v>
          </cell>
          <cell r="J827">
            <v>14200</v>
          </cell>
        </row>
        <row r="828">
          <cell r="I828" t="str">
            <v>AF2102</v>
          </cell>
          <cell r="J828">
            <v>15200</v>
          </cell>
        </row>
        <row r="829">
          <cell r="I829" t="str">
            <v>AF2122</v>
          </cell>
          <cell r="J829">
            <v>16300</v>
          </cell>
        </row>
        <row r="830">
          <cell r="I830" t="str">
            <v>AF3061</v>
          </cell>
          <cell r="J830">
            <v>3200</v>
          </cell>
        </row>
        <row r="831">
          <cell r="I831" t="str">
            <v>AF3071</v>
          </cell>
          <cell r="J831">
            <v>4200</v>
          </cell>
        </row>
        <row r="832">
          <cell r="I832" t="str">
            <v>AF3081</v>
          </cell>
          <cell r="J832">
            <v>4200</v>
          </cell>
        </row>
        <row r="833">
          <cell r="I833" t="str">
            <v>AF3101</v>
          </cell>
          <cell r="J833">
            <v>4700</v>
          </cell>
        </row>
        <row r="834">
          <cell r="I834" t="str">
            <v>AF3121</v>
          </cell>
          <cell r="J834">
            <v>5800</v>
          </cell>
        </row>
        <row r="835">
          <cell r="I835" t="str">
            <v>AF1062A</v>
          </cell>
          <cell r="J835">
            <v>17900</v>
          </cell>
        </row>
        <row r="836">
          <cell r="I836" t="str">
            <v>AF1064A</v>
          </cell>
          <cell r="J836">
            <v>32600</v>
          </cell>
        </row>
        <row r="837">
          <cell r="I837" t="str">
            <v>AF1072A</v>
          </cell>
          <cell r="J837">
            <v>19400</v>
          </cell>
        </row>
        <row r="838">
          <cell r="I838" t="str">
            <v>AF1074A</v>
          </cell>
          <cell r="J838">
            <v>35700</v>
          </cell>
        </row>
        <row r="839">
          <cell r="I839" t="str">
            <v>AF1082A</v>
          </cell>
          <cell r="J839">
            <v>21000</v>
          </cell>
        </row>
        <row r="840">
          <cell r="I840" t="str">
            <v>AF1084A</v>
          </cell>
          <cell r="J840">
            <v>38900</v>
          </cell>
        </row>
        <row r="841">
          <cell r="I841" t="str">
            <v>AF1102A</v>
          </cell>
          <cell r="J841">
            <v>24200</v>
          </cell>
        </row>
        <row r="842">
          <cell r="I842" t="str">
            <v>AF1104A</v>
          </cell>
          <cell r="J842">
            <v>45200</v>
          </cell>
        </row>
        <row r="843">
          <cell r="I843" t="str">
            <v>AF1122A</v>
          </cell>
          <cell r="J843">
            <v>27300</v>
          </cell>
        </row>
        <row r="844">
          <cell r="I844" t="str">
            <v>AF1124A</v>
          </cell>
          <cell r="J844">
            <v>51500</v>
          </cell>
        </row>
        <row r="845">
          <cell r="I845" t="str">
            <v>AF1064B</v>
          </cell>
          <cell r="J845">
            <v>30500</v>
          </cell>
        </row>
        <row r="846">
          <cell r="I846" t="str">
            <v>AF1074B</v>
          </cell>
          <cell r="J846">
            <v>34700</v>
          </cell>
        </row>
        <row r="847">
          <cell r="I847" t="str">
            <v>AF1084B</v>
          </cell>
          <cell r="J847">
            <v>38900</v>
          </cell>
        </row>
        <row r="848">
          <cell r="I848" t="str">
            <v>AF1104B</v>
          </cell>
          <cell r="J848">
            <v>54600</v>
          </cell>
        </row>
        <row r="849">
          <cell r="I849" t="str">
            <v>AF1124B</v>
          </cell>
          <cell r="J849">
            <v>59900</v>
          </cell>
        </row>
        <row r="850">
          <cell r="I850" t="str">
            <v>AT3006</v>
          </cell>
          <cell r="J850">
            <v>66200</v>
          </cell>
        </row>
        <row r="851">
          <cell r="I851" t="str">
            <v>AT3007</v>
          </cell>
          <cell r="J851">
            <v>69300</v>
          </cell>
        </row>
        <row r="852">
          <cell r="I852" t="str">
            <v>AT3008</v>
          </cell>
          <cell r="J852">
            <v>71400</v>
          </cell>
        </row>
        <row r="853">
          <cell r="I853" t="str">
            <v>AT3010</v>
          </cell>
          <cell r="J853">
            <v>77700</v>
          </cell>
        </row>
        <row r="854">
          <cell r="I854" t="str">
            <v>AT3012</v>
          </cell>
          <cell r="J854">
            <v>81900</v>
          </cell>
        </row>
        <row r="855">
          <cell r="I855" t="str">
            <v>AT3406</v>
          </cell>
          <cell r="J855">
            <v>78800</v>
          </cell>
        </row>
        <row r="856">
          <cell r="I856" t="str">
            <v>AT3407</v>
          </cell>
          <cell r="J856">
            <v>81900</v>
          </cell>
        </row>
        <row r="857">
          <cell r="I857" t="str">
            <v>AT3408</v>
          </cell>
          <cell r="J857">
            <v>84000</v>
          </cell>
        </row>
        <row r="858">
          <cell r="I858" t="str">
            <v>AT3410</v>
          </cell>
          <cell r="J858">
            <v>89300</v>
          </cell>
        </row>
        <row r="859">
          <cell r="I859" t="str">
            <v>AT3412</v>
          </cell>
          <cell r="J859">
            <v>93500</v>
          </cell>
        </row>
        <row r="860">
          <cell r="I860" t="str">
            <v>AT3306</v>
          </cell>
          <cell r="J860">
            <v>168000</v>
          </cell>
        </row>
        <row r="861">
          <cell r="I861" t="str">
            <v>AT3307</v>
          </cell>
          <cell r="J861">
            <v>173300</v>
          </cell>
        </row>
        <row r="862">
          <cell r="I862" t="str">
            <v>AT3308</v>
          </cell>
          <cell r="J862">
            <v>177500</v>
          </cell>
        </row>
        <row r="863">
          <cell r="I863" t="str">
            <v>AT3310</v>
          </cell>
          <cell r="J863">
            <v>189000</v>
          </cell>
        </row>
        <row r="864">
          <cell r="I864" t="str">
            <v>AT3312</v>
          </cell>
          <cell r="J864">
            <v>198500</v>
          </cell>
        </row>
        <row r="865">
          <cell r="I865" t="str">
            <v>AF066HB</v>
          </cell>
          <cell r="J865">
            <v>246800</v>
          </cell>
        </row>
        <row r="866">
          <cell r="I866" t="str">
            <v>AF076HB</v>
          </cell>
          <cell r="J866">
            <v>270900</v>
          </cell>
        </row>
        <row r="867">
          <cell r="I867" t="str">
            <v>AF086HB</v>
          </cell>
          <cell r="J867">
            <v>293000</v>
          </cell>
        </row>
        <row r="868">
          <cell r="I868" t="str">
            <v>AF106HB</v>
          </cell>
          <cell r="J868">
            <v>330800</v>
          </cell>
        </row>
        <row r="869">
          <cell r="I869" t="str">
            <v>AF126HB</v>
          </cell>
          <cell r="J869">
            <v>373800</v>
          </cell>
        </row>
        <row r="870">
          <cell r="I870" t="str">
            <v>AF068HB</v>
          </cell>
          <cell r="J870">
            <v>278300</v>
          </cell>
        </row>
        <row r="871">
          <cell r="I871" t="str">
            <v>AF078HB</v>
          </cell>
          <cell r="J871">
            <v>306600</v>
          </cell>
        </row>
        <row r="872">
          <cell r="I872" t="str">
            <v>AF088HB</v>
          </cell>
          <cell r="J872">
            <v>330800</v>
          </cell>
        </row>
        <row r="873">
          <cell r="I873" t="str">
            <v>AF108HB</v>
          </cell>
          <cell r="J873">
            <v>373800</v>
          </cell>
        </row>
        <row r="874">
          <cell r="I874" t="str">
            <v>AF128HB</v>
          </cell>
          <cell r="J874">
            <v>425300</v>
          </cell>
        </row>
        <row r="875">
          <cell r="I875" t="str">
            <v>AF062C</v>
          </cell>
          <cell r="J875">
            <v>176400</v>
          </cell>
        </row>
        <row r="876">
          <cell r="I876" t="str">
            <v>AF072C</v>
          </cell>
          <cell r="J876">
            <v>192200</v>
          </cell>
        </row>
        <row r="877">
          <cell r="I877" t="str">
            <v>AF082C</v>
          </cell>
          <cell r="J877">
            <v>206300</v>
          </cell>
        </row>
        <row r="878">
          <cell r="I878" t="str">
            <v>AF102C</v>
          </cell>
          <cell r="J878">
            <v>230000</v>
          </cell>
        </row>
        <row r="879">
          <cell r="I879" t="str">
            <v>AF122C</v>
          </cell>
          <cell r="J879">
            <v>255700</v>
          </cell>
        </row>
        <row r="880">
          <cell r="I880" t="str">
            <v>AF064S</v>
          </cell>
          <cell r="J880">
            <v>51500</v>
          </cell>
        </row>
        <row r="881">
          <cell r="I881" t="str">
            <v>AF074S</v>
          </cell>
          <cell r="J881">
            <v>56700</v>
          </cell>
        </row>
        <row r="882">
          <cell r="I882" t="str">
            <v>AF084S</v>
          </cell>
          <cell r="J882">
            <v>62000</v>
          </cell>
        </row>
        <row r="883">
          <cell r="I883" t="str">
            <v>AF104S</v>
          </cell>
          <cell r="J883">
            <v>71400</v>
          </cell>
        </row>
        <row r="884">
          <cell r="I884" t="str">
            <v>AF124S</v>
          </cell>
          <cell r="J884">
            <v>80900</v>
          </cell>
        </row>
        <row r="885">
          <cell r="I885" t="str">
            <v>AF064SG</v>
          </cell>
          <cell r="J885">
            <v>67200</v>
          </cell>
        </row>
        <row r="886">
          <cell r="I886" t="str">
            <v>AF074SG</v>
          </cell>
          <cell r="J886">
            <v>74600</v>
          </cell>
        </row>
        <row r="887">
          <cell r="I887" t="str">
            <v>AF084SG</v>
          </cell>
          <cell r="J887">
            <v>81900</v>
          </cell>
        </row>
        <row r="888">
          <cell r="I888" t="str">
            <v>AF104SG</v>
          </cell>
          <cell r="J888">
            <v>94500</v>
          </cell>
        </row>
        <row r="889">
          <cell r="I889" t="str">
            <v>AF124SG</v>
          </cell>
          <cell r="J889">
            <v>110300</v>
          </cell>
        </row>
        <row r="890">
          <cell r="I890" t="str">
            <v>AF064SB</v>
          </cell>
          <cell r="J890">
            <v>79800</v>
          </cell>
        </row>
        <row r="891">
          <cell r="I891" t="str">
            <v>AF074SB</v>
          </cell>
          <cell r="J891">
            <v>90300</v>
          </cell>
        </row>
        <row r="892">
          <cell r="I892" t="str">
            <v>AF084SB</v>
          </cell>
          <cell r="J892">
            <v>100800</v>
          </cell>
        </row>
        <row r="893">
          <cell r="I893" t="str">
            <v>AF104SB</v>
          </cell>
          <cell r="J893">
            <v>135500</v>
          </cell>
        </row>
        <row r="894">
          <cell r="I894" t="str">
            <v>AF124SB</v>
          </cell>
          <cell r="J894">
            <v>149100</v>
          </cell>
        </row>
        <row r="895">
          <cell r="I895" t="str">
            <v>AF064SA</v>
          </cell>
          <cell r="J895">
            <v>84000</v>
          </cell>
        </row>
        <row r="896">
          <cell r="I896" t="str">
            <v>AF074SA</v>
          </cell>
          <cell r="J896">
            <v>92400</v>
          </cell>
        </row>
        <row r="897">
          <cell r="I897" t="str">
            <v>AF084SA</v>
          </cell>
          <cell r="J897">
            <v>100800</v>
          </cell>
        </row>
        <row r="898">
          <cell r="I898" t="str">
            <v>AF104SA</v>
          </cell>
          <cell r="J898">
            <v>116600</v>
          </cell>
        </row>
        <row r="899">
          <cell r="I899" t="str">
            <v>AF124SA</v>
          </cell>
          <cell r="J899">
            <v>132300</v>
          </cell>
        </row>
        <row r="900">
          <cell r="I900" t="str">
            <v>AF064SD</v>
          </cell>
          <cell r="J900">
            <v>65600</v>
          </cell>
        </row>
        <row r="901">
          <cell r="I901" t="str">
            <v>AF074SD</v>
          </cell>
          <cell r="J901">
            <v>73500</v>
          </cell>
        </row>
        <row r="902">
          <cell r="I902" t="str">
            <v>AF084SD</v>
          </cell>
          <cell r="J902">
            <v>81400</v>
          </cell>
        </row>
        <row r="903">
          <cell r="I903" t="str">
            <v>AF104SD</v>
          </cell>
          <cell r="J903">
            <v>103400</v>
          </cell>
        </row>
        <row r="904">
          <cell r="I904" t="str">
            <v>AF124SD</v>
          </cell>
          <cell r="J904">
            <v>115000</v>
          </cell>
        </row>
        <row r="905">
          <cell r="I905" t="str">
            <v>AF064SC</v>
          </cell>
          <cell r="J905">
            <v>67700</v>
          </cell>
        </row>
        <row r="906">
          <cell r="I906" t="str">
            <v>AF074SC</v>
          </cell>
          <cell r="J906">
            <v>74600</v>
          </cell>
        </row>
        <row r="907">
          <cell r="I907" t="str">
            <v>AF084SC</v>
          </cell>
          <cell r="J907">
            <v>81400</v>
          </cell>
        </row>
        <row r="908">
          <cell r="I908" t="str">
            <v>AF104SC</v>
          </cell>
          <cell r="J908">
            <v>94000</v>
          </cell>
        </row>
        <row r="909">
          <cell r="I909" t="str">
            <v>AF124SC</v>
          </cell>
          <cell r="J909">
            <v>106600</v>
          </cell>
        </row>
        <row r="910">
          <cell r="I910" t="str">
            <v>AF064SM</v>
          </cell>
          <cell r="J910">
            <v>81900</v>
          </cell>
        </row>
        <row r="911">
          <cell r="I911" t="str">
            <v>AF074SM</v>
          </cell>
          <cell r="J911">
            <v>91400</v>
          </cell>
        </row>
        <row r="912">
          <cell r="I912" t="str">
            <v>AF084SM</v>
          </cell>
          <cell r="J912">
            <v>100800</v>
          </cell>
        </row>
        <row r="913">
          <cell r="I913" t="str">
            <v>AF104SM</v>
          </cell>
          <cell r="J913">
            <v>126000</v>
          </cell>
        </row>
        <row r="914">
          <cell r="I914" t="str">
            <v>AF124SM</v>
          </cell>
          <cell r="J914">
            <v>140700</v>
          </cell>
        </row>
        <row r="915">
          <cell r="I915" t="str">
            <v>AF062A</v>
          </cell>
          <cell r="J915">
            <v>182700</v>
          </cell>
        </row>
        <row r="916">
          <cell r="I916" t="str">
            <v>AF072A</v>
          </cell>
          <cell r="J916">
            <v>199500</v>
          </cell>
        </row>
        <row r="917">
          <cell r="I917" t="str">
            <v>AF082A</v>
          </cell>
          <cell r="J917">
            <v>214200</v>
          </cell>
        </row>
        <row r="918">
          <cell r="I918" t="str">
            <v>AF102A</v>
          </cell>
          <cell r="J918">
            <v>239400</v>
          </cell>
        </row>
        <row r="919">
          <cell r="I919" t="str">
            <v>AF122A</v>
          </cell>
          <cell r="J919">
            <v>266700</v>
          </cell>
        </row>
        <row r="920">
          <cell r="I920" t="str">
            <v>SD008L</v>
          </cell>
          <cell r="J920">
            <v>177500</v>
          </cell>
        </row>
        <row r="921">
          <cell r="I921" t="str">
            <v>SD008R</v>
          </cell>
          <cell r="J921">
            <v>177500</v>
          </cell>
        </row>
        <row r="922">
          <cell r="I922" t="str">
            <v>SD008</v>
          </cell>
          <cell r="J922">
            <v>177500</v>
          </cell>
        </row>
        <row r="923">
          <cell r="I923" t="str">
            <v>SD012L</v>
          </cell>
          <cell r="J923">
            <v>210000</v>
          </cell>
        </row>
        <row r="924">
          <cell r="I924" t="str">
            <v>SD012R</v>
          </cell>
          <cell r="J924">
            <v>210000</v>
          </cell>
        </row>
        <row r="925">
          <cell r="I925" t="str">
            <v>SD012</v>
          </cell>
          <cell r="J925">
            <v>210000</v>
          </cell>
        </row>
        <row r="926">
          <cell r="I926" t="str">
            <v>SD014L</v>
          </cell>
          <cell r="J926">
            <v>236300</v>
          </cell>
        </row>
        <row r="927">
          <cell r="I927" t="str">
            <v>SD014R</v>
          </cell>
          <cell r="J927">
            <v>236300</v>
          </cell>
        </row>
        <row r="928">
          <cell r="I928" t="str">
            <v>SD014</v>
          </cell>
          <cell r="J928">
            <v>236300</v>
          </cell>
        </row>
        <row r="929">
          <cell r="I929" t="str">
            <v>SD016L</v>
          </cell>
          <cell r="J929">
            <v>254100</v>
          </cell>
        </row>
        <row r="930">
          <cell r="I930" t="str">
            <v>SD016R</v>
          </cell>
          <cell r="J930">
            <v>254100</v>
          </cell>
        </row>
        <row r="931">
          <cell r="I931" t="str">
            <v>SD016</v>
          </cell>
          <cell r="J931">
            <v>254100</v>
          </cell>
        </row>
        <row r="932">
          <cell r="I932" t="str">
            <v>SD316L</v>
          </cell>
          <cell r="J932">
            <v>339200</v>
          </cell>
        </row>
        <row r="933">
          <cell r="I933" t="str">
            <v>SD316R</v>
          </cell>
          <cell r="J933">
            <v>339200</v>
          </cell>
        </row>
        <row r="934">
          <cell r="I934" t="str">
            <v>SD318R</v>
          </cell>
          <cell r="J934">
            <v>356000</v>
          </cell>
        </row>
        <row r="935">
          <cell r="I935" t="str">
            <v>SD318L</v>
          </cell>
          <cell r="J935">
            <v>356000</v>
          </cell>
        </row>
        <row r="936">
          <cell r="I936" t="str">
            <v>SP0202</v>
          </cell>
          <cell r="J936">
            <v>146000</v>
          </cell>
        </row>
        <row r="937">
          <cell r="I937" t="str">
            <v>SP0203</v>
          </cell>
          <cell r="J937">
            <v>161700</v>
          </cell>
        </row>
        <row r="938">
          <cell r="I938" t="str">
            <v>SP0302</v>
          </cell>
          <cell r="J938">
            <v>170100</v>
          </cell>
        </row>
        <row r="939">
          <cell r="I939" t="str">
            <v>SP0303</v>
          </cell>
          <cell r="J939">
            <v>185900</v>
          </cell>
        </row>
        <row r="940">
          <cell r="I940" t="str">
            <v>SP0300</v>
          </cell>
          <cell r="J940">
            <v>53600</v>
          </cell>
        </row>
        <row r="941">
          <cell r="I941" t="str">
            <v>SD507</v>
          </cell>
          <cell r="J941">
            <v>174300</v>
          </cell>
        </row>
        <row r="942">
          <cell r="I942" t="str">
            <v>SD507F</v>
          </cell>
          <cell r="J942">
            <v>298200</v>
          </cell>
        </row>
        <row r="943">
          <cell r="I943" t="str">
            <v>SD517</v>
          </cell>
          <cell r="J943">
            <v>92400</v>
          </cell>
        </row>
        <row r="944">
          <cell r="I944" t="str">
            <v>SD517F</v>
          </cell>
          <cell r="J944">
            <v>217400</v>
          </cell>
        </row>
        <row r="945">
          <cell r="I945" t="str">
            <v>SD547</v>
          </cell>
          <cell r="J945">
            <v>60900</v>
          </cell>
        </row>
        <row r="946">
          <cell r="I946" t="str">
            <v>SD597</v>
          </cell>
          <cell r="J946">
            <v>77700</v>
          </cell>
        </row>
        <row r="947">
          <cell r="I947" t="str">
            <v>SD406L</v>
          </cell>
          <cell r="J947">
            <v>84000</v>
          </cell>
        </row>
        <row r="948">
          <cell r="I948" t="str">
            <v>SD406R</v>
          </cell>
          <cell r="J948">
            <v>84000</v>
          </cell>
        </row>
        <row r="949">
          <cell r="I949" t="str">
            <v>SD912</v>
          </cell>
          <cell r="J949">
            <v>162800</v>
          </cell>
        </row>
        <row r="950">
          <cell r="I950" t="str">
            <v>SD912F</v>
          </cell>
          <cell r="J950">
            <v>199500</v>
          </cell>
        </row>
        <row r="951">
          <cell r="I951" t="str">
            <v>SD955</v>
          </cell>
          <cell r="J951">
            <v>99800</v>
          </cell>
        </row>
        <row r="952">
          <cell r="I952" t="str">
            <v>SD977</v>
          </cell>
          <cell r="J952">
            <v>189000</v>
          </cell>
        </row>
        <row r="953">
          <cell r="I953" t="str">
            <v>SD927L</v>
          </cell>
          <cell r="J953">
            <v>165900</v>
          </cell>
        </row>
        <row r="954">
          <cell r="I954" t="str">
            <v>SD927R</v>
          </cell>
          <cell r="J954">
            <v>165900</v>
          </cell>
        </row>
        <row r="955">
          <cell r="I955" t="str">
            <v>SD990</v>
          </cell>
          <cell r="J955">
            <v>153300</v>
          </cell>
        </row>
        <row r="956">
          <cell r="I956" t="str">
            <v>SF008</v>
          </cell>
          <cell r="J956">
            <v>75600</v>
          </cell>
        </row>
        <row r="957">
          <cell r="I957" t="str">
            <v>SF008BE</v>
          </cell>
          <cell r="J957">
            <v>67200</v>
          </cell>
        </row>
        <row r="958">
          <cell r="I958" t="str">
            <v>SF012</v>
          </cell>
          <cell r="J958">
            <v>94500</v>
          </cell>
        </row>
        <row r="959">
          <cell r="I959" t="str">
            <v>SF012BE</v>
          </cell>
          <cell r="J959">
            <v>84000</v>
          </cell>
        </row>
        <row r="960">
          <cell r="I960" t="str">
            <v>SF014</v>
          </cell>
          <cell r="J960">
            <v>105000</v>
          </cell>
        </row>
        <row r="961">
          <cell r="I961" t="str">
            <v>SF014BE</v>
          </cell>
          <cell r="J961">
            <v>93500</v>
          </cell>
        </row>
        <row r="962">
          <cell r="I962" t="str">
            <v>SF016</v>
          </cell>
          <cell r="J962">
            <v>114500</v>
          </cell>
        </row>
        <row r="963">
          <cell r="I963" t="str">
            <v>SF016BE</v>
          </cell>
          <cell r="J963">
            <v>101900</v>
          </cell>
        </row>
        <row r="964">
          <cell r="I964" t="str">
            <v>SF300</v>
          </cell>
          <cell r="J964">
            <v>34700</v>
          </cell>
        </row>
        <row r="965">
          <cell r="I965" t="str">
            <v>SF300BE</v>
          </cell>
          <cell r="J965">
            <v>29400</v>
          </cell>
        </row>
        <row r="966">
          <cell r="I966" t="str">
            <v>SF912</v>
          </cell>
          <cell r="J966">
            <v>49400</v>
          </cell>
        </row>
        <row r="967">
          <cell r="I967" t="str">
            <v>SF912BE</v>
          </cell>
          <cell r="J967">
            <v>42000</v>
          </cell>
        </row>
        <row r="968">
          <cell r="I968" t="str">
            <v>SF507</v>
          </cell>
          <cell r="J968">
            <v>173300</v>
          </cell>
        </row>
        <row r="969">
          <cell r="I969" t="str">
            <v>SF507BE</v>
          </cell>
          <cell r="J969">
            <v>152300</v>
          </cell>
        </row>
        <row r="970">
          <cell r="I970" t="str">
            <v>SF517</v>
          </cell>
          <cell r="J970">
            <v>135500</v>
          </cell>
        </row>
        <row r="971">
          <cell r="I971" t="str">
            <v>SF517BE</v>
          </cell>
          <cell r="J971">
            <v>118700</v>
          </cell>
        </row>
        <row r="972">
          <cell r="I972" t="str">
            <v>SF316</v>
          </cell>
          <cell r="J972">
            <v>193200</v>
          </cell>
        </row>
        <row r="973">
          <cell r="I973" t="str">
            <v>SF316BE</v>
          </cell>
          <cell r="J973">
            <v>170100</v>
          </cell>
        </row>
        <row r="974">
          <cell r="I974" t="str">
            <v>SF507T</v>
          </cell>
          <cell r="J974">
            <v>260400</v>
          </cell>
        </row>
        <row r="975">
          <cell r="I975" t="str">
            <v>SF507TBE</v>
          </cell>
          <cell r="J975">
            <v>228900</v>
          </cell>
        </row>
        <row r="976">
          <cell r="I976" t="str">
            <v>SC182</v>
          </cell>
          <cell r="J976">
            <v>116600</v>
          </cell>
        </row>
        <row r="977">
          <cell r="I977" t="str">
            <v>SC183</v>
          </cell>
          <cell r="J977">
            <v>149100</v>
          </cell>
        </row>
        <row r="978">
          <cell r="I978" t="str">
            <v>SC1082</v>
          </cell>
          <cell r="J978">
            <v>80900</v>
          </cell>
        </row>
        <row r="979">
          <cell r="I979" t="str">
            <v>SC1083</v>
          </cell>
          <cell r="J979">
            <v>113400</v>
          </cell>
        </row>
        <row r="980">
          <cell r="I980" t="str">
            <v>SC0084</v>
          </cell>
          <cell r="J980">
            <v>144900</v>
          </cell>
        </row>
        <row r="981">
          <cell r="I981" t="str">
            <v>SC0085S</v>
          </cell>
          <cell r="J981">
            <v>153300</v>
          </cell>
        </row>
        <row r="982">
          <cell r="I982" t="str">
            <v>SC0086</v>
          </cell>
          <cell r="J982">
            <v>202700</v>
          </cell>
        </row>
        <row r="983">
          <cell r="I983" t="str">
            <v>SC0054</v>
          </cell>
          <cell r="J983">
            <v>110300</v>
          </cell>
        </row>
        <row r="984">
          <cell r="I984" t="str">
            <v>SC0055S</v>
          </cell>
          <cell r="J984">
            <v>122900</v>
          </cell>
        </row>
        <row r="985">
          <cell r="I985" t="str">
            <v>SC0056</v>
          </cell>
          <cell r="J985">
            <v>170100</v>
          </cell>
        </row>
        <row r="986">
          <cell r="I986" t="str">
            <v>SC5054</v>
          </cell>
          <cell r="J986">
            <v>110300</v>
          </cell>
        </row>
        <row r="987">
          <cell r="I987" t="str">
            <v>SC5055S</v>
          </cell>
          <cell r="J987">
            <v>122900</v>
          </cell>
        </row>
        <row r="988">
          <cell r="I988" t="str">
            <v>SC9108</v>
          </cell>
          <cell r="J988">
            <v>35700</v>
          </cell>
        </row>
        <row r="989">
          <cell r="I989" t="str">
            <v>SC9105</v>
          </cell>
          <cell r="J989">
            <v>26300</v>
          </cell>
        </row>
        <row r="990">
          <cell r="I990" t="str">
            <v>SB1082</v>
          </cell>
          <cell r="J990">
            <v>65100</v>
          </cell>
        </row>
        <row r="991">
          <cell r="I991" t="str">
            <v>SB1083</v>
          </cell>
          <cell r="J991">
            <v>81900</v>
          </cell>
        </row>
        <row r="992">
          <cell r="I992" t="str">
            <v>SB0082</v>
          </cell>
          <cell r="J992">
            <v>65100</v>
          </cell>
        </row>
        <row r="993">
          <cell r="I993" t="str">
            <v>SB0084</v>
          </cell>
          <cell r="J993">
            <v>108200</v>
          </cell>
        </row>
        <row r="994">
          <cell r="I994" t="str">
            <v>SB0085S</v>
          </cell>
          <cell r="J994">
            <v>120800</v>
          </cell>
        </row>
        <row r="995">
          <cell r="I995" t="str">
            <v>SB0086</v>
          </cell>
          <cell r="J995">
            <v>143900</v>
          </cell>
        </row>
        <row r="996">
          <cell r="I996" t="str">
            <v>SB0083SG</v>
          </cell>
          <cell r="J996">
            <v>85100</v>
          </cell>
        </row>
        <row r="997">
          <cell r="I997" t="str">
            <v>SB052L</v>
          </cell>
          <cell r="J997">
            <v>45200</v>
          </cell>
        </row>
        <row r="998">
          <cell r="I998" t="str">
            <v>SB052R</v>
          </cell>
          <cell r="J998">
            <v>45200</v>
          </cell>
        </row>
        <row r="999">
          <cell r="I999" t="str">
            <v>SB054L</v>
          </cell>
          <cell r="J999">
            <v>74600</v>
          </cell>
        </row>
        <row r="1000">
          <cell r="I1000" t="str">
            <v>SB054R</v>
          </cell>
          <cell r="J1000">
            <v>74600</v>
          </cell>
        </row>
        <row r="1001">
          <cell r="I1001" t="str">
            <v>SB055SL</v>
          </cell>
          <cell r="J1001">
            <v>80900</v>
          </cell>
        </row>
        <row r="1002">
          <cell r="I1002" t="str">
            <v>SB055SR</v>
          </cell>
          <cell r="J1002">
            <v>80900</v>
          </cell>
        </row>
        <row r="1003">
          <cell r="I1003" t="str">
            <v>SB056L</v>
          </cell>
          <cell r="J1003">
            <v>107100</v>
          </cell>
        </row>
        <row r="1004">
          <cell r="I1004" t="str">
            <v>SB056R</v>
          </cell>
          <cell r="J1004">
            <v>107100</v>
          </cell>
        </row>
        <row r="1005">
          <cell r="I1005" t="str">
            <v>SB9082</v>
          </cell>
          <cell r="J1005">
            <v>39900</v>
          </cell>
        </row>
        <row r="1006">
          <cell r="I1006" t="str">
            <v>SB9082BE</v>
          </cell>
          <cell r="J1006">
            <v>25800</v>
          </cell>
        </row>
        <row r="1007">
          <cell r="I1007" t="str">
            <v>SB9083</v>
          </cell>
          <cell r="J1007">
            <v>59900</v>
          </cell>
        </row>
        <row r="1008">
          <cell r="I1008" t="str">
            <v>SB9083BE</v>
          </cell>
          <cell r="J1008">
            <v>38900</v>
          </cell>
        </row>
        <row r="1009">
          <cell r="I1009" t="str">
            <v>SB9084</v>
          </cell>
          <cell r="J1009">
            <v>80900</v>
          </cell>
        </row>
        <row r="1010">
          <cell r="I1010" t="str">
            <v>SB9084BE</v>
          </cell>
          <cell r="J1010">
            <v>53600</v>
          </cell>
        </row>
        <row r="1011">
          <cell r="I1011" t="str">
            <v>SB9085S</v>
          </cell>
          <cell r="J1011">
            <v>93500</v>
          </cell>
        </row>
        <row r="1012">
          <cell r="I1012" t="str">
            <v>SB9055SBE</v>
          </cell>
          <cell r="J1012">
            <v>63000</v>
          </cell>
        </row>
        <row r="1013">
          <cell r="I1013" t="str">
            <v>SB9054</v>
          </cell>
          <cell r="J1013">
            <v>45200</v>
          </cell>
        </row>
        <row r="1014">
          <cell r="I1014" t="str">
            <v>SB9054BE</v>
          </cell>
          <cell r="J1014">
            <v>32600</v>
          </cell>
        </row>
        <row r="1015">
          <cell r="I1015" t="str">
            <v>SB9055S</v>
          </cell>
          <cell r="J1015">
            <v>57800</v>
          </cell>
        </row>
        <row r="1016">
          <cell r="I1016" t="str">
            <v>SB9055SBE</v>
          </cell>
          <cell r="J1016">
            <v>38900</v>
          </cell>
        </row>
        <row r="1017">
          <cell r="I1017" t="str">
            <v>SC981F</v>
          </cell>
          <cell r="J1017">
            <v>93000</v>
          </cell>
        </row>
        <row r="1018">
          <cell r="I1018" t="str">
            <v>SC981C</v>
          </cell>
          <cell r="J1018">
            <v>73000</v>
          </cell>
        </row>
        <row r="1019">
          <cell r="I1019" t="str">
            <v>SC982F</v>
          </cell>
          <cell r="J1019">
            <v>137000</v>
          </cell>
        </row>
        <row r="1020">
          <cell r="I1020" t="str">
            <v>SC982C</v>
          </cell>
          <cell r="J1020">
            <v>108000</v>
          </cell>
        </row>
        <row r="1021">
          <cell r="I1021" t="str">
            <v>SC951F</v>
          </cell>
          <cell r="J1021">
            <v>77000</v>
          </cell>
        </row>
        <row r="1022">
          <cell r="I1022" t="str">
            <v>SC951C</v>
          </cell>
          <cell r="J1022">
            <v>57000</v>
          </cell>
        </row>
        <row r="1023">
          <cell r="I1023" t="str">
            <v>SC952F</v>
          </cell>
          <cell r="J1023">
            <v>113000</v>
          </cell>
        </row>
        <row r="1024">
          <cell r="I1024" t="str">
            <v>SC952C</v>
          </cell>
          <cell r="J1024">
            <v>84000</v>
          </cell>
        </row>
        <row r="1025">
          <cell r="I1025" t="str">
            <v>SC9350</v>
          </cell>
          <cell r="J1025">
            <v>18000</v>
          </cell>
        </row>
        <row r="1026">
          <cell r="I1026" t="str">
            <v>SC9380</v>
          </cell>
          <cell r="J1026">
            <v>26000</v>
          </cell>
        </row>
        <row r="1027">
          <cell r="I1027" t="str">
            <v>SF517T</v>
          </cell>
          <cell r="J1027">
            <v>203700</v>
          </cell>
        </row>
        <row r="1028">
          <cell r="I1028" t="str">
            <v>SF517TBE</v>
          </cell>
          <cell r="J1028">
            <v>178500</v>
          </cell>
        </row>
        <row r="1029">
          <cell r="I1029" t="str">
            <v>SF316TA</v>
          </cell>
          <cell r="J1029">
            <v>300300</v>
          </cell>
        </row>
        <row r="1030">
          <cell r="I1030" t="str">
            <v>SF316TABE</v>
          </cell>
          <cell r="J1030">
            <v>264600</v>
          </cell>
        </row>
        <row r="1031">
          <cell r="I1031" t="str">
            <v>SF316TB</v>
          </cell>
          <cell r="J1031">
            <v>280400</v>
          </cell>
        </row>
        <row r="1032">
          <cell r="I1032" t="str">
            <v>SF316TBBE</v>
          </cell>
          <cell r="J1032">
            <v>246800</v>
          </cell>
        </row>
        <row r="1033">
          <cell r="I1033" t="str">
            <v>SC282</v>
          </cell>
          <cell r="J1033">
            <v>362300</v>
          </cell>
        </row>
        <row r="1034">
          <cell r="I1034" t="str">
            <v>SC283</v>
          </cell>
          <cell r="J1034">
            <v>485100</v>
          </cell>
        </row>
        <row r="1035">
          <cell r="I1035" t="str">
            <v>SC2082</v>
          </cell>
          <cell r="J1035">
            <v>326600</v>
          </cell>
        </row>
        <row r="1036">
          <cell r="I1036" t="str">
            <v>SC2083</v>
          </cell>
          <cell r="J1036">
            <v>449400</v>
          </cell>
        </row>
        <row r="1037">
          <cell r="I1037" t="str">
            <v>SC162</v>
          </cell>
          <cell r="J1037">
            <v>114500</v>
          </cell>
        </row>
        <row r="1038">
          <cell r="I1038" t="str">
            <v>SC662L</v>
          </cell>
          <cell r="J1038">
            <v>236300</v>
          </cell>
        </row>
        <row r="1039">
          <cell r="I1039" t="str">
            <v>SC662R</v>
          </cell>
          <cell r="J1039">
            <v>236300</v>
          </cell>
        </row>
        <row r="1040">
          <cell r="I1040" t="str">
            <v>SC764</v>
          </cell>
          <cell r="J1040">
            <v>239400</v>
          </cell>
        </row>
        <row r="1041">
          <cell r="I1041" t="str">
            <v>SA0101</v>
          </cell>
          <cell r="J1041">
            <v>4800</v>
          </cell>
        </row>
        <row r="1042">
          <cell r="I1042" t="str">
            <v>SA0102</v>
          </cell>
          <cell r="J1042">
            <v>4800</v>
          </cell>
        </row>
        <row r="1043">
          <cell r="I1043" t="str">
            <v>SA0103</v>
          </cell>
          <cell r="J1043">
            <v>4800</v>
          </cell>
        </row>
        <row r="1044">
          <cell r="I1044" t="str">
            <v>SA0104</v>
          </cell>
          <cell r="J1044">
            <v>9700</v>
          </cell>
        </row>
        <row r="1045">
          <cell r="I1045" t="str">
            <v>SA1012</v>
          </cell>
          <cell r="J1045">
            <v>60900</v>
          </cell>
        </row>
        <row r="1046">
          <cell r="I1046" t="str">
            <v>SA1014</v>
          </cell>
          <cell r="J1046">
            <v>68300</v>
          </cell>
        </row>
        <row r="1047">
          <cell r="I1047" t="str">
            <v>SA0201</v>
          </cell>
          <cell r="J1047">
            <v>57800</v>
          </cell>
        </row>
        <row r="1048">
          <cell r="I1048" t="str">
            <v>SA0301</v>
          </cell>
          <cell r="J1048">
            <v>14700</v>
          </cell>
        </row>
        <row r="1049">
          <cell r="I1049" t="str">
            <v>SA0401</v>
          </cell>
          <cell r="J1049">
            <v>14700</v>
          </cell>
        </row>
        <row r="1050">
          <cell r="I1050" t="str">
            <v>SA9900</v>
          </cell>
          <cell r="J1050">
            <v>8900</v>
          </cell>
        </row>
        <row r="1051">
          <cell r="I1051" t="str">
            <v>IF0060</v>
          </cell>
          <cell r="J1051">
            <v>33600</v>
          </cell>
        </row>
        <row r="1052">
          <cell r="I1052" t="str">
            <v>IF0070</v>
          </cell>
          <cell r="J1052">
            <v>36800</v>
          </cell>
        </row>
        <row r="1053">
          <cell r="I1053" t="str">
            <v>IF0080</v>
          </cell>
          <cell r="J1053">
            <v>39900</v>
          </cell>
        </row>
        <row r="1054">
          <cell r="I1054" t="str">
            <v>IF0100</v>
          </cell>
          <cell r="J1054">
            <v>45200</v>
          </cell>
        </row>
        <row r="1055">
          <cell r="I1055" t="str">
            <v>IF0120</v>
          </cell>
          <cell r="J1055">
            <v>50400</v>
          </cell>
        </row>
        <row r="1056">
          <cell r="I1056" t="str">
            <v>IF0062</v>
          </cell>
          <cell r="J1056">
            <v>36800</v>
          </cell>
        </row>
        <row r="1057">
          <cell r="I1057" t="str">
            <v>IF0072</v>
          </cell>
          <cell r="J1057">
            <v>39900</v>
          </cell>
        </row>
        <row r="1058">
          <cell r="I1058" t="str">
            <v>IF0082</v>
          </cell>
          <cell r="J1058">
            <v>43100</v>
          </cell>
        </row>
        <row r="1059">
          <cell r="I1059" t="str">
            <v>IF0102</v>
          </cell>
          <cell r="J1059">
            <v>48300</v>
          </cell>
        </row>
        <row r="1060">
          <cell r="I1060" t="str">
            <v>IF0122</v>
          </cell>
          <cell r="J1060">
            <v>53600</v>
          </cell>
        </row>
        <row r="1061">
          <cell r="I1061" t="str">
            <v>IF0064</v>
          </cell>
          <cell r="J1061">
            <v>42000</v>
          </cell>
        </row>
        <row r="1062">
          <cell r="I1062" t="str">
            <v>IF0074</v>
          </cell>
          <cell r="J1062">
            <v>45200</v>
          </cell>
        </row>
        <row r="1063">
          <cell r="I1063" t="str">
            <v>IF0084</v>
          </cell>
          <cell r="J1063">
            <v>48300</v>
          </cell>
        </row>
        <row r="1064">
          <cell r="I1064" t="str">
            <v>IF0104</v>
          </cell>
          <cell r="J1064">
            <v>53600</v>
          </cell>
        </row>
        <row r="1065">
          <cell r="I1065" t="str">
            <v>IF0124</v>
          </cell>
          <cell r="J1065">
            <v>58800</v>
          </cell>
        </row>
        <row r="1066">
          <cell r="I1066" t="str">
            <v>IF0066</v>
          </cell>
          <cell r="J1066">
            <v>47300</v>
          </cell>
        </row>
        <row r="1067">
          <cell r="I1067" t="str">
            <v>IF0076</v>
          </cell>
          <cell r="J1067">
            <v>50400</v>
          </cell>
        </row>
        <row r="1068">
          <cell r="I1068" t="str">
            <v>IF0086</v>
          </cell>
          <cell r="J1068">
            <v>53600</v>
          </cell>
        </row>
        <row r="1069">
          <cell r="I1069" t="str">
            <v>IF0106</v>
          </cell>
          <cell r="J1069">
            <v>58800</v>
          </cell>
        </row>
        <row r="1070">
          <cell r="I1070" t="str">
            <v>IF0126</v>
          </cell>
          <cell r="J1070">
            <v>64100</v>
          </cell>
        </row>
        <row r="1071">
          <cell r="I1071" t="str">
            <v>IF0068</v>
          </cell>
          <cell r="J1071">
            <v>51500</v>
          </cell>
        </row>
        <row r="1072">
          <cell r="I1072" t="str">
            <v>IF0078</v>
          </cell>
          <cell r="J1072">
            <v>54600</v>
          </cell>
        </row>
        <row r="1073">
          <cell r="I1073" t="str">
            <v>IF0088</v>
          </cell>
          <cell r="J1073">
            <v>57800</v>
          </cell>
        </row>
        <row r="1074">
          <cell r="I1074" t="str">
            <v>IF0108</v>
          </cell>
          <cell r="J1074">
            <v>63000</v>
          </cell>
        </row>
        <row r="1075">
          <cell r="I1075" t="str">
            <v>IF0128</v>
          </cell>
          <cell r="J1075">
            <v>68300</v>
          </cell>
        </row>
        <row r="1076">
          <cell r="I1076" t="str">
            <v>IF3061</v>
          </cell>
          <cell r="J1076">
            <v>10000</v>
          </cell>
        </row>
        <row r="1077">
          <cell r="I1077" t="str">
            <v>IF3071</v>
          </cell>
          <cell r="J1077">
            <v>11000</v>
          </cell>
        </row>
        <row r="1078">
          <cell r="I1078" t="str">
            <v>IF3081</v>
          </cell>
          <cell r="J1078">
            <v>12600</v>
          </cell>
        </row>
        <row r="1079">
          <cell r="I1079" t="str">
            <v>IF3101</v>
          </cell>
          <cell r="J1079">
            <v>14700</v>
          </cell>
        </row>
        <row r="1080">
          <cell r="I1080" t="str">
            <v>IF3121</v>
          </cell>
          <cell r="J1080">
            <v>16800</v>
          </cell>
        </row>
        <row r="1081">
          <cell r="I1081" t="str">
            <v>IF1062</v>
          </cell>
          <cell r="J1081">
            <v>8400</v>
          </cell>
        </row>
        <row r="1082">
          <cell r="I1082" t="str">
            <v>IF1072</v>
          </cell>
          <cell r="J1082">
            <v>10000</v>
          </cell>
        </row>
        <row r="1083">
          <cell r="I1083" t="str">
            <v>IF1082</v>
          </cell>
          <cell r="J1083">
            <v>11600</v>
          </cell>
        </row>
        <row r="1084">
          <cell r="I1084" t="str">
            <v>IF1102</v>
          </cell>
          <cell r="J1084">
            <v>13100</v>
          </cell>
        </row>
        <row r="1085">
          <cell r="I1085" t="str">
            <v>IF1122</v>
          </cell>
          <cell r="J1085">
            <v>14700</v>
          </cell>
        </row>
        <row r="1086">
          <cell r="I1086" t="str">
            <v>IF1064</v>
          </cell>
          <cell r="J1086">
            <v>14700</v>
          </cell>
        </row>
        <row r="1087">
          <cell r="I1087" t="str">
            <v>IF1074</v>
          </cell>
          <cell r="J1087">
            <v>16300</v>
          </cell>
        </row>
        <row r="1088">
          <cell r="I1088" t="str">
            <v>IF1084</v>
          </cell>
          <cell r="J1088">
            <v>17900</v>
          </cell>
        </row>
        <row r="1089">
          <cell r="I1089" t="str">
            <v>IF1104</v>
          </cell>
          <cell r="J1089">
            <v>21000</v>
          </cell>
        </row>
        <row r="1090">
          <cell r="I1090" t="str">
            <v>IF1124</v>
          </cell>
          <cell r="J1090">
            <v>24200</v>
          </cell>
        </row>
        <row r="1091">
          <cell r="I1091" t="str">
            <v>IF1066</v>
          </cell>
          <cell r="J1091">
            <v>21000</v>
          </cell>
        </row>
        <row r="1092">
          <cell r="I1092" t="str">
            <v>IF1076</v>
          </cell>
          <cell r="J1092">
            <v>22600</v>
          </cell>
        </row>
        <row r="1093">
          <cell r="I1093" t="str">
            <v>IF1086</v>
          </cell>
          <cell r="J1093">
            <v>24200</v>
          </cell>
        </row>
        <row r="1094">
          <cell r="I1094" t="str">
            <v>IF1106</v>
          </cell>
          <cell r="J1094">
            <v>27300</v>
          </cell>
        </row>
        <row r="1095">
          <cell r="I1095" t="str">
            <v>IF1126</v>
          </cell>
          <cell r="J1095">
            <v>30500</v>
          </cell>
        </row>
        <row r="1096">
          <cell r="I1096" t="str">
            <v>IF1066MM</v>
          </cell>
          <cell r="J1096">
            <v>17900</v>
          </cell>
        </row>
        <row r="1097">
          <cell r="I1097" t="str">
            <v>IF1066BE</v>
          </cell>
          <cell r="J1097">
            <v>17900</v>
          </cell>
        </row>
        <row r="1098">
          <cell r="I1098" t="str">
            <v>IF1076MM</v>
          </cell>
          <cell r="J1098">
            <v>19400</v>
          </cell>
        </row>
        <row r="1099">
          <cell r="I1099" t="str">
            <v>IF1076BE</v>
          </cell>
          <cell r="J1099">
            <v>19400</v>
          </cell>
        </row>
        <row r="1100">
          <cell r="I1100" t="str">
            <v>IF1086MM</v>
          </cell>
          <cell r="J1100">
            <v>21000</v>
          </cell>
        </row>
        <row r="1101">
          <cell r="I1101" t="str">
            <v>IF1086BE</v>
          </cell>
          <cell r="J1101">
            <v>21000</v>
          </cell>
        </row>
        <row r="1102">
          <cell r="I1102" t="str">
            <v>IF1106MM</v>
          </cell>
          <cell r="J1102">
            <v>23100</v>
          </cell>
        </row>
        <row r="1103">
          <cell r="I1103" t="str">
            <v>IF1106BE</v>
          </cell>
          <cell r="J1103">
            <v>23100</v>
          </cell>
        </row>
        <row r="1104">
          <cell r="I1104" t="str">
            <v>IF1126MM</v>
          </cell>
          <cell r="J1104">
            <v>26300</v>
          </cell>
        </row>
        <row r="1105">
          <cell r="I1105" t="str">
            <v>IF1126BE</v>
          </cell>
          <cell r="J1105">
            <v>26300</v>
          </cell>
        </row>
        <row r="1106">
          <cell r="I1106" t="str">
            <v>IF1064G</v>
          </cell>
          <cell r="J1106">
            <v>13100</v>
          </cell>
        </row>
        <row r="1107">
          <cell r="I1107" t="str">
            <v>IF1074G</v>
          </cell>
          <cell r="J1107">
            <v>15800</v>
          </cell>
        </row>
        <row r="1108">
          <cell r="I1108" t="str">
            <v>IF1084G</v>
          </cell>
          <cell r="J1108">
            <v>18900</v>
          </cell>
        </row>
        <row r="1109">
          <cell r="I1109" t="str">
            <v>IF1104G</v>
          </cell>
          <cell r="J1109">
            <v>24200</v>
          </cell>
        </row>
        <row r="1110">
          <cell r="I1110" t="str">
            <v>IF1124G</v>
          </cell>
          <cell r="J1110">
            <v>29400</v>
          </cell>
        </row>
        <row r="1111">
          <cell r="I1111" t="str">
            <v>IF1066G</v>
          </cell>
          <cell r="J1111">
            <v>21500</v>
          </cell>
        </row>
        <row r="1112">
          <cell r="I1112" t="str">
            <v>IF1076G</v>
          </cell>
          <cell r="J1112">
            <v>24200</v>
          </cell>
        </row>
        <row r="1113">
          <cell r="I1113" t="str">
            <v>IF1086G</v>
          </cell>
          <cell r="J1113">
            <v>27300</v>
          </cell>
        </row>
        <row r="1114">
          <cell r="I1114" t="str">
            <v>IF1106G</v>
          </cell>
          <cell r="J1114">
            <v>32600</v>
          </cell>
        </row>
        <row r="1115">
          <cell r="I1115" t="str">
            <v>IF1126G</v>
          </cell>
          <cell r="J1115">
            <v>37800</v>
          </cell>
        </row>
        <row r="1116">
          <cell r="I1116" t="str">
            <v>IF1064K</v>
          </cell>
          <cell r="J1116">
            <v>15800</v>
          </cell>
        </row>
        <row r="1117">
          <cell r="I1117" t="str">
            <v>IF1074K</v>
          </cell>
          <cell r="J1117">
            <v>18900</v>
          </cell>
        </row>
        <row r="1118">
          <cell r="I1118" t="str">
            <v>IF1084K</v>
          </cell>
          <cell r="J1118">
            <v>23100</v>
          </cell>
        </row>
        <row r="1119">
          <cell r="I1119" t="str">
            <v>IF1104K</v>
          </cell>
          <cell r="J1119">
            <v>27300</v>
          </cell>
        </row>
        <row r="1120">
          <cell r="I1120" t="str">
            <v>IF1124K</v>
          </cell>
          <cell r="J1120">
            <v>32600</v>
          </cell>
        </row>
        <row r="1121">
          <cell r="I1121" t="str">
            <v>IF1066K</v>
          </cell>
          <cell r="J1121">
            <v>26300</v>
          </cell>
        </row>
        <row r="1122">
          <cell r="I1122" t="str">
            <v>IF1076K</v>
          </cell>
          <cell r="J1122">
            <v>29400</v>
          </cell>
        </row>
        <row r="1123">
          <cell r="I1123" t="str">
            <v>IF1086K</v>
          </cell>
          <cell r="J1123">
            <v>32600</v>
          </cell>
        </row>
        <row r="1124">
          <cell r="I1124" t="str">
            <v>IF1106K</v>
          </cell>
          <cell r="J1124">
            <v>36800</v>
          </cell>
        </row>
        <row r="1125">
          <cell r="I1125" t="str">
            <v>IF1126K</v>
          </cell>
          <cell r="J1125">
            <v>42000</v>
          </cell>
        </row>
        <row r="1126">
          <cell r="I1126" t="str">
            <v>IF1064B</v>
          </cell>
          <cell r="J1126">
            <v>20000</v>
          </cell>
        </row>
        <row r="1127">
          <cell r="I1127" t="str">
            <v>IF1074B</v>
          </cell>
          <cell r="J1127">
            <v>22100</v>
          </cell>
        </row>
        <row r="1128">
          <cell r="I1128" t="str">
            <v>IF1084B</v>
          </cell>
          <cell r="J1128">
            <v>24200</v>
          </cell>
        </row>
        <row r="1129">
          <cell r="I1129" t="str">
            <v>IF1104B</v>
          </cell>
          <cell r="J1129">
            <v>35700</v>
          </cell>
        </row>
        <row r="1130">
          <cell r="I1130" t="str">
            <v>IF1124B</v>
          </cell>
          <cell r="J1130">
            <v>38900</v>
          </cell>
        </row>
        <row r="1131">
          <cell r="I1131" t="str">
            <v>IF1066B</v>
          </cell>
          <cell r="J1131">
            <v>27300</v>
          </cell>
        </row>
        <row r="1132">
          <cell r="I1132" t="str">
            <v>IF1076B</v>
          </cell>
          <cell r="J1132">
            <v>30500</v>
          </cell>
        </row>
        <row r="1133">
          <cell r="I1133" t="str">
            <v>IF1086B</v>
          </cell>
          <cell r="J1133">
            <v>33600</v>
          </cell>
        </row>
        <row r="1134">
          <cell r="I1134" t="str">
            <v>IF1106B</v>
          </cell>
          <cell r="J1134">
            <v>42000</v>
          </cell>
        </row>
        <row r="1135">
          <cell r="I1135" t="str">
            <v>IF1126B</v>
          </cell>
          <cell r="J1135">
            <v>46200</v>
          </cell>
        </row>
        <row r="1136">
          <cell r="I1136" t="str">
            <v>IF5110</v>
          </cell>
          <cell r="J1136">
            <v>17900</v>
          </cell>
        </row>
        <row r="1137">
          <cell r="I1137" t="str">
            <v>IF5112</v>
          </cell>
          <cell r="J1137">
            <v>19400</v>
          </cell>
        </row>
        <row r="1138">
          <cell r="I1138" t="str">
            <v>IF5114</v>
          </cell>
          <cell r="J1138">
            <v>21000</v>
          </cell>
        </row>
        <row r="1139">
          <cell r="I1139" t="str">
            <v>IF5116</v>
          </cell>
          <cell r="J1139">
            <v>24200</v>
          </cell>
        </row>
        <row r="1140">
          <cell r="I1140" t="str">
            <v>IF5118</v>
          </cell>
          <cell r="J1140">
            <v>28400</v>
          </cell>
        </row>
        <row r="1141">
          <cell r="I1141" t="str">
            <v>IF5210</v>
          </cell>
          <cell r="J1141">
            <v>21000</v>
          </cell>
        </row>
        <row r="1142">
          <cell r="I1142" t="str">
            <v>IF5212</v>
          </cell>
          <cell r="J1142">
            <v>22600</v>
          </cell>
        </row>
        <row r="1143">
          <cell r="I1143" t="str">
            <v>IF5214</v>
          </cell>
          <cell r="J1143">
            <v>24200</v>
          </cell>
        </row>
        <row r="1144">
          <cell r="I1144" t="str">
            <v>IF5216</v>
          </cell>
          <cell r="J1144">
            <v>27300</v>
          </cell>
        </row>
        <row r="1145">
          <cell r="I1145" t="str">
            <v>IF5218</v>
          </cell>
          <cell r="J1145">
            <v>31500</v>
          </cell>
        </row>
        <row r="1146">
          <cell r="I1146" t="str">
            <v>IF5510</v>
          </cell>
          <cell r="J1146">
            <v>24200</v>
          </cell>
        </row>
        <row r="1147">
          <cell r="I1147" t="str">
            <v>IF5512</v>
          </cell>
          <cell r="J1147">
            <v>25700</v>
          </cell>
        </row>
        <row r="1148">
          <cell r="I1148" t="str">
            <v>IF5514</v>
          </cell>
          <cell r="J1148">
            <v>27300</v>
          </cell>
        </row>
        <row r="1149">
          <cell r="I1149" t="str">
            <v>IF5516</v>
          </cell>
          <cell r="J1149">
            <v>30500</v>
          </cell>
        </row>
        <row r="1150">
          <cell r="I1150" t="str">
            <v>IF5518</v>
          </cell>
          <cell r="J1150">
            <v>34700</v>
          </cell>
        </row>
        <row r="1151">
          <cell r="I1151" t="str">
            <v>IF6010</v>
          </cell>
          <cell r="J1151">
            <v>6300</v>
          </cell>
        </row>
        <row r="1152">
          <cell r="I1152" t="str">
            <v>IF6012</v>
          </cell>
          <cell r="J1152">
            <v>7900</v>
          </cell>
        </row>
        <row r="1153">
          <cell r="I1153" t="str">
            <v>IF6014</v>
          </cell>
          <cell r="J1153">
            <v>9500</v>
          </cell>
        </row>
        <row r="1154">
          <cell r="I1154" t="str">
            <v>IF6016</v>
          </cell>
          <cell r="J1154">
            <v>11600</v>
          </cell>
        </row>
        <row r="1155">
          <cell r="I1155" t="str">
            <v>IF6018</v>
          </cell>
          <cell r="J1155">
            <v>13700</v>
          </cell>
        </row>
        <row r="1156">
          <cell r="I1156" t="str">
            <v>IF6102</v>
          </cell>
          <cell r="J1156">
            <v>3200</v>
          </cell>
        </row>
        <row r="1157">
          <cell r="I1157" t="str">
            <v>IF6104</v>
          </cell>
          <cell r="J1157">
            <v>4200</v>
          </cell>
        </row>
        <row r="1158">
          <cell r="I1158" t="str">
            <v>IF6106</v>
          </cell>
          <cell r="J1158">
            <v>4700</v>
          </cell>
        </row>
        <row r="1159">
          <cell r="I1159" t="str">
            <v>IF6108</v>
          </cell>
          <cell r="J1159">
            <v>5800</v>
          </cell>
        </row>
        <row r="1160">
          <cell r="I1160" t="str">
            <v>IF6102T</v>
          </cell>
          <cell r="J1160">
            <v>3200</v>
          </cell>
        </row>
        <row r="1161">
          <cell r="I1161" t="str">
            <v>IF6104T</v>
          </cell>
          <cell r="J1161">
            <v>4200</v>
          </cell>
        </row>
        <row r="1162">
          <cell r="I1162" t="str">
            <v>IF6106T</v>
          </cell>
          <cell r="J1162">
            <v>4700</v>
          </cell>
        </row>
        <row r="1163">
          <cell r="I1163" t="str">
            <v>IF6108T</v>
          </cell>
          <cell r="J1163">
            <v>5800</v>
          </cell>
        </row>
        <row r="1164">
          <cell r="I1164" t="str">
            <v>IF8001</v>
          </cell>
          <cell r="J1164">
            <v>23100</v>
          </cell>
        </row>
        <row r="1165">
          <cell r="I1165" t="str">
            <v>IF8002</v>
          </cell>
          <cell r="J1165">
            <v>3200</v>
          </cell>
        </row>
        <row r="1166">
          <cell r="I1166" t="str">
            <v>IT8001</v>
          </cell>
          <cell r="J1166">
            <v>5300</v>
          </cell>
        </row>
        <row r="1167">
          <cell r="I1167" t="str">
            <v>IT8002</v>
          </cell>
          <cell r="J1167">
            <v>5300</v>
          </cell>
        </row>
        <row r="1168">
          <cell r="I1168" t="str">
            <v>IT8003</v>
          </cell>
          <cell r="J1168">
            <v>2600</v>
          </cell>
        </row>
        <row r="1169">
          <cell r="I1169" t="str">
            <v>IT0008L</v>
          </cell>
          <cell r="J1169">
            <v>57800</v>
          </cell>
        </row>
        <row r="1170">
          <cell r="I1170" t="str">
            <v>IT0008R</v>
          </cell>
          <cell r="J1170">
            <v>57800</v>
          </cell>
        </row>
        <row r="1171">
          <cell r="I1171" t="str">
            <v>IT0008</v>
          </cell>
          <cell r="J1171">
            <v>57800</v>
          </cell>
        </row>
        <row r="1172">
          <cell r="I1172" t="str">
            <v>IT0010L</v>
          </cell>
          <cell r="J1172">
            <v>71400</v>
          </cell>
        </row>
        <row r="1173">
          <cell r="I1173" t="str">
            <v>IT0010R</v>
          </cell>
          <cell r="J1173">
            <v>71400</v>
          </cell>
        </row>
        <row r="1174">
          <cell r="I1174" t="str">
            <v>IT0100</v>
          </cell>
          <cell r="J1174">
            <v>71400</v>
          </cell>
        </row>
        <row r="1175">
          <cell r="I1175" t="str">
            <v>IT0012L</v>
          </cell>
          <cell r="J1175">
            <v>80900</v>
          </cell>
        </row>
        <row r="1176">
          <cell r="I1176" t="str">
            <v>IT0012R</v>
          </cell>
          <cell r="J1176">
            <v>80900</v>
          </cell>
        </row>
        <row r="1177">
          <cell r="I1177" t="str">
            <v>IT0012</v>
          </cell>
          <cell r="J1177">
            <v>80900</v>
          </cell>
        </row>
        <row r="1178">
          <cell r="I1178" t="str">
            <v>IT0116</v>
          </cell>
          <cell r="J1178">
            <v>92400</v>
          </cell>
        </row>
        <row r="1179">
          <cell r="I1179" t="str">
            <v>IT0118</v>
          </cell>
          <cell r="J1179">
            <v>101900</v>
          </cell>
        </row>
        <row r="1180">
          <cell r="I1180" t="str">
            <v>IT0100L</v>
          </cell>
          <cell r="J1180">
            <v>36800</v>
          </cell>
        </row>
        <row r="1181">
          <cell r="I1181" t="str">
            <v>IT0100R</v>
          </cell>
          <cell r="J1181">
            <v>36800</v>
          </cell>
        </row>
        <row r="1182">
          <cell r="I1182" t="str">
            <v>IT5066</v>
          </cell>
          <cell r="J1182">
            <v>110300</v>
          </cell>
        </row>
        <row r="1183">
          <cell r="I1183" t="str">
            <v>IT5077</v>
          </cell>
          <cell r="J1183">
            <v>135500</v>
          </cell>
        </row>
        <row r="1184">
          <cell r="I1184" t="str">
            <v>IT912</v>
          </cell>
          <cell r="J1184">
            <v>108200</v>
          </cell>
        </row>
        <row r="1185">
          <cell r="I1185" t="str">
            <v>IT916</v>
          </cell>
          <cell r="J1185">
            <v>160700</v>
          </cell>
        </row>
        <row r="1186">
          <cell r="I1186" t="str">
            <v>IT966</v>
          </cell>
          <cell r="J1186">
            <v>161700</v>
          </cell>
        </row>
        <row r="1187">
          <cell r="I1187" t="str">
            <v>IT977</v>
          </cell>
          <cell r="J1187">
            <v>172200</v>
          </cell>
        </row>
        <row r="1188">
          <cell r="I1188" t="str">
            <v>IT926L</v>
          </cell>
          <cell r="J1188">
            <v>138600</v>
          </cell>
        </row>
        <row r="1189">
          <cell r="I1189" t="str">
            <v>IT926R</v>
          </cell>
          <cell r="J1189">
            <v>138600</v>
          </cell>
        </row>
        <row r="1190">
          <cell r="I1190" t="str">
            <v>IT927L</v>
          </cell>
          <cell r="J1190">
            <v>141800</v>
          </cell>
        </row>
        <row r="1191">
          <cell r="I1191" t="str">
            <v>IT927R</v>
          </cell>
          <cell r="J1191">
            <v>141800</v>
          </cell>
        </row>
        <row r="1192">
          <cell r="I1192" t="str">
            <v>IT912CL</v>
          </cell>
          <cell r="J1192">
            <v>126000</v>
          </cell>
        </row>
        <row r="1193">
          <cell r="I1193" t="str">
            <v>IT912CR</v>
          </cell>
          <cell r="J1193">
            <v>126000</v>
          </cell>
        </row>
        <row r="1194">
          <cell r="I1194" t="str">
            <v>IT918CL</v>
          </cell>
          <cell r="J1194">
            <v>176400</v>
          </cell>
        </row>
        <row r="1195">
          <cell r="I1195" t="str">
            <v>IT918CR</v>
          </cell>
          <cell r="J1195">
            <v>176400</v>
          </cell>
        </row>
        <row r="1196">
          <cell r="I1196" t="str">
            <v>IT912DL</v>
          </cell>
          <cell r="J1196">
            <v>126000</v>
          </cell>
        </row>
        <row r="1197">
          <cell r="I1197" t="str">
            <v>IT912DR</v>
          </cell>
          <cell r="J1197">
            <v>126000</v>
          </cell>
        </row>
        <row r="1198">
          <cell r="I1198" t="str">
            <v>IT918DR</v>
          </cell>
          <cell r="J1198">
            <v>176400</v>
          </cell>
        </row>
        <row r="1199">
          <cell r="I1199" t="str">
            <v>IT918DL</v>
          </cell>
          <cell r="J1199">
            <v>176400</v>
          </cell>
        </row>
        <row r="1200">
          <cell r="I1200" t="str">
            <v>IT2004</v>
          </cell>
          <cell r="J1200">
            <v>21000</v>
          </cell>
        </row>
        <row r="1201">
          <cell r="I1201" t="str">
            <v>IT2005</v>
          </cell>
          <cell r="J1201">
            <v>24200</v>
          </cell>
        </row>
        <row r="1202">
          <cell r="I1202" t="str">
            <v>IT2006</v>
          </cell>
          <cell r="J1202">
            <v>27300</v>
          </cell>
        </row>
        <row r="1203">
          <cell r="I1203" t="str">
            <v>IT2007</v>
          </cell>
          <cell r="J1203">
            <v>30500</v>
          </cell>
        </row>
        <row r="1204">
          <cell r="I1204" t="str">
            <v>IT2008</v>
          </cell>
          <cell r="J1204">
            <v>33600</v>
          </cell>
        </row>
        <row r="1205">
          <cell r="I1205" t="str">
            <v>IT2010</v>
          </cell>
          <cell r="J1205">
            <v>39900</v>
          </cell>
        </row>
        <row r="1206">
          <cell r="I1206" t="str">
            <v>IT2012</v>
          </cell>
          <cell r="J1206">
            <v>47300</v>
          </cell>
        </row>
        <row r="1207">
          <cell r="I1207" t="str">
            <v>IT2014</v>
          </cell>
          <cell r="J1207">
            <v>54600</v>
          </cell>
        </row>
        <row r="1208">
          <cell r="I1208" t="str">
            <v>IT2016</v>
          </cell>
          <cell r="J1208">
            <v>60900</v>
          </cell>
        </row>
        <row r="1209">
          <cell r="I1209" t="str">
            <v>IT2122</v>
          </cell>
          <cell r="J1209">
            <v>21000</v>
          </cell>
        </row>
        <row r="1210">
          <cell r="I1210" t="str">
            <v>IT2204</v>
          </cell>
          <cell r="J1210">
            <v>24200</v>
          </cell>
        </row>
        <row r="1211">
          <cell r="I1211" t="str">
            <v>IT2205</v>
          </cell>
          <cell r="J1211">
            <v>27300</v>
          </cell>
        </row>
        <row r="1212">
          <cell r="I1212" t="str">
            <v>IT2206</v>
          </cell>
          <cell r="J1212">
            <v>30500</v>
          </cell>
        </row>
        <row r="1213">
          <cell r="I1213" t="str">
            <v>IT2207</v>
          </cell>
          <cell r="J1213">
            <v>33600</v>
          </cell>
        </row>
        <row r="1214">
          <cell r="I1214" t="str">
            <v>IT2208</v>
          </cell>
          <cell r="J1214">
            <v>36800</v>
          </cell>
        </row>
        <row r="1215">
          <cell r="I1215" t="str">
            <v>IT2210</v>
          </cell>
          <cell r="J1215">
            <v>44100</v>
          </cell>
        </row>
        <row r="1216">
          <cell r="I1216" t="str">
            <v>IT2212</v>
          </cell>
          <cell r="J1216">
            <v>51500</v>
          </cell>
        </row>
        <row r="1217">
          <cell r="I1217" t="str">
            <v>IT3006</v>
          </cell>
          <cell r="J1217">
            <v>44100</v>
          </cell>
        </row>
        <row r="1218">
          <cell r="I1218" t="str">
            <v>IT3007</v>
          </cell>
          <cell r="J1218">
            <v>47300</v>
          </cell>
        </row>
        <row r="1219">
          <cell r="I1219" t="str">
            <v>IT3008</v>
          </cell>
          <cell r="J1219">
            <v>51500</v>
          </cell>
        </row>
        <row r="1220">
          <cell r="I1220" t="str">
            <v>IT3010</v>
          </cell>
          <cell r="J1220">
            <v>57800</v>
          </cell>
        </row>
        <row r="1221">
          <cell r="I1221" t="str">
            <v>IT3012</v>
          </cell>
          <cell r="J1221">
            <v>65100</v>
          </cell>
        </row>
        <row r="1222">
          <cell r="I1222" t="str">
            <v>IT3406</v>
          </cell>
          <cell r="J1222">
            <v>53600</v>
          </cell>
        </row>
        <row r="1223">
          <cell r="I1223" t="str">
            <v>IT3407</v>
          </cell>
          <cell r="J1223">
            <v>56700</v>
          </cell>
        </row>
        <row r="1224">
          <cell r="I1224" t="str">
            <v>IT3408</v>
          </cell>
          <cell r="J1224">
            <v>59900</v>
          </cell>
        </row>
        <row r="1225">
          <cell r="I1225" t="str">
            <v>IT3410</v>
          </cell>
          <cell r="J1225">
            <v>66200</v>
          </cell>
        </row>
        <row r="1226">
          <cell r="I1226" t="str">
            <v>IT3412</v>
          </cell>
          <cell r="J1226">
            <v>72500</v>
          </cell>
        </row>
        <row r="1227">
          <cell r="I1227" t="str">
            <v>IT3106</v>
          </cell>
          <cell r="J1227">
            <v>44100</v>
          </cell>
        </row>
        <row r="1228">
          <cell r="I1228" t="str">
            <v>IT3107</v>
          </cell>
          <cell r="J1228">
            <v>47300</v>
          </cell>
        </row>
        <row r="1229">
          <cell r="I1229" t="str">
            <v>IT3108</v>
          </cell>
          <cell r="J1229">
            <v>51500</v>
          </cell>
        </row>
        <row r="1230">
          <cell r="I1230" t="str">
            <v>IT3110</v>
          </cell>
          <cell r="J1230">
            <v>57800</v>
          </cell>
        </row>
        <row r="1231">
          <cell r="I1231" t="str">
            <v>IT3112</v>
          </cell>
          <cell r="J1231">
            <v>65100</v>
          </cell>
        </row>
        <row r="1232">
          <cell r="I1232" t="str">
            <v>IT3306</v>
          </cell>
          <cell r="J1232">
            <v>162800</v>
          </cell>
        </row>
        <row r="1233">
          <cell r="I1233" t="str">
            <v>IT3307</v>
          </cell>
          <cell r="J1233">
            <v>170100</v>
          </cell>
        </row>
        <row r="1234">
          <cell r="I1234" t="str">
            <v>IT3308</v>
          </cell>
          <cell r="J1234">
            <v>174300</v>
          </cell>
        </row>
        <row r="1235">
          <cell r="I1235" t="str">
            <v>IT3310</v>
          </cell>
          <cell r="J1235">
            <v>183800</v>
          </cell>
        </row>
        <row r="1236">
          <cell r="I1236" t="str">
            <v>IT3312</v>
          </cell>
          <cell r="J1236">
            <v>195300</v>
          </cell>
        </row>
        <row r="1237">
          <cell r="I1237" t="str">
            <v>IA0006</v>
          </cell>
          <cell r="J1237">
            <v>12600</v>
          </cell>
        </row>
        <row r="1238">
          <cell r="I1238" t="str">
            <v>IA0007</v>
          </cell>
          <cell r="J1238">
            <v>14200</v>
          </cell>
        </row>
        <row r="1239">
          <cell r="I1239" t="str">
            <v>IA0008</v>
          </cell>
          <cell r="J1239">
            <v>15800</v>
          </cell>
        </row>
        <row r="1240">
          <cell r="I1240" t="str">
            <v>IA0010</v>
          </cell>
          <cell r="J1240">
            <v>18900</v>
          </cell>
        </row>
        <row r="1241">
          <cell r="I1241" t="str">
            <v>IA0012</v>
          </cell>
          <cell r="J1241">
            <v>21000</v>
          </cell>
        </row>
        <row r="1242">
          <cell r="I1242" t="str">
            <v>IA9901</v>
          </cell>
          <cell r="J1242">
            <v>5800</v>
          </cell>
        </row>
        <row r="1243">
          <cell r="I1243" t="str">
            <v>IF060</v>
          </cell>
          <cell r="J1243">
            <v>102400</v>
          </cell>
        </row>
        <row r="1244">
          <cell r="I1244" t="str">
            <v>IF070</v>
          </cell>
          <cell r="J1244">
            <v>112900</v>
          </cell>
        </row>
        <row r="1245">
          <cell r="I1245" t="str">
            <v>IF080</v>
          </cell>
          <cell r="J1245">
            <v>123900</v>
          </cell>
        </row>
        <row r="1246">
          <cell r="I1246" t="str">
            <v>IF100</v>
          </cell>
          <cell r="J1246">
            <v>140700</v>
          </cell>
        </row>
        <row r="1247">
          <cell r="I1247" t="str">
            <v>IF120</v>
          </cell>
          <cell r="J1247">
            <v>157500</v>
          </cell>
        </row>
        <row r="1248">
          <cell r="I1248" t="str">
            <v>IF062</v>
          </cell>
          <cell r="J1248">
            <v>118100</v>
          </cell>
        </row>
        <row r="1249">
          <cell r="I1249" t="str">
            <v>IF072</v>
          </cell>
          <cell r="J1249">
            <v>128600</v>
          </cell>
        </row>
        <row r="1250">
          <cell r="I1250" t="str">
            <v>IF082</v>
          </cell>
          <cell r="J1250">
            <v>139700</v>
          </cell>
        </row>
        <row r="1251">
          <cell r="I1251" t="str">
            <v>IF102</v>
          </cell>
          <cell r="J1251">
            <v>159600</v>
          </cell>
        </row>
        <row r="1252">
          <cell r="I1252" t="str">
            <v>IF122</v>
          </cell>
          <cell r="J1252">
            <v>179600</v>
          </cell>
        </row>
        <row r="1253">
          <cell r="I1253" t="str">
            <v>IF064</v>
          </cell>
          <cell r="J1253">
            <v>136000</v>
          </cell>
        </row>
        <row r="1254">
          <cell r="I1254" t="str">
            <v>IF074</v>
          </cell>
          <cell r="J1254">
            <v>146500</v>
          </cell>
        </row>
        <row r="1255">
          <cell r="I1255" t="str">
            <v>IF084</v>
          </cell>
          <cell r="J1255">
            <v>157500</v>
          </cell>
        </row>
        <row r="1256">
          <cell r="I1256" t="str">
            <v>IF104</v>
          </cell>
          <cell r="J1256">
            <v>177500</v>
          </cell>
        </row>
        <row r="1257">
          <cell r="I1257" t="str">
            <v>IF124</v>
          </cell>
          <cell r="J1257">
            <v>197400</v>
          </cell>
        </row>
        <row r="1258">
          <cell r="I1258" t="str">
            <v>IF066</v>
          </cell>
          <cell r="J1258">
            <v>158000</v>
          </cell>
        </row>
        <row r="1259">
          <cell r="I1259" t="str">
            <v>IF076</v>
          </cell>
          <cell r="J1259">
            <v>171700</v>
          </cell>
        </row>
        <row r="1260">
          <cell r="I1260" t="str">
            <v>IF086</v>
          </cell>
          <cell r="J1260">
            <v>185900</v>
          </cell>
        </row>
        <row r="1261">
          <cell r="I1261" t="str">
            <v>IF106</v>
          </cell>
          <cell r="J1261">
            <v>212100</v>
          </cell>
        </row>
        <row r="1262">
          <cell r="I1262" t="str">
            <v>IF126</v>
          </cell>
          <cell r="J1262">
            <v>238400</v>
          </cell>
        </row>
        <row r="1263">
          <cell r="I1263" t="str">
            <v>IF068</v>
          </cell>
          <cell r="J1263">
            <v>174800</v>
          </cell>
        </row>
        <row r="1264">
          <cell r="I1264" t="str">
            <v>IF078</v>
          </cell>
          <cell r="J1264">
            <v>188500</v>
          </cell>
        </row>
        <row r="1265">
          <cell r="I1265" t="str">
            <v>IF088</v>
          </cell>
          <cell r="J1265">
            <v>202700</v>
          </cell>
        </row>
        <row r="1266">
          <cell r="I1266" t="str">
            <v>IF108</v>
          </cell>
          <cell r="J1266">
            <v>228900</v>
          </cell>
        </row>
        <row r="1267">
          <cell r="I1267" t="str">
            <v>IF128</v>
          </cell>
          <cell r="J1267">
            <v>255200</v>
          </cell>
        </row>
        <row r="1268">
          <cell r="I1268" t="str">
            <v>IF060T</v>
          </cell>
          <cell r="J1268">
            <v>96100</v>
          </cell>
        </row>
        <row r="1269">
          <cell r="I1269" t="str">
            <v>IF070T</v>
          </cell>
          <cell r="J1269">
            <v>106600</v>
          </cell>
        </row>
        <row r="1270">
          <cell r="I1270" t="str">
            <v>IF080T</v>
          </cell>
          <cell r="J1270">
            <v>117600</v>
          </cell>
        </row>
        <row r="1271">
          <cell r="I1271" t="str">
            <v>IF100T</v>
          </cell>
          <cell r="J1271">
            <v>132300</v>
          </cell>
        </row>
        <row r="1272">
          <cell r="I1272" t="str">
            <v>IF120T</v>
          </cell>
          <cell r="J1272">
            <v>149100</v>
          </cell>
        </row>
        <row r="1273">
          <cell r="I1273" t="str">
            <v>IF062T</v>
          </cell>
          <cell r="J1273">
            <v>111800</v>
          </cell>
        </row>
        <row r="1274">
          <cell r="I1274" t="str">
            <v>IF072T</v>
          </cell>
          <cell r="J1274">
            <v>122300</v>
          </cell>
        </row>
        <row r="1275">
          <cell r="I1275" t="str">
            <v>IF082T</v>
          </cell>
          <cell r="J1275">
            <v>133400</v>
          </cell>
        </row>
        <row r="1276">
          <cell r="I1276" t="str">
            <v>IF102T</v>
          </cell>
          <cell r="J1276">
            <v>151200</v>
          </cell>
        </row>
        <row r="1277">
          <cell r="I1277" t="str">
            <v>IF122T</v>
          </cell>
          <cell r="J1277">
            <v>171200</v>
          </cell>
        </row>
        <row r="1278">
          <cell r="I1278" t="str">
            <v>IF064T</v>
          </cell>
          <cell r="J1278">
            <v>129700</v>
          </cell>
        </row>
        <row r="1279">
          <cell r="I1279" t="str">
            <v>IF074T</v>
          </cell>
          <cell r="J1279">
            <v>140200</v>
          </cell>
        </row>
        <row r="1280">
          <cell r="I1280" t="str">
            <v>IF084T</v>
          </cell>
          <cell r="J1280">
            <v>151200</v>
          </cell>
        </row>
        <row r="1281">
          <cell r="I1281" t="str">
            <v>IF104T</v>
          </cell>
          <cell r="J1281">
            <v>169100</v>
          </cell>
        </row>
        <row r="1282">
          <cell r="I1282" t="str">
            <v>IF124T</v>
          </cell>
          <cell r="J1282">
            <v>189000</v>
          </cell>
        </row>
        <row r="1283">
          <cell r="I1283" t="str">
            <v>IF066T</v>
          </cell>
          <cell r="J1283">
            <v>151700</v>
          </cell>
        </row>
        <row r="1284">
          <cell r="I1284" t="str">
            <v>IF076T</v>
          </cell>
          <cell r="J1284">
            <v>165400</v>
          </cell>
        </row>
        <row r="1285">
          <cell r="I1285" t="str">
            <v>IF086T</v>
          </cell>
          <cell r="J1285">
            <v>179600</v>
          </cell>
        </row>
        <row r="1286">
          <cell r="I1286" t="str">
            <v>IF106T</v>
          </cell>
          <cell r="J1286">
            <v>302700</v>
          </cell>
        </row>
        <row r="1287">
          <cell r="I1287" t="str">
            <v>IF126T</v>
          </cell>
          <cell r="J1287">
            <v>230000</v>
          </cell>
        </row>
        <row r="1288">
          <cell r="I1288" t="str">
            <v>IF068T</v>
          </cell>
          <cell r="J1288">
            <v>168500</v>
          </cell>
        </row>
        <row r="1289">
          <cell r="I1289" t="str">
            <v>IF078T</v>
          </cell>
          <cell r="J1289">
            <v>182200</v>
          </cell>
        </row>
        <row r="1290">
          <cell r="I1290" t="str">
            <v>IF088T</v>
          </cell>
          <cell r="J1290">
            <v>196400</v>
          </cell>
        </row>
        <row r="1291">
          <cell r="I1291" t="str">
            <v>IF108T</v>
          </cell>
          <cell r="J1291">
            <v>220500</v>
          </cell>
        </row>
        <row r="1292">
          <cell r="I1292" t="str">
            <v>IF128T</v>
          </cell>
          <cell r="J1292">
            <v>246800</v>
          </cell>
        </row>
        <row r="1293">
          <cell r="I1293" t="str">
            <v>IF060W</v>
          </cell>
          <cell r="J1293">
            <v>99200</v>
          </cell>
        </row>
        <row r="1294">
          <cell r="I1294" t="str">
            <v>IF070W</v>
          </cell>
          <cell r="J1294">
            <v>109700</v>
          </cell>
        </row>
        <row r="1295">
          <cell r="I1295" t="str">
            <v>IF080W</v>
          </cell>
          <cell r="J1295">
            <v>120800</v>
          </cell>
        </row>
        <row r="1296">
          <cell r="I1296" t="str">
            <v>IF100W</v>
          </cell>
          <cell r="J1296">
            <v>136500</v>
          </cell>
        </row>
        <row r="1297">
          <cell r="I1297" t="str">
            <v>IF120W</v>
          </cell>
          <cell r="J1297">
            <v>153300</v>
          </cell>
        </row>
        <row r="1298">
          <cell r="I1298" t="str">
            <v>IF062W</v>
          </cell>
          <cell r="J1298">
            <v>115000</v>
          </cell>
        </row>
        <row r="1299">
          <cell r="I1299" t="str">
            <v>IF072W</v>
          </cell>
          <cell r="J1299">
            <v>125500</v>
          </cell>
        </row>
        <row r="1300">
          <cell r="I1300" t="str">
            <v>IF082W</v>
          </cell>
          <cell r="J1300">
            <v>136500</v>
          </cell>
        </row>
        <row r="1301">
          <cell r="I1301" t="str">
            <v>IF102W</v>
          </cell>
          <cell r="J1301">
            <v>155400</v>
          </cell>
        </row>
        <row r="1302">
          <cell r="I1302" t="str">
            <v>IF122W</v>
          </cell>
          <cell r="J1302">
            <v>175400</v>
          </cell>
        </row>
        <row r="1303">
          <cell r="I1303" t="str">
            <v>IF064W</v>
          </cell>
          <cell r="J1303">
            <v>132800</v>
          </cell>
        </row>
        <row r="1304">
          <cell r="I1304" t="str">
            <v>IF074W</v>
          </cell>
          <cell r="J1304">
            <v>143300</v>
          </cell>
        </row>
        <row r="1305">
          <cell r="I1305" t="str">
            <v>IF084W</v>
          </cell>
          <cell r="J1305">
            <v>154400</v>
          </cell>
        </row>
        <row r="1306">
          <cell r="I1306" t="str">
            <v>IF104W</v>
          </cell>
          <cell r="J1306">
            <v>173300</v>
          </cell>
        </row>
        <row r="1307">
          <cell r="I1307" t="str">
            <v>IF124W</v>
          </cell>
          <cell r="J1307">
            <v>193200</v>
          </cell>
        </row>
        <row r="1308">
          <cell r="I1308" t="str">
            <v>IF066W</v>
          </cell>
          <cell r="J1308">
            <v>154900</v>
          </cell>
        </row>
        <row r="1309">
          <cell r="I1309" t="str">
            <v>IF076W</v>
          </cell>
          <cell r="J1309">
            <v>168500</v>
          </cell>
        </row>
        <row r="1310">
          <cell r="I1310" t="str">
            <v>IF086W</v>
          </cell>
          <cell r="J1310">
            <v>182700</v>
          </cell>
        </row>
        <row r="1311">
          <cell r="I1311" t="str">
            <v>IF106W</v>
          </cell>
          <cell r="J1311">
            <v>207900</v>
          </cell>
        </row>
        <row r="1312">
          <cell r="I1312" t="str">
            <v>IF126W</v>
          </cell>
          <cell r="J1312">
            <v>234200</v>
          </cell>
        </row>
        <row r="1313">
          <cell r="I1313" t="str">
            <v>IF068W</v>
          </cell>
          <cell r="J1313">
            <v>171700</v>
          </cell>
        </row>
        <row r="1314">
          <cell r="I1314" t="str">
            <v>IF078W</v>
          </cell>
          <cell r="J1314">
            <v>185300</v>
          </cell>
        </row>
        <row r="1315">
          <cell r="I1315" t="str">
            <v>IF088W</v>
          </cell>
          <cell r="J1315">
            <v>199500</v>
          </cell>
        </row>
        <row r="1316">
          <cell r="I1316" t="str">
            <v>IF108W</v>
          </cell>
          <cell r="J1316">
            <v>224700</v>
          </cell>
        </row>
        <row r="1317">
          <cell r="I1317" t="str">
            <v>IF128W</v>
          </cell>
          <cell r="J1317">
            <v>251000</v>
          </cell>
        </row>
        <row r="1318">
          <cell r="I1318" t="str">
            <v>IF062G</v>
          </cell>
          <cell r="J1318">
            <v>116000</v>
          </cell>
        </row>
        <row r="1319">
          <cell r="I1319" t="str">
            <v>IF072G</v>
          </cell>
          <cell r="J1319">
            <v>130700</v>
          </cell>
        </row>
        <row r="1320">
          <cell r="I1320" t="str">
            <v>IF082G</v>
          </cell>
          <cell r="J1320">
            <v>148100</v>
          </cell>
        </row>
        <row r="1321">
          <cell r="I1321" t="str">
            <v>IF102G</v>
          </cell>
          <cell r="J1321">
            <v>176400</v>
          </cell>
        </row>
        <row r="1322">
          <cell r="I1322" t="str">
            <v>IF122G</v>
          </cell>
          <cell r="J1322">
            <v>204800</v>
          </cell>
        </row>
        <row r="1323">
          <cell r="I1323" t="str">
            <v>IF064G</v>
          </cell>
          <cell r="J1323">
            <v>138100</v>
          </cell>
        </row>
        <row r="1324">
          <cell r="I1324" t="str">
            <v>IF074G</v>
          </cell>
          <cell r="J1324">
            <v>152800</v>
          </cell>
        </row>
        <row r="1325">
          <cell r="I1325" t="str">
            <v>IF084G</v>
          </cell>
          <cell r="J1325">
            <v>170100</v>
          </cell>
        </row>
        <row r="1326">
          <cell r="I1326" t="str">
            <v>IF104G</v>
          </cell>
          <cell r="J1326">
            <v>198500</v>
          </cell>
        </row>
        <row r="1327">
          <cell r="I1327" t="str">
            <v>IF124G</v>
          </cell>
          <cell r="J1327">
            <v>226800</v>
          </cell>
        </row>
        <row r="1328">
          <cell r="I1328" t="str">
            <v>IF066G</v>
          </cell>
          <cell r="J1328">
            <v>152800</v>
          </cell>
        </row>
        <row r="1329">
          <cell r="I1329" t="str">
            <v>IF076G</v>
          </cell>
          <cell r="J1329">
            <v>172700</v>
          </cell>
        </row>
        <row r="1330">
          <cell r="I1330" t="str">
            <v>IF086G</v>
          </cell>
          <cell r="J1330">
            <v>196400</v>
          </cell>
        </row>
        <row r="1331">
          <cell r="I1331" t="str">
            <v>IF106G</v>
          </cell>
          <cell r="J1331">
            <v>235200</v>
          </cell>
        </row>
        <row r="1332">
          <cell r="I1332" t="str">
            <v>IF126G</v>
          </cell>
          <cell r="J1332">
            <v>274100</v>
          </cell>
        </row>
        <row r="1333">
          <cell r="I1333" t="str">
            <v>IF068G</v>
          </cell>
          <cell r="J1333">
            <v>173800</v>
          </cell>
        </row>
        <row r="1334">
          <cell r="I1334" t="str">
            <v>IF078G</v>
          </cell>
          <cell r="J1334">
            <v>193700</v>
          </cell>
        </row>
        <row r="1335">
          <cell r="I1335" t="str">
            <v>IF088G</v>
          </cell>
          <cell r="J1335">
            <v>217400</v>
          </cell>
        </row>
        <row r="1336">
          <cell r="I1336" t="str">
            <v>IF108G</v>
          </cell>
          <cell r="J1336">
            <v>256200</v>
          </cell>
        </row>
        <row r="1337">
          <cell r="I1337" t="str">
            <v>IF128G</v>
          </cell>
          <cell r="J1337">
            <v>295100</v>
          </cell>
        </row>
        <row r="1338">
          <cell r="I1338" t="str">
            <v>IF062H</v>
          </cell>
          <cell r="J1338">
            <v>115000</v>
          </cell>
        </row>
        <row r="1339">
          <cell r="I1339" t="str">
            <v>IF072H</v>
          </cell>
          <cell r="J1339">
            <v>127600</v>
          </cell>
        </row>
        <row r="1340">
          <cell r="I1340" t="str">
            <v>IF082H</v>
          </cell>
          <cell r="J1340">
            <v>141800</v>
          </cell>
        </row>
        <row r="1341">
          <cell r="I1341" t="str">
            <v>IF102H</v>
          </cell>
          <cell r="J1341">
            <v>165900</v>
          </cell>
        </row>
        <row r="1342">
          <cell r="I1342" t="str">
            <v>IF122H</v>
          </cell>
          <cell r="J1342">
            <v>190100</v>
          </cell>
        </row>
        <row r="1343">
          <cell r="I1343" t="str">
            <v>IF064H</v>
          </cell>
          <cell r="J1343">
            <v>137000</v>
          </cell>
        </row>
        <row r="1344">
          <cell r="I1344" t="str">
            <v>IF074H</v>
          </cell>
          <cell r="J1344">
            <v>149600</v>
          </cell>
        </row>
        <row r="1345">
          <cell r="I1345" t="str">
            <v>IF084H</v>
          </cell>
          <cell r="J1345">
            <v>163800</v>
          </cell>
        </row>
        <row r="1346">
          <cell r="I1346" t="str">
            <v>IF104H</v>
          </cell>
          <cell r="J1346">
            <v>188000</v>
          </cell>
        </row>
        <row r="1347">
          <cell r="I1347" t="str">
            <v>IF124H</v>
          </cell>
          <cell r="J1347">
            <v>212100</v>
          </cell>
        </row>
        <row r="1348">
          <cell r="I1348" t="str">
            <v>IF066H</v>
          </cell>
          <cell r="J1348">
            <v>154900</v>
          </cell>
        </row>
        <row r="1349">
          <cell r="I1349" t="str">
            <v>IF076H</v>
          </cell>
          <cell r="J1349">
            <v>170600</v>
          </cell>
        </row>
        <row r="1350">
          <cell r="I1350" t="str">
            <v>IF086H</v>
          </cell>
          <cell r="J1350">
            <v>188000</v>
          </cell>
        </row>
        <row r="1351">
          <cell r="I1351" t="str">
            <v>IF106H</v>
          </cell>
          <cell r="J1351">
            <v>218400</v>
          </cell>
        </row>
        <row r="1352">
          <cell r="I1352" t="str">
            <v>IF126H</v>
          </cell>
          <cell r="J1352">
            <v>248900</v>
          </cell>
        </row>
        <row r="1353">
          <cell r="I1353" t="str">
            <v>IF068H</v>
          </cell>
          <cell r="J1353">
            <v>175900</v>
          </cell>
        </row>
        <row r="1354">
          <cell r="I1354" t="str">
            <v>IF078H</v>
          </cell>
          <cell r="J1354">
            <v>191600</v>
          </cell>
        </row>
        <row r="1355">
          <cell r="I1355" t="str">
            <v>IF088H</v>
          </cell>
          <cell r="J1355">
            <v>209000</v>
          </cell>
        </row>
        <row r="1356">
          <cell r="I1356" t="str">
            <v>IF108H</v>
          </cell>
          <cell r="J1356">
            <v>239400</v>
          </cell>
        </row>
        <row r="1357">
          <cell r="I1357" t="str">
            <v>IF128H</v>
          </cell>
          <cell r="J1357">
            <v>269900</v>
          </cell>
        </row>
        <row r="1358">
          <cell r="I1358" t="str">
            <v>IF062B</v>
          </cell>
          <cell r="J1358">
            <v>128600</v>
          </cell>
        </row>
        <row r="1359">
          <cell r="I1359" t="str">
            <v>IF072B</v>
          </cell>
          <cell r="J1359">
            <v>140200</v>
          </cell>
        </row>
        <row r="1360">
          <cell r="I1360" t="str">
            <v>IF082B</v>
          </cell>
          <cell r="J1360">
            <v>152300</v>
          </cell>
        </row>
        <row r="1361">
          <cell r="I1361" t="str">
            <v>IF102B</v>
          </cell>
          <cell r="J1361">
            <v>176400</v>
          </cell>
        </row>
        <row r="1362">
          <cell r="I1362" t="str">
            <v>IF122B</v>
          </cell>
          <cell r="J1362">
            <v>200600</v>
          </cell>
        </row>
        <row r="1363">
          <cell r="I1363" t="str">
            <v>IF064B</v>
          </cell>
          <cell r="J1363">
            <v>148600</v>
          </cell>
        </row>
        <row r="1364">
          <cell r="I1364" t="str">
            <v>IF074B</v>
          </cell>
          <cell r="J1364">
            <v>162200</v>
          </cell>
        </row>
        <row r="1365">
          <cell r="I1365" t="str">
            <v>IF084B</v>
          </cell>
          <cell r="J1365">
            <v>176400</v>
          </cell>
        </row>
        <row r="1366">
          <cell r="I1366" t="str">
            <v>IF104B</v>
          </cell>
          <cell r="J1366">
            <v>202700</v>
          </cell>
        </row>
        <row r="1367">
          <cell r="I1367" t="str">
            <v>IF124B</v>
          </cell>
          <cell r="J1367">
            <v>228900</v>
          </cell>
        </row>
        <row r="1368">
          <cell r="I1368" t="str">
            <v>IF066B</v>
          </cell>
          <cell r="J1368">
            <v>168500</v>
          </cell>
        </row>
        <row r="1369">
          <cell r="I1369" t="str">
            <v>IF076B</v>
          </cell>
          <cell r="J1369">
            <v>183200</v>
          </cell>
        </row>
        <row r="1370">
          <cell r="I1370" t="str">
            <v>IF086B</v>
          </cell>
          <cell r="J1370">
            <v>198500</v>
          </cell>
        </row>
        <row r="1371">
          <cell r="I1371" t="str">
            <v>IF106B</v>
          </cell>
          <cell r="J1371">
            <v>228900</v>
          </cell>
        </row>
        <row r="1372">
          <cell r="I1372" t="str">
            <v>IF126B</v>
          </cell>
          <cell r="J1372">
            <v>259400</v>
          </cell>
        </row>
        <row r="1373">
          <cell r="I1373" t="str">
            <v>IF068B</v>
          </cell>
          <cell r="J1373">
            <v>187400</v>
          </cell>
        </row>
        <row r="1374">
          <cell r="I1374" t="str">
            <v>IF078B</v>
          </cell>
          <cell r="J1374">
            <v>204200</v>
          </cell>
        </row>
        <row r="1375">
          <cell r="I1375" t="str">
            <v>IF088B</v>
          </cell>
          <cell r="J1375">
            <v>221600</v>
          </cell>
        </row>
        <row r="1376">
          <cell r="I1376" t="str">
            <v>IF108B</v>
          </cell>
          <cell r="J1376">
            <v>254100</v>
          </cell>
        </row>
        <row r="1377">
          <cell r="I1377" t="str">
            <v>IF128B</v>
          </cell>
          <cell r="J1377">
            <v>286700</v>
          </cell>
        </row>
        <row r="1378">
          <cell r="I1378" t="str">
            <v>IF066HB</v>
          </cell>
          <cell r="J1378">
            <v>151700</v>
          </cell>
        </row>
        <row r="1379">
          <cell r="I1379" t="str">
            <v>IF076HB</v>
          </cell>
          <cell r="J1379">
            <v>169600</v>
          </cell>
        </row>
        <row r="1380">
          <cell r="I1380" t="str">
            <v>IF086HB</v>
          </cell>
          <cell r="J1380">
            <v>190100</v>
          </cell>
        </row>
        <row r="1381">
          <cell r="I1381" t="str">
            <v>IF106HB</v>
          </cell>
          <cell r="J1381">
            <v>224700</v>
          </cell>
        </row>
        <row r="1382">
          <cell r="I1382" t="str">
            <v>IF126HB</v>
          </cell>
          <cell r="J1382">
            <v>259400</v>
          </cell>
        </row>
        <row r="1383">
          <cell r="I1383" t="str">
            <v>IF068HB</v>
          </cell>
          <cell r="J1383">
            <v>172700</v>
          </cell>
        </row>
        <row r="1384">
          <cell r="I1384" t="str">
            <v>IF078HB</v>
          </cell>
          <cell r="J1384">
            <v>190600</v>
          </cell>
        </row>
        <row r="1385">
          <cell r="I1385" t="str">
            <v>IF088HB</v>
          </cell>
          <cell r="J1385">
            <v>211100</v>
          </cell>
        </row>
        <row r="1386">
          <cell r="I1386" t="str">
            <v>IF108HB</v>
          </cell>
          <cell r="J1386">
            <v>245700</v>
          </cell>
        </row>
        <row r="1387">
          <cell r="I1387" t="str">
            <v>IF128HB</v>
          </cell>
          <cell r="J1387">
            <v>280400</v>
          </cell>
        </row>
        <row r="1388">
          <cell r="I1388" t="str">
            <v>IF062D</v>
          </cell>
          <cell r="J1388">
            <v>123400</v>
          </cell>
        </row>
        <row r="1389">
          <cell r="I1389" t="str">
            <v>IF072D</v>
          </cell>
          <cell r="J1389">
            <v>134400</v>
          </cell>
        </row>
        <row r="1390">
          <cell r="I1390" t="str">
            <v>IF082D</v>
          </cell>
          <cell r="J1390">
            <v>146000</v>
          </cell>
        </row>
        <row r="1391">
          <cell r="I1391" t="str">
            <v>IF102D</v>
          </cell>
          <cell r="J1391">
            <v>168000</v>
          </cell>
        </row>
        <row r="1392">
          <cell r="I1392" t="str">
            <v>IF122D</v>
          </cell>
          <cell r="J1392">
            <v>190100</v>
          </cell>
        </row>
        <row r="1393">
          <cell r="I1393" t="str">
            <v>IF064D</v>
          </cell>
          <cell r="J1393">
            <v>142300</v>
          </cell>
        </row>
        <row r="1394">
          <cell r="I1394" t="str">
            <v>IF074D</v>
          </cell>
          <cell r="J1394">
            <v>154400</v>
          </cell>
        </row>
        <row r="1395">
          <cell r="I1395" t="str">
            <v>IF084D</v>
          </cell>
          <cell r="J1395">
            <v>167000</v>
          </cell>
        </row>
        <row r="1396">
          <cell r="I1396" t="str">
            <v>IF104D</v>
          </cell>
          <cell r="J1396">
            <v>190100</v>
          </cell>
        </row>
        <row r="1397">
          <cell r="I1397" t="str">
            <v>IF124D</v>
          </cell>
          <cell r="J1397">
            <v>213200</v>
          </cell>
        </row>
        <row r="1398">
          <cell r="I1398" t="str">
            <v>IF066D</v>
          </cell>
          <cell r="J1398">
            <v>163300</v>
          </cell>
        </row>
        <row r="1399">
          <cell r="I1399" t="str">
            <v>IF076D</v>
          </cell>
          <cell r="J1399">
            <v>177500</v>
          </cell>
        </row>
        <row r="1400">
          <cell r="I1400" t="str">
            <v>IF086D</v>
          </cell>
          <cell r="J1400">
            <v>192200</v>
          </cell>
        </row>
        <row r="1401">
          <cell r="I1401" t="str">
            <v>IF106D</v>
          </cell>
          <cell r="J1401">
            <v>220500</v>
          </cell>
        </row>
        <row r="1402">
          <cell r="I1402" t="str">
            <v>IF126D</v>
          </cell>
          <cell r="J1402">
            <v>248900</v>
          </cell>
        </row>
        <row r="1403">
          <cell r="I1403" t="str">
            <v>IF068D</v>
          </cell>
          <cell r="J1403">
            <v>181100</v>
          </cell>
        </row>
        <row r="1404">
          <cell r="I1404" t="str">
            <v>IF078D</v>
          </cell>
          <cell r="J1404">
            <v>196400</v>
          </cell>
        </row>
        <row r="1405">
          <cell r="I1405" t="str">
            <v>IF088D</v>
          </cell>
          <cell r="J1405">
            <v>212100</v>
          </cell>
        </row>
        <row r="1406">
          <cell r="I1406" t="str">
            <v>IF108D</v>
          </cell>
          <cell r="J1406">
            <v>241500</v>
          </cell>
        </row>
        <row r="1407">
          <cell r="I1407" t="str">
            <v>IF128D</v>
          </cell>
          <cell r="J1407">
            <v>270900</v>
          </cell>
        </row>
        <row r="1408">
          <cell r="I1408" t="str">
            <v>유리ED008</v>
          </cell>
          <cell r="J1408">
            <v>28000</v>
          </cell>
        </row>
        <row r="1409">
          <cell r="I1409" t="str">
            <v>유리ED012</v>
          </cell>
          <cell r="J1409">
            <v>32000</v>
          </cell>
        </row>
        <row r="1410">
          <cell r="I1410" t="str">
            <v>유리ED014</v>
          </cell>
          <cell r="J1410">
            <v>37000</v>
          </cell>
        </row>
        <row r="1411">
          <cell r="I1411" t="str">
            <v>유리ED016</v>
          </cell>
          <cell r="J1411">
            <v>43000</v>
          </cell>
        </row>
        <row r="1412">
          <cell r="I1412" t="str">
            <v>유리ED018</v>
          </cell>
          <cell r="J1412">
            <v>48000</v>
          </cell>
        </row>
        <row r="1413">
          <cell r="I1413" t="str">
            <v>유리ED018X</v>
          </cell>
          <cell r="J1413">
            <v>50000</v>
          </cell>
        </row>
        <row r="1414">
          <cell r="I1414" t="str">
            <v>유리ED0108</v>
          </cell>
          <cell r="J1414">
            <v>22000</v>
          </cell>
        </row>
        <row r="1415">
          <cell r="I1415" t="str">
            <v>유리ED0112</v>
          </cell>
          <cell r="J1415">
            <v>26000</v>
          </cell>
        </row>
        <row r="1416">
          <cell r="I1416" t="str">
            <v>유리ED0114</v>
          </cell>
          <cell r="J1416">
            <v>28000</v>
          </cell>
        </row>
        <row r="1417">
          <cell r="I1417" t="str">
            <v>유리ED0116</v>
          </cell>
          <cell r="J1417">
            <v>32000</v>
          </cell>
        </row>
        <row r="1418">
          <cell r="I1418" t="str">
            <v>유리ED401</v>
          </cell>
          <cell r="J1418">
            <v>20000</v>
          </cell>
        </row>
        <row r="1419">
          <cell r="I1419" t="str">
            <v>유리ED410</v>
          </cell>
          <cell r="J1419">
            <v>20000</v>
          </cell>
        </row>
        <row r="1420">
          <cell r="I1420" t="str">
            <v>유리ED412</v>
          </cell>
          <cell r="J1420">
            <v>22000</v>
          </cell>
        </row>
        <row r="1421">
          <cell r="I1421" t="str">
            <v>유리ED0706</v>
          </cell>
          <cell r="J1421">
            <v>22000</v>
          </cell>
        </row>
        <row r="1422">
          <cell r="I1422" t="str">
            <v>유리ED0708</v>
          </cell>
          <cell r="J1422">
            <v>27000</v>
          </cell>
        </row>
        <row r="1423">
          <cell r="I1423" t="str">
            <v>유리ED0806</v>
          </cell>
          <cell r="J1423">
            <v>15000</v>
          </cell>
        </row>
        <row r="1424">
          <cell r="I1424" t="str">
            <v>유리ED0808</v>
          </cell>
          <cell r="J1424">
            <v>18000</v>
          </cell>
        </row>
        <row r="1425">
          <cell r="I1425" t="str">
            <v>유리ED5466</v>
          </cell>
          <cell r="J1425">
            <v>22000</v>
          </cell>
        </row>
        <row r="1426">
          <cell r="I1426" t="str">
            <v>유리ED5488</v>
          </cell>
          <cell r="J1426">
            <v>25000</v>
          </cell>
        </row>
        <row r="1427">
          <cell r="I1427" t="str">
            <v>유리ED5966</v>
          </cell>
          <cell r="J1427">
            <v>22000</v>
          </cell>
        </row>
        <row r="1428">
          <cell r="I1428" t="str">
            <v>유리ED5988</v>
          </cell>
          <cell r="J1428">
            <v>25000</v>
          </cell>
        </row>
        <row r="1429">
          <cell r="I1429" t="str">
            <v>유리ED950</v>
          </cell>
          <cell r="J1429">
            <v>40000</v>
          </cell>
        </row>
        <row r="1430">
          <cell r="I1430" t="str">
            <v>유리ED912</v>
          </cell>
          <cell r="J1430">
            <v>28000</v>
          </cell>
        </row>
        <row r="1431">
          <cell r="I1431" t="str">
            <v>유리ED916</v>
          </cell>
          <cell r="J1431">
            <v>43000</v>
          </cell>
        </row>
        <row r="1432">
          <cell r="I1432" t="str">
            <v>유리EZ016</v>
          </cell>
          <cell r="J1432">
            <v>30000</v>
          </cell>
        </row>
        <row r="1433">
          <cell r="I1433" t="str">
            <v>유리TD008</v>
          </cell>
          <cell r="J1433">
            <v>30000</v>
          </cell>
        </row>
        <row r="1434">
          <cell r="I1434" t="str">
            <v>유리TD010</v>
          </cell>
          <cell r="J1434">
            <v>35000</v>
          </cell>
        </row>
        <row r="1435">
          <cell r="I1435" t="str">
            <v>유리TD012</v>
          </cell>
          <cell r="J1435">
            <v>37000</v>
          </cell>
        </row>
        <row r="1436">
          <cell r="I1436" t="str">
            <v>유리TD014</v>
          </cell>
          <cell r="J1436">
            <v>42000</v>
          </cell>
        </row>
        <row r="1437">
          <cell r="I1437" t="str">
            <v>유리TD016</v>
          </cell>
          <cell r="J1437">
            <v>47000</v>
          </cell>
        </row>
        <row r="1438">
          <cell r="I1438" t="str">
            <v>유리TD018</v>
          </cell>
          <cell r="J1438">
            <v>52000</v>
          </cell>
        </row>
        <row r="1439">
          <cell r="I1439" t="str">
            <v>유리TD108</v>
          </cell>
          <cell r="J1439">
            <v>23000</v>
          </cell>
        </row>
        <row r="1440">
          <cell r="I1440" t="str">
            <v>유리TD110</v>
          </cell>
          <cell r="J1440">
            <v>28000</v>
          </cell>
        </row>
        <row r="1441">
          <cell r="I1441" t="str">
            <v>유리TD112</v>
          </cell>
          <cell r="J1441">
            <v>30000</v>
          </cell>
        </row>
        <row r="1442">
          <cell r="I1442" t="str">
            <v>유리TD114</v>
          </cell>
          <cell r="J1442">
            <v>35000</v>
          </cell>
        </row>
        <row r="1443">
          <cell r="I1443" t="str">
            <v>유리TD116</v>
          </cell>
          <cell r="J1443">
            <v>40000</v>
          </cell>
        </row>
        <row r="1444">
          <cell r="I1444" t="str">
            <v>유리TD118</v>
          </cell>
          <cell r="J1444">
            <v>43000</v>
          </cell>
        </row>
        <row r="1445">
          <cell r="I1445" t="str">
            <v>유리TD912</v>
          </cell>
          <cell r="J1445">
            <v>27000</v>
          </cell>
        </row>
        <row r="1446">
          <cell r="I1446" t="str">
            <v>유리TD916</v>
          </cell>
          <cell r="J1446">
            <v>40000</v>
          </cell>
        </row>
        <row r="1447">
          <cell r="I1447" t="str">
            <v>유리TD990</v>
          </cell>
          <cell r="J1447">
            <v>42000</v>
          </cell>
        </row>
        <row r="1448">
          <cell r="I1448" t="str">
            <v>유리TD966</v>
          </cell>
          <cell r="J1448">
            <v>32000</v>
          </cell>
        </row>
        <row r="1449">
          <cell r="I1449" t="str">
            <v>유리TD988</v>
          </cell>
          <cell r="J1449">
            <v>43000</v>
          </cell>
        </row>
        <row r="1450">
          <cell r="I1450" t="str">
            <v>유리TD412</v>
          </cell>
          <cell r="J1450">
            <v>20000</v>
          </cell>
        </row>
        <row r="1451">
          <cell r="I1451" t="str">
            <v>유리TD508</v>
          </cell>
          <cell r="J1451">
            <v>46000</v>
          </cell>
        </row>
        <row r="1452">
          <cell r="I1452" t="str">
            <v>유리TD507</v>
          </cell>
          <cell r="J1452">
            <v>46000</v>
          </cell>
        </row>
        <row r="1453">
          <cell r="I1453" t="str">
            <v>유리TD518</v>
          </cell>
          <cell r="J1453">
            <v>35000</v>
          </cell>
        </row>
        <row r="1454">
          <cell r="I1454" t="str">
            <v>유리TD516</v>
          </cell>
          <cell r="J1454">
            <v>30000</v>
          </cell>
        </row>
        <row r="1455">
          <cell r="I1455" t="str">
            <v>유리NT0006</v>
          </cell>
          <cell r="J1455">
            <v>18000</v>
          </cell>
        </row>
        <row r="1456">
          <cell r="I1456" t="str">
            <v>유리NT0008</v>
          </cell>
          <cell r="J1456">
            <v>23000</v>
          </cell>
        </row>
        <row r="1457">
          <cell r="I1457" t="str">
            <v>유리NT0010</v>
          </cell>
          <cell r="J1457">
            <v>28000</v>
          </cell>
        </row>
        <row r="1458">
          <cell r="I1458" t="str">
            <v>유리NT0012</v>
          </cell>
          <cell r="J1458">
            <v>32000</v>
          </cell>
        </row>
        <row r="1459">
          <cell r="I1459" t="str">
            <v>유리NT0016</v>
          </cell>
          <cell r="J1459">
            <v>43000</v>
          </cell>
        </row>
        <row r="1460">
          <cell r="I1460" t="str">
            <v>유리NT0018</v>
          </cell>
          <cell r="J1460">
            <v>45000</v>
          </cell>
        </row>
        <row r="1461">
          <cell r="I1461" t="str">
            <v>유리NT0106</v>
          </cell>
          <cell r="J1461">
            <v>18000</v>
          </cell>
        </row>
        <row r="1462">
          <cell r="I1462" t="str">
            <v>유리NT0108</v>
          </cell>
          <cell r="J1462">
            <v>22000</v>
          </cell>
        </row>
        <row r="1463">
          <cell r="I1463" t="str">
            <v>유리NT0110</v>
          </cell>
          <cell r="J1463">
            <v>23000</v>
          </cell>
        </row>
        <row r="1464">
          <cell r="I1464" t="str">
            <v>유리NT0112</v>
          </cell>
          <cell r="J1464">
            <v>25000</v>
          </cell>
        </row>
        <row r="1465">
          <cell r="I1465" t="str">
            <v>유리NT0114</v>
          </cell>
          <cell r="J1465">
            <v>30000</v>
          </cell>
        </row>
        <row r="1466">
          <cell r="I1466" t="str">
            <v>유리NT0116</v>
          </cell>
          <cell r="J1466">
            <v>34000</v>
          </cell>
        </row>
        <row r="1467">
          <cell r="I1467" t="str">
            <v>유리NT0118</v>
          </cell>
          <cell r="J1467">
            <v>38000</v>
          </cell>
        </row>
        <row r="1468">
          <cell r="I1468" t="str">
            <v>유리NT966</v>
          </cell>
          <cell r="J1468">
            <v>40000</v>
          </cell>
        </row>
        <row r="1469">
          <cell r="I1469" t="str">
            <v>유리NT5566</v>
          </cell>
          <cell r="J1469">
            <v>47000</v>
          </cell>
        </row>
        <row r="1470">
          <cell r="I1470" t="str">
            <v>유리NT988</v>
          </cell>
          <cell r="J1470">
            <v>45000</v>
          </cell>
        </row>
        <row r="1471">
          <cell r="I1471" t="str">
            <v>유리NT912</v>
          </cell>
          <cell r="J1471">
            <v>28000</v>
          </cell>
        </row>
        <row r="1472">
          <cell r="I1472" t="str">
            <v>유리NT916</v>
          </cell>
          <cell r="J1472">
            <v>38000</v>
          </cell>
        </row>
        <row r="1473">
          <cell r="I1473" t="str">
            <v>유리NT918</v>
          </cell>
          <cell r="J1473">
            <v>45000</v>
          </cell>
        </row>
        <row r="1474">
          <cell r="I1474" t="str">
            <v>유리NT5586</v>
          </cell>
          <cell r="J1474">
            <v>50000</v>
          </cell>
        </row>
        <row r="1475">
          <cell r="I1475" t="str">
            <v>유리NT5588</v>
          </cell>
          <cell r="J1475">
            <v>52000</v>
          </cell>
        </row>
        <row r="1476">
          <cell r="I1476" t="str">
            <v>유리YD018</v>
          </cell>
          <cell r="J1476">
            <v>60000</v>
          </cell>
        </row>
        <row r="1477">
          <cell r="I1477" t="str">
            <v>유리YD412</v>
          </cell>
          <cell r="J1477">
            <v>25000</v>
          </cell>
        </row>
        <row r="1478">
          <cell r="I1478" t="str">
            <v>유리YD990</v>
          </cell>
          <cell r="J1478">
            <v>40000</v>
          </cell>
        </row>
        <row r="1479">
          <cell r="I1479" t="str">
            <v>유리CR009</v>
          </cell>
          <cell r="J1479">
            <v>27000</v>
          </cell>
        </row>
        <row r="1480">
          <cell r="I1480" t="str">
            <v>유리CR012</v>
          </cell>
          <cell r="J1480">
            <v>40000</v>
          </cell>
        </row>
        <row r="1481">
          <cell r="I1481" t="str">
            <v>유리CR018</v>
          </cell>
          <cell r="J1481">
            <v>48000</v>
          </cell>
        </row>
        <row r="1482">
          <cell r="I1482" t="str">
            <v>유리CR024</v>
          </cell>
          <cell r="J1482">
            <v>75000</v>
          </cell>
        </row>
        <row r="1483">
          <cell r="I1483" t="str">
            <v>유리SR009</v>
          </cell>
          <cell r="J1483">
            <v>25000</v>
          </cell>
        </row>
        <row r="1484">
          <cell r="I1484" t="str">
            <v>유리SR012</v>
          </cell>
          <cell r="J1484">
            <v>40000</v>
          </cell>
        </row>
        <row r="1485">
          <cell r="I1485" t="str">
            <v>유리SR018</v>
          </cell>
          <cell r="J1485">
            <v>46000</v>
          </cell>
        </row>
        <row r="1486">
          <cell r="I1486" t="str">
            <v>유리SR024S</v>
          </cell>
          <cell r="J1486">
            <v>62000</v>
          </cell>
        </row>
        <row r="1487">
          <cell r="I1487" t="str">
            <v>유리SR024</v>
          </cell>
          <cell r="J1487">
            <v>70000</v>
          </cell>
        </row>
        <row r="1488">
          <cell r="I1488" t="str">
            <v>유리SR032</v>
          </cell>
          <cell r="J1488">
            <v>85000</v>
          </cell>
        </row>
        <row r="1489">
          <cell r="I1489" t="str">
            <v>유리PD018</v>
          </cell>
          <cell r="J1489">
            <v>56000</v>
          </cell>
        </row>
        <row r="1490">
          <cell r="I1490" t="str">
            <v>유리PD021</v>
          </cell>
          <cell r="J1490">
            <v>72000</v>
          </cell>
        </row>
        <row r="1491">
          <cell r="I1491" t="str">
            <v>유리PD414</v>
          </cell>
          <cell r="J1491">
            <v>28000</v>
          </cell>
        </row>
        <row r="1492">
          <cell r="I1492" t="str">
            <v>유리EL0112</v>
          </cell>
          <cell r="J1492">
            <v>25000</v>
          </cell>
        </row>
        <row r="1493">
          <cell r="I1493" t="str">
            <v>유리EL0104</v>
          </cell>
          <cell r="J1493">
            <v>15000</v>
          </cell>
        </row>
        <row r="1494">
          <cell r="I1494" t="str">
            <v>유리CL0207</v>
          </cell>
          <cell r="J1494">
            <v>26000</v>
          </cell>
        </row>
        <row r="1495">
          <cell r="I1495" t="str">
            <v>유리CL0212</v>
          </cell>
          <cell r="J1495">
            <v>25000</v>
          </cell>
        </row>
        <row r="1496">
          <cell r="I1496" t="str">
            <v>유리CL0204</v>
          </cell>
          <cell r="J1496">
            <v>18000</v>
          </cell>
        </row>
        <row r="1497">
          <cell r="I1497" t="str">
            <v>유리LD021</v>
          </cell>
          <cell r="J1497">
            <v>70000</v>
          </cell>
        </row>
        <row r="1498">
          <cell r="I1498" t="str">
            <v>유리LD018</v>
          </cell>
          <cell r="J1498">
            <v>45000</v>
          </cell>
        </row>
        <row r="1499">
          <cell r="I1499" t="str">
            <v>유리LZ01</v>
          </cell>
          <cell r="J1499">
            <v>40000</v>
          </cell>
        </row>
        <row r="1500">
          <cell r="I1500" t="str">
            <v>유리LZ11</v>
          </cell>
          <cell r="J1500">
            <v>30000</v>
          </cell>
        </row>
        <row r="1501">
          <cell r="I1501" t="str">
            <v>유리LL016</v>
          </cell>
          <cell r="J1501">
            <v>45000</v>
          </cell>
        </row>
        <row r="1502">
          <cell r="I1502" t="str">
            <v>유리LL008</v>
          </cell>
          <cell r="J1502">
            <v>25000</v>
          </cell>
        </row>
        <row r="1503">
          <cell r="I1503" t="str">
            <v>유리LL0007</v>
          </cell>
          <cell r="J1503">
            <v>18000</v>
          </cell>
        </row>
        <row r="1504">
          <cell r="I1504" t="str">
            <v>유리CR1107</v>
          </cell>
          <cell r="J1504">
            <v>18000</v>
          </cell>
        </row>
        <row r="1505">
          <cell r="I1505" t="str">
            <v>유리CR1115</v>
          </cell>
          <cell r="J1505">
            <v>25000</v>
          </cell>
        </row>
        <row r="1506">
          <cell r="I1506" t="str">
            <v>유리CR1166</v>
          </cell>
          <cell r="J1506">
            <v>25000</v>
          </cell>
        </row>
        <row r="1507">
          <cell r="I1507" t="str">
            <v>유리CR1007</v>
          </cell>
          <cell r="J1507">
            <v>20000</v>
          </cell>
        </row>
        <row r="1508">
          <cell r="I1508" t="str">
            <v>유리CR1015</v>
          </cell>
          <cell r="J1508">
            <v>40000</v>
          </cell>
        </row>
        <row r="1509">
          <cell r="I1509" t="str">
            <v>유리CR1066</v>
          </cell>
          <cell r="J1509">
            <v>45000</v>
          </cell>
        </row>
        <row r="1510">
          <cell r="I1510" t="str">
            <v>유리CR3118</v>
          </cell>
          <cell r="J1510">
            <v>30000</v>
          </cell>
        </row>
        <row r="1511">
          <cell r="I1511" t="str">
            <v>유리SD008</v>
          </cell>
          <cell r="J1511">
            <v>23000</v>
          </cell>
        </row>
        <row r="1512">
          <cell r="I1512" t="str">
            <v>유리SD008L</v>
          </cell>
          <cell r="J1512">
            <v>23000</v>
          </cell>
        </row>
        <row r="1513">
          <cell r="I1513" t="str">
            <v>유리SD008R</v>
          </cell>
          <cell r="J1513">
            <v>23000</v>
          </cell>
        </row>
        <row r="1514">
          <cell r="I1514" t="str">
            <v>유리SD012</v>
          </cell>
          <cell r="J1514">
            <v>30000</v>
          </cell>
        </row>
        <row r="1515">
          <cell r="I1515" t="str">
            <v>유리SD012L</v>
          </cell>
          <cell r="J1515">
            <v>30000</v>
          </cell>
        </row>
        <row r="1516">
          <cell r="I1516" t="str">
            <v>유리SD012R</v>
          </cell>
          <cell r="J1516">
            <v>30000</v>
          </cell>
        </row>
        <row r="1517">
          <cell r="I1517" t="str">
            <v>유리SD014</v>
          </cell>
          <cell r="J1517">
            <v>40000</v>
          </cell>
        </row>
        <row r="1518">
          <cell r="I1518" t="str">
            <v>유리SD014L</v>
          </cell>
          <cell r="J1518">
            <v>40000</v>
          </cell>
        </row>
        <row r="1519">
          <cell r="I1519" t="str">
            <v>유리SD014R</v>
          </cell>
          <cell r="J1519">
            <v>40000</v>
          </cell>
        </row>
        <row r="1520">
          <cell r="I1520" t="str">
            <v>유리SD016</v>
          </cell>
          <cell r="J1520">
            <v>50000</v>
          </cell>
        </row>
        <row r="1521">
          <cell r="I1521" t="str">
            <v>유리SD016R</v>
          </cell>
          <cell r="J1521">
            <v>50000</v>
          </cell>
        </row>
        <row r="1522">
          <cell r="I1522" t="str">
            <v>유리SD016L</v>
          </cell>
          <cell r="J1522">
            <v>50000</v>
          </cell>
        </row>
        <row r="1523">
          <cell r="I1523" t="str">
            <v>유리SD316R</v>
          </cell>
          <cell r="J1523">
            <v>60000</v>
          </cell>
        </row>
        <row r="1524">
          <cell r="I1524" t="str">
            <v>유리SD316L</v>
          </cell>
          <cell r="J1524">
            <v>60000</v>
          </cell>
        </row>
        <row r="1525">
          <cell r="I1525" t="str">
            <v>유리SD507</v>
          </cell>
          <cell r="J1525">
            <v>40000</v>
          </cell>
        </row>
        <row r="1526">
          <cell r="I1526" t="str">
            <v>유리SD517</v>
          </cell>
          <cell r="J1526">
            <v>30000</v>
          </cell>
        </row>
        <row r="1527">
          <cell r="I1527" t="str">
            <v>유리SD547</v>
          </cell>
          <cell r="J1527">
            <v>18000</v>
          </cell>
        </row>
        <row r="1528">
          <cell r="I1528" t="str">
            <v>유리SD597</v>
          </cell>
          <cell r="J1528">
            <v>23000</v>
          </cell>
        </row>
        <row r="1529">
          <cell r="I1529" t="str">
            <v>유리SD406L</v>
          </cell>
          <cell r="J1529">
            <v>15000</v>
          </cell>
        </row>
        <row r="1530">
          <cell r="I1530" t="str">
            <v>유리SD406R</v>
          </cell>
          <cell r="J1530">
            <v>15000</v>
          </cell>
        </row>
        <row r="1531">
          <cell r="I1531" t="str">
            <v>유리SD912</v>
          </cell>
          <cell r="J1531">
            <v>23000</v>
          </cell>
        </row>
        <row r="1532">
          <cell r="I1532" t="str">
            <v>유리SD955</v>
          </cell>
          <cell r="J1532">
            <v>20000</v>
          </cell>
        </row>
        <row r="1533">
          <cell r="I1533" t="str">
            <v>유리SD977</v>
          </cell>
          <cell r="J1533">
            <v>34000</v>
          </cell>
        </row>
        <row r="1534">
          <cell r="I1534" t="str">
            <v>유리SD927L</v>
          </cell>
          <cell r="J1534">
            <v>40000</v>
          </cell>
        </row>
        <row r="1535">
          <cell r="I1535" t="str">
            <v>유리SD927R</v>
          </cell>
          <cell r="J1535">
            <v>40000</v>
          </cell>
        </row>
        <row r="1536">
          <cell r="I1536" t="str">
            <v>유리SD990</v>
          </cell>
          <cell r="J1536">
            <v>42000</v>
          </cell>
        </row>
        <row r="1537">
          <cell r="I1537" t="str">
            <v>유리SD0300</v>
          </cell>
          <cell r="J1537">
            <v>15000</v>
          </cell>
        </row>
        <row r="1538">
          <cell r="I1538" t="str">
            <v>유리SD662</v>
          </cell>
          <cell r="J1538">
            <v>18000</v>
          </cell>
        </row>
        <row r="1539">
          <cell r="I1539" t="str">
            <v>유리IT0008</v>
          </cell>
          <cell r="J1539">
            <v>24000</v>
          </cell>
        </row>
        <row r="1540">
          <cell r="I1540" t="str">
            <v>유리IT0008L</v>
          </cell>
          <cell r="J1540">
            <v>24000</v>
          </cell>
        </row>
        <row r="1541">
          <cell r="I1541" t="str">
            <v>유리IT0008R</v>
          </cell>
          <cell r="J1541">
            <v>24000</v>
          </cell>
        </row>
        <row r="1542">
          <cell r="I1542" t="str">
            <v>유리IT0010</v>
          </cell>
          <cell r="J1542">
            <v>30000</v>
          </cell>
        </row>
        <row r="1543">
          <cell r="I1543" t="str">
            <v>유리IT0010L</v>
          </cell>
          <cell r="J1543">
            <v>30000</v>
          </cell>
        </row>
        <row r="1544">
          <cell r="I1544" t="str">
            <v>유리IT0010R</v>
          </cell>
          <cell r="J1544">
            <v>30000</v>
          </cell>
        </row>
        <row r="1545">
          <cell r="I1545" t="str">
            <v>유리IT0012</v>
          </cell>
          <cell r="J1545">
            <v>32000</v>
          </cell>
        </row>
        <row r="1546">
          <cell r="I1546" t="str">
            <v>유리IT0012L</v>
          </cell>
          <cell r="J1546">
            <v>32000</v>
          </cell>
        </row>
        <row r="1547">
          <cell r="I1547" t="str">
            <v>유리IT0012R</v>
          </cell>
          <cell r="J1547">
            <v>32000</v>
          </cell>
        </row>
        <row r="1548">
          <cell r="I1548" t="str">
            <v>유리IT0116</v>
          </cell>
          <cell r="J1548">
            <v>38000</v>
          </cell>
        </row>
        <row r="1549">
          <cell r="I1549" t="str">
            <v>유리IT0118</v>
          </cell>
          <cell r="J1549">
            <v>40000</v>
          </cell>
        </row>
        <row r="1550">
          <cell r="I1550" t="str">
            <v>유리IT5066</v>
          </cell>
          <cell r="J1550">
            <v>42000</v>
          </cell>
        </row>
        <row r="1551">
          <cell r="I1551" t="str">
            <v>유리IT5077</v>
          </cell>
          <cell r="J1551">
            <v>45000</v>
          </cell>
        </row>
        <row r="1552">
          <cell r="I1552" t="str">
            <v>유리IT912</v>
          </cell>
          <cell r="J1552">
            <v>27000</v>
          </cell>
        </row>
        <row r="1553">
          <cell r="I1553" t="str">
            <v>유리IT916</v>
          </cell>
          <cell r="J1553">
            <v>43000</v>
          </cell>
        </row>
        <row r="1554">
          <cell r="I1554" t="str">
            <v>유리IT966</v>
          </cell>
          <cell r="J1554">
            <v>28000</v>
          </cell>
        </row>
        <row r="1555">
          <cell r="I1555" t="str">
            <v>유리IT977</v>
          </cell>
          <cell r="J1555">
            <v>43000</v>
          </cell>
        </row>
        <row r="1556">
          <cell r="I1556" t="str">
            <v>유리IT926L</v>
          </cell>
          <cell r="J1556">
            <v>43000</v>
          </cell>
        </row>
        <row r="1557">
          <cell r="I1557" t="str">
            <v>유리IT926R</v>
          </cell>
          <cell r="J1557">
            <v>43000</v>
          </cell>
        </row>
        <row r="1558">
          <cell r="I1558" t="str">
            <v>유리IT927L</v>
          </cell>
          <cell r="J1558">
            <v>43000</v>
          </cell>
        </row>
        <row r="1559">
          <cell r="I1559" t="str">
            <v>유리IT927R</v>
          </cell>
          <cell r="J1559">
            <v>43000</v>
          </cell>
        </row>
        <row r="1560">
          <cell r="I1560" t="str">
            <v>유리IT912DL</v>
          </cell>
          <cell r="J1560">
            <v>38000</v>
          </cell>
        </row>
        <row r="1561">
          <cell r="I1561" t="str">
            <v>유리IT912DR</v>
          </cell>
          <cell r="J1561">
            <v>38000</v>
          </cell>
        </row>
        <row r="1562">
          <cell r="I1562" t="str">
            <v>유리IT918DL</v>
          </cell>
          <cell r="J1562">
            <v>43000</v>
          </cell>
        </row>
        <row r="1563">
          <cell r="I1563" t="str">
            <v>유리IT918DR</v>
          </cell>
          <cell r="J1563">
            <v>43000</v>
          </cell>
        </row>
        <row r="1564">
          <cell r="I1564" t="str">
            <v>유리IT912CL</v>
          </cell>
          <cell r="J1564">
            <v>38000</v>
          </cell>
        </row>
        <row r="1565">
          <cell r="I1565" t="str">
            <v>유리IT912CR</v>
          </cell>
          <cell r="J1565">
            <v>38000</v>
          </cell>
        </row>
        <row r="1566">
          <cell r="I1566" t="str">
            <v>유리IT918CL</v>
          </cell>
          <cell r="J1566">
            <v>43000</v>
          </cell>
        </row>
        <row r="1567">
          <cell r="I1567" t="str">
            <v>유리IT918CR</v>
          </cell>
          <cell r="J1567">
            <v>43000</v>
          </cell>
        </row>
        <row r="1568">
          <cell r="I1568" t="str">
            <v>유리IT2004</v>
          </cell>
          <cell r="J1568">
            <v>15000</v>
          </cell>
        </row>
        <row r="1569">
          <cell r="I1569" t="str">
            <v>유리IT2005</v>
          </cell>
          <cell r="J1569">
            <v>15000</v>
          </cell>
        </row>
        <row r="1570">
          <cell r="I1570" t="str">
            <v>유리IT2006</v>
          </cell>
          <cell r="J1570">
            <v>15000</v>
          </cell>
        </row>
        <row r="1571">
          <cell r="I1571" t="str">
            <v>유리IT2007</v>
          </cell>
          <cell r="J1571">
            <v>17000</v>
          </cell>
        </row>
        <row r="1572">
          <cell r="I1572" t="str">
            <v>유리IT2008</v>
          </cell>
          <cell r="J1572">
            <v>20000</v>
          </cell>
        </row>
        <row r="1573">
          <cell r="I1573" t="str">
            <v>유리IT2010</v>
          </cell>
          <cell r="J1573">
            <v>20000</v>
          </cell>
        </row>
        <row r="1574">
          <cell r="I1574" t="str">
            <v>유리IT2012</v>
          </cell>
          <cell r="J1574">
            <v>22000</v>
          </cell>
        </row>
        <row r="1575">
          <cell r="I1575" t="str">
            <v>유리IT2014</v>
          </cell>
          <cell r="J1575">
            <v>25000</v>
          </cell>
        </row>
        <row r="1576">
          <cell r="I1576" t="str">
            <v>유리IT2016</v>
          </cell>
          <cell r="J1576">
            <v>28000</v>
          </cell>
        </row>
        <row r="1577">
          <cell r="I1577" t="str">
            <v>유리IT2122</v>
          </cell>
          <cell r="J1577">
            <v>15000</v>
          </cell>
        </row>
        <row r="1578">
          <cell r="I1578" t="str">
            <v>유리IT2204</v>
          </cell>
          <cell r="J1578">
            <v>15000</v>
          </cell>
        </row>
        <row r="1579">
          <cell r="I1579" t="str">
            <v>유리IT2205</v>
          </cell>
          <cell r="J1579">
            <v>15000</v>
          </cell>
        </row>
        <row r="1580">
          <cell r="I1580" t="str">
            <v>유리IT2206</v>
          </cell>
          <cell r="J1580">
            <v>18000</v>
          </cell>
        </row>
        <row r="1581">
          <cell r="I1581" t="str">
            <v>유리IT2207</v>
          </cell>
          <cell r="J1581">
            <v>20000</v>
          </cell>
        </row>
        <row r="1582">
          <cell r="I1582" t="str">
            <v>유리IT2208</v>
          </cell>
          <cell r="J1582">
            <v>22000</v>
          </cell>
        </row>
        <row r="1583">
          <cell r="I1583" t="str">
            <v>유리IT2210</v>
          </cell>
          <cell r="J1583">
            <v>22000</v>
          </cell>
        </row>
        <row r="1584">
          <cell r="I1584" t="str">
            <v>유리IT2212</v>
          </cell>
          <cell r="J1584">
            <v>25000</v>
          </cell>
        </row>
        <row r="1585">
          <cell r="I1585" t="str">
            <v>유리PL0904</v>
          </cell>
          <cell r="J1585">
            <v>18000</v>
          </cell>
        </row>
        <row r="1586">
          <cell r="I1586" t="str">
            <v>유리PL0908</v>
          </cell>
          <cell r="J1586">
            <v>28000</v>
          </cell>
        </row>
        <row r="1587">
          <cell r="I1587" t="str">
            <v>유리PL0912</v>
          </cell>
          <cell r="J1587">
            <v>30000</v>
          </cell>
        </row>
        <row r="1588">
          <cell r="I1588" t="str">
            <v>유리PL0914</v>
          </cell>
          <cell r="J1588">
            <v>34000</v>
          </cell>
        </row>
        <row r="1589">
          <cell r="I1589" t="str">
            <v>유리CR2008</v>
          </cell>
          <cell r="J1589">
            <v>28000</v>
          </cell>
        </row>
        <row r="1590">
          <cell r="I1590" t="str">
            <v>유리CR2590</v>
          </cell>
          <cell r="J1590">
            <v>28000</v>
          </cell>
        </row>
        <row r="1591">
          <cell r="I1591" t="str">
            <v>유리CR2016</v>
          </cell>
          <cell r="J1591">
            <v>42000</v>
          </cell>
        </row>
        <row r="1592">
          <cell r="I1592" t="str">
            <v>유리CC1083</v>
          </cell>
          <cell r="J1592">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refreshError="1"/>
      <sheetData sheetId="445" refreshError="1"/>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refreshError="1"/>
      <sheetData sheetId="608"/>
      <sheetData sheetId="609" refreshError="1"/>
      <sheetData sheetId="610" refreshError="1"/>
      <sheetData sheetId="61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refreshError="1"/>
      <sheetData sheetId="707" refreshError="1"/>
      <sheetData sheetId="708"/>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
      <sheetName val="갑지"/>
      <sheetName val="을"/>
      <sheetName val="별첨"/>
      <sheetName val="est"/>
      <sheetName val="예산서ALT-1"/>
      <sheetName val="cover-1"/>
      <sheetName val="보고서"/>
      <sheetName val="한글갑지"/>
      <sheetName val="설계내역서"/>
      <sheetName val="FURNITURE-01"/>
      <sheetName val="소비자가"/>
      <sheetName val="내역"/>
    </sheetNames>
    <sheetDataSet>
      <sheetData sheetId="0"/>
      <sheetData sheetId="1" refreshError="1">
        <row r="2">
          <cell r="I2">
            <v>0.8</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안내"/>
      <sheetName val="기본절차"/>
      <sheetName val="기본사항"/>
      <sheetName val="급여대장"/>
      <sheetName val="과거대장"/>
      <sheetName val="일용노무비대장"/>
      <sheetName val="양식"/>
      <sheetName val="납부서"/>
      <sheetName val="환산"/>
      <sheetName val="코드"/>
      <sheetName val="주민세"/>
      <sheetName val="갑근세"/>
      <sheetName val="간이세액표"/>
      <sheetName val="노임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주차(현행)"/>
      <sheetName val="경비(현행)"/>
      <sheetName val="안내도우미(현행)"/>
      <sheetName val="시설(현행)"/>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Sheet1"/>
      <sheetName val="Total"/>
      <sheetName val="일위(PN)"/>
      <sheetName val="남양구조시험동"/>
      <sheetName val="J直材4"/>
      <sheetName val="손익"/>
      <sheetName val="일위대가"/>
      <sheetName val="기숙사(파주)_프로에스콤"/>
      <sheetName val="거제도"/>
      <sheetName val="운동장 (2)"/>
      <sheetName val="장비당단가_(1)"/>
      <sheetName val="간_지1"/>
      <sheetName val="2_대외공문"/>
      <sheetName val="부진점(10.09)"/>
      <sheetName val="K(비품-사무용1)"/>
      <sheetName val="FC-101"/>
      <sheetName val="TABLE DB"/>
      <sheetName val="쌍용 data base"/>
      <sheetName val="간접"/>
      <sheetName val="분류"/>
      <sheetName val="노무비"/>
      <sheetName val="데이타"/>
      <sheetName val="Project Brief"/>
      <sheetName val="갑지"/>
      <sheetName val="을지"/>
      <sheetName val="통관비용"/>
      <sheetName val="spare"/>
      <sheetName val="투자비상환"/>
      <sheetName val="COVER"/>
      <sheetName val="검토기준"/>
      <sheetName val="산출근거_성능값"/>
      <sheetName val="계산근거"/>
      <sheetName val="요약"/>
      <sheetName val="분석_CASE1"/>
      <sheetName val="분석_CASE2"/>
      <sheetName val="분석_CASE3"/>
      <sheetName val="분석_CASE4"/>
      <sheetName val="13.Op. Activities"/>
      <sheetName val="식대견적"/>
      <sheetName val="外周区 "/>
      <sheetName val="2 카드채권(대출포함)"/>
      <sheetName val="소일위대가코드표"/>
      <sheetName val="BMC009"/>
      <sheetName val="1Month+Sheet2!"/>
      <sheetName val="Facility Information"/>
      <sheetName val="General"/>
      <sheetName val="Instructions"/>
      <sheetName val="People"/>
      <sheetName val="Quality"/>
      <sheetName val="Risk"/>
      <sheetName val="Training"/>
      <sheetName val="Prices"/>
      <sheetName val="Assumption"/>
      <sheetName val="의왕F사"/>
      <sheetName val="가공사"/>
      <sheetName val="의령"/>
      <sheetName val="대구"/>
      <sheetName val="안성"/>
      <sheetName val="재무가정"/>
      <sheetName val="118.세금과공과"/>
      <sheetName val="108.수선비"/>
      <sheetName val="'94자산"/>
      <sheetName val="근무변경검토"/>
      <sheetName val="Operational Activities"/>
      <sheetName val="17.채용자명단"/>
      <sheetName val="Project_Brief"/>
      <sheetName val="外周区_"/>
      <sheetName val="13_Op__Activities"/>
      <sheetName val="Facility_Information"/>
      <sheetName val="2_카드채권(대출포함)"/>
      <sheetName val="1ST"/>
      <sheetName val="표지"/>
      <sheetName val="CM 1"/>
      <sheetName val="입찰안"/>
      <sheetName val="일위대가(가설)"/>
      <sheetName val="CAL1"/>
      <sheetName val="단가비교"/>
      <sheetName val="입찰품의서"/>
      <sheetName val="체계"/>
      <sheetName val="하조서"/>
      <sheetName val="효율표"/>
      <sheetName val="공사설계서"/>
      <sheetName val="인근점포"/>
      <sheetName val="절감계산"/>
      <sheetName val="항목"/>
      <sheetName val="COA-17"/>
      <sheetName val="C-18"/>
      <sheetName val="할증 "/>
      <sheetName val="충주"/>
      <sheetName val="기본사항"/>
      <sheetName val="vlookup"/>
      <sheetName val="Scope Functional Categories"/>
      <sheetName val="GL Codes"/>
      <sheetName val="단가산출"/>
      <sheetName val="15.Op. Activities"/>
      <sheetName val="실행(1)"/>
      <sheetName val="CTEMCOST"/>
      <sheetName val="예산작성기준(전기)"/>
      <sheetName val="95삼성급(본사)"/>
      <sheetName val="#REF"/>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Utility Cost Trend"/>
      <sheetName val="납부서"/>
      <sheetName val="산출내역서집계표"/>
      <sheetName val="목록"/>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POOM_MOTO"/>
      <sheetName val="POOM_MOTO2"/>
      <sheetName val="목표세부명세"/>
      <sheetName val="Utility Usage엠닷컴 26"/>
      <sheetName val="직공비"/>
      <sheetName val="점수계산1-2"/>
      <sheetName val="신규투자종합"/>
      <sheetName val="직노"/>
      <sheetName val="dV&amp;Cl"/>
      <sheetName val="CAP"/>
      <sheetName val="변수"/>
      <sheetName val="전압하강"/>
      <sheetName val="F-T Voltage"/>
      <sheetName val="Var."/>
      <sheetName val="영업.일1"/>
      <sheetName val="18"/>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マスタ"/>
      <sheetName val="1월"/>
      <sheetName val="Drop-down"/>
      <sheetName val="2공구산출내역"/>
      <sheetName val="Template"/>
      <sheetName val="入力用(家賃)"/>
      <sheetName val="入力用(駐車)"/>
      <sheetName val="5.위험군현황,Watch등급(양식)"/>
      <sheetName val="6.FocusSupplie(양식)"/>
      <sheetName val="입력"/>
      <sheetName val="준검 내역서"/>
      <sheetName val="FAB별"/>
      <sheetName val="조명율표"/>
      <sheetName val="wall"/>
      <sheetName val="Front"/>
      <sheetName val="업무용유지비실적"/>
      <sheetName val="자재단가"/>
      <sheetName val="N賃率-職"/>
      <sheetName val="단양 00 아파트-세부내역"/>
      <sheetName val="중기조종사 단위단가"/>
      <sheetName val="노무비 근거"/>
      <sheetName val="DB"/>
      <sheetName val="OPREV(대한)"/>
      <sheetName val="식음료"/>
      <sheetName val="설계내역서"/>
      <sheetName val="증감내역서"/>
      <sheetName val="하수급견적대비"/>
      <sheetName val="을 2"/>
      <sheetName val="을 1"/>
      <sheetName val="s"/>
      <sheetName val="인건-측정"/>
      <sheetName val="주식"/>
      <sheetName val="고합"/>
      <sheetName val="조건"/>
      <sheetName val="입찰보고"/>
      <sheetName val="시중노임단가"/>
      <sheetName val="투찰(하수)"/>
      <sheetName val="배수통관(좌)"/>
      <sheetName val="중기사용료"/>
      <sheetName val="확약서"/>
      <sheetName val="익월작업계힉"/>
      <sheetName val="(Monthly)"/>
      <sheetName val="장비당단가_(1)1"/>
      <sheetName val="간_지11"/>
      <sheetName val="2_대외공문1"/>
      <sheetName val="운동장_(2)"/>
      <sheetName val="부진점(10_09)"/>
      <sheetName val="TABLE_DB"/>
      <sheetName val="쌍용_data_base"/>
      <sheetName val="Project_Brief2"/>
      <sheetName val="13_Op__Activities2"/>
      <sheetName val="外周区_2"/>
      <sheetName val="2_카드채권(대출포함)2"/>
      <sheetName val="Facility_Information2"/>
      <sheetName val="118_세금과공과1"/>
      <sheetName val="108_수선비1"/>
      <sheetName val="Operational_Activities1"/>
      <sheetName val="17_채용자명단1"/>
      <sheetName val="CM_1"/>
      <sheetName val="할증_"/>
      <sheetName val="Scope_Functional_Categories"/>
      <sheetName val="GL_Codes"/>
      <sheetName val="15_Op__Activities"/>
      <sheetName val="Utility_Cost_Trend"/>
      <sheetName val="B053_(990701)공정실적PP%계산1"/>
      <sheetName val="B053_(990701)공정능력PC%계산1"/>
      <sheetName val="CC_Down_load_07161"/>
      <sheetName val="二_POSITION_XLS"/>
      <sheetName val="진행_DATA_(2)1"/>
      <sheetName val="MP2006_data"/>
      <sheetName val="Utility_Usage엠닷컴_26"/>
      <sheetName val="F-T_Voltage"/>
      <sheetName val="Var_"/>
      <sheetName val="영업_일1"/>
      <sheetName val="재료비_산출표"/>
      <sheetName val="5_위험군현황,Watch등급(양식)"/>
      <sheetName val="6_FocusSupplie(양식)"/>
      <sheetName val="준검_내역서"/>
      <sheetName val="단양_00_아파트-세부내역"/>
      <sheetName val="중기조종사_단위단가"/>
      <sheetName val="노무비_근거"/>
      <sheetName val="을_2"/>
      <sheetName val="을_1"/>
      <sheetName val="인건비"/>
      <sheetName val="전화물량"/>
      <sheetName val="구의33고"/>
      <sheetName val="차액보증"/>
      <sheetName val="1차 내역서"/>
      <sheetName val="터파기및재료"/>
      <sheetName val="음료실행"/>
      <sheetName val="단가표"/>
      <sheetName val="조명시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율"/>
      <sheetName val="원가"/>
      <sheetName val="집계"/>
      <sheetName val="내역"/>
      <sheetName val="하도원가"/>
      <sheetName val="하도집계"/>
      <sheetName val="하도내역"/>
      <sheetName val="하도급사항"/>
      <sheetName val="하도급산출내역사항"/>
      <sheetName val="소방"/>
      <sheetName val="현장관리비"/>
      <sheetName val="자료"/>
      <sheetName val="갑지"/>
      <sheetName val="납부서"/>
    </sheetNames>
    <sheetDataSet>
      <sheetData sheetId="0" refreshError="1"/>
      <sheetData sheetId="1" refreshError="1"/>
      <sheetData sheetId="2" refreshError="1"/>
      <sheetData sheetId="3" refreshError="1">
        <row r="3">
          <cell r="AH3" t="str">
            <v>합계</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제직재"/>
      <sheetName val="갑지"/>
      <sheetName val="집계표"/>
      <sheetName val="설치공사"/>
      <sheetName val="일위(PN)"/>
      <sheetName val="부진점(10.09)"/>
      <sheetName val="급여대장출력"/>
      <sheetName val="기준"/>
      <sheetName val="#REF"/>
      <sheetName val="Sheet1"/>
      <sheetName val="anaysis_sheet"/>
      <sheetName val="노무비"/>
      <sheetName val="소일위대가코드표"/>
      <sheetName val="2.대외공문"/>
      <sheetName val="Macro Codes"/>
      <sheetName val="Input"/>
      <sheetName val="N賃率-職"/>
      <sheetName val="지급자재"/>
      <sheetName val="건축"/>
      <sheetName val="데이타"/>
      <sheetName val="Initial Input Variable"/>
      <sheetName val="표준가산출"/>
      <sheetName val="시방서"/>
      <sheetName val="99'대차 통합(2)"/>
      <sheetName val="임대보고(최종)"/>
      <sheetName val="99'대차 통합"/>
      <sheetName val="f3"/>
      <sheetName val="인원계획-미화"/>
      <sheetName val="96노임기준"/>
      <sheetName val="노임단가"/>
      <sheetName val="2공구산출내역"/>
      <sheetName val="XREF"/>
      <sheetName val="(Monthly)"/>
      <sheetName val="직재"/>
      <sheetName val="전체"/>
      <sheetName val="S&amp;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견적"/>
      <sheetName val="환산"/>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총괄"/>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안내"/>
      <sheetName val="기본사항"/>
      <sheetName val="기본절차"/>
      <sheetName val="급여대장"/>
      <sheetName val="급여명세"/>
      <sheetName val="납부서"/>
      <sheetName val="일용노무비대장"/>
      <sheetName val="환산"/>
      <sheetName val="코드"/>
      <sheetName val="주민세"/>
      <sheetName val="갑근세"/>
      <sheetName val="자유세"/>
      <sheetName val="퇴직세"/>
      <sheetName val="기타세"/>
      <sheetName val="법인세"/>
      <sheetName val="과거대장"/>
      <sheetName val="양식"/>
      <sheetName val="간이세액표"/>
      <sheetName val="내역"/>
      <sheetName val="을지(가로-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
      <sheetName val="내역"/>
      <sheetName val="물량증감내역서"/>
      <sheetName val="변경항목"/>
      <sheetName val="수량산출서 "/>
      <sheetName val="노무산출서 "/>
      <sheetName val="단가조사표"/>
      <sheetName val="단가대조표"/>
      <sheetName val="일위대가목록"/>
      <sheetName val="일위대가"/>
      <sheetName val="설계변경내역(안흥초)"/>
      <sheetName val="교통대책내역"/>
      <sheetName val="신청서"/>
      <sheetName val="건축공사실행"/>
      <sheetName val="기본사항"/>
      <sheetName val="N賃率-職"/>
      <sheetName val="전신환매도율"/>
      <sheetName val="Macro7"/>
      <sheetName val="1차 내역서"/>
      <sheetName val="금융비용"/>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공정표 (4)"/>
      <sheetName val="일위대가(98)"/>
      <sheetName val="기성 (3)"/>
      <sheetName val="실행예산"/>
      <sheetName val="정산내역 "/>
      <sheetName val="정산내역 (품의)"/>
      <sheetName val="구동단가비교 "/>
      <sheetName val="집계"/>
      <sheetName val="견적대비표 "/>
      <sheetName val="정산집계"/>
      <sheetName val="시방서"/>
      <sheetName val="내역서"/>
      <sheetName val="내역"/>
      <sheetName val="을-ATYPE"/>
      <sheetName val="노임"/>
      <sheetName val="공정표_(4)"/>
      <sheetName val="기성_(3)"/>
      <sheetName val="정산내역_"/>
      <sheetName val="정산내역_(품의)"/>
      <sheetName val="구동단가비교_"/>
      <sheetName val="견적대비표_"/>
      <sheetName val="공통가설"/>
      <sheetName val="기본사항"/>
      <sheetName val="원자력"/>
      <sheetName val="단"/>
      <sheetName val="환산"/>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소비자가"/>
      <sheetName val="내역"/>
      <sheetName val="다원(ZENECA)"/>
      <sheetName val="대비표(토공1안)"/>
      <sheetName val="갑지(추정)"/>
      <sheetName val="경비2내역"/>
      <sheetName val="빗물받이(910-510-410)"/>
      <sheetName val="집수정(600-700)"/>
      <sheetName val="토목공사"/>
      <sheetName val="분석표_아파트동"/>
      <sheetName val="분석표_부속동"/>
      <sheetName val="단가대비표"/>
      <sheetName val="일위대가목록"/>
      <sheetName val="총물량"/>
      <sheetName val="1월"/>
      <sheetName val="설계"/>
      <sheetName val="Customer Databas"/>
      <sheetName val="토목"/>
      <sheetName val="일반부표"/>
      <sheetName val="정보"/>
      <sheetName val="직노"/>
      <sheetName val="코드"/>
      <sheetName val="공사비"/>
      <sheetName val="공사개요"/>
      <sheetName val="내역1"/>
      <sheetName val="을-ATYPE"/>
      <sheetName val="I一般比"/>
      <sheetName val="분전함신설"/>
      <sheetName val="접지1종"/>
      <sheetName val="인사자료총집계"/>
      <sheetName val="일위대가"/>
      <sheetName val="경비"/>
      <sheetName val="입력1"/>
      <sheetName val="맨홀수량산출"/>
      <sheetName val="기본사항"/>
      <sheetName val="도급실행(본관-주차장)"/>
      <sheetName val="마산월령동골조물량변경"/>
      <sheetName val="총괄갑 "/>
      <sheetName val="노무산출서"/>
      <sheetName val="집계"/>
      <sheetName val="샤워실위생"/>
      <sheetName val="Sheet1 (2)"/>
      <sheetName val="Sheet4"/>
      <sheetName val="1ST"/>
      <sheetName val="납부서"/>
      <sheetName val="금액내역서"/>
      <sheetName val="기본일위"/>
      <sheetName val="Customer_Databas"/>
      <sheetName val="교통대책내역"/>
      <sheetName val="Total"/>
      <sheetName val="공통가설"/>
      <sheetName val="견적내역"/>
      <sheetName val="N賃率-職"/>
      <sheetName val="내역서"/>
      <sheetName val="설계명세서"/>
      <sheetName val="노무비단가"/>
      <sheetName val="Customer_Databas1"/>
      <sheetName val="형틀공사"/>
      <sheetName val="단가 및 재료비"/>
      <sheetName val="부재리스트"/>
      <sheetName val="상반기손익차2총괄"/>
      <sheetName val="노임단가"/>
      <sheetName val="기초자료입력"/>
      <sheetName val="하수급견적대비"/>
      <sheetName val="노임"/>
      <sheetName val="국내조달(통합-1)"/>
      <sheetName val="일위대가 "/>
      <sheetName val="노임단가 (2)"/>
      <sheetName val="환산"/>
      <sheetName val="총괄갑_"/>
      <sheetName val="Sheet1_(2)"/>
      <sheetName val="갑지"/>
      <sheetName val="호표"/>
      <sheetName val="수입"/>
      <sheetName val="자재 DB LIST"/>
      <sheetName val="경산"/>
      <sheetName val="새공통"/>
      <sheetName val="Sheet1"/>
      <sheetName val="공통비(전체)"/>
      <sheetName val="개산공사비"/>
      <sheetName val="노임이"/>
      <sheetName val="본공사"/>
      <sheetName val="시설투자"/>
      <sheetName val="4.2유효폭의 계산"/>
      <sheetName val="입찰"/>
      <sheetName val="현경"/>
      <sheetName val="공비대비"/>
      <sheetName val="Y-WORK"/>
      <sheetName val="자재단가"/>
      <sheetName val="0000"/>
      <sheetName val="회사정보"/>
      <sheetName val="업체명"/>
      <sheetName val="관리"/>
      <sheetName val="."/>
      <sheetName val="1차 내역서"/>
      <sheetName val="가격조사서"/>
      <sheetName val="공사내역"/>
      <sheetName val="일용직내역"/>
      <sheetName val="노무비"/>
      <sheetName val="물량표"/>
      <sheetName val="수량산출내역1115"/>
      <sheetName val="물가시세"/>
      <sheetName val="식재인부"/>
      <sheetName val="EQT-ESTN"/>
      <sheetName val="투찰"/>
      <sheetName val="DATA"/>
      <sheetName val="J直材4"/>
      <sheetName val="Setup"/>
      <sheetName val="tggwan(mac)"/>
      <sheetName val="금융비용"/>
      <sheetName val="날개벽수량표"/>
      <sheetName val="2공구산출내역"/>
      <sheetName val="TOWER 10TON"/>
      <sheetName val="48수량"/>
      <sheetName val="49일위"/>
      <sheetName val="49수량"/>
      <sheetName val="완도-군외"/>
      <sheetName val="수량집계(방송설비)"/>
      <sheetName val="수량집계(전기시계)"/>
      <sheetName val="수량집계(출입통제)"/>
      <sheetName val="수량집계(통합배선)"/>
      <sheetName val="수량집계(CATV)"/>
      <sheetName val="수량집계(CCTV)"/>
      <sheetName val="단가"/>
      <sheetName val="조직"/>
      <sheetName val="Sheet5"/>
      <sheetName val="남양시작동자105노65기1.3화1.2"/>
      <sheetName val="TYPE-A"/>
      <sheetName val="총괄"/>
      <sheetName val="수지"/>
      <sheetName val="기초일위"/>
      <sheetName val="3.공통공사대비"/>
      <sheetName val="공사비산출내역"/>
      <sheetName val="설계내역서"/>
      <sheetName val="구리토평1전기"/>
      <sheetName val="#REF"/>
      <sheetName val="Customer_Databas2"/>
      <sheetName val="총괄갑_1"/>
      <sheetName val="Sheet1_(2)1"/>
      <sheetName val="단가_및_재료비"/>
      <sheetName val="자재_DB_LIST"/>
      <sheetName val="일위대가_"/>
      <sheetName val="노임단가_(2)"/>
      <sheetName val="1차_내역서"/>
      <sheetName val="_"/>
      <sheetName val="소방"/>
      <sheetName val="7단가"/>
      <sheetName val="Customer_Databas3"/>
      <sheetName val="총괄갑_2"/>
      <sheetName val="Sheet1_(2)2"/>
      <sheetName val="단가_및_재료비1"/>
      <sheetName val="일위대가_1"/>
      <sheetName val="노임단가_(2)1"/>
      <sheetName val="자재_DB_LIST1"/>
      <sheetName val="_1"/>
      <sheetName val="1차_내역서1"/>
      <sheetName val="표지"/>
      <sheetName val="지급자재"/>
      <sheetName val="Macro7"/>
      <sheetName val="기준층(외주부)"/>
      <sheetName val="인건비"/>
      <sheetName val="내역서(신규OFFICE(14))"/>
      <sheetName val="하부철근수량"/>
      <sheetName val="내   역"/>
      <sheetName val="차액보증"/>
      <sheetName val="전기집계표"/>
      <sheetName val="산출서"/>
      <sheetName val="2008년상반기"/>
      <sheetName val="수량산출서(철거)"/>
      <sheetName val="실행내역"/>
      <sheetName val="현장관리비"/>
      <sheetName val="APT"/>
      <sheetName val="인원자료"/>
      <sheetName val="원가계산서"/>
      <sheetName val="도급FORM"/>
      <sheetName val="실행철강하도"/>
      <sheetName val="부서별3월"/>
      <sheetName val="단가산출"/>
      <sheetName val="Customer_Databas4"/>
      <sheetName val="총괄갑_3"/>
      <sheetName val="Sheet1_(2)3"/>
      <sheetName val="단가_및_재료비2"/>
      <sheetName val="자재_DB_LIST2"/>
      <sheetName val="일위대가_2"/>
      <sheetName val="노임단가_(2)2"/>
      <sheetName val="_2"/>
      <sheetName val="1차_내역서2"/>
      <sheetName val="TOWER_10TON"/>
      <sheetName val="4_2유효폭의_계산"/>
      <sheetName val="3_공통공사대비"/>
      <sheetName val="내___역"/>
      <sheetName val="Customer_Databas5"/>
      <sheetName val="총괄갑_4"/>
      <sheetName val="Sheet1_(2)4"/>
      <sheetName val="단가_및_재료비3"/>
      <sheetName val="자재_DB_LIST3"/>
      <sheetName val="일위대가_3"/>
      <sheetName val="노임단가_(2)3"/>
      <sheetName val="_3"/>
      <sheetName val="1차_내역서3"/>
      <sheetName val="TOWER_10TON1"/>
      <sheetName val="4_2유효폭의_계산1"/>
      <sheetName val="3_공통공사대비1"/>
      <sheetName val="내___역1"/>
      <sheetName val="은행"/>
      <sheetName val="대비"/>
      <sheetName val="공내역"/>
      <sheetName val="사리부설"/>
      <sheetName val="Sheet6"/>
      <sheetName val="기초단가"/>
      <sheetName val="관리,공감"/>
      <sheetName val="정화조동내역"/>
      <sheetName val="을지"/>
      <sheetName val="Customer_Databas6"/>
      <sheetName val="총괄갑_5"/>
      <sheetName val="Sheet1_(2)5"/>
      <sheetName val="단가_및_재료비4"/>
      <sheetName val="일위대가_4"/>
      <sheetName val="노임단가_(2)4"/>
      <sheetName val="자재_DB_LIST4"/>
      <sheetName val="_4"/>
      <sheetName val="1차_내역서4"/>
      <sheetName val="TOWER_10TON2"/>
      <sheetName val="4_2유효폭의_계산2"/>
      <sheetName val="3_공통공사대비2"/>
      <sheetName val="내___역2"/>
      <sheetName val="①매출"/>
      <sheetName val="수원공사비"/>
      <sheetName val="자재대"/>
      <sheetName val="DATA1"/>
      <sheetName val="현장별계약현황('98.10.31)"/>
      <sheetName val="중기손료"/>
      <sheetName val="NP-총정리"/>
      <sheetName val="판매시설"/>
      <sheetName val="Customer_Databas7"/>
      <sheetName val="총괄갑_6"/>
      <sheetName val="Sheet1_(2)6"/>
      <sheetName val="단가_및_재료비5"/>
      <sheetName val="자재_DB_LIST5"/>
      <sheetName val="일위대가_5"/>
      <sheetName val="노임단가_(2)5"/>
      <sheetName val="_5"/>
      <sheetName val="1차_내역서5"/>
      <sheetName val="TOWER_10TON3"/>
      <sheetName val="4_2유효폭의_계산3"/>
      <sheetName val="3_공통공사대비3"/>
      <sheetName val="내___역3"/>
      <sheetName val="Customer_Databas8"/>
      <sheetName val="총괄갑_7"/>
      <sheetName val="Sheet1_(2)7"/>
      <sheetName val="단가_및_재료비6"/>
      <sheetName val="자재_DB_LIST6"/>
      <sheetName val="일위대가_6"/>
      <sheetName val="노임단가_(2)6"/>
      <sheetName val="_6"/>
      <sheetName val="1차_내역서6"/>
      <sheetName val="TOWER_10TON4"/>
      <sheetName val="4_2유효폭의_계산4"/>
      <sheetName val="3_공통공사대비4"/>
      <sheetName val="내___역4"/>
      <sheetName val="Customer_Databas9"/>
      <sheetName val="총괄갑_8"/>
      <sheetName val="Sheet1_(2)8"/>
      <sheetName val="단가_및_재료비7"/>
      <sheetName val="일위대가_7"/>
      <sheetName val="노임단가_(2)7"/>
      <sheetName val="자재_DB_LIST7"/>
      <sheetName val="_7"/>
      <sheetName val="1차_내역서7"/>
      <sheetName val="TOWER_10TON5"/>
      <sheetName val="4_2유효폭의_계산5"/>
      <sheetName val="3_공통공사대비5"/>
      <sheetName val="내___역5"/>
      <sheetName val="예산서"/>
      <sheetName val="유림총괄"/>
      <sheetName val="공사원가계산서"/>
      <sheetName val="전기일위대가"/>
      <sheetName val="wall"/>
      <sheetName val="단"/>
      <sheetName val="VENT"/>
      <sheetName val="일위"/>
      <sheetName val="현황CODE"/>
      <sheetName val="손익현황"/>
      <sheetName val="경율산정.XLS"/>
      <sheetName val="신우"/>
      <sheetName val="제-노임"/>
      <sheetName val="설직재-1"/>
      <sheetName val="제직재"/>
      <sheetName val="EKOG10건축"/>
      <sheetName val="목차"/>
      <sheetName val="1.우편집중내역서"/>
      <sheetName val="을"/>
      <sheetName val="danga"/>
      <sheetName val="ilch"/>
      <sheetName val="제품"/>
      <sheetName val="20관리비율"/>
      <sheetName val="공사현황"/>
      <sheetName val="원본(갑지)"/>
      <sheetName val="분석"/>
      <sheetName val="일위대가목차"/>
      <sheetName val="조경"/>
      <sheetName val="FB25JN"/>
      <sheetName val="내역서 제출"/>
      <sheetName val="hvac(제어동)"/>
      <sheetName val="현장지지물물량"/>
      <sheetName val="실행"/>
      <sheetName val="대비내역"/>
      <sheetName val="BOQ건축"/>
      <sheetName val="1-1"/>
      <sheetName val="COPING"/>
      <sheetName val="Material U.P"/>
      <sheetName val="미장"/>
      <sheetName val="철골"/>
      <sheetName val="GAEYO"/>
      <sheetName val="INPUT"/>
      <sheetName val="내역서_제출"/>
      <sheetName val="Material_U_P"/>
      <sheetName val="6호기"/>
      <sheetName val="본선 토공 분배표"/>
      <sheetName val="정부노임단가"/>
      <sheetName val="내역서_제출1"/>
      <sheetName val="Material_U_P1"/>
      <sheetName val="copy"/>
      <sheetName val="서식"/>
      <sheetName val="주경기-오배수"/>
      <sheetName val="데이타"/>
      <sheetName val="CAPVC"/>
      <sheetName val="골조시행"/>
      <sheetName val="내역서 "/>
      <sheetName val="h-013211-2"/>
      <sheetName val="말뚝지지력산정"/>
      <sheetName val="카렌스센터계량기설치공사"/>
      <sheetName val=" 냉각수펌프"/>
      <sheetName val="건축"/>
      <sheetName val="물량표S"/>
      <sheetName val="물량표(신)"/>
      <sheetName val="DI1"/>
      <sheetName val="미드수량"/>
      <sheetName val="건축집계"/>
      <sheetName val="T1"/>
      <sheetName val="48평형"/>
      <sheetName val="62평형"/>
      <sheetName val="plan&amp;section of foundation"/>
      <sheetName val="design criteria"/>
      <sheetName val="부속동"/>
      <sheetName val="본선_토공_분배표"/>
      <sheetName val="기둥(원형)"/>
      <sheetName val="FD"/>
      <sheetName val="조명시설"/>
      <sheetName val="평형공사비"/>
      <sheetName val="백암비스타내역"/>
      <sheetName val="견적"/>
      <sheetName val="집계표"/>
      <sheetName val="자료"/>
      <sheetName val="적용률"/>
      <sheetName val="AP1"/>
      <sheetName val="2.야탑"/>
      <sheetName val="갑지1"/>
      <sheetName val="CIVIL"/>
      <sheetName val="TONG HOP VL-NC TT"/>
      <sheetName val="CHITIET VL-NC-TT -1p"/>
      <sheetName val="TDTKP1"/>
      <sheetName val="KPVC-BD "/>
      <sheetName val="I.설계조건"/>
      <sheetName val="설계예산서"/>
      <sheetName val="예산내역서"/>
      <sheetName val="부대대비"/>
      <sheetName val="냉연집계"/>
      <sheetName val="DEF"/>
      <sheetName val="Summary"/>
      <sheetName val="99노임기준"/>
      <sheetName val="본장"/>
      <sheetName val="guard(mac)"/>
      <sheetName val="FURNITURE-01"/>
      <sheetName val="asd"/>
      <sheetName val="FRP내역서"/>
      <sheetName val="기계설비"/>
      <sheetName val="TB-내역서"/>
      <sheetName val="연돌일위집계"/>
      <sheetName val="견적서"/>
      <sheetName val="Front"/>
      <sheetName val="소일위대가코드표"/>
      <sheetName val="세부내역"/>
      <sheetName val="Sheet3"/>
      <sheetName val="입찰안"/>
      <sheetName val="약품공급2"/>
      <sheetName val="입력"/>
      <sheetName val="단면가정"/>
      <sheetName val="시멘트"/>
      <sheetName val="내역서_제출2"/>
      <sheetName val="Material_U_P2"/>
      <sheetName val="본선_토공_분배표1"/>
      <sheetName val="_냉각수펌프"/>
      <sheetName val="내역서_"/>
      <sheetName val="plan&amp;section_of_foundation"/>
      <sheetName val="design_criteria"/>
      <sheetName val="TONG_HOP_VL-NC_TT"/>
      <sheetName val="CHITIET_VL-NC-TT_-1p"/>
      <sheetName val="KPVC-BD_"/>
      <sheetName val="월별손익"/>
      <sheetName val="2_야탑"/>
      <sheetName val="작업자명단"/>
      <sheetName val="Apt내역"/>
      <sheetName val="admin"/>
      <sheetName val="표지 (2)"/>
      <sheetName val="Breakdown"/>
      <sheetName val="UnitRate"/>
      <sheetName val="건축공사실행"/>
      <sheetName val="Æo°¡±aAØ"/>
      <sheetName val="9609Aß"/>
      <sheetName val="LD"/>
      <sheetName val="기계내역"/>
      <sheetName val="저"/>
      <sheetName val="MOTOR"/>
      <sheetName val="P3"/>
      <sheetName val="4 노임단가"/>
      <sheetName val="M-EQPT-Z"/>
      <sheetName val="실행,원가 최종예상"/>
      <sheetName val="내역표지"/>
      <sheetName val="수목단가"/>
      <sheetName val="시설수량표"/>
      <sheetName val="식재수량표"/>
      <sheetName val="수량산출"/>
      <sheetName val="인제내역"/>
      <sheetName val="건축내역서"/>
      <sheetName val="설비내역서"/>
      <sheetName val="전기내역서"/>
      <sheetName val="정공공사"/>
      <sheetName val="설명서 "/>
      <sheetName val="실행(ALT1)"/>
      <sheetName val="내역서2안"/>
      <sheetName val="연습"/>
      <sheetName val="WC96709"/>
      <sheetName val="문학간접"/>
      <sheetName val="간접"/>
      <sheetName val="4_노임단가"/>
      <sheetName val="실행,원가_최종예상"/>
      <sheetName val="사장실도배발주서"/>
      <sheetName val="설명서_"/>
      <sheetName val="SG"/>
      <sheetName val="4_노임단가1"/>
      <sheetName val="실행,원가_최종예상1"/>
      <sheetName val="설명서_1"/>
      <sheetName val="조명율표"/>
      <sheetName val="차도조도계산"/>
      <sheetName val="순공사비"/>
      <sheetName val="기결의"/>
      <sheetName val="토목공사일반"/>
      <sheetName val="101동"/>
      <sheetName val="현장"/>
      <sheetName val="철거산출근거"/>
      <sheetName val="일위목록"/>
      <sheetName val="환경기계공정표 (3)"/>
      <sheetName val="결재갑지"/>
      <sheetName val="판관"/>
      <sheetName val="중기"/>
      <sheetName val="건축명"/>
      <sheetName val="기계명"/>
      <sheetName val="전기명"/>
      <sheetName val="토목명"/>
      <sheetName val="빙장비사양"/>
      <sheetName val="장비사양"/>
      <sheetName val="견적을(1안)"/>
      <sheetName val="2.대외공문"/>
      <sheetName val="01"/>
      <sheetName val="건축내역"/>
      <sheetName val="전도금정산서(27)"/>
      <sheetName val="전기"/>
      <sheetName val="기본단가표"/>
      <sheetName val="원가계산"/>
      <sheetName val="인테리어내역"/>
      <sheetName val="수량산출(음암)"/>
      <sheetName val="단가표"/>
      <sheetName val="주공 갑지"/>
      <sheetName val="2-1. 경관조명 내역총괄표"/>
      <sheetName val="내역서1999.8최종"/>
      <sheetName val="도급자재"/>
      <sheetName val="총원가계산서(요율)"/>
      <sheetName val="참조"/>
      <sheetName val="케이블류 OLD"/>
      <sheetName val="가스(내역)"/>
      <sheetName val="설계기준"/>
      <sheetName val="내역을"/>
      <sheetName val="수량산출서"/>
      <sheetName val="연결임시"/>
      <sheetName val="가격비"/>
      <sheetName val="금호내역서"/>
      <sheetName val="금액집계"/>
      <sheetName val="상계견적"/>
      <sheetName val="T13(P68~72,78)"/>
      <sheetName val="단중표"/>
      <sheetName val="H-PILE수량집계"/>
      <sheetName val="경비내역(을)-1"/>
      <sheetName val="연부97-1"/>
      <sheetName val="산출근거"/>
      <sheetName val="예총"/>
      <sheetName val="가시설단위수량"/>
      <sheetName val="SORCE1"/>
      <sheetName val="단위수량"/>
      <sheetName val="약품설비"/>
      <sheetName val="기기리스트"/>
      <sheetName val="4_노임단가2"/>
      <sheetName val="실행,원가_최종예상2"/>
      <sheetName val="설명서_2"/>
      <sheetName val="환경기계공정표_(3)"/>
      <sheetName val="2_대외공문"/>
      <sheetName val="주공_갑지"/>
      <sheetName val="2-1__경관조명_내역총괄표"/>
      <sheetName val="내역서1999_8최종"/>
      <sheetName val="케이블류_OLD"/>
      <sheetName val="직재"/>
      <sheetName val="재집"/>
      <sheetName val="4_노임단가3"/>
      <sheetName val="실행,원가_최종예상3"/>
      <sheetName val="내역서_제출3"/>
      <sheetName val="설명서_3"/>
      <sheetName val="2_대외공문1"/>
      <sheetName val="환경기계공정표_(3)1"/>
      <sheetName val="2-1__경관조명_내역총괄표1"/>
      <sheetName val="내역서1999_8최종1"/>
      <sheetName val="주공_갑지1"/>
      <sheetName val="케이블류_OLD1"/>
      <sheetName val="가시설수량"/>
      <sheetName val="테이블"/>
      <sheetName val="제경비율"/>
      <sheetName val="토적계산서"/>
      <sheetName val="건축공사"/>
      <sheetName val="2.Summary-cash"/>
      <sheetName val="95WBS"/>
      <sheetName val="CASHFLOW"/>
      <sheetName val="견적990322"/>
      <sheetName val="건축내역서 (2)"/>
      <sheetName val="Inve. &amp; Income Assum."/>
      <sheetName val="Annex C - 1 - Cash"/>
      <sheetName val="Assumptions"/>
      <sheetName val="Macro Codes"/>
      <sheetName val="화재 탐지 설비"/>
      <sheetName val="MATRLDATA"/>
      <sheetName val="공종단가"/>
      <sheetName val="냉천부속동"/>
      <sheetName val="4 LINE"/>
      <sheetName val="7 th"/>
      <sheetName val="FANDBS"/>
      <sheetName val="GRDATA"/>
      <sheetName val="SHAFTDBSE"/>
      <sheetName val="EJ"/>
      <sheetName val="2002상반기노임기준"/>
      <sheetName val="960318-1"/>
      <sheetName val="할증 "/>
      <sheetName val="경동~상록"/>
      <sheetName val="우주~로베로"/>
      <sheetName val="일위대가표"/>
      <sheetName val="직접비"/>
      <sheetName val="SAM"/>
      <sheetName val="직공비"/>
      <sheetName val="수지표"/>
      <sheetName val="셀명"/>
      <sheetName val="식재"/>
      <sheetName val="시설물"/>
      <sheetName val="식재출력용"/>
      <sheetName val="유지관리"/>
      <sheetName val="설계가"/>
      <sheetName val="D"/>
      <sheetName val="PL단가산정"/>
      <sheetName val="그림"/>
      <sheetName val="그림2"/>
      <sheetName val="지질조사"/>
      <sheetName val="AS포장복구 "/>
      <sheetName val="산출내역서집계표"/>
      <sheetName val="DB"/>
      <sheetName val="Material_U_P3"/>
      <sheetName val="본선_토공_분배표2"/>
      <sheetName val="_냉각수펌프1"/>
      <sheetName val="내역서_1"/>
      <sheetName val="plan&amp;section_of_foundation1"/>
      <sheetName val="design_criteria1"/>
      <sheetName val="TONG_HOP_VL-NC_TT1"/>
      <sheetName val="CHITIET_VL-NC-TT_-1p1"/>
      <sheetName val="KPVC-BD_1"/>
      <sheetName val="2_야탑1"/>
      <sheetName val="I_설계조건"/>
      <sheetName val="표지_(2)"/>
      <sheetName val="내역서_제출4"/>
      <sheetName val="Material_U_P4"/>
      <sheetName val="본선_토공_분배표3"/>
      <sheetName val="충주"/>
      <sheetName val="_냉각수펌프2"/>
      <sheetName val="내역서_2"/>
      <sheetName val="plan&amp;section_of_foundation2"/>
      <sheetName val="design_criteria2"/>
      <sheetName val="TONG_HOP_VL-NC_TT2"/>
      <sheetName val="CHITIET_VL-NC-TT_-1p2"/>
      <sheetName val="KPVC-BD_2"/>
      <sheetName val="2_야탑2"/>
      <sheetName val="I_설계조건1"/>
      <sheetName val="표지_(2)1"/>
      <sheetName val="일반공사"/>
      <sheetName val="내역서_제출5"/>
      <sheetName val="Material_U_P5"/>
      <sheetName val="본선_토공_분배표4"/>
      <sheetName val="내역서_3"/>
      <sheetName val="_냉각수펌프3"/>
      <sheetName val="plan&amp;section_of_foundation3"/>
      <sheetName val="design_criteria3"/>
      <sheetName val="2_야탑3"/>
      <sheetName val="TONG_HOP_VL-NC_TT3"/>
      <sheetName val="CHITIET_VL-NC-TT_-1p3"/>
      <sheetName val="KPVC-BD_3"/>
      <sheetName val="I_설계조건2"/>
      <sheetName val="표지_(2)2"/>
      <sheetName val="BSD (2)"/>
      <sheetName val="견적대비 견적서"/>
      <sheetName val="내역서_제출6"/>
      <sheetName val="Material_U_P6"/>
      <sheetName val="본선_토공_분배표5"/>
      <sheetName val="_냉각수펌프4"/>
      <sheetName val="내역서_4"/>
      <sheetName val="plan&amp;section_of_foundation4"/>
      <sheetName val="design_criteria4"/>
      <sheetName val="2_야탑4"/>
      <sheetName val="TONG_HOP_VL-NC_TT4"/>
      <sheetName val="CHITIET_VL-NC-TT_-1p4"/>
      <sheetName val="KPVC-BD_4"/>
      <sheetName val="I_설계조건3"/>
      <sheetName val="표지_(2)3"/>
      <sheetName val="내역서_제출7"/>
      <sheetName val="Material_U_P7"/>
      <sheetName val="본선_토공_분배표6"/>
      <sheetName val="_냉각수펌프5"/>
      <sheetName val="내역서_5"/>
      <sheetName val="plan&amp;section_of_foundation5"/>
      <sheetName val="design_criteria5"/>
      <sheetName val="TONG_HOP_VL-NC_TT5"/>
      <sheetName val="CHITIET_VL-NC-TT_-1p5"/>
      <sheetName val="KPVC-BD_5"/>
      <sheetName val="2_야탑5"/>
      <sheetName val="I_설계조건4"/>
      <sheetName val="표지_(2)4"/>
      <sheetName val="BSD_(2)"/>
      <sheetName val="견적대비_견적서"/>
      <sheetName val="내역서_제출8"/>
      <sheetName val="Material_U_P8"/>
      <sheetName val="본선_토공_분배표7"/>
      <sheetName val="내역서_6"/>
      <sheetName val="_냉각수펌프6"/>
      <sheetName val="plan&amp;section_of_foundation6"/>
      <sheetName val="design_criteria6"/>
      <sheetName val="2_야탑6"/>
      <sheetName val="TONG_HOP_VL-NC_TT6"/>
      <sheetName val="CHITIET_VL-NC-TT_-1p6"/>
      <sheetName val="KPVC-BD_6"/>
      <sheetName val="I_설계조건5"/>
      <sheetName val="표지_(2)5"/>
      <sheetName val="BSD_(2)1"/>
      <sheetName val="견적대비_견적서1"/>
      <sheetName val="4_노임단가4"/>
      <sheetName val="실행,원가_최종예상4"/>
      <sheetName val="설명서_4"/>
      <sheetName val="환경기계공정표_(3)2"/>
      <sheetName val="2_대외공문2"/>
      <sheetName val="주공_갑지2"/>
      <sheetName val="2-1__경관조명_내역총괄표2"/>
      <sheetName val="내역서1999_8최종2"/>
      <sheetName val="케이블류_OLD2"/>
      <sheetName val="2_Summary-cash"/>
      <sheetName val="건축내역서_(2)"/>
      <sheetName val="Inve__&amp;_Income_Assum_"/>
      <sheetName val="Annex_C_-_1_-_Cash"/>
      <sheetName val="Macro_Codes"/>
      <sheetName val="화재_탐지_설비"/>
      <sheetName val="4_LINE"/>
      <sheetName val="7_th"/>
      <sheetName val="할증_"/>
      <sheetName val="AS포장복구_"/>
      <sheetName val="4_노임단가5"/>
      <sheetName val="실행,원가_최종예상5"/>
      <sheetName val="설명서_5"/>
      <sheetName val="환경기계공정표_(3)3"/>
      <sheetName val="2_대외공문3"/>
      <sheetName val="주공_갑지3"/>
      <sheetName val="2-1__경관조명_내역총괄표3"/>
      <sheetName val="내역서1999_8최종3"/>
      <sheetName val="케이블류_OLD3"/>
      <sheetName val="2_Summary-cash1"/>
      <sheetName val="건축내역서_(2)1"/>
      <sheetName val="Inve__&amp;_Income_Assum_1"/>
      <sheetName val="Annex_C_-_1_-_Cash1"/>
      <sheetName val="Macro_Codes1"/>
      <sheetName val="화재_탐지_설비1"/>
      <sheetName val="4_LINE1"/>
      <sheetName val="7_th1"/>
      <sheetName val="할증_1"/>
      <sheetName val="AS포장복구_1"/>
      <sheetName val="ITEM"/>
      <sheetName val="가격표"/>
      <sheetName val="간접1"/>
      <sheetName val="4_노임단가6"/>
      <sheetName val="실행,원가_최종예상6"/>
      <sheetName val="설명서_6"/>
      <sheetName val="2_대외공문4"/>
      <sheetName val="환경기계공정표_(3)4"/>
      <sheetName val="주공_갑지4"/>
      <sheetName val="2-1__경관조명_내역총괄표4"/>
      <sheetName val="내역서1999_8최종4"/>
      <sheetName val="케이블류_OLD4"/>
      <sheetName val="2_Summary-cash2"/>
      <sheetName val="건축내역서_(2)2"/>
      <sheetName val="Inve__&amp;_Income_Assum_2"/>
      <sheetName val="Annex_C_-_1_-_Cash2"/>
      <sheetName val="Macro_Codes2"/>
      <sheetName val="화재_탐지_설비2"/>
      <sheetName val="4_LINE2"/>
      <sheetName val="7_th2"/>
      <sheetName val="할증_2"/>
      <sheetName val="AS포장복구_2"/>
      <sheetName val="CTEMCOST"/>
      <sheetName val="터널조도"/>
      <sheetName val="단가일람"/>
      <sheetName val="재료비"/>
      <sheetName val="경비일반이윤"/>
      <sheetName val="4_노임단가7"/>
      <sheetName val="실행,원가_최종예상7"/>
      <sheetName val="설명서_7"/>
      <sheetName val="환경기계공정표_(3)5"/>
      <sheetName val="2_대외공문5"/>
      <sheetName val="2-1__경관조명_내역총괄표5"/>
      <sheetName val="내역서1999_8최종5"/>
      <sheetName val="주공_갑지5"/>
      <sheetName val="케이블류_OLD5"/>
      <sheetName val="2_Summary-cash3"/>
      <sheetName val="건축내역서_(2)3"/>
      <sheetName val="Inve__&amp;_Income_Assum_3"/>
      <sheetName val="Annex_C_-_1_-_Cash3"/>
      <sheetName val="Macro_Codes3"/>
      <sheetName val="화재_탐지_설비3"/>
      <sheetName val="4_LINE3"/>
      <sheetName val="7_th3"/>
      <sheetName val="할증_3"/>
      <sheetName val="AS포장복구_3"/>
      <sheetName val="1차_내역서8"/>
      <sheetName val="4_노임단가8"/>
      <sheetName val="실행,원가_최종예상8"/>
      <sheetName val="설명서_8"/>
      <sheetName val="환경기계공정표_(3)6"/>
      <sheetName val="2_대외공문6"/>
      <sheetName val="주공_갑지6"/>
      <sheetName val="2-1__경관조명_내역총괄표6"/>
      <sheetName val="내역서1999_8최종6"/>
      <sheetName val="케이블류_OLD6"/>
      <sheetName val="2_Summary-cash4"/>
      <sheetName val="건축내역서_(2)4"/>
      <sheetName val="Inve__&amp;_Income_Assum_4"/>
      <sheetName val="Annex_C_-_1_-_Cash4"/>
      <sheetName val="Macro_Codes4"/>
      <sheetName val="화재_탐지_설비4"/>
      <sheetName val="4_LINE4"/>
      <sheetName val="7_th4"/>
      <sheetName val="할증_4"/>
      <sheetName val="AS포장복구_4"/>
      <sheetName val="1차_내역서9"/>
      <sheetName val="4_노임단가9"/>
      <sheetName val="실행,원가_최종예상9"/>
      <sheetName val="내역서_제출9"/>
      <sheetName val="설명서_9"/>
      <sheetName val="2_대외공문7"/>
      <sheetName val="환경기계공정표_(3)7"/>
      <sheetName val="주공_갑지7"/>
      <sheetName val="2-1__경관조명_내역총괄표7"/>
      <sheetName val="내역서1999_8최종7"/>
      <sheetName val="케이블류_OLD7"/>
      <sheetName val="2_Summary-cash5"/>
      <sheetName val="건축내역서_(2)5"/>
      <sheetName val="Inve__&amp;_Income_Assum_5"/>
      <sheetName val="Annex_C_-_1_-_Cash5"/>
      <sheetName val="Macro_Codes5"/>
      <sheetName val="화재_탐지_설비5"/>
      <sheetName val="4_LINE5"/>
      <sheetName val="7_th5"/>
      <sheetName val="할증_5"/>
      <sheetName val="AS포장복구_5"/>
      <sheetName val="참고"/>
      <sheetName val="Tables"/>
      <sheetName val="연령현황"/>
      <sheetName val="비용"/>
      <sheetName val="수목데이타"/>
      <sheetName val="시설물일위"/>
      <sheetName val="가설공사"/>
      <sheetName val="단가결정"/>
      <sheetName val="내역아"/>
      <sheetName val="울타리"/>
      <sheetName val="본사인상전"/>
      <sheetName val="2-1__경관조명_내역총괄표ꢠ"/>
      <sheetName val="개요"/>
      <sheetName val="2-1__경관조명_내역총괄표恴"/>
      <sheetName val="2-1__경관조명_내역총괄표悯"/>
      <sheetName val="소방사항"/>
      <sheetName val="Macro3"/>
      <sheetName val="2-1__경관조명_내역총_x0000__x0000_Ԁ"/>
      <sheetName val="예가표"/>
      <sheetName val="실행(표지,갑,을)"/>
      <sheetName val="일위대가 (100%)"/>
      <sheetName val="2-1__경관조명_내역총쌀⬅/"/>
      <sheetName val="2-1__경관조명_내역총က_x0000_퀀"/>
      <sheetName val="내역(중앙)"/>
      <sheetName val="내역(창신)"/>
      <sheetName val="2-1__경관조명_내역총_x0000__x0000_倀"/>
      <sheetName val="2-1__경관조명_내역총䴀᠀"/>
      <sheetName val="2-1__경관조명_내역총夶⠀"/>
      <sheetName val="FC-101"/>
      <sheetName val="도급철콘내역"/>
      <sheetName val="수정시산표"/>
      <sheetName val="부대내역"/>
      <sheetName val="골조"/>
      <sheetName val="원도급"/>
      <sheetName val="하도급"/>
      <sheetName val="학생내역"/>
      <sheetName val="Import"/>
      <sheetName val="경비지출영수증_양식"/>
      <sheetName val="전도금정산영수증_양식"/>
      <sheetName val="2-1__경관조명_내역총_x0000__x0000__x0000_"/>
      <sheetName val="3.단가산출기초"/>
      <sheetName val="비목분류내역서1115"/>
      <sheetName val="B1(반포1차)"/>
      <sheetName val="요약"/>
      <sheetName val="부록"/>
      <sheetName val="목록"/>
      <sheetName val="유림골조"/>
      <sheetName val="갑지_추정_"/>
      <sheetName val="2-1__경관조명_내역총椀ﻶ　"/>
      <sheetName val="2-1__경관조명_내역총က"/>
      <sheetName val="백호우계수"/>
      <sheetName val="45,46"/>
      <sheetName val="사업성분석"/>
      <sheetName val="99년신청"/>
      <sheetName val="현금"/>
      <sheetName val="서울지역분담금"/>
      <sheetName val="2-1__경관조명_내역총¬_x0000_Ԁ"/>
      <sheetName val="[다원(ZENECA).xls]2_1___________2"/>
      <sheetName val="Customer_Databas10"/>
      <sheetName val="총괄갑_9"/>
      <sheetName val="Sheet1_(2)9"/>
      <sheetName val="단가_및_재료비8"/>
      <sheetName val="일위대가_8"/>
      <sheetName val="노임단가_(2)8"/>
      <sheetName val="자재_DB_LIST8"/>
      <sheetName val="4_2유효폭의_계산6"/>
      <sheetName val="_8"/>
      <sheetName val="1차_내역서10"/>
      <sheetName val="TOWER_10TON6"/>
      <sheetName val="남양시작동자105노65기1_3화1_2"/>
      <sheetName val="3_공통공사대비6"/>
      <sheetName val="내___역6"/>
      <sheetName val="현장별계약현황('98_10_31)"/>
      <sheetName val="경율산정_XLS"/>
      <sheetName val="1_우편집중내역서"/>
      <sheetName val="내역서_제출10"/>
      <sheetName val="Material_U_P9"/>
      <sheetName val="본선_토공_분배표8"/>
      <sheetName val="내역서_7"/>
      <sheetName val="_냉각수펌프7"/>
      <sheetName val="plan&amp;section_of_foundation7"/>
      <sheetName val="design_criteria7"/>
      <sheetName val="2_야탑7"/>
      <sheetName val="TONG_HOP_VL-NC_TT7"/>
      <sheetName val="CHITIET_VL-NC-TT_-1p7"/>
      <sheetName val="KPVC-BD_7"/>
      <sheetName val="I_설계조건6"/>
      <sheetName val="표지_(2)6"/>
      <sheetName val="4_노임단가10"/>
      <sheetName val="실행,원가_최종예상10"/>
      <sheetName val="설명서_10"/>
      <sheetName val="환경기계공정표_(3)8"/>
      <sheetName val="2_대외공문8"/>
      <sheetName val="주공_갑지8"/>
      <sheetName val="2-1__경관조명_내역총괄표8"/>
      <sheetName val="내역서1999_8최종8"/>
      <sheetName val="케이블류_OLD8"/>
      <sheetName val="2_Summary-cash6"/>
      <sheetName val="건축내역서_(2)6"/>
      <sheetName val="Inve__&amp;_Income_Assum_6"/>
      <sheetName val="Annex_C_-_1_-_Cash6"/>
      <sheetName val="Macro_Codes6"/>
      <sheetName val="화재_탐지_설비6"/>
      <sheetName val="4_LINE6"/>
      <sheetName val="7_th6"/>
      <sheetName val="할증_6"/>
      <sheetName val="AS포장복구_6"/>
      <sheetName val="BSD_(2)2"/>
      <sheetName val="견적대비_견적서2"/>
      <sheetName val="일위대가_(100%)"/>
      <sheetName val="3_단가산출기초"/>
      <sheetName val="[다원(ZENECA)_xls]2_1___________2"/>
      <sheetName val="원가 (2)"/>
      <sheetName val="2-1__경관조명_내역총´_x0000__x0000_"/>
      <sheetName val="2-1__경관조_x0000__x0000_ﾈ"/>
      <sheetName val="2-1__경관조_xda30_朖U_x0000_ꉊ寇翷_x0000_"/>
      <sheetName val="2-1__경관조_x0000__x0000_ﾈɚ萹Ğ㖄ª"/>
      <sheetName val="2-1__경관조명_내역총¬_x0000__x0000_"/>
      <sheetName val="설계서"/>
      <sheetName val="영업소실적"/>
      <sheetName val="금액"/>
      <sheetName val="측량요율"/>
      <sheetName val="원가계산 (2)"/>
      <sheetName val="품셈TABLE"/>
      <sheetName val="2-1__경관조"/>
      <sheetName val="2-1__경관조_xda30_朖U"/>
      <sheetName val="gyun"/>
    </sheetNames>
    <sheetDataSet>
      <sheetData sheetId="0" refreshError="1"/>
      <sheetData sheetId="1" refreshError="1">
        <row r="46">
          <cell r="I46" t="str">
            <v>내용</v>
          </cell>
          <cell r="J46" t="str">
            <v>단가</v>
          </cell>
        </row>
        <row r="47">
          <cell r="I47" t="str">
            <v>ED008</v>
          </cell>
          <cell r="J47">
            <v>141800</v>
          </cell>
        </row>
        <row r="48">
          <cell r="I48" t="str">
            <v>ED012</v>
          </cell>
          <cell r="J48">
            <v>173300</v>
          </cell>
        </row>
        <row r="49">
          <cell r="I49" t="str">
            <v>ED014</v>
          </cell>
          <cell r="J49">
            <v>216300</v>
          </cell>
        </row>
        <row r="50">
          <cell r="I50" t="str">
            <v>ED016</v>
          </cell>
          <cell r="J50">
            <v>231000</v>
          </cell>
        </row>
        <row r="51">
          <cell r="I51" t="str">
            <v>ED018</v>
          </cell>
          <cell r="J51">
            <v>243600</v>
          </cell>
        </row>
        <row r="52">
          <cell r="I52" t="str">
            <v>ED018X</v>
          </cell>
          <cell r="J52">
            <v>268800</v>
          </cell>
        </row>
        <row r="53">
          <cell r="I53" t="str">
            <v>ED0108</v>
          </cell>
          <cell r="J53">
            <v>105000</v>
          </cell>
        </row>
        <row r="54">
          <cell r="I54" t="str">
            <v>ED0112</v>
          </cell>
          <cell r="J54">
            <v>132300</v>
          </cell>
        </row>
        <row r="55">
          <cell r="I55" t="str">
            <v>ED0114</v>
          </cell>
          <cell r="J55">
            <v>162800</v>
          </cell>
        </row>
        <row r="56">
          <cell r="I56" t="str">
            <v>ED0116</v>
          </cell>
          <cell r="J56">
            <v>177500</v>
          </cell>
        </row>
        <row r="57">
          <cell r="I57" t="str">
            <v>EP0202</v>
          </cell>
          <cell r="J57">
            <v>131300</v>
          </cell>
        </row>
        <row r="58">
          <cell r="I58" t="str">
            <v>EP0203</v>
          </cell>
          <cell r="J58">
            <v>131300</v>
          </cell>
        </row>
        <row r="59">
          <cell r="I59" t="str">
            <v>EP0302</v>
          </cell>
          <cell r="J59">
            <v>168000</v>
          </cell>
        </row>
        <row r="60">
          <cell r="I60" t="str">
            <v>EP0303</v>
          </cell>
          <cell r="J60">
            <v>168000</v>
          </cell>
        </row>
        <row r="61">
          <cell r="I61" t="str">
            <v>ED401</v>
          </cell>
          <cell r="J61">
            <v>128100</v>
          </cell>
        </row>
        <row r="62">
          <cell r="I62" t="str">
            <v>ED410R</v>
          </cell>
          <cell r="J62">
            <v>160700</v>
          </cell>
        </row>
        <row r="63">
          <cell r="I63" t="str">
            <v>ED410L</v>
          </cell>
          <cell r="J63">
            <v>160700</v>
          </cell>
        </row>
        <row r="64">
          <cell r="I64" t="str">
            <v>ED412</v>
          </cell>
          <cell r="J64">
            <v>160700</v>
          </cell>
        </row>
        <row r="65">
          <cell r="I65" t="str">
            <v>ED950</v>
          </cell>
          <cell r="J65">
            <v>264600</v>
          </cell>
        </row>
        <row r="66">
          <cell r="I66" t="str">
            <v>ED5086R</v>
          </cell>
          <cell r="J66">
            <v>105000</v>
          </cell>
        </row>
        <row r="67">
          <cell r="I67" t="str">
            <v>ED5086L</v>
          </cell>
          <cell r="J67">
            <v>105000</v>
          </cell>
        </row>
        <row r="68">
          <cell r="I68" t="str">
            <v>ED5466</v>
          </cell>
          <cell r="J68">
            <v>33600</v>
          </cell>
        </row>
        <row r="69">
          <cell r="I69" t="str">
            <v>ED5966</v>
          </cell>
          <cell r="J69">
            <v>56700</v>
          </cell>
        </row>
        <row r="70">
          <cell r="I70" t="str">
            <v>ED912</v>
          </cell>
          <cell r="J70">
            <v>203700</v>
          </cell>
        </row>
        <row r="71">
          <cell r="I71" t="str">
            <v>ED916</v>
          </cell>
          <cell r="J71">
            <v>249900</v>
          </cell>
        </row>
        <row r="72">
          <cell r="I72" t="str">
            <v>ED516</v>
          </cell>
          <cell r="J72">
            <v>63000</v>
          </cell>
        </row>
        <row r="73">
          <cell r="I73" t="str">
            <v>ED517R</v>
          </cell>
          <cell r="J73">
            <v>74600</v>
          </cell>
        </row>
        <row r="74">
          <cell r="I74" t="str">
            <v>ED517L</v>
          </cell>
          <cell r="J74">
            <v>74600</v>
          </cell>
        </row>
        <row r="75">
          <cell r="I75" t="str">
            <v>ED5488</v>
          </cell>
          <cell r="J75">
            <v>39900</v>
          </cell>
        </row>
        <row r="76">
          <cell r="I76" t="str">
            <v>ED5988</v>
          </cell>
          <cell r="J76">
            <v>65100</v>
          </cell>
        </row>
        <row r="77">
          <cell r="I77" t="str">
            <v>ED0608</v>
          </cell>
          <cell r="J77">
            <v>54600</v>
          </cell>
        </row>
        <row r="78">
          <cell r="I78" t="str">
            <v>ED0612</v>
          </cell>
          <cell r="J78">
            <v>65100</v>
          </cell>
        </row>
        <row r="81">
          <cell r="I81" t="str">
            <v>ED0616</v>
          </cell>
          <cell r="J81">
            <v>92400</v>
          </cell>
        </row>
        <row r="82">
          <cell r="I82" t="str">
            <v>ED0706</v>
          </cell>
          <cell r="J82">
            <v>105000</v>
          </cell>
        </row>
        <row r="83">
          <cell r="I83" t="str">
            <v>ED0708</v>
          </cell>
          <cell r="J83">
            <v>141800</v>
          </cell>
        </row>
        <row r="84">
          <cell r="I84" t="str">
            <v>ED0806</v>
          </cell>
          <cell r="J84">
            <v>122900</v>
          </cell>
        </row>
        <row r="85">
          <cell r="I85" t="str">
            <v>ED0808</v>
          </cell>
          <cell r="J85">
            <v>164900</v>
          </cell>
        </row>
        <row r="86">
          <cell r="I86" t="str">
            <v>EZ016</v>
          </cell>
          <cell r="J86">
            <v>371700</v>
          </cell>
        </row>
        <row r="87">
          <cell r="I87" t="str">
            <v>EZ018</v>
          </cell>
          <cell r="J87">
            <v>400100</v>
          </cell>
        </row>
        <row r="88">
          <cell r="I88" t="str">
            <v>TD008</v>
          </cell>
          <cell r="J88">
            <v>155400</v>
          </cell>
        </row>
        <row r="89">
          <cell r="I89" t="str">
            <v>TD010</v>
          </cell>
          <cell r="J89">
            <v>173300</v>
          </cell>
        </row>
        <row r="90">
          <cell r="I90" t="str">
            <v>TD012</v>
          </cell>
          <cell r="J90">
            <v>191100</v>
          </cell>
        </row>
        <row r="91">
          <cell r="I91" t="str">
            <v>TD014</v>
          </cell>
          <cell r="J91">
            <v>236300</v>
          </cell>
        </row>
        <row r="92">
          <cell r="I92" t="str">
            <v>TD016</v>
          </cell>
          <cell r="J92">
            <v>254100</v>
          </cell>
        </row>
        <row r="93">
          <cell r="I93" t="str">
            <v>TD018</v>
          </cell>
          <cell r="J93">
            <v>272000</v>
          </cell>
        </row>
        <row r="94">
          <cell r="I94" t="str">
            <v>TD108</v>
          </cell>
          <cell r="J94">
            <v>115500</v>
          </cell>
        </row>
        <row r="112">
          <cell r="I112" t="str">
            <v>TD110</v>
          </cell>
          <cell r="J112">
            <v>130200</v>
          </cell>
        </row>
        <row r="113">
          <cell r="I113" t="str">
            <v>TD112</v>
          </cell>
          <cell r="J113">
            <v>147000</v>
          </cell>
        </row>
        <row r="114">
          <cell r="I114" t="str">
            <v>TD114</v>
          </cell>
          <cell r="J114">
            <v>178500</v>
          </cell>
        </row>
        <row r="115">
          <cell r="I115" t="str">
            <v>TD116</v>
          </cell>
          <cell r="J115">
            <v>196400</v>
          </cell>
        </row>
        <row r="116">
          <cell r="I116" t="str">
            <v>TD118</v>
          </cell>
          <cell r="J116">
            <v>222600</v>
          </cell>
        </row>
        <row r="117">
          <cell r="I117" t="str">
            <v>TP0302</v>
          </cell>
          <cell r="J117">
            <v>198500</v>
          </cell>
        </row>
        <row r="118">
          <cell r="I118" t="str">
            <v>TP0303</v>
          </cell>
          <cell r="J118">
            <v>206900</v>
          </cell>
        </row>
        <row r="119">
          <cell r="I119" t="str">
            <v>TP0312</v>
          </cell>
          <cell r="J119">
            <v>156500</v>
          </cell>
        </row>
        <row r="120">
          <cell r="I120" t="str">
            <v>TP0313</v>
          </cell>
          <cell r="J120">
            <v>162800</v>
          </cell>
        </row>
        <row r="121">
          <cell r="I121" t="str">
            <v>TP0502</v>
          </cell>
          <cell r="J121">
            <v>149100</v>
          </cell>
        </row>
        <row r="122">
          <cell r="I122" t="str">
            <v>TP0503</v>
          </cell>
          <cell r="J122">
            <v>152300</v>
          </cell>
        </row>
        <row r="123">
          <cell r="I123" t="str">
            <v>TD410</v>
          </cell>
          <cell r="J123">
            <v>163800</v>
          </cell>
        </row>
        <row r="124">
          <cell r="I124" t="str">
            <v>TD412</v>
          </cell>
          <cell r="J124">
            <v>173300</v>
          </cell>
        </row>
        <row r="125">
          <cell r="I125" t="str">
            <v>TD546</v>
          </cell>
          <cell r="J125">
            <v>46200</v>
          </cell>
        </row>
        <row r="126">
          <cell r="I126" t="str">
            <v>TD596</v>
          </cell>
          <cell r="J126">
            <v>68300</v>
          </cell>
        </row>
        <row r="127">
          <cell r="I127" t="str">
            <v>TD516</v>
          </cell>
          <cell r="J127">
            <v>83000</v>
          </cell>
        </row>
        <row r="128">
          <cell r="I128" t="str">
            <v>TD517R</v>
          </cell>
          <cell r="J128">
            <v>97700</v>
          </cell>
        </row>
        <row r="129">
          <cell r="I129" t="str">
            <v>TD517L</v>
          </cell>
          <cell r="J129">
            <v>97700</v>
          </cell>
        </row>
        <row r="130">
          <cell r="I130" t="str">
            <v>TD518</v>
          </cell>
          <cell r="J130">
            <v>108200</v>
          </cell>
        </row>
        <row r="131">
          <cell r="I131" t="str">
            <v>TD546</v>
          </cell>
          <cell r="J131">
            <v>46200</v>
          </cell>
        </row>
        <row r="132">
          <cell r="I132" t="str">
            <v>TD548</v>
          </cell>
          <cell r="J132">
            <v>66200</v>
          </cell>
        </row>
        <row r="133">
          <cell r="I133" t="str">
            <v>TD506</v>
          </cell>
          <cell r="J133">
            <v>159600</v>
          </cell>
        </row>
        <row r="134">
          <cell r="I134" t="str">
            <v>TD507R</v>
          </cell>
          <cell r="J134">
            <v>171200</v>
          </cell>
        </row>
        <row r="135">
          <cell r="I135" t="str">
            <v>TD507L</v>
          </cell>
          <cell r="J135">
            <v>171200</v>
          </cell>
        </row>
        <row r="136">
          <cell r="I136" t="str">
            <v>TD508</v>
          </cell>
          <cell r="J136">
            <v>183800</v>
          </cell>
        </row>
        <row r="137">
          <cell r="I137" t="str">
            <v>TD598</v>
          </cell>
          <cell r="J137">
            <v>95600</v>
          </cell>
        </row>
        <row r="138">
          <cell r="I138" t="str">
            <v>TD597R</v>
          </cell>
          <cell r="J138">
            <v>86100</v>
          </cell>
        </row>
        <row r="139">
          <cell r="I139" t="str">
            <v>TD597L</v>
          </cell>
          <cell r="J139">
            <v>86100</v>
          </cell>
        </row>
        <row r="140">
          <cell r="I140" t="str">
            <v>TD0608</v>
          </cell>
          <cell r="J140">
            <v>56700</v>
          </cell>
        </row>
        <row r="141">
          <cell r="I141" t="str">
            <v>TD0612</v>
          </cell>
          <cell r="J141">
            <v>68300</v>
          </cell>
        </row>
        <row r="142">
          <cell r="I142" t="str">
            <v>TD0614</v>
          </cell>
          <cell r="J142">
            <v>86100</v>
          </cell>
        </row>
        <row r="143">
          <cell r="I143" t="str">
            <v>TD0616</v>
          </cell>
          <cell r="J143">
            <v>96600</v>
          </cell>
        </row>
        <row r="144">
          <cell r="I144" t="str">
            <v>TD712</v>
          </cell>
          <cell r="J144">
            <v>212100</v>
          </cell>
        </row>
        <row r="145">
          <cell r="I145" t="str">
            <v>TD808</v>
          </cell>
          <cell r="J145">
            <v>180600</v>
          </cell>
        </row>
        <row r="146">
          <cell r="I146" t="str">
            <v>TD990</v>
          </cell>
          <cell r="J146">
            <v>159600</v>
          </cell>
        </row>
        <row r="147">
          <cell r="I147" t="str">
            <v>TD912</v>
          </cell>
          <cell r="J147">
            <v>129200</v>
          </cell>
        </row>
        <row r="148">
          <cell r="I148" t="str">
            <v>TD916</v>
          </cell>
          <cell r="J148">
            <v>171200</v>
          </cell>
        </row>
        <row r="149">
          <cell r="I149" t="str">
            <v>TD966</v>
          </cell>
          <cell r="J149">
            <v>96600</v>
          </cell>
        </row>
        <row r="150">
          <cell r="I150" t="str">
            <v>TD988</v>
          </cell>
          <cell r="J150">
            <v>155400</v>
          </cell>
        </row>
        <row r="151">
          <cell r="I151" t="str">
            <v>TF008</v>
          </cell>
          <cell r="J151">
            <v>51500</v>
          </cell>
        </row>
        <row r="152">
          <cell r="I152" t="str">
            <v>TF010</v>
          </cell>
          <cell r="J152">
            <v>61700</v>
          </cell>
        </row>
        <row r="153">
          <cell r="I153" t="str">
            <v>TF012</v>
          </cell>
          <cell r="J153">
            <v>69300</v>
          </cell>
        </row>
        <row r="154">
          <cell r="I154" t="str">
            <v>TF014</v>
          </cell>
          <cell r="J154">
            <v>85100</v>
          </cell>
        </row>
        <row r="155">
          <cell r="I155" t="str">
            <v>TF016</v>
          </cell>
          <cell r="J155">
            <v>92400</v>
          </cell>
        </row>
        <row r="156">
          <cell r="I156" t="str">
            <v>TF018</v>
          </cell>
          <cell r="J156">
            <v>103800</v>
          </cell>
        </row>
        <row r="157">
          <cell r="I157" t="str">
            <v>YD018</v>
          </cell>
          <cell r="J157">
            <v>351800</v>
          </cell>
        </row>
        <row r="158">
          <cell r="I158" t="str">
            <v>YP0302</v>
          </cell>
          <cell r="J158">
            <v>233100</v>
          </cell>
        </row>
        <row r="159">
          <cell r="I159" t="str">
            <v>YP0303</v>
          </cell>
          <cell r="J159">
            <v>233100</v>
          </cell>
        </row>
        <row r="160">
          <cell r="I160" t="str">
            <v>YD412</v>
          </cell>
          <cell r="J160">
            <v>194300</v>
          </cell>
        </row>
        <row r="161">
          <cell r="I161" t="str">
            <v>YC055L</v>
          </cell>
          <cell r="J161">
            <v>290900</v>
          </cell>
        </row>
        <row r="162">
          <cell r="I162" t="str">
            <v>YC555R</v>
          </cell>
          <cell r="J162">
            <v>290900</v>
          </cell>
        </row>
        <row r="163">
          <cell r="I163" t="str">
            <v>YC085</v>
          </cell>
          <cell r="J163">
            <v>396900</v>
          </cell>
        </row>
        <row r="164">
          <cell r="I164" t="str">
            <v>YC2082</v>
          </cell>
          <cell r="J164">
            <v>411600</v>
          </cell>
        </row>
        <row r="165">
          <cell r="I165" t="str">
            <v>YC182</v>
          </cell>
          <cell r="J165">
            <v>226800</v>
          </cell>
        </row>
        <row r="166">
          <cell r="I166" t="str">
            <v>YD990</v>
          </cell>
          <cell r="J166">
            <v>202700</v>
          </cell>
        </row>
        <row r="167">
          <cell r="I167" t="str">
            <v>PD018</v>
          </cell>
          <cell r="J167">
            <v>584900</v>
          </cell>
        </row>
        <row r="168">
          <cell r="I168" t="str">
            <v>PD021</v>
          </cell>
          <cell r="J168">
            <v>621600</v>
          </cell>
        </row>
        <row r="169">
          <cell r="I169" t="str">
            <v>PP0202</v>
          </cell>
          <cell r="J169">
            <v>246800</v>
          </cell>
        </row>
        <row r="170">
          <cell r="I170" t="str">
            <v>PP0203</v>
          </cell>
          <cell r="J170">
            <v>246800</v>
          </cell>
        </row>
        <row r="171">
          <cell r="I171" t="str">
            <v>PP0302</v>
          </cell>
          <cell r="J171">
            <v>246800</v>
          </cell>
        </row>
        <row r="172">
          <cell r="I172" t="str">
            <v>PP0303</v>
          </cell>
          <cell r="J172">
            <v>246800</v>
          </cell>
        </row>
        <row r="173">
          <cell r="I173" t="str">
            <v>PD414</v>
          </cell>
          <cell r="J173">
            <v>484100</v>
          </cell>
        </row>
        <row r="174">
          <cell r="I174" t="str">
            <v>PZ021</v>
          </cell>
          <cell r="J174">
            <v>696200</v>
          </cell>
        </row>
        <row r="175">
          <cell r="I175" t="str">
            <v>PC055L</v>
          </cell>
          <cell r="J175">
            <v>347600</v>
          </cell>
        </row>
        <row r="176">
          <cell r="I176" t="str">
            <v>PC355L</v>
          </cell>
          <cell r="J176">
            <v>487200</v>
          </cell>
        </row>
        <row r="177">
          <cell r="I177" t="str">
            <v>PC5055R</v>
          </cell>
          <cell r="J177">
            <v>353900</v>
          </cell>
        </row>
        <row r="178">
          <cell r="I178" t="str">
            <v>PC085</v>
          </cell>
          <cell r="J178">
            <v>513500</v>
          </cell>
        </row>
        <row r="179">
          <cell r="I179" t="str">
            <v>LD021</v>
          </cell>
          <cell r="J179">
            <v>2876000</v>
          </cell>
        </row>
        <row r="180">
          <cell r="I180" t="str">
            <v>LD018</v>
          </cell>
          <cell r="J180">
            <v>2595600</v>
          </cell>
        </row>
        <row r="181">
          <cell r="I181" t="str">
            <v>LD712R</v>
          </cell>
          <cell r="J181">
            <v>781200</v>
          </cell>
        </row>
        <row r="182">
          <cell r="I182" t="str">
            <v>LD712L</v>
          </cell>
          <cell r="J182">
            <v>781200</v>
          </cell>
        </row>
        <row r="183">
          <cell r="I183" t="str">
            <v>LC01</v>
          </cell>
          <cell r="J183">
            <v>5120900</v>
          </cell>
        </row>
        <row r="184">
          <cell r="I184" t="str">
            <v>LC02</v>
          </cell>
          <cell r="J184">
            <v>4102400</v>
          </cell>
        </row>
        <row r="185">
          <cell r="I185" t="str">
            <v>LC03</v>
          </cell>
          <cell r="J185">
            <v>3716000</v>
          </cell>
        </row>
        <row r="186">
          <cell r="I186" t="str">
            <v>LC04</v>
          </cell>
          <cell r="J186">
            <v>5292000</v>
          </cell>
        </row>
        <row r="187">
          <cell r="I187" t="str">
            <v>LC05</v>
          </cell>
          <cell r="J187">
            <v>4273500</v>
          </cell>
        </row>
        <row r="188">
          <cell r="I188" t="str">
            <v>LC11</v>
          </cell>
          <cell r="J188">
            <v>4237800</v>
          </cell>
        </row>
        <row r="189">
          <cell r="I189" t="str">
            <v>LC12</v>
          </cell>
          <cell r="J189">
            <v>3182600</v>
          </cell>
        </row>
        <row r="190">
          <cell r="I190" t="str">
            <v>LC06</v>
          </cell>
          <cell r="J190">
            <v>3887100</v>
          </cell>
        </row>
        <row r="191">
          <cell r="I191" t="str">
            <v>LC21</v>
          </cell>
          <cell r="J191">
            <v>3257100</v>
          </cell>
        </row>
        <row r="192">
          <cell r="I192" t="str">
            <v>LC22</v>
          </cell>
          <cell r="J192">
            <v>2519000</v>
          </cell>
        </row>
        <row r="193">
          <cell r="I193" t="str">
            <v>LC23</v>
          </cell>
          <cell r="J193">
            <v>3782100</v>
          </cell>
        </row>
        <row r="194">
          <cell r="I194" t="str">
            <v>LC24</v>
          </cell>
          <cell r="J194">
            <v>3044000</v>
          </cell>
        </row>
        <row r="195">
          <cell r="I195" t="str">
            <v>LC565R</v>
          </cell>
          <cell r="J195">
            <v>750800</v>
          </cell>
        </row>
        <row r="196">
          <cell r="I196" t="str">
            <v>LC065L</v>
          </cell>
          <cell r="J196">
            <v>729800</v>
          </cell>
        </row>
        <row r="197">
          <cell r="I197" t="str">
            <v>LC162R</v>
          </cell>
          <cell r="J197">
            <v>343400</v>
          </cell>
        </row>
        <row r="198">
          <cell r="I198" t="str">
            <v>LC162L</v>
          </cell>
          <cell r="J198">
            <v>343400</v>
          </cell>
        </row>
        <row r="199">
          <cell r="I199" t="str">
            <v>LC6122</v>
          </cell>
          <cell r="J199">
            <v>515600</v>
          </cell>
        </row>
        <row r="200">
          <cell r="I200" t="str">
            <v>LC7064</v>
          </cell>
          <cell r="J200">
            <v>605900</v>
          </cell>
        </row>
        <row r="201">
          <cell r="I201" t="str">
            <v>LC1063S</v>
          </cell>
          <cell r="J201">
            <v>89300</v>
          </cell>
        </row>
        <row r="202">
          <cell r="I202" t="str">
            <v>LB1063G</v>
          </cell>
          <cell r="J202">
            <v>190100</v>
          </cell>
        </row>
        <row r="203">
          <cell r="I203" t="str">
            <v>LC9112</v>
          </cell>
          <cell r="J203">
            <v>179600</v>
          </cell>
        </row>
        <row r="204">
          <cell r="I204" t="str">
            <v>LC9118</v>
          </cell>
          <cell r="J204">
            <v>237300</v>
          </cell>
        </row>
        <row r="205">
          <cell r="I205" t="str">
            <v>LC9124</v>
          </cell>
          <cell r="J205">
            <v>336000</v>
          </cell>
        </row>
        <row r="206">
          <cell r="I206" t="str">
            <v>LC9106T</v>
          </cell>
          <cell r="J206">
            <v>86100</v>
          </cell>
        </row>
        <row r="207">
          <cell r="I207" t="str">
            <v>LC9112T</v>
          </cell>
          <cell r="J207">
            <v>179600</v>
          </cell>
        </row>
        <row r="208">
          <cell r="I208" t="str">
            <v>LC9118T</v>
          </cell>
          <cell r="J208">
            <v>217400</v>
          </cell>
        </row>
        <row r="209">
          <cell r="I209" t="str">
            <v>LC9124T</v>
          </cell>
          <cell r="J209">
            <v>287700</v>
          </cell>
        </row>
        <row r="210">
          <cell r="I210" t="str">
            <v>LC9124N</v>
          </cell>
          <cell r="J210">
            <v>336000</v>
          </cell>
        </row>
        <row r="211">
          <cell r="I211" t="str">
            <v>LZ01</v>
          </cell>
          <cell r="J211">
            <v>2063300</v>
          </cell>
        </row>
        <row r="212">
          <cell r="I212" t="str">
            <v>LZ02</v>
          </cell>
          <cell r="J212">
            <v>2234400</v>
          </cell>
        </row>
        <row r="213">
          <cell r="I213" t="str">
            <v>LZ11</v>
          </cell>
          <cell r="J213">
            <v>1529900</v>
          </cell>
        </row>
        <row r="214">
          <cell r="I214" t="str">
            <v>LR024</v>
          </cell>
          <cell r="J214">
            <v>1932000</v>
          </cell>
        </row>
        <row r="215">
          <cell r="I215" t="str">
            <v>LR012</v>
          </cell>
          <cell r="J215">
            <v>1430100</v>
          </cell>
        </row>
        <row r="216">
          <cell r="I216" t="str">
            <v>LS7001C</v>
          </cell>
          <cell r="J216">
            <v>1045800</v>
          </cell>
        </row>
        <row r="217">
          <cell r="I217" t="str">
            <v>LS7001W</v>
          </cell>
          <cell r="J217">
            <v>1045800</v>
          </cell>
        </row>
        <row r="218">
          <cell r="I218" t="str">
            <v>LS7003C</v>
          </cell>
          <cell r="J218">
            <v>1708400</v>
          </cell>
        </row>
        <row r="219">
          <cell r="I219" t="str">
            <v>LS7003W</v>
          </cell>
          <cell r="J219">
            <v>1708400</v>
          </cell>
        </row>
        <row r="220">
          <cell r="I220" t="str">
            <v>LL016</v>
          </cell>
          <cell r="J220">
            <v>1146600</v>
          </cell>
        </row>
        <row r="221">
          <cell r="I221" t="str">
            <v>LL008</v>
          </cell>
          <cell r="J221">
            <v>1019600</v>
          </cell>
        </row>
        <row r="222">
          <cell r="I222" t="str">
            <v>LL0007</v>
          </cell>
          <cell r="J222">
            <v>393800</v>
          </cell>
        </row>
        <row r="223">
          <cell r="I223" t="str">
            <v>CA0302</v>
          </cell>
          <cell r="J223">
            <v>60900</v>
          </cell>
        </row>
        <row r="224">
          <cell r="I224" t="str">
            <v>CA0301</v>
          </cell>
          <cell r="J224">
            <v>10500</v>
          </cell>
        </row>
        <row r="225">
          <cell r="I225" t="str">
            <v>CA1101</v>
          </cell>
          <cell r="J225">
            <v>10500</v>
          </cell>
        </row>
        <row r="226">
          <cell r="I226" t="str">
            <v>CC1082</v>
          </cell>
          <cell r="J226">
            <v>107100</v>
          </cell>
        </row>
        <row r="227">
          <cell r="I227" t="str">
            <v>CC1083</v>
          </cell>
          <cell r="J227">
            <v>147000</v>
          </cell>
        </row>
        <row r="228">
          <cell r="I228" t="str">
            <v>CC0054</v>
          </cell>
          <cell r="J228">
            <v>108200</v>
          </cell>
        </row>
        <row r="229">
          <cell r="I229" t="str">
            <v>CC0055</v>
          </cell>
          <cell r="J229">
            <v>129200</v>
          </cell>
        </row>
        <row r="230">
          <cell r="I230" t="str">
            <v>CC0084</v>
          </cell>
          <cell r="J230">
            <v>147000</v>
          </cell>
        </row>
        <row r="231">
          <cell r="I231" t="str">
            <v>CC0085</v>
          </cell>
          <cell r="J231">
            <v>164900</v>
          </cell>
        </row>
        <row r="232">
          <cell r="I232" t="str">
            <v>CC0084N</v>
          </cell>
          <cell r="J232">
            <v>113400</v>
          </cell>
        </row>
        <row r="233">
          <cell r="I233" t="str">
            <v>CC0085N</v>
          </cell>
          <cell r="J233">
            <v>129200</v>
          </cell>
        </row>
        <row r="234">
          <cell r="I234" t="str">
            <v>CC5054</v>
          </cell>
          <cell r="J234">
            <v>101900</v>
          </cell>
        </row>
        <row r="235">
          <cell r="I235" t="str">
            <v>CC5055</v>
          </cell>
          <cell r="J235">
            <v>117600</v>
          </cell>
        </row>
        <row r="236">
          <cell r="I236" t="str">
            <v>TB1082</v>
          </cell>
          <cell r="J236">
            <v>69300</v>
          </cell>
        </row>
        <row r="237">
          <cell r="I237" t="str">
            <v>TB1083</v>
          </cell>
          <cell r="J237">
            <v>90300</v>
          </cell>
        </row>
        <row r="238">
          <cell r="I238" t="str">
            <v>TB0082</v>
          </cell>
          <cell r="J238">
            <v>69300</v>
          </cell>
        </row>
        <row r="239">
          <cell r="I239" t="str">
            <v>TB084</v>
          </cell>
          <cell r="J239">
            <v>127100</v>
          </cell>
        </row>
        <row r="240">
          <cell r="I240" t="str">
            <v>TB085</v>
          </cell>
          <cell r="J240">
            <v>152300</v>
          </cell>
        </row>
        <row r="241">
          <cell r="I241" t="str">
            <v>TB0052R</v>
          </cell>
          <cell r="J241">
            <v>50400</v>
          </cell>
        </row>
        <row r="242">
          <cell r="I242" t="str">
            <v>TB0052L</v>
          </cell>
          <cell r="J242">
            <v>50400</v>
          </cell>
        </row>
        <row r="243">
          <cell r="I243" t="str">
            <v>TB0054R</v>
          </cell>
          <cell r="J243">
            <v>90300</v>
          </cell>
        </row>
        <row r="244">
          <cell r="I244" t="str">
            <v>TB0054L</v>
          </cell>
          <cell r="J244">
            <v>90300</v>
          </cell>
        </row>
        <row r="245">
          <cell r="I245" t="str">
            <v>TB0055R</v>
          </cell>
          <cell r="J245">
            <v>102900</v>
          </cell>
        </row>
        <row r="246">
          <cell r="I246" t="str">
            <v>TB0055L</v>
          </cell>
          <cell r="J246">
            <v>102900</v>
          </cell>
        </row>
        <row r="247">
          <cell r="I247" t="str">
            <v>TB0083G</v>
          </cell>
          <cell r="J247">
            <v>76700</v>
          </cell>
        </row>
        <row r="248">
          <cell r="I248" t="str">
            <v>EB1083G</v>
          </cell>
          <cell r="J248">
            <v>72500</v>
          </cell>
        </row>
        <row r="249">
          <cell r="I249" t="str">
            <v>EB1082</v>
          </cell>
          <cell r="J249">
            <v>54600</v>
          </cell>
        </row>
        <row r="250">
          <cell r="I250" t="str">
            <v>EB1083</v>
          </cell>
          <cell r="J250">
            <v>72500</v>
          </cell>
        </row>
        <row r="251">
          <cell r="I251" t="str">
            <v>EB0082</v>
          </cell>
          <cell r="J251">
            <v>54600</v>
          </cell>
        </row>
        <row r="252">
          <cell r="I252" t="str">
            <v>EB084</v>
          </cell>
          <cell r="J252">
            <v>101900</v>
          </cell>
        </row>
        <row r="253">
          <cell r="I253" t="str">
            <v>EB085</v>
          </cell>
          <cell r="J253">
            <v>120800</v>
          </cell>
        </row>
        <row r="254">
          <cell r="I254" t="str">
            <v>EB0052R</v>
          </cell>
          <cell r="J254">
            <v>42000</v>
          </cell>
        </row>
        <row r="255">
          <cell r="I255" t="str">
            <v>EB0052L</v>
          </cell>
          <cell r="J255">
            <v>42000</v>
          </cell>
        </row>
        <row r="256">
          <cell r="I256" t="str">
            <v>EB0054R</v>
          </cell>
          <cell r="J256">
            <v>74600</v>
          </cell>
        </row>
        <row r="257">
          <cell r="I257" t="str">
            <v>EB0054L</v>
          </cell>
          <cell r="J257">
            <v>74600</v>
          </cell>
        </row>
        <row r="258">
          <cell r="I258" t="str">
            <v>EB0055R</v>
          </cell>
          <cell r="J258">
            <v>86100</v>
          </cell>
        </row>
        <row r="259">
          <cell r="I259" t="str">
            <v>EB0055L</v>
          </cell>
          <cell r="J259">
            <v>86100</v>
          </cell>
        </row>
        <row r="260">
          <cell r="I260" t="str">
            <v>EC2052</v>
          </cell>
          <cell r="J260">
            <v>201600</v>
          </cell>
        </row>
        <row r="261">
          <cell r="I261" t="str">
            <v>EC2053</v>
          </cell>
          <cell r="J261">
            <v>269900</v>
          </cell>
        </row>
        <row r="262">
          <cell r="I262" t="str">
            <v>EC2050</v>
          </cell>
          <cell r="J262">
            <v>38900</v>
          </cell>
        </row>
        <row r="263">
          <cell r="I263" t="str">
            <v>TC2042</v>
          </cell>
          <cell r="J263">
            <v>242600</v>
          </cell>
        </row>
        <row r="264">
          <cell r="I264" t="str">
            <v>TC2043</v>
          </cell>
          <cell r="J264">
            <v>327600</v>
          </cell>
        </row>
        <row r="265">
          <cell r="I265" t="str">
            <v>TC2082</v>
          </cell>
          <cell r="J265">
            <v>371700</v>
          </cell>
        </row>
        <row r="266">
          <cell r="I266" t="str">
            <v>TC2083</v>
          </cell>
          <cell r="J266">
            <v>492500</v>
          </cell>
        </row>
        <row r="267">
          <cell r="I267" t="str">
            <v>TC242S</v>
          </cell>
          <cell r="J267">
            <v>253100</v>
          </cell>
        </row>
        <row r="268">
          <cell r="I268" t="str">
            <v>TC242N</v>
          </cell>
          <cell r="J268">
            <v>246800</v>
          </cell>
        </row>
        <row r="269">
          <cell r="I269" t="str">
            <v>CB9054</v>
          </cell>
          <cell r="J269">
            <v>27300</v>
          </cell>
        </row>
        <row r="270">
          <cell r="I270" t="str">
            <v>CB955</v>
          </cell>
          <cell r="J270">
            <v>35700</v>
          </cell>
        </row>
        <row r="271">
          <cell r="I271" t="str">
            <v>CB9084</v>
          </cell>
          <cell r="J271">
            <v>42000</v>
          </cell>
        </row>
        <row r="272">
          <cell r="I272" t="str">
            <v>CB985</v>
          </cell>
          <cell r="J272">
            <v>54600</v>
          </cell>
        </row>
        <row r="273">
          <cell r="I273" t="str">
            <v>XX100</v>
          </cell>
          <cell r="J273">
            <v>459900</v>
          </cell>
        </row>
        <row r="274">
          <cell r="I274" t="str">
            <v>XC100</v>
          </cell>
          <cell r="J274">
            <v>430500</v>
          </cell>
        </row>
        <row r="275">
          <cell r="I275" t="str">
            <v>XC150R</v>
          </cell>
          <cell r="J275">
            <v>279300</v>
          </cell>
        </row>
        <row r="276">
          <cell r="I276" t="str">
            <v>XC150L</v>
          </cell>
          <cell r="J276">
            <v>279300</v>
          </cell>
        </row>
        <row r="277">
          <cell r="I277" t="str">
            <v>CR1007</v>
          </cell>
          <cell r="J277">
            <v>132300</v>
          </cell>
        </row>
        <row r="278">
          <cell r="I278" t="str">
            <v>CR1015</v>
          </cell>
          <cell r="J278">
            <v>183800</v>
          </cell>
        </row>
        <row r="279">
          <cell r="I279" t="str">
            <v>CR1066</v>
          </cell>
          <cell r="J279">
            <v>201600</v>
          </cell>
        </row>
        <row r="280">
          <cell r="I280" t="str">
            <v>CR1107</v>
          </cell>
          <cell r="J280">
            <v>114500</v>
          </cell>
        </row>
        <row r="281">
          <cell r="I281" t="str">
            <v>CR1115</v>
          </cell>
          <cell r="J281">
            <v>150200</v>
          </cell>
        </row>
        <row r="282">
          <cell r="I282" t="str">
            <v>CR1166</v>
          </cell>
          <cell r="J282">
            <v>158600</v>
          </cell>
        </row>
        <row r="283">
          <cell r="I283" t="str">
            <v>CR1206</v>
          </cell>
          <cell r="J283">
            <v>30500</v>
          </cell>
        </row>
        <row r="284">
          <cell r="I284" t="str">
            <v>CR1207</v>
          </cell>
          <cell r="J284">
            <v>33600</v>
          </cell>
        </row>
        <row r="285">
          <cell r="I285" t="str">
            <v>CR1307</v>
          </cell>
          <cell r="J285">
            <v>17900</v>
          </cell>
        </row>
        <row r="286">
          <cell r="I286" t="str">
            <v>CR1315</v>
          </cell>
          <cell r="J286">
            <v>33600</v>
          </cell>
        </row>
        <row r="287">
          <cell r="I287" t="str">
            <v>CR1360</v>
          </cell>
          <cell r="J287">
            <v>17900</v>
          </cell>
        </row>
        <row r="288">
          <cell r="I288" t="str">
            <v>CR1361</v>
          </cell>
          <cell r="J288">
            <v>17900</v>
          </cell>
        </row>
        <row r="289">
          <cell r="I289" t="str">
            <v>CR2008N</v>
          </cell>
          <cell r="J289">
            <v>150200</v>
          </cell>
        </row>
        <row r="290">
          <cell r="I290" t="str">
            <v>CR2016N</v>
          </cell>
          <cell r="J290">
            <v>246800</v>
          </cell>
        </row>
        <row r="291">
          <cell r="I291" t="str">
            <v>CR2590N</v>
          </cell>
          <cell r="J291">
            <v>135500</v>
          </cell>
        </row>
        <row r="292">
          <cell r="I292" t="str">
            <v>CR2000</v>
          </cell>
          <cell r="J292">
            <v>48300</v>
          </cell>
        </row>
        <row r="293">
          <cell r="I293" t="str">
            <v>CR2000S</v>
          </cell>
          <cell r="J293">
            <v>26300</v>
          </cell>
        </row>
        <row r="294">
          <cell r="I294" t="str">
            <v>CR2000E</v>
          </cell>
          <cell r="J294">
            <v>48300</v>
          </cell>
        </row>
        <row r="295">
          <cell r="I295" t="str">
            <v>CR018</v>
          </cell>
          <cell r="J295">
            <v>278300</v>
          </cell>
        </row>
        <row r="296">
          <cell r="I296" t="str">
            <v>CR024</v>
          </cell>
          <cell r="J296">
            <v>354900</v>
          </cell>
        </row>
        <row r="297">
          <cell r="I297" t="str">
            <v>CR3118</v>
          </cell>
          <cell r="J297">
            <v>285600</v>
          </cell>
        </row>
        <row r="298">
          <cell r="I298" t="str">
            <v>CR3218</v>
          </cell>
          <cell r="J298">
            <v>249900</v>
          </cell>
        </row>
        <row r="299">
          <cell r="I299" t="str">
            <v>CR3114N</v>
          </cell>
          <cell r="J299">
            <v>225800</v>
          </cell>
        </row>
        <row r="300">
          <cell r="I300" t="str">
            <v>CR3214N</v>
          </cell>
          <cell r="J300">
            <v>206900</v>
          </cell>
        </row>
        <row r="301">
          <cell r="I301" t="str">
            <v>CR4110</v>
          </cell>
          <cell r="J301">
            <v>107100</v>
          </cell>
        </row>
        <row r="302">
          <cell r="I302" t="str">
            <v>SR009</v>
          </cell>
          <cell r="J302">
            <v>225800</v>
          </cell>
        </row>
        <row r="303">
          <cell r="I303" t="str">
            <v>SR012</v>
          </cell>
          <cell r="J303">
            <v>241500</v>
          </cell>
        </row>
        <row r="304">
          <cell r="I304" t="str">
            <v>SR018</v>
          </cell>
          <cell r="J304">
            <v>303500</v>
          </cell>
        </row>
        <row r="305">
          <cell r="I305" t="str">
            <v>SR024S</v>
          </cell>
          <cell r="J305">
            <v>375900</v>
          </cell>
        </row>
        <row r="306">
          <cell r="I306" t="str">
            <v>SR024</v>
          </cell>
          <cell r="J306">
            <v>375900</v>
          </cell>
        </row>
        <row r="307">
          <cell r="I307" t="str">
            <v>SR032</v>
          </cell>
          <cell r="J307">
            <v>483000</v>
          </cell>
        </row>
        <row r="308">
          <cell r="I308" t="str">
            <v>CR413</v>
          </cell>
          <cell r="J308">
            <v>129200</v>
          </cell>
        </row>
        <row r="309">
          <cell r="I309" t="str">
            <v>CA9900</v>
          </cell>
          <cell r="J309">
            <v>5300</v>
          </cell>
        </row>
        <row r="310">
          <cell r="I310" t="str">
            <v>CA9901</v>
          </cell>
          <cell r="J310">
            <v>4200</v>
          </cell>
        </row>
        <row r="311">
          <cell r="I311" t="str">
            <v>CA0100</v>
          </cell>
          <cell r="J311">
            <v>26300</v>
          </cell>
        </row>
        <row r="312">
          <cell r="I312" t="str">
            <v>CA0401</v>
          </cell>
          <cell r="J312">
            <v>175400</v>
          </cell>
        </row>
        <row r="313">
          <cell r="I313" t="str">
            <v>CA0402</v>
          </cell>
          <cell r="J313">
            <v>194300</v>
          </cell>
        </row>
        <row r="314">
          <cell r="I314" t="str">
            <v>CA0501</v>
          </cell>
          <cell r="J314">
            <v>161700</v>
          </cell>
        </row>
        <row r="315">
          <cell r="I315" t="str">
            <v>CA0601</v>
          </cell>
          <cell r="J315">
            <v>99800</v>
          </cell>
        </row>
        <row r="316">
          <cell r="I316" t="str">
            <v>CA0702</v>
          </cell>
          <cell r="J316">
            <v>24200</v>
          </cell>
        </row>
        <row r="317">
          <cell r="I317" t="str">
            <v>CA0703</v>
          </cell>
          <cell r="J317">
            <v>18900</v>
          </cell>
        </row>
        <row r="318">
          <cell r="I318" t="str">
            <v>CA0801</v>
          </cell>
          <cell r="J318">
            <v>15800</v>
          </cell>
        </row>
        <row r="319">
          <cell r="I319" t="str">
            <v>CA0802</v>
          </cell>
          <cell r="J319">
            <v>142800</v>
          </cell>
        </row>
        <row r="320">
          <cell r="I320" t="str">
            <v>CA0803</v>
          </cell>
          <cell r="J320">
            <v>66200</v>
          </cell>
        </row>
        <row r="321">
          <cell r="I321" t="str">
            <v>CA0901</v>
          </cell>
          <cell r="J321">
            <v>48300</v>
          </cell>
        </row>
        <row r="322">
          <cell r="I322" t="str">
            <v>CA0001</v>
          </cell>
          <cell r="J322">
            <v>62000</v>
          </cell>
        </row>
        <row r="323">
          <cell r="I323" t="str">
            <v>CA0002</v>
          </cell>
          <cell r="J323">
            <v>172200</v>
          </cell>
        </row>
        <row r="324">
          <cell r="I324" t="str">
            <v>CA0110</v>
          </cell>
          <cell r="J324">
            <v>105000</v>
          </cell>
        </row>
        <row r="325">
          <cell r="I325" t="str">
            <v>CA1003</v>
          </cell>
          <cell r="J325">
            <v>44100</v>
          </cell>
        </row>
        <row r="326">
          <cell r="I326" t="str">
            <v>CA1004</v>
          </cell>
          <cell r="J326">
            <v>44100</v>
          </cell>
        </row>
        <row r="327">
          <cell r="I327" t="str">
            <v>CA1005</v>
          </cell>
          <cell r="J327">
            <v>44000</v>
          </cell>
        </row>
        <row r="328">
          <cell r="I328" t="str">
            <v>CA120</v>
          </cell>
          <cell r="J328">
            <v>123900</v>
          </cell>
        </row>
        <row r="329">
          <cell r="I329" t="str">
            <v>CA0120</v>
          </cell>
          <cell r="J329">
            <v>62000</v>
          </cell>
        </row>
        <row r="330">
          <cell r="I330" t="str">
            <v>NF0060</v>
          </cell>
          <cell r="J330">
            <v>110300</v>
          </cell>
        </row>
        <row r="331">
          <cell r="I331" t="str">
            <v>NF0080</v>
          </cell>
          <cell r="J331">
            <v>122900</v>
          </cell>
        </row>
        <row r="332">
          <cell r="I332" t="str">
            <v>NF0100</v>
          </cell>
          <cell r="J332">
            <v>134400</v>
          </cell>
        </row>
        <row r="333">
          <cell r="I333" t="str">
            <v>NF0120</v>
          </cell>
          <cell r="J333">
            <v>144900</v>
          </cell>
        </row>
        <row r="334">
          <cell r="I334" t="str">
            <v>NF0062</v>
          </cell>
          <cell r="J334">
            <v>123900</v>
          </cell>
        </row>
        <row r="335">
          <cell r="I335" t="str">
            <v>NF0082</v>
          </cell>
          <cell r="J335">
            <v>135500</v>
          </cell>
        </row>
        <row r="336">
          <cell r="I336" t="str">
            <v>NF0102</v>
          </cell>
          <cell r="J336">
            <v>147000</v>
          </cell>
        </row>
        <row r="337">
          <cell r="I337" t="str">
            <v>NF0122</v>
          </cell>
          <cell r="J337">
            <v>159600</v>
          </cell>
        </row>
        <row r="338">
          <cell r="I338" t="str">
            <v>NF0065</v>
          </cell>
          <cell r="J338">
            <v>143900</v>
          </cell>
        </row>
        <row r="339">
          <cell r="I339" t="str">
            <v>NF0085</v>
          </cell>
          <cell r="J339">
            <v>161700</v>
          </cell>
        </row>
        <row r="340">
          <cell r="I340" t="str">
            <v>NF0105</v>
          </cell>
          <cell r="J340">
            <v>177500</v>
          </cell>
        </row>
        <row r="341">
          <cell r="I341" t="str">
            <v>NF0125</v>
          </cell>
          <cell r="J341">
            <v>195300</v>
          </cell>
        </row>
        <row r="342">
          <cell r="I342" t="str">
            <v>NF0068</v>
          </cell>
          <cell r="J342">
            <v>170100</v>
          </cell>
        </row>
        <row r="343">
          <cell r="I343" t="str">
            <v>NF0088</v>
          </cell>
          <cell r="J343">
            <v>195300</v>
          </cell>
        </row>
        <row r="344">
          <cell r="I344" t="str">
            <v>NF0108</v>
          </cell>
          <cell r="J344">
            <v>221600</v>
          </cell>
        </row>
        <row r="345">
          <cell r="I345" t="str">
            <v>NF0128</v>
          </cell>
          <cell r="J345">
            <v>245700</v>
          </cell>
        </row>
        <row r="346">
          <cell r="I346" t="str">
            <v>NF1082</v>
          </cell>
          <cell r="J346">
            <v>204800</v>
          </cell>
        </row>
        <row r="347">
          <cell r="I347" t="str">
            <v>NF1102</v>
          </cell>
          <cell r="J347">
            <v>231000</v>
          </cell>
        </row>
        <row r="348">
          <cell r="I348" t="str">
            <v>NF1085</v>
          </cell>
          <cell r="J348">
            <v>234200</v>
          </cell>
        </row>
        <row r="349">
          <cell r="I349" t="str">
            <v>NF1105</v>
          </cell>
          <cell r="J349">
            <v>273000</v>
          </cell>
        </row>
        <row r="350">
          <cell r="I350" t="str">
            <v>NF1088</v>
          </cell>
          <cell r="J350">
            <v>273000</v>
          </cell>
        </row>
        <row r="351">
          <cell r="I351" t="str">
            <v>NF1108</v>
          </cell>
          <cell r="J351">
            <v>321300</v>
          </cell>
        </row>
        <row r="352">
          <cell r="I352" t="str">
            <v>NF2085</v>
          </cell>
          <cell r="J352">
            <v>242600</v>
          </cell>
        </row>
        <row r="353">
          <cell r="I353" t="str">
            <v>NF2105</v>
          </cell>
          <cell r="J353">
            <v>281400</v>
          </cell>
        </row>
        <row r="354">
          <cell r="I354" t="str">
            <v>NF2088</v>
          </cell>
          <cell r="J354">
            <v>281400</v>
          </cell>
        </row>
        <row r="355">
          <cell r="I355" t="str">
            <v>NF2108</v>
          </cell>
          <cell r="J355">
            <v>329700</v>
          </cell>
        </row>
        <row r="356">
          <cell r="I356" t="str">
            <v>NF0060X</v>
          </cell>
          <cell r="J356">
            <v>114500</v>
          </cell>
        </row>
        <row r="357">
          <cell r="I357" t="str">
            <v>NF0080X</v>
          </cell>
          <cell r="J357">
            <v>128100</v>
          </cell>
        </row>
        <row r="358">
          <cell r="I358" t="str">
            <v>NF0100X</v>
          </cell>
          <cell r="J358">
            <v>138600</v>
          </cell>
        </row>
        <row r="359">
          <cell r="I359" t="str">
            <v>NF0120X</v>
          </cell>
          <cell r="J359">
            <v>150200</v>
          </cell>
        </row>
        <row r="360">
          <cell r="I360" t="str">
            <v>NA0001</v>
          </cell>
          <cell r="J360">
            <v>1600</v>
          </cell>
        </row>
        <row r="361">
          <cell r="I361" t="str">
            <v>NA0006</v>
          </cell>
          <cell r="J361">
            <v>11300</v>
          </cell>
        </row>
        <row r="362">
          <cell r="I362" t="str">
            <v>NA0008</v>
          </cell>
          <cell r="J362">
            <v>14500</v>
          </cell>
        </row>
        <row r="363">
          <cell r="I363" t="str">
            <v>NA0010</v>
          </cell>
          <cell r="J363">
            <v>17700</v>
          </cell>
        </row>
        <row r="364">
          <cell r="I364" t="str">
            <v>NA0012</v>
          </cell>
          <cell r="J364">
            <v>21000</v>
          </cell>
        </row>
        <row r="365">
          <cell r="I365" t="str">
            <v>NA0014</v>
          </cell>
          <cell r="J365">
            <v>24300</v>
          </cell>
        </row>
        <row r="366">
          <cell r="I366" t="str">
            <v>NA0016</v>
          </cell>
          <cell r="J366">
            <v>27500</v>
          </cell>
        </row>
        <row r="367">
          <cell r="I367" t="str">
            <v>NA0101</v>
          </cell>
          <cell r="J367">
            <v>14500</v>
          </cell>
        </row>
        <row r="368">
          <cell r="I368" t="str">
            <v>NA0102</v>
          </cell>
          <cell r="J368">
            <v>27500</v>
          </cell>
        </row>
        <row r="369">
          <cell r="I369" t="str">
            <v>NA0103</v>
          </cell>
          <cell r="J369">
            <v>16200</v>
          </cell>
        </row>
        <row r="370">
          <cell r="I370" t="str">
            <v>NA0104</v>
          </cell>
          <cell r="J370">
            <v>50100</v>
          </cell>
        </row>
        <row r="371">
          <cell r="I371" t="str">
            <v>NA0105</v>
          </cell>
          <cell r="J371">
            <v>14500</v>
          </cell>
        </row>
        <row r="372">
          <cell r="I372" t="str">
            <v>NA0106</v>
          </cell>
          <cell r="J372">
            <v>11300</v>
          </cell>
        </row>
        <row r="373">
          <cell r="I373" t="str">
            <v>NA0107</v>
          </cell>
          <cell r="J373">
            <v>11300</v>
          </cell>
        </row>
        <row r="374">
          <cell r="I374" t="str">
            <v>NF8001</v>
          </cell>
          <cell r="J374">
            <v>25700</v>
          </cell>
        </row>
        <row r="375">
          <cell r="I375" t="str">
            <v>NF8002</v>
          </cell>
          <cell r="J375">
            <v>3300</v>
          </cell>
        </row>
        <row r="376">
          <cell r="I376" t="str">
            <v>NF5109</v>
          </cell>
          <cell r="J376">
            <v>14700</v>
          </cell>
        </row>
        <row r="377">
          <cell r="I377" t="str">
            <v>NF5110</v>
          </cell>
          <cell r="J377">
            <v>16300</v>
          </cell>
        </row>
        <row r="378">
          <cell r="I378" t="str">
            <v>NF5112</v>
          </cell>
          <cell r="J378">
            <v>16300</v>
          </cell>
        </row>
        <row r="379">
          <cell r="I379" t="str">
            <v>NF5115</v>
          </cell>
          <cell r="J379">
            <v>21000</v>
          </cell>
        </row>
        <row r="380">
          <cell r="I380" t="str">
            <v>NF5118</v>
          </cell>
          <cell r="J380">
            <v>24200</v>
          </cell>
        </row>
        <row r="381">
          <cell r="I381" t="str">
            <v>NF5209</v>
          </cell>
          <cell r="J381">
            <v>17900</v>
          </cell>
        </row>
        <row r="382">
          <cell r="I382" t="str">
            <v>NF5210</v>
          </cell>
          <cell r="J382">
            <v>21000</v>
          </cell>
        </row>
        <row r="383">
          <cell r="I383" t="str">
            <v>NF5212</v>
          </cell>
          <cell r="J383">
            <v>21000</v>
          </cell>
        </row>
        <row r="384">
          <cell r="I384" t="str">
            <v>NF5215</v>
          </cell>
          <cell r="J384">
            <v>24200</v>
          </cell>
        </row>
        <row r="385">
          <cell r="I385" t="str">
            <v>NF5218</v>
          </cell>
          <cell r="J385">
            <v>27300</v>
          </cell>
        </row>
        <row r="386">
          <cell r="I386" t="str">
            <v>NF5309</v>
          </cell>
          <cell r="J386">
            <v>14700</v>
          </cell>
        </row>
        <row r="387">
          <cell r="I387" t="str">
            <v>NF5310</v>
          </cell>
          <cell r="J387">
            <v>16300</v>
          </cell>
        </row>
        <row r="388">
          <cell r="I388" t="str">
            <v>NF5312</v>
          </cell>
          <cell r="J388">
            <v>16300</v>
          </cell>
        </row>
        <row r="389">
          <cell r="I389" t="str">
            <v>NF5315</v>
          </cell>
          <cell r="J389">
            <v>21000</v>
          </cell>
        </row>
        <row r="390">
          <cell r="I390" t="str">
            <v>NF5318</v>
          </cell>
          <cell r="J390">
            <v>24200</v>
          </cell>
        </row>
        <row r="391">
          <cell r="I391" t="str">
            <v>NF5409</v>
          </cell>
          <cell r="J391">
            <v>14700</v>
          </cell>
        </row>
        <row r="392">
          <cell r="I392" t="str">
            <v>NF5410</v>
          </cell>
          <cell r="J392">
            <v>16300</v>
          </cell>
        </row>
        <row r="393">
          <cell r="I393" t="str">
            <v>NF5412</v>
          </cell>
          <cell r="J393">
            <v>16300</v>
          </cell>
        </row>
        <row r="394">
          <cell r="I394" t="str">
            <v>NF5415</v>
          </cell>
          <cell r="J394">
            <v>21000</v>
          </cell>
        </row>
        <row r="395">
          <cell r="I395" t="str">
            <v>NF5418</v>
          </cell>
          <cell r="J395">
            <v>24200</v>
          </cell>
        </row>
        <row r="396">
          <cell r="I396" t="str">
            <v>NF5500</v>
          </cell>
          <cell r="J396">
            <v>11600</v>
          </cell>
        </row>
        <row r="397">
          <cell r="I397" t="str">
            <v>NF5600</v>
          </cell>
          <cell r="J397">
            <v>11600</v>
          </cell>
        </row>
        <row r="398">
          <cell r="I398" t="str">
            <v>NF6009</v>
          </cell>
          <cell r="J398">
            <v>3200</v>
          </cell>
        </row>
        <row r="399">
          <cell r="I399" t="str">
            <v>NF6010</v>
          </cell>
          <cell r="J399">
            <v>3200</v>
          </cell>
        </row>
        <row r="400">
          <cell r="I400" t="str">
            <v>NF6012</v>
          </cell>
          <cell r="J400">
            <v>3200</v>
          </cell>
        </row>
        <row r="401">
          <cell r="I401" t="str">
            <v>NF6015</v>
          </cell>
          <cell r="J401">
            <v>4700</v>
          </cell>
        </row>
        <row r="402">
          <cell r="I402" t="str">
            <v>NF6018</v>
          </cell>
          <cell r="J402">
            <v>4700</v>
          </cell>
        </row>
        <row r="403">
          <cell r="I403" t="str">
            <v>NF6103</v>
          </cell>
          <cell r="J403">
            <v>1600</v>
          </cell>
        </row>
        <row r="404">
          <cell r="I404" t="str">
            <v>NF6106</v>
          </cell>
          <cell r="J404">
            <v>1600</v>
          </cell>
        </row>
        <row r="405">
          <cell r="I405" t="str">
            <v>NF6109</v>
          </cell>
          <cell r="J405">
            <v>3200</v>
          </cell>
        </row>
        <row r="406">
          <cell r="I406" t="str">
            <v>NF6303</v>
          </cell>
          <cell r="J406">
            <v>9500</v>
          </cell>
        </row>
        <row r="407">
          <cell r="I407" t="str">
            <v>NF6306</v>
          </cell>
          <cell r="J407">
            <v>11600</v>
          </cell>
        </row>
        <row r="408">
          <cell r="I408" t="str">
            <v>NF6309</v>
          </cell>
          <cell r="J408">
            <v>13100</v>
          </cell>
        </row>
        <row r="409">
          <cell r="I409" t="str">
            <v>NF6403</v>
          </cell>
          <cell r="J409">
            <v>9500</v>
          </cell>
        </row>
        <row r="410">
          <cell r="I410" t="str">
            <v>NF6406</v>
          </cell>
          <cell r="J410">
            <v>11600</v>
          </cell>
        </row>
        <row r="411">
          <cell r="I411" t="str">
            <v>NF6409</v>
          </cell>
          <cell r="J411">
            <v>12600</v>
          </cell>
        </row>
        <row r="412">
          <cell r="I412" t="str">
            <v>NT8001</v>
          </cell>
          <cell r="J412">
            <v>17900</v>
          </cell>
        </row>
        <row r="413">
          <cell r="I413" t="str">
            <v>NT0006</v>
          </cell>
          <cell r="J413">
            <v>66200</v>
          </cell>
        </row>
        <row r="414">
          <cell r="I414" t="str">
            <v>NT0008</v>
          </cell>
          <cell r="J414">
            <v>74600</v>
          </cell>
        </row>
        <row r="415">
          <cell r="I415" t="str">
            <v>NT0010</v>
          </cell>
          <cell r="J415">
            <v>87200</v>
          </cell>
        </row>
        <row r="416">
          <cell r="I416" t="str">
            <v>NT0012</v>
          </cell>
          <cell r="J416">
            <v>92400</v>
          </cell>
        </row>
        <row r="417">
          <cell r="I417" t="str">
            <v>NT0016</v>
          </cell>
          <cell r="J417">
            <v>123900</v>
          </cell>
        </row>
        <row r="418">
          <cell r="I418" t="str">
            <v>NT0018</v>
          </cell>
          <cell r="J418">
            <v>140700</v>
          </cell>
        </row>
        <row r="419">
          <cell r="I419" t="str">
            <v>NT0106</v>
          </cell>
          <cell r="J419">
            <v>54600</v>
          </cell>
        </row>
        <row r="420">
          <cell r="I420" t="str">
            <v>NT0108</v>
          </cell>
          <cell r="J420">
            <v>63000</v>
          </cell>
        </row>
        <row r="421">
          <cell r="I421" t="str">
            <v>NT0110</v>
          </cell>
          <cell r="J421">
            <v>72500</v>
          </cell>
        </row>
        <row r="422">
          <cell r="I422" t="str">
            <v>NT0112</v>
          </cell>
          <cell r="J422">
            <v>75600</v>
          </cell>
        </row>
        <row r="423">
          <cell r="I423" t="str">
            <v>NT0116</v>
          </cell>
          <cell r="J423">
            <v>102900</v>
          </cell>
        </row>
        <row r="424">
          <cell r="I424" t="str">
            <v>NT0118</v>
          </cell>
          <cell r="J424">
            <v>116600</v>
          </cell>
        </row>
        <row r="425">
          <cell r="I425" t="str">
            <v>NT0100</v>
          </cell>
          <cell r="J425">
            <v>63000</v>
          </cell>
        </row>
        <row r="426">
          <cell r="I426" t="str">
            <v>NT0000</v>
          </cell>
          <cell r="J426">
            <v>72500</v>
          </cell>
        </row>
        <row r="427">
          <cell r="I427" t="str">
            <v>NT2004</v>
          </cell>
          <cell r="J427">
            <v>39900</v>
          </cell>
        </row>
        <row r="428">
          <cell r="I428" t="str">
            <v>NT2006</v>
          </cell>
          <cell r="J428">
            <v>45200</v>
          </cell>
        </row>
        <row r="429">
          <cell r="I429" t="str">
            <v>NT2008</v>
          </cell>
          <cell r="J429">
            <v>53600</v>
          </cell>
        </row>
        <row r="430">
          <cell r="I430" t="str">
            <v>NT2010</v>
          </cell>
          <cell r="J430">
            <v>63000</v>
          </cell>
        </row>
        <row r="431">
          <cell r="I431" t="str">
            <v>NT2012</v>
          </cell>
          <cell r="J431">
            <v>66200</v>
          </cell>
        </row>
        <row r="432">
          <cell r="I432" t="str">
            <v>NT2014</v>
          </cell>
          <cell r="J432">
            <v>81900</v>
          </cell>
        </row>
        <row r="433">
          <cell r="I433" t="str">
            <v>NT2016</v>
          </cell>
          <cell r="J433">
            <v>92400</v>
          </cell>
        </row>
        <row r="434">
          <cell r="I434" t="str">
            <v>NT2018</v>
          </cell>
          <cell r="J434">
            <v>95600</v>
          </cell>
        </row>
        <row r="435">
          <cell r="I435" t="str">
            <v>NT2122</v>
          </cell>
          <cell r="J435">
            <v>26300</v>
          </cell>
        </row>
        <row r="436">
          <cell r="I436" t="str">
            <v>NT2206</v>
          </cell>
          <cell r="J436">
            <v>53600</v>
          </cell>
        </row>
        <row r="437">
          <cell r="I437" t="str">
            <v>NT2208</v>
          </cell>
          <cell r="J437">
            <v>59900</v>
          </cell>
        </row>
        <row r="438">
          <cell r="I438" t="str">
            <v>NT2210</v>
          </cell>
          <cell r="J438">
            <v>66200</v>
          </cell>
        </row>
        <row r="439">
          <cell r="I439" t="str">
            <v>NT2212</v>
          </cell>
          <cell r="J439">
            <v>75600</v>
          </cell>
        </row>
        <row r="440">
          <cell r="I440" t="str">
            <v>NT2308</v>
          </cell>
          <cell r="J440">
            <v>45200</v>
          </cell>
        </row>
        <row r="441">
          <cell r="I441" t="str">
            <v>NT912</v>
          </cell>
          <cell r="J441">
            <v>84000</v>
          </cell>
        </row>
        <row r="442">
          <cell r="I442" t="str">
            <v>NT916</v>
          </cell>
          <cell r="J442">
            <v>129200</v>
          </cell>
        </row>
        <row r="443">
          <cell r="I443" t="str">
            <v>NT918</v>
          </cell>
          <cell r="J443">
            <v>153300</v>
          </cell>
        </row>
        <row r="444">
          <cell r="I444" t="str">
            <v>NT966</v>
          </cell>
          <cell r="J444">
            <v>112400</v>
          </cell>
        </row>
        <row r="445">
          <cell r="I445" t="str">
            <v>NT988</v>
          </cell>
          <cell r="J445">
            <v>143900</v>
          </cell>
        </row>
        <row r="446">
          <cell r="I446" t="str">
            <v>NT5566</v>
          </cell>
          <cell r="J446">
            <v>119700</v>
          </cell>
        </row>
        <row r="447">
          <cell r="I447" t="str">
            <v>NT5586R</v>
          </cell>
          <cell r="J447">
            <v>137600</v>
          </cell>
        </row>
        <row r="448">
          <cell r="I448" t="str">
            <v>NT5586L</v>
          </cell>
          <cell r="J448">
            <v>137600</v>
          </cell>
        </row>
        <row r="449">
          <cell r="I449" t="str">
            <v>NT5588</v>
          </cell>
          <cell r="J449">
            <v>144900</v>
          </cell>
        </row>
        <row r="450">
          <cell r="I450" t="str">
            <v>NT5806R</v>
          </cell>
          <cell r="J450">
            <v>80900</v>
          </cell>
        </row>
        <row r="451">
          <cell r="I451" t="str">
            <v>NT5806L</v>
          </cell>
          <cell r="J451">
            <v>80900</v>
          </cell>
        </row>
        <row r="452">
          <cell r="I452" t="str">
            <v>NT5266</v>
          </cell>
          <cell r="J452">
            <v>150200</v>
          </cell>
        </row>
        <row r="453">
          <cell r="I453" t="str">
            <v>NT5288</v>
          </cell>
          <cell r="J453">
            <v>155400</v>
          </cell>
        </row>
        <row r="454">
          <cell r="I454" t="str">
            <v>NT3006</v>
          </cell>
          <cell r="J454">
            <v>30500</v>
          </cell>
        </row>
        <row r="455">
          <cell r="I455" t="str">
            <v>NT3008</v>
          </cell>
          <cell r="J455">
            <v>35700</v>
          </cell>
        </row>
        <row r="456">
          <cell r="I456" t="str">
            <v>NT3010</v>
          </cell>
          <cell r="J456">
            <v>39900</v>
          </cell>
        </row>
        <row r="457">
          <cell r="I457" t="str">
            <v>NT3012</v>
          </cell>
          <cell r="J457">
            <v>45200</v>
          </cell>
        </row>
        <row r="458">
          <cell r="I458" t="str">
            <v>NT3306</v>
          </cell>
          <cell r="J458">
            <v>90300</v>
          </cell>
        </row>
        <row r="459">
          <cell r="I459" t="str">
            <v>NT3308</v>
          </cell>
          <cell r="J459">
            <v>99800</v>
          </cell>
        </row>
        <row r="460">
          <cell r="I460" t="str">
            <v>NT3310</v>
          </cell>
          <cell r="J460">
            <v>119700</v>
          </cell>
        </row>
        <row r="461">
          <cell r="I461" t="str">
            <v>NT3312</v>
          </cell>
          <cell r="J461">
            <v>161700</v>
          </cell>
        </row>
        <row r="462">
          <cell r="I462" t="str">
            <v>NA0206</v>
          </cell>
          <cell r="J462">
            <v>6500</v>
          </cell>
        </row>
        <row r="463">
          <cell r="I463" t="str">
            <v>NA0208</v>
          </cell>
          <cell r="J463">
            <v>6500</v>
          </cell>
        </row>
        <row r="464">
          <cell r="I464" t="str">
            <v>NA0210</v>
          </cell>
          <cell r="J464">
            <v>8100</v>
          </cell>
        </row>
        <row r="465">
          <cell r="I465" t="str">
            <v>NA0212</v>
          </cell>
          <cell r="J465">
            <v>8100</v>
          </cell>
        </row>
        <row r="466">
          <cell r="I466" t="str">
            <v>NA0300</v>
          </cell>
          <cell r="J466">
            <v>4800</v>
          </cell>
        </row>
        <row r="467">
          <cell r="I467" t="str">
            <v>NA0400</v>
          </cell>
          <cell r="J467">
            <v>1300</v>
          </cell>
        </row>
        <row r="468">
          <cell r="I468" t="str">
            <v>CH0001</v>
          </cell>
          <cell r="J468">
            <v>39900</v>
          </cell>
        </row>
        <row r="469">
          <cell r="I469" t="str">
            <v>CH0002</v>
          </cell>
          <cell r="J469">
            <v>75600</v>
          </cell>
        </row>
        <row r="470">
          <cell r="I470" t="str">
            <v>CH0003</v>
          </cell>
          <cell r="J470">
            <v>65100</v>
          </cell>
        </row>
        <row r="471">
          <cell r="I471" t="str">
            <v>CH0004</v>
          </cell>
          <cell r="J471">
            <v>80900</v>
          </cell>
        </row>
        <row r="472">
          <cell r="I472" t="str">
            <v>CH0005</v>
          </cell>
          <cell r="J472">
            <v>158600</v>
          </cell>
        </row>
        <row r="473">
          <cell r="I473" t="str">
            <v>CH0005R</v>
          </cell>
          <cell r="J473">
            <v>13700</v>
          </cell>
        </row>
        <row r="474">
          <cell r="I474" t="str">
            <v>CH0005T</v>
          </cell>
          <cell r="J474">
            <v>34700</v>
          </cell>
        </row>
        <row r="475">
          <cell r="I475" t="str">
            <v>CH0007</v>
          </cell>
          <cell r="J475">
            <v>94500</v>
          </cell>
        </row>
        <row r="476">
          <cell r="I476" t="str">
            <v>CH0007천</v>
          </cell>
          <cell r="J476">
            <v>113400</v>
          </cell>
        </row>
        <row r="477">
          <cell r="I477" t="str">
            <v>CH0007B</v>
          </cell>
          <cell r="J477">
            <v>55700</v>
          </cell>
        </row>
        <row r="478">
          <cell r="I478" t="str">
            <v>CH0007B천</v>
          </cell>
          <cell r="J478">
            <v>75600</v>
          </cell>
        </row>
        <row r="479">
          <cell r="I479" t="str">
            <v>CH0007T</v>
          </cell>
          <cell r="J479">
            <v>27300</v>
          </cell>
        </row>
        <row r="480">
          <cell r="I480" t="str">
            <v>CH0007A</v>
          </cell>
          <cell r="J480">
            <v>10700</v>
          </cell>
        </row>
        <row r="481">
          <cell r="I481" t="str">
            <v>CH0007S</v>
          </cell>
          <cell r="J481">
            <v>27300</v>
          </cell>
        </row>
        <row r="482">
          <cell r="I482" t="str">
            <v>CH0007C</v>
          </cell>
          <cell r="J482">
            <v>26800</v>
          </cell>
        </row>
        <row r="483">
          <cell r="I483" t="str">
            <v>CH0007N</v>
          </cell>
          <cell r="J483">
            <v>500</v>
          </cell>
        </row>
        <row r="484">
          <cell r="I484" t="str">
            <v>CH0100</v>
          </cell>
          <cell r="J484">
            <v>602700</v>
          </cell>
        </row>
        <row r="485">
          <cell r="I485" t="str">
            <v>CH0101</v>
          </cell>
          <cell r="J485">
            <v>383300</v>
          </cell>
        </row>
        <row r="486">
          <cell r="I486" t="str">
            <v>CH0111</v>
          </cell>
          <cell r="J486">
            <v>254100</v>
          </cell>
        </row>
        <row r="487">
          <cell r="I487" t="str">
            <v>CH0200</v>
          </cell>
          <cell r="J487">
            <v>326600</v>
          </cell>
        </row>
        <row r="488">
          <cell r="I488" t="str">
            <v>CH0201</v>
          </cell>
          <cell r="J488">
            <v>302400</v>
          </cell>
        </row>
        <row r="489">
          <cell r="I489" t="str">
            <v>CH0211</v>
          </cell>
          <cell r="J489">
            <v>246800</v>
          </cell>
        </row>
        <row r="490">
          <cell r="I490" t="str">
            <v>CH0300</v>
          </cell>
          <cell r="J490">
            <v>153300</v>
          </cell>
        </row>
        <row r="491">
          <cell r="I491" t="str">
            <v>CH0303</v>
          </cell>
          <cell r="J491">
            <v>152300</v>
          </cell>
        </row>
        <row r="492">
          <cell r="I492" t="str">
            <v>CH0301</v>
          </cell>
          <cell r="J492">
            <v>135500</v>
          </cell>
        </row>
        <row r="493">
          <cell r="I493" t="str">
            <v>CH0302</v>
          </cell>
          <cell r="J493">
            <v>117600</v>
          </cell>
        </row>
        <row r="494">
          <cell r="I494" t="str">
            <v>CH0311</v>
          </cell>
          <cell r="J494">
            <v>98700</v>
          </cell>
        </row>
        <row r="495">
          <cell r="I495" t="str">
            <v>CH0300B</v>
          </cell>
          <cell r="J495">
            <v>170100</v>
          </cell>
        </row>
        <row r="496">
          <cell r="I496" t="str">
            <v>CH0301B</v>
          </cell>
          <cell r="J496">
            <v>143900</v>
          </cell>
        </row>
        <row r="497">
          <cell r="I497" t="str">
            <v>CH0311B</v>
          </cell>
          <cell r="J497">
            <v>119700</v>
          </cell>
        </row>
        <row r="498">
          <cell r="I498" t="str">
            <v>CH0332</v>
          </cell>
          <cell r="J498">
            <v>185900</v>
          </cell>
        </row>
        <row r="499">
          <cell r="I499" t="str">
            <v>CH0333</v>
          </cell>
          <cell r="J499">
            <v>257300</v>
          </cell>
        </row>
        <row r="500">
          <cell r="I500" t="str">
            <v>CH0332S</v>
          </cell>
          <cell r="J500">
            <v>210000</v>
          </cell>
        </row>
        <row r="501">
          <cell r="I501" t="str">
            <v>CH0032</v>
          </cell>
          <cell r="J501">
            <v>98100</v>
          </cell>
        </row>
        <row r="502">
          <cell r="I502" t="str">
            <v>CH0033</v>
          </cell>
          <cell r="J502">
            <v>126000</v>
          </cell>
        </row>
        <row r="503">
          <cell r="I503" t="str">
            <v>CH0032S</v>
          </cell>
          <cell r="J503">
            <v>120800</v>
          </cell>
        </row>
        <row r="504">
          <cell r="I504" t="str">
            <v>CH0342</v>
          </cell>
          <cell r="J504">
            <v>120800</v>
          </cell>
        </row>
        <row r="505">
          <cell r="I505" t="str">
            <v>CH0342S</v>
          </cell>
          <cell r="J505">
            <v>147000</v>
          </cell>
        </row>
        <row r="506">
          <cell r="I506" t="str">
            <v>CH0343</v>
          </cell>
          <cell r="J506">
            <v>159600</v>
          </cell>
        </row>
        <row r="507">
          <cell r="I507" t="str">
            <v>CH0401</v>
          </cell>
          <cell r="J507">
            <v>219500</v>
          </cell>
        </row>
        <row r="508">
          <cell r="I508" t="str">
            <v>CH0402</v>
          </cell>
          <cell r="J508">
            <v>189000</v>
          </cell>
        </row>
        <row r="509">
          <cell r="I509" t="str">
            <v>CH0411</v>
          </cell>
          <cell r="J509">
            <v>135500</v>
          </cell>
        </row>
        <row r="510">
          <cell r="I510" t="str">
            <v>CH0491</v>
          </cell>
          <cell r="J510">
            <v>23100</v>
          </cell>
        </row>
        <row r="511">
          <cell r="I511" t="str">
            <v>CH0500</v>
          </cell>
          <cell r="J511">
            <v>170100</v>
          </cell>
        </row>
        <row r="512">
          <cell r="I512" t="str">
            <v>CH0501</v>
          </cell>
          <cell r="J512">
            <v>159600</v>
          </cell>
        </row>
        <row r="513">
          <cell r="I513" t="str">
            <v>CH0502</v>
          </cell>
          <cell r="J513">
            <v>150200</v>
          </cell>
        </row>
        <row r="514">
          <cell r="I514" t="str">
            <v>CH0511</v>
          </cell>
          <cell r="J514">
            <v>107100</v>
          </cell>
        </row>
        <row r="515">
          <cell r="I515" t="str">
            <v>CH0600</v>
          </cell>
          <cell r="J515">
            <v>221600</v>
          </cell>
        </row>
        <row r="516">
          <cell r="I516" t="str">
            <v>CH0601</v>
          </cell>
          <cell r="J516">
            <v>201600</v>
          </cell>
        </row>
        <row r="517">
          <cell r="I517" t="str">
            <v>CH0602</v>
          </cell>
          <cell r="J517">
            <v>177500</v>
          </cell>
        </row>
        <row r="518">
          <cell r="I518" t="str">
            <v>CH0611</v>
          </cell>
          <cell r="J518">
            <v>159600</v>
          </cell>
        </row>
        <row r="519">
          <cell r="I519" t="str">
            <v>CH0701</v>
          </cell>
          <cell r="J519">
            <v>120800</v>
          </cell>
        </row>
        <row r="520">
          <cell r="I520" t="str">
            <v>CH0702</v>
          </cell>
          <cell r="J520">
            <v>102900</v>
          </cell>
        </row>
        <row r="521">
          <cell r="I521" t="str">
            <v>CH0712</v>
          </cell>
          <cell r="J521">
            <v>78800</v>
          </cell>
        </row>
        <row r="522">
          <cell r="I522" t="str">
            <v>CH0801</v>
          </cell>
          <cell r="J522">
            <v>108200</v>
          </cell>
        </row>
        <row r="523">
          <cell r="I523" t="str">
            <v>CH0802</v>
          </cell>
          <cell r="J523">
            <v>90300</v>
          </cell>
        </row>
        <row r="524">
          <cell r="I524" t="str">
            <v>CH0812</v>
          </cell>
          <cell r="J524">
            <v>66200</v>
          </cell>
        </row>
        <row r="525">
          <cell r="I525" t="str">
            <v>CH0900</v>
          </cell>
          <cell r="J525">
            <v>798000</v>
          </cell>
        </row>
        <row r="526">
          <cell r="I526" t="str">
            <v>CH0901</v>
          </cell>
          <cell r="J526">
            <v>707700</v>
          </cell>
        </row>
        <row r="527">
          <cell r="I527" t="str">
            <v>CH0911</v>
          </cell>
          <cell r="J527">
            <v>614300</v>
          </cell>
        </row>
        <row r="528">
          <cell r="I528" t="str">
            <v>CH1000</v>
          </cell>
          <cell r="J528">
            <v>882000</v>
          </cell>
        </row>
        <row r="529">
          <cell r="I529" t="str">
            <v>CH1001</v>
          </cell>
          <cell r="J529">
            <v>764400</v>
          </cell>
        </row>
        <row r="530">
          <cell r="I530" t="str">
            <v>CH9000</v>
          </cell>
          <cell r="J530">
            <v>3011400</v>
          </cell>
        </row>
        <row r="531">
          <cell r="I531" t="str">
            <v>CH9901</v>
          </cell>
          <cell r="J531">
            <v>45200</v>
          </cell>
        </row>
        <row r="532">
          <cell r="I532" t="str">
            <v>CH9903</v>
          </cell>
          <cell r="J532">
            <v>45200</v>
          </cell>
        </row>
        <row r="533">
          <cell r="I533" t="str">
            <v>CH9905</v>
          </cell>
          <cell r="J533">
            <v>66200</v>
          </cell>
        </row>
        <row r="534">
          <cell r="I534" t="str">
            <v>CH0907</v>
          </cell>
          <cell r="J534">
            <v>102900</v>
          </cell>
        </row>
        <row r="535">
          <cell r="I535" t="str">
            <v>CH9917</v>
          </cell>
          <cell r="J535">
            <v>210000</v>
          </cell>
        </row>
        <row r="536">
          <cell r="I536" t="str">
            <v>CS0101</v>
          </cell>
          <cell r="J536">
            <v>219500</v>
          </cell>
        </row>
        <row r="537">
          <cell r="I537" t="str">
            <v>CS0103</v>
          </cell>
          <cell r="J537">
            <v>392700</v>
          </cell>
        </row>
        <row r="538">
          <cell r="I538" t="str">
            <v>CS0301</v>
          </cell>
          <cell r="J538">
            <v>258300</v>
          </cell>
        </row>
        <row r="539">
          <cell r="I539" t="str">
            <v>CS0303</v>
          </cell>
          <cell r="J539">
            <v>449400</v>
          </cell>
        </row>
        <row r="540">
          <cell r="I540" t="str">
            <v>CS401천연</v>
          </cell>
          <cell r="J540">
            <v>407400</v>
          </cell>
        </row>
        <row r="541">
          <cell r="I541" t="str">
            <v>CS401인조</v>
          </cell>
          <cell r="J541">
            <v>300300</v>
          </cell>
        </row>
        <row r="542">
          <cell r="I542" t="str">
            <v>CS0501</v>
          </cell>
          <cell r="J542">
            <v>197400</v>
          </cell>
        </row>
        <row r="543">
          <cell r="I543" t="str">
            <v>CS0503</v>
          </cell>
          <cell r="J543">
            <v>329700</v>
          </cell>
        </row>
        <row r="544">
          <cell r="I544" t="str">
            <v>CS0601</v>
          </cell>
          <cell r="J544">
            <v>246800</v>
          </cell>
        </row>
        <row r="545">
          <cell r="I545" t="str">
            <v>CS0603</v>
          </cell>
          <cell r="J545">
            <v>411600</v>
          </cell>
        </row>
        <row r="546">
          <cell r="I546" t="str">
            <v>CS0701</v>
          </cell>
          <cell r="J546">
            <v>305600</v>
          </cell>
        </row>
        <row r="547">
          <cell r="I547" t="str">
            <v>CS0703</v>
          </cell>
          <cell r="J547">
            <v>483000</v>
          </cell>
        </row>
        <row r="548">
          <cell r="I548" t="str">
            <v>CS0801천연</v>
          </cell>
          <cell r="J548">
            <v>909300</v>
          </cell>
        </row>
        <row r="549">
          <cell r="I549" t="str">
            <v>CS0803천연</v>
          </cell>
          <cell r="J549">
            <v>357000</v>
          </cell>
        </row>
        <row r="550">
          <cell r="I550" t="str">
            <v>CS0801인조</v>
          </cell>
          <cell r="J550">
            <v>1494200</v>
          </cell>
        </row>
        <row r="551">
          <cell r="I551" t="str">
            <v>CS0803인조</v>
          </cell>
          <cell r="J551">
            <v>576500</v>
          </cell>
        </row>
        <row r="552">
          <cell r="I552" t="str">
            <v>CS0901</v>
          </cell>
          <cell r="J552">
            <v>906200</v>
          </cell>
        </row>
        <row r="553">
          <cell r="I553" t="str">
            <v>CS0902</v>
          </cell>
          <cell r="J553">
            <v>1107800</v>
          </cell>
        </row>
        <row r="554">
          <cell r="I554" t="str">
            <v>CS0903</v>
          </cell>
          <cell r="J554">
            <v>1434300</v>
          </cell>
        </row>
        <row r="555">
          <cell r="I555" t="str">
            <v>CS1001</v>
          </cell>
          <cell r="J555">
            <v>945000</v>
          </cell>
        </row>
        <row r="556">
          <cell r="I556" t="str">
            <v>CS1002</v>
          </cell>
          <cell r="J556">
            <v>1211700</v>
          </cell>
        </row>
        <row r="557">
          <cell r="I557" t="str">
            <v>CS1003</v>
          </cell>
          <cell r="J557">
            <v>1530900</v>
          </cell>
        </row>
        <row r="558">
          <cell r="I558" t="str">
            <v>EL0104</v>
          </cell>
          <cell r="J558">
            <v>68300</v>
          </cell>
        </row>
        <row r="559">
          <cell r="I559" t="str">
            <v>EL0112</v>
          </cell>
          <cell r="J559">
            <v>98700</v>
          </cell>
        </row>
        <row r="560">
          <cell r="I560" t="str">
            <v>CL0204</v>
          </cell>
          <cell r="J560">
            <v>90300</v>
          </cell>
        </row>
        <row r="561">
          <cell r="I561" t="str">
            <v>CL0207</v>
          </cell>
          <cell r="J561">
            <v>86100</v>
          </cell>
        </row>
        <row r="562">
          <cell r="I562" t="str">
            <v>CL0212</v>
          </cell>
          <cell r="J562">
            <v>107100</v>
          </cell>
        </row>
        <row r="563">
          <cell r="I563" t="str">
            <v>CL034</v>
          </cell>
          <cell r="J563">
            <v>153300</v>
          </cell>
        </row>
        <row r="564">
          <cell r="I564" t="str">
            <v>CL031</v>
          </cell>
          <cell r="J564">
            <v>183800</v>
          </cell>
        </row>
        <row r="565">
          <cell r="I565" t="str">
            <v>CL046</v>
          </cell>
          <cell r="J565">
            <v>174300</v>
          </cell>
        </row>
        <row r="566">
          <cell r="I566" t="str">
            <v>CL044</v>
          </cell>
          <cell r="J566">
            <v>185900</v>
          </cell>
        </row>
        <row r="567">
          <cell r="I567" t="str">
            <v>CL041</v>
          </cell>
          <cell r="J567">
            <v>243600</v>
          </cell>
        </row>
        <row r="568">
          <cell r="I568" t="str">
            <v>CL056</v>
          </cell>
          <cell r="J568">
            <v>117600</v>
          </cell>
        </row>
        <row r="569">
          <cell r="I569" t="str">
            <v>CL054</v>
          </cell>
          <cell r="J569">
            <v>129200</v>
          </cell>
        </row>
        <row r="570">
          <cell r="I570" t="str">
            <v>CL051</v>
          </cell>
          <cell r="J570">
            <v>185900</v>
          </cell>
        </row>
        <row r="571">
          <cell r="I571" t="str">
            <v>PL0904</v>
          </cell>
          <cell r="J571">
            <v>245700</v>
          </cell>
        </row>
        <row r="572">
          <cell r="I572" t="str">
            <v>PL0908</v>
          </cell>
          <cell r="J572">
            <v>227900</v>
          </cell>
        </row>
        <row r="573">
          <cell r="I573" t="str">
            <v>PL0912</v>
          </cell>
          <cell r="J573">
            <v>261500</v>
          </cell>
        </row>
        <row r="574">
          <cell r="I574" t="str">
            <v>PL0914</v>
          </cell>
          <cell r="J574">
            <v>297200</v>
          </cell>
        </row>
        <row r="575">
          <cell r="I575" t="str">
            <v>AT0106</v>
          </cell>
          <cell r="J575">
            <v>54600</v>
          </cell>
        </row>
        <row r="576">
          <cell r="I576" t="str">
            <v>AT0108</v>
          </cell>
          <cell r="J576">
            <v>63000</v>
          </cell>
        </row>
        <row r="577">
          <cell r="I577" t="str">
            <v>AT0110</v>
          </cell>
          <cell r="J577">
            <v>72500</v>
          </cell>
        </row>
        <row r="578">
          <cell r="I578" t="str">
            <v>AT0112</v>
          </cell>
          <cell r="J578">
            <v>75600</v>
          </cell>
        </row>
        <row r="579">
          <cell r="I579" t="str">
            <v>AT0114</v>
          </cell>
          <cell r="J579">
            <v>87200</v>
          </cell>
        </row>
        <row r="580">
          <cell r="I580" t="str">
            <v>AT0116</v>
          </cell>
          <cell r="J580">
            <v>102900</v>
          </cell>
        </row>
        <row r="581">
          <cell r="I581" t="str">
            <v>AT0118</v>
          </cell>
          <cell r="J581">
            <v>116600</v>
          </cell>
        </row>
        <row r="582">
          <cell r="I582" t="str">
            <v>AT0006</v>
          </cell>
          <cell r="J582">
            <v>66200</v>
          </cell>
        </row>
        <row r="583">
          <cell r="I583" t="str">
            <v>AT0008</v>
          </cell>
          <cell r="J583">
            <v>74600</v>
          </cell>
        </row>
        <row r="584">
          <cell r="I584" t="str">
            <v>AT0010</v>
          </cell>
          <cell r="J584">
            <v>87200</v>
          </cell>
        </row>
        <row r="585">
          <cell r="I585" t="str">
            <v>AT0012</v>
          </cell>
          <cell r="J585">
            <v>92400</v>
          </cell>
        </row>
        <row r="586">
          <cell r="I586" t="str">
            <v>AT0014</v>
          </cell>
          <cell r="J586">
            <v>110300</v>
          </cell>
        </row>
        <row r="587">
          <cell r="I587" t="str">
            <v>AT0016</v>
          </cell>
          <cell r="J587">
            <v>123900</v>
          </cell>
        </row>
        <row r="588">
          <cell r="I588" t="str">
            <v>AT0018</v>
          </cell>
          <cell r="J588">
            <v>140700</v>
          </cell>
        </row>
        <row r="589">
          <cell r="I589" t="str">
            <v>AT0000R</v>
          </cell>
          <cell r="J589">
            <v>56700</v>
          </cell>
        </row>
        <row r="590">
          <cell r="I590" t="str">
            <v>AT0000L</v>
          </cell>
          <cell r="J590">
            <v>56700</v>
          </cell>
        </row>
        <row r="591">
          <cell r="I591" t="str">
            <v>AT0100R</v>
          </cell>
          <cell r="J591">
            <v>45200</v>
          </cell>
        </row>
        <row r="592">
          <cell r="I592" t="str">
            <v>AT0100L</v>
          </cell>
          <cell r="J592">
            <v>45200</v>
          </cell>
        </row>
        <row r="593">
          <cell r="I593" t="str">
            <v>AT5066</v>
          </cell>
          <cell r="J593">
            <v>128100</v>
          </cell>
        </row>
        <row r="594">
          <cell r="I594" t="str">
            <v>AT5086R</v>
          </cell>
          <cell r="J594">
            <v>144900</v>
          </cell>
        </row>
        <row r="595">
          <cell r="I595" t="str">
            <v>AT5086L</v>
          </cell>
          <cell r="J595">
            <v>144900</v>
          </cell>
        </row>
        <row r="596">
          <cell r="I596" t="str">
            <v>AT5088</v>
          </cell>
          <cell r="J596">
            <v>155400</v>
          </cell>
        </row>
        <row r="597">
          <cell r="I597" t="str">
            <v>AT5806R</v>
          </cell>
          <cell r="J597">
            <v>90300</v>
          </cell>
        </row>
        <row r="598">
          <cell r="I598" t="str">
            <v>AT5806L</v>
          </cell>
          <cell r="J598">
            <v>90300</v>
          </cell>
        </row>
        <row r="599">
          <cell r="I599" t="str">
            <v>AT5166</v>
          </cell>
          <cell r="J599">
            <v>110300</v>
          </cell>
        </row>
        <row r="600">
          <cell r="I600" t="str">
            <v>AT5186R</v>
          </cell>
          <cell r="J600">
            <v>128100</v>
          </cell>
        </row>
        <row r="601">
          <cell r="I601" t="str">
            <v>AT5186L</v>
          </cell>
          <cell r="J601">
            <v>128100</v>
          </cell>
        </row>
        <row r="602">
          <cell r="I602" t="str">
            <v>AT5188</v>
          </cell>
          <cell r="J602">
            <v>137600</v>
          </cell>
        </row>
        <row r="603">
          <cell r="I603" t="str">
            <v>AT5266</v>
          </cell>
          <cell r="J603">
            <v>161700</v>
          </cell>
        </row>
        <row r="604">
          <cell r="I604" t="str">
            <v>AT5288</v>
          </cell>
          <cell r="J604">
            <v>164900</v>
          </cell>
        </row>
        <row r="605">
          <cell r="I605" t="str">
            <v>AT912</v>
          </cell>
          <cell r="J605">
            <v>122900</v>
          </cell>
        </row>
        <row r="606">
          <cell r="I606" t="str">
            <v>AT914</v>
          </cell>
          <cell r="J606">
            <v>156500</v>
          </cell>
        </row>
        <row r="607">
          <cell r="I607" t="str">
            <v>AT916</v>
          </cell>
          <cell r="J607">
            <v>162800</v>
          </cell>
        </row>
        <row r="608">
          <cell r="I608" t="str">
            <v>AT918</v>
          </cell>
          <cell r="J608">
            <v>185900</v>
          </cell>
        </row>
        <row r="609">
          <cell r="I609" t="str">
            <v>AT988A</v>
          </cell>
          <cell r="J609">
            <v>176400</v>
          </cell>
        </row>
        <row r="610">
          <cell r="I610" t="str">
            <v>AT966A</v>
          </cell>
          <cell r="J610">
            <v>144900</v>
          </cell>
        </row>
        <row r="611">
          <cell r="I611" t="str">
            <v>AT988B</v>
          </cell>
          <cell r="J611">
            <v>198500</v>
          </cell>
        </row>
        <row r="612">
          <cell r="I612" t="str">
            <v>AT966B</v>
          </cell>
          <cell r="J612">
            <v>186900</v>
          </cell>
        </row>
        <row r="613">
          <cell r="I613" t="str">
            <v>AT914CR</v>
          </cell>
          <cell r="J613">
            <v>183800</v>
          </cell>
        </row>
        <row r="614">
          <cell r="I614" t="str">
            <v>AT914CL</v>
          </cell>
          <cell r="J614">
            <v>183800</v>
          </cell>
        </row>
        <row r="615">
          <cell r="I615" t="str">
            <v>AT916CR</v>
          </cell>
          <cell r="J615">
            <v>195300</v>
          </cell>
        </row>
        <row r="616">
          <cell r="I616" t="str">
            <v>AT916CL</v>
          </cell>
          <cell r="J616">
            <v>195300</v>
          </cell>
        </row>
        <row r="617">
          <cell r="I617" t="str">
            <v>AT966D</v>
          </cell>
          <cell r="J617">
            <v>203700</v>
          </cell>
        </row>
        <row r="618">
          <cell r="I618" t="str">
            <v>AT2004</v>
          </cell>
          <cell r="J618">
            <v>39900</v>
          </cell>
        </row>
        <row r="619">
          <cell r="I619" t="str">
            <v>AT2006</v>
          </cell>
          <cell r="J619">
            <v>45200</v>
          </cell>
        </row>
        <row r="620">
          <cell r="I620" t="str">
            <v>AT2008</v>
          </cell>
          <cell r="J620">
            <v>53600</v>
          </cell>
        </row>
        <row r="621">
          <cell r="I621" t="str">
            <v>AT2010</v>
          </cell>
          <cell r="J621">
            <v>63000</v>
          </cell>
        </row>
        <row r="622">
          <cell r="I622" t="str">
            <v>AT2012</v>
          </cell>
          <cell r="J622">
            <v>66200</v>
          </cell>
        </row>
        <row r="623">
          <cell r="I623" t="str">
            <v>AT2014</v>
          </cell>
          <cell r="J623">
            <v>81900</v>
          </cell>
        </row>
        <row r="624">
          <cell r="I624" t="str">
            <v>AT2016</v>
          </cell>
          <cell r="J624">
            <v>92400</v>
          </cell>
        </row>
        <row r="625">
          <cell r="I625" t="str">
            <v>AT2018</v>
          </cell>
          <cell r="J625">
            <v>95600</v>
          </cell>
        </row>
        <row r="626">
          <cell r="I626" t="str">
            <v>AT2122</v>
          </cell>
          <cell r="J626">
            <v>26300</v>
          </cell>
        </row>
        <row r="627">
          <cell r="I627" t="str">
            <v>AT2206</v>
          </cell>
          <cell r="J627">
            <v>53600</v>
          </cell>
        </row>
        <row r="628">
          <cell r="I628" t="str">
            <v>AT2208</v>
          </cell>
          <cell r="J628">
            <v>59900</v>
          </cell>
        </row>
        <row r="629">
          <cell r="I629" t="str">
            <v>AT2210</v>
          </cell>
          <cell r="J629">
            <v>66200</v>
          </cell>
        </row>
        <row r="630">
          <cell r="I630" t="str">
            <v>AT2212</v>
          </cell>
          <cell r="J630">
            <v>75600</v>
          </cell>
        </row>
        <row r="631">
          <cell r="I631" t="str">
            <v>AT2308</v>
          </cell>
          <cell r="J631">
            <v>45200</v>
          </cell>
        </row>
        <row r="632">
          <cell r="I632" t="str">
            <v>AA0006</v>
          </cell>
          <cell r="J632">
            <v>12600</v>
          </cell>
        </row>
        <row r="633">
          <cell r="I633" t="str">
            <v>AA0007</v>
          </cell>
          <cell r="J633">
            <v>14700</v>
          </cell>
        </row>
        <row r="634">
          <cell r="I634" t="str">
            <v>AA0008</v>
          </cell>
          <cell r="J634">
            <v>16200</v>
          </cell>
        </row>
        <row r="635">
          <cell r="I635" t="str">
            <v>AA0010</v>
          </cell>
          <cell r="J635">
            <v>20000</v>
          </cell>
        </row>
        <row r="636">
          <cell r="I636" t="str">
            <v>AA0012</v>
          </cell>
          <cell r="J636">
            <v>23400</v>
          </cell>
        </row>
        <row r="637">
          <cell r="I637" t="str">
            <v>AA0101</v>
          </cell>
          <cell r="J637">
            <v>5400</v>
          </cell>
        </row>
        <row r="638">
          <cell r="I638" t="str">
            <v>AA0102</v>
          </cell>
          <cell r="J638">
            <v>7600</v>
          </cell>
        </row>
        <row r="639">
          <cell r="I639" t="str">
            <v>AA0103</v>
          </cell>
          <cell r="J639">
            <v>9500</v>
          </cell>
        </row>
        <row r="640">
          <cell r="I640" t="str">
            <v>AA0104</v>
          </cell>
          <cell r="J640">
            <v>4200</v>
          </cell>
        </row>
        <row r="641">
          <cell r="I641" t="str">
            <v>AA0105</v>
          </cell>
          <cell r="J641">
            <v>6600</v>
          </cell>
        </row>
        <row r="642">
          <cell r="I642" t="str">
            <v>AA0106</v>
          </cell>
          <cell r="J642">
            <v>3400</v>
          </cell>
        </row>
        <row r="643">
          <cell r="I643" t="str">
            <v>AA1006</v>
          </cell>
          <cell r="J643">
            <v>9700</v>
          </cell>
        </row>
        <row r="644">
          <cell r="I644" t="str">
            <v>AA1007</v>
          </cell>
          <cell r="J644">
            <v>10800</v>
          </cell>
        </row>
        <row r="645">
          <cell r="I645" t="str">
            <v>AA1008</v>
          </cell>
          <cell r="J645">
            <v>12000</v>
          </cell>
        </row>
        <row r="646">
          <cell r="I646" t="str">
            <v>AA1010</v>
          </cell>
          <cell r="J646">
            <v>14400</v>
          </cell>
        </row>
        <row r="647">
          <cell r="I647" t="str">
            <v>AA1012</v>
          </cell>
          <cell r="J647">
            <v>16800</v>
          </cell>
        </row>
        <row r="648">
          <cell r="I648" t="str">
            <v>AA0901B</v>
          </cell>
          <cell r="J648">
            <v>82200</v>
          </cell>
        </row>
        <row r="649">
          <cell r="I649" t="str">
            <v>AA9901</v>
          </cell>
          <cell r="J649">
            <v>6000</v>
          </cell>
        </row>
        <row r="650">
          <cell r="I650" t="str">
            <v>AA0200</v>
          </cell>
          <cell r="J650">
            <v>1300</v>
          </cell>
        </row>
        <row r="651">
          <cell r="I651" t="str">
            <v>AF060</v>
          </cell>
          <cell r="J651">
            <v>143900</v>
          </cell>
        </row>
        <row r="652">
          <cell r="I652" t="str">
            <v>AF070</v>
          </cell>
          <cell r="J652">
            <v>157500</v>
          </cell>
        </row>
        <row r="653">
          <cell r="I653" t="str">
            <v>AF080</v>
          </cell>
          <cell r="J653">
            <v>167000</v>
          </cell>
        </row>
        <row r="654">
          <cell r="I654" t="str">
            <v>AF100</v>
          </cell>
          <cell r="J654">
            <v>184800</v>
          </cell>
        </row>
        <row r="655">
          <cell r="I655" t="str">
            <v>AF120</v>
          </cell>
          <cell r="J655">
            <v>204800</v>
          </cell>
        </row>
        <row r="656">
          <cell r="I656" t="str">
            <v>AF062</v>
          </cell>
          <cell r="J656">
            <v>170100</v>
          </cell>
        </row>
        <row r="657">
          <cell r="I657" t="str">
            <v>AF072</v>
          </cell>
          <cell r="J657">
            <v>184800</v>
          </cell>
        </row>
        <row r="658">
          <cell r="I658" t="str">
            <v>AF082</v>
          </cell>
          <cell r="J658">
            <v>198500</v>
          </cell>
        </row>
        <row r="659">
          <cell r="I659" t="str">
            <v>AF102</v>
          </cell>
          <cell r="J659">
            <v>220500</v>
          </cell>
        </row>
        <row r="660">
          <cell r="I660" t="str">
            <v>AF122</v>
          </cell>
          <cell r="J660">
            <v>244700</v>
          </cell>
        </row>
        <row r="661">
          <cell r="I661" t="str">
            <v>AF064</v>
          </cell>
          <cell r="J661">
            <v>195300</v>
          </cell>
        </row>
        <row r="662">
          <cell r="I662" t="str">
            <v>AF074</v>
          </cell>
          <cell r="J662">
            <v>214200</v>
          </cell>
        </row>
        <row r="663">
          <cell r="I663" t="str">
            <v>AF084</v>
          </cell>
          <cell r="J663">
            <v>228900</v>
          </cell>
        </row>
        <row r="664">
          <cell r="I664" t="str">
            <v>AF104</v>
          </cell>
          <cell r="J664">
            <v>256200</v>
          </cell>
        </row>
        <row r="665">
          <cell r="I665" t="str">
            <v>AF124</v>
          </cell>
          <cell r="J665">
            <v>285600</v>
          </cell>
        </row>
        <row r="666">
          <cell r="I666" t="str">
            <v>AF066</v>
          </cell>
          <cell r="J666">
            <v>221600</v>
          </cell>
        </row>
        <row r="667">
          <cell r="I667" t="str">
            <v>AF076</v>
          </cell>
          <cell r="J667">
            <v>241500</v>
          </cell>
        </row>
        <row r="668">
          <cell r="I668" t="str">
            <v>AF086</v>
          </cell>
          <cell r="J668">
            <v>260400</v>
          </cell>
        </row>
        <row r="669">
          <cell r="I669" t="str">
            <v>AF106</v>
          </cell>
          <cell r="J669">
            <v>291900</v>
          </cell>
        </row>
        <row r="670">
          <cell r="I670" t="str">
            <v>AF126</v>
          </cell>
          <cell r="J670">
            <v>325500</v>
          </cell>
        </row>
        <row r="671">
          <cell r="I671" t="str">
            <v>AF068</v>
          </cell>
          <cell r="J671">
            <v>246800</v>
          </cell>
        </row>
        <row r="672">
          <cell r="I672" t="str">
            <v>AF078</v>
          </cell>
          <cell r="J672">
            <v>270900</v>
          </cell>
        </row>
        <row r="673">
          <cell r="I673" t="str">
            <v>AF088</v>
          </cell>
          <cell r="J673">
            <v>290900</v>
          </cell>
        </row>
        <row r="674">
          <cell r="I674" t="str">
            <v>AF108</v>
          </cell>
          <cell r="J674">
            <v>327600</v>
          </cell>
        </row>
        <row r="675">
          <cell r="I675" t="str">
            <v>AF128</v>
          </cell>
          <cell r="J675">
            <v>366500</v>
          </cell>
        </row>
        <row r="676">
          <cell r="I676" t="str">
            <v>AF062H</v>
          </cell>
          <cell r="J676">
            <v>179600</v>
          </cell>
        </row>
        <row r="677">
          <cell r="I677" t="str">
            <v>AF072H</v>
          </cell>
          <cell r="J677">
            <v>196400</v>
          </cell>
        </row>
        <row r="678">
          <cell r="I678" t="str">
            <v>AF082H</v>
          </cell>
          <cell r="J678">
            <v>211100</v>
          </cell>
        </row>
        <row r="679">
          <cell r="I679" t="str">
            <v>AF102H</v>
          </cell>
          <cell r="J679">
            <v>236300</v>
          </cell>
        </row>
        <row r="680">
          <cell r="I680" t="str">
            <v>AF122H</v>
          </cell>
          <cell r="J680">
            <v>263600</v>
          </cell>
        </row>
        <row r="681">
          <cell r="I681" t="str">
            <v>AF064H</v>
          </cell>
          <cell r="J681">
            <v>211100</v>
          </cell>
        </row>
        <row r="682">
          <cell r="I682" t="str">
            <v>AF074H</v>
          </cell>
          <cell r="J682">
            <v>232100</v>
          </cell>
        </row>
        <row r="683">
          <cell r="I683" t="str">
            <v>AF084H</v>
          </cell>
          <cell r="J683">
            <v>248900</v>
          </cell>
        </row>
        <row r="684">
          <cell r="I684" t="str">
            <v>AF104H</v>
          </cell>
          <cell r="J684">
            <v>279300</v>
          </cell>
        </row>
        <row r="685">
          <cell r="I685" t="str">
            <v>AF124H</v>
          </cell>
          <cell r="J685">
            <v>315000</v>
          </cell>
        </row>
        <row r="686">
          <cell r="I686" t="str">
            <v>AF066H</v>
          </cell>
          <cell r="J686">
            <v>237300</v>
          </cell>
        </row>
        <row r="687">
          <cell r="I687" t="str">
            <v>AF076H</v>
          </cell>
          <cell r="J687">
            <v>259400</v>
          </cell>
        </row>
        <row r="688">
          <cell r="I688" t="str">
            <v>AF086H</v>
          </cell>
          <cell r="J688">
            <v>280400</v>
          </cell>
        </row>
        <row r="689">
          <cell r="I689" t="str">
            <v>AF106H</v>
          </cell>
          <cell r="J689">
            <v>315000</v>
          </cell>
        </row>
        <row r="690">
          <cell r="I690" t="str">
            <v>AF126H</v>
          </cell>
          <cell r="J690">
            <v>354900</v>
          </cell>
        </row>
        <row r="691">
          <cell r="I691" t="str">
            <v>AF068H</v>
          </cell>
          <cell r="J691">
            <v>262500</v>
          </cell>
        </row>
        <row r="692">
          <cell r="I692" t="str">
            <v>AF078H</v>
          </cell>
          <cell r="J692">
            <v>288800</v>
          </cell>
        </row>
        <row r="693">
          <cell r="I693" t="str">
            <v>AF088H</v>
          </cell>
          <cell r="J693">
            <v>310800</v>
          </cell>
        </row>
        <row r="694">
          <cell r="I694" t="str">
            <v>AF108H</v>
          </cell>
          <cell r="J694">
            <v>350700</v>
          </cell>
        </row>
        <row r="695">
          <cell r="I695" t="str">
            <v>AF128H</v>
          </cell>
          <cell r="J695">
            <v>395900</v>
          </cell>
        </row>
        <row r="696">
          <cell r="I696" t="str">
            <v>AF060G</v>
          </cell>
          <cell r="J696">
            <v>170100</v>
          </cell>
        </row>
        <row r="697">
          <cell r="I697" t="str">
            <v>AF070G</v>
          </cell>
          <cell r="J697">
            <v>183800</v>
          </cell>
        </row>
        <row r="698">
          <cell r="I698" t="str">
            <v>AF080G</v>
          </cell>
          <cell r="J698">
            <v>193200</v>
          </cell>
        </row>
        <row r="699">
          <cell r="I699" t="str">
            <v>AF100G</v>
          </cell>
          <cell r="J699">
            <v>214200</v>
          </cell>
        </row>
        <row r="700">
          <cell r="I700" t="str">
            <v>AF120G</v>
          </cell>
          <cell r="J700">
            <v>237300</v>
          </cell>
        </row>
        <row r="701">
          <cell r="I701" t="str">
            <v>AF062G</v>
          </cell>
          <cell r="J701">
            <v>205800</v>
          </cell>
        </row>
        <row r="702">
          <cell r="I702" t="str">
            <v>AF072G</v>
          </cell>
          <cell r="J702">
            <v>222600</v>
          </cell>
        </row>
        <row r="703">
          <cell r="I703" t="str">
            <v>AF082G</v>
          </cell>
          <cell r="J703">
            <v>237300</v>
          </cell>
        </row>
        <row r="704">
          <cell r="I704" t="str">
            <v>AF102G</v>
          </cell>
          <cell r="J704">
            <v>265700</v>
          </cell>
        </row>
        <row r="705">
          <cell r="I705" t="str">
            <v>AF122G</v>
          </cell>
          <cell r="J705">
            <v>296100</v>
          </cell>
        </row>
        <row r="706">
          <cell r="I706" t="str">
            <v>AF064G</v>
          </cell>
          <cell r="J706">
            <v>237300</v>
          </cell>
        </row>
        <row r="707">
          <cell r="I707" t="str">
            <v>AF074G</v>
          </cell>
          <cell r="J707">
            <v>258300</v>
          </cell>
        </row>
        <row r="708">
          <cell r="I708" t="str">
            <v>AF084G</v>
          </cell>
          <cell r="J708">
            <v>275100</v>
          </cell>
        </row>
        <row r="709">
          <cell r="I709" t="str">
            <v>AF104G</v>
          </cell>
          <cell r="J709">
            <v>308700</v>
          </cell>
        </row>
        <row r="710">
          <cell r="I710" t="str">
            <v>AF124G</v>
          </cell>
          <cell r="J710">
            <v>347600</v>
          </cell>
        </row>
        <row r="711">
          <cell r="I711" t="str">
            <v>AF066G</v>
          </cell>
          <cell r="J711">
            <v>273000</v>
          </cell>
        </row>
        <row r="712">
          <cell r="I712" t="str">
            <v>AF076G</v>
          </cell>
          <cell r="J712">
            <v>297200</v>
          </cell>
        </row>
        <row r="713">
          <cell r="I713" t="str">
            <v>AF086G</v>
          </cell>
          <cell r="J713">
            <v>319200</v>
          </cell>
        </row>
        <row r="714">
          <cell r="I714" t="str">
            <v>AF106G</v>
          </cell>
          <cell r="J714">
            <v>360200</v>
          </cell>
        </row>
        <row r="715">
          <cell r="I715" t="str">
            <v>AF126G</v>
          </cell>
          <cell r="J715">
            <v>406400</v>
          </cell>
        </row>
        <row r="716">
          <cell r="I716" t="str">
            <v>AF068G</v>
          </cell>
          <cell r="J716">
            <v>304500</v>
          </cell>
        </row>
        <row r="717">
          <cell r="I717" t="str">
            <v>AF078G</v>
          </cell>
          <cell r="J717">
            <v>332900</v>
          </cell>
        </row>
        <row r="718">
          <cell r="I718" t="str">
            <v>AF088G</v>
          </cell>
          <cell r="J718">
            <v>357000</v>
          </cell>
        </row>
        <row r="719">
          <cell r="I719" t="str">
            <v>AF108G</v>
          </cell>
          <cell r="J719">
            <v>403200</v>
          </cell>
        </row>
        <row r="720">
          <cell r="I720" t="str">
            <v>AF128G</v>
          </cell>
          <cell r="J720">
            <v>457800</v>
          </cell>
        </row>
        <row r="721">
          <cell r="I721" t="str">
            <v>AF0060</v>
          </cell>
          <cell r="J721">
            <v>74600</v>
          </cell>
        </row>
        <row r="722">
          <cell r="I722" t="str">
            <v>AF0070</v>
          </cell>
          <cell r="J722">
            <v>77700</v>
          </cell>
        </row>
        <row r="723">
          <cell r="I723" t="str">
            <v>AF0080</v>
          </cell>
          <cell r="J723">
            <v>78800</v>
          </cell>
        </row>
        <row r="724">
          <cell r="I724" t="str">
            <v>AF0100</v>
          </cell>
          <cell r="J724">
            <v>84000</v>
          </cell>
        </row>
        <row r="725">
          <cell r="I725" t="str">
            <v>AF0120</v>
          </cell>
          <cell r="J725">
            <v>89300</v>
          </cell>
        </row>
        <row r="726">
          <cell r="I726" t="str">
            <v>AF0062</v>
          </cell>
          <cell r="J726">
            <v>77700</v>
          </cell>
        </row>
        <row r="727">
          <cell r="I727" t="str">
            <v>AF0072</v>
          </cell>
          <cell r="J727">
            <v>80900</v>
          </cell>
        </row>
        <row r="728">
          <cell r="I728" t="str">
            <v>AF0082</v>
          </cell>
          <cell r="J728">
            <v>84000</v>
          </cell>
        </row>
        <row r="729">
          <cell r="I729" t="str">
            <v>AF0102</v>
          </cell>
          <cell r="J729">
            <v>90300</v>
          </cell>
        </row>
        <row r="730">
          <cell r="I730" t="str">
            <v>AF0122</v>
          </cell>
          <cell r="J730">
            <v>96600</v>
          </cell>
        </row>
        <row r="731">
          <cell r="I731" t="str">
            <v>AF0064S</v>
          </cell>
          <cell r="J731">
            <v>18900</v>
          </cell>
        </row>
        <row r="732">
          <cell r="I732" t="str">
            <v>AF0074S</v>
          </cell>
          <cell r="J732">
            <v>21000</v>
          </cell>
        </row>
        <row r="733">
          <cell r="I733" t="str">
            <v>AF0084S</v>
          </cell>
          <cell r="J733">
            <v>23100</v>
          </cell>
        </row>
        <row r="734">
          <cell r="I734" t="str">
            <v>AF0104S</v>
          </cell>
          <cell r="J734">
            <v>26300</v>
          </cell>
        </row>
        <row r="735">
          <cell r="I735" t="str">
            <v>AF0124S</v>
          </cell>
          <cell r="J735">
            <v>29400</v>
          </cell>
        </row>
        <row r="736">
          <cell r="I736" t="str">
            <v>AF5110</v>
          </cell>
          <cell r="J736">
            <v>25800</v>
          </cell>
        </row>
        <row r="737">
          <cell r="I737" t="str">
            <v>AF5112</v>
          </cell>
          <cell r="J737">
            <v>29100</v>
          </cell>
        </row>
        <row r="738">
          <cell r="I738" t="str">
            <v>AF5114</v>
          </cell>
          <cell r="J738">
            <v>32300</v>
          </cell>
        </row>
        <row r="739">
          <cell r="I739" t="str">
            <v>AF5116</v>
          </cell>
          <cell r="J739">
            <v>35500</v>
          </cell>
        </row>
        <row r="740">
          <cell r="I740" t="str">
            <v>AF5118</v>
          </cell>
          <cell r="J740">
            <v>38700</v>
          </cell>
        </row>
        <row r="741">
          <cell r="I741" t="str">
            <v>AF5120</v>
          </cell>
          <cell r="J741">
            <v>42000</v>
          </cell>
        </row>
        <row r="742">
          <cell r="I742" t="str">
            <v>AF5210</v>
          </cell>
          <cell r="J742">
            <v>30700</v>
          </cell>
        </row>
        <row r="743">
          <cell r="I743" t="str">
            <v>AF5212</v>
          </cell>
          <cell r="J743">
            <v>35500</v>
          </cell>
        </row>
        <row r="744">
          <cell r="I744" t="str">
            <v>AF5214</v>
          </cell>
          <cell r="J744">
            <v>40400</v>
          </cell>
        </row>
        <row r="745">
          <cell r="I745" t="str">
            <v>AF5216</v>
          </cell>
          <cell r="J745">
            <v>45300</v>
          </cell>
        </row>
        <row r="746">
          <cell r="I746" t="str">
            <v>AF5218</v>
          </cell>
          <cell r="J746">
            <v>50100</v>
          </cell>
        </row>
        <row r="747">
          <cell r="I747" t="str">
            <v>AF5220</v>
          </cell>
          <cell r="J747">
            <v>54900</v>
          </cell>
        </row>
        <row r="748">
          <cell r="I748" t="str">
            <v>AF5510</v>
          </cell>
          <cell r="J748">
            <v>29100</v>
          </cell>
        </row>
        <row r="749">
          <cell r="I749" t="str">
            <v>AF5512</v>
          </cell>
          <cell r="J749">
            <v>33900</v>
          </cell>
        </row>
        <row r="750">
          <cell r="I750" t="str">
            <v>AF5514</v>
          </cell>
          <cell r="J750">
            <v>38700</v>
          </cell>
        </row>
        <row r="751">
          <cell r="I751" t="str">
            <v>AF5516</v>
          </cell>
          <cell r="J751">
            <v>43600</v>
          </cell>
        </row>
        <row r="752">
          <cell r="I752" t="str">
            <v>AF5518</v>
          </cell>
          <cell r="J752">
            <v>48500</v>
          </cell>
        </row>
        <row r="753">
          <cell r="I753" t="str">
            <v>AF5520</v>
          </cell>
          <cell r="J753">
            <v>53300</v>
          </cell>
        </row>
        <row r="754">
          <cell r="I754" t="str">
            <v>AF5310</v>
          </cell>
          <cell r="J754">
            <v>24300</v>
          </cell>
        </row>
        <row r="755">
          <cell r="I755" t="str">
            <v>AF5312</v>
          </cell>
          <cell r="J755">
            <v>27500</v>
          </cell>
        </row>
        <row r="756">
          <cell r="I756" t="str">
            <v>AF5314</v>
          </cell>
          <cell r="J756">
            <v>30700</v>
          </cell>
        </row>
        <row r="757">
          <cell r="I757" t="str">
            <v>AF5316</v>
          </cell>
          <cell r="J757">
            <v>33900</v>
          </cell>
        </row>
        <row r="758">
          <cell r="I758" t="str">
            <v>AF5318</v>
          </cell>
          <cell r="J758">
            <v>37200</v>
          </cell>
        </row>
        <row r="759">
          <cell r="I759" t="str">
            <v>AF5320</v>
          </cell>
          <cell r="J759">
            <v>40400</v>
          </cell>
        </row>
        <row r="760">
          <cell r="I760" t="str">
            <v>AF5610</v>
          </cell>
          <cell r="J760">
            <v>22600</v>
          </cell>
        </row>
        <row r="761">
          <cell r="I761" t="str">
            <v>AF5612</v>
          </cell>
          <cell r="J761">
            <v>25800</v>
          </cell>
        </row>
        <row r="762">
          <cell r="I762" t="str">
            <v>AF5614</v>
          </cell>
          <cell r="J762">
            <v>29100</v>
          </cell>
        </row>
        <row r="763">
          <cell r="I763" t="str">
            <v>AF5616</v>
          </cell>
          <cell r="J763">
            <v>32300</v>
          </cell>
        </row>
        <row r="764">
          <cell r="I764" t="str">
            <v>AF5618</v>
          </cell>
          <cell r="J764">
            <v>35500</v>
          </cell>
        </row>
        <row r="765">
          <cell r="I765" t="str">
            <v>AF5620</v>
          </cell>
          <cell r="J765">
            <v>38700</v>
          </cell>
        </row>
        <row r="766">
          <cell r="I766" t="str">
            <v>AF6010</v>
          </cell>
          <cell r="J766">
            <v>9700</v>
          </cell>
        </row>
        <row r="767">
          <cell r="I767" t="str">
            <v>AF6012</v>
          </cell>
          <cell r="J767">
            <v>11300</v>
          </cell>
        </row>
        <row r="768">
          <cell r="I768" t="str">
            <v>AF6014</v>
          </cell>
          <cell r="J768">
            <v>12900</v>
          </cell>
        </row>
        <row r="769">
          <cell r="I769" t="str">
            <v>AF6016</v>
          </cell>
          <cell r="J769">
            <v>14500</v>
          </cell>
        </row>
        <row r="770">
          <cell r="I770" t="str">
            <v>AF6018</v>
          </cell>
          <cell r="J770">
            <v>16200</v>
          </cell>
        </row>
        <row r="771">
          <cell r="I771" t="str">
            <v>AF6020</v>
          </cell>
          <cell r="J771">
            <v>17700</v>
          </cell>
        </row>
        <row r="772">
          <cell r="I772" t="str">
            <v>AF6102</v>
          </cell>
          <cell r="J772">
            <v>3300</v>
          </cell>
        </row>
        <row r="773">
          <cell r="I773" t="str">
            <v>AF6104</v>
          </cell>
          <cell r="J773">
            <v>4800</v>
          </cell>
        </row>
        <row r="774">
          <cell r="I774" t="str">
            <v>AF6106</v>
          </cell>
          <cell r="J774">
            <v>6500</v>
          </cell>
        </row>
        <row r="775">
          <cell r="I775" t="str">
            <v>AF6108</v>
          </cell>
          <cell r="J775">
            <v>8100</v>
          </cell>
        </row>
        <row r="776">
          <cell r="I776" t="str">
            <v>AF6102T</v>
          </cell>
          <cell r="J776">
            <v>3300</v>
          </cell>
        </row>
        <row r="777">
          <cell r="I777" t="str">
            <v>AF6104T</v>
          </cell>
          <cell r="J777">
            <v>4800</v>
          </cell>
        </row>
        <row r="778">
          <cell r="I778" t="str">
            <v>AF6106T</v>
          </cell>
          <cell r="J778">
            <v>6500</v>
          </cell>
        </row>
        <row r="779">
          <cell r="I779" t="str">
            <v>AF6108T</v>
          </cell>
          <cell r="J779">
            <v>8100</v>
          </cell>
        </row>
        <row r="780">
          <cell r="I780" t="str">
            <v>AF6202</v>
          </cell>
          <cell r="J780">
            <v>1600</v>
          </cell>
        </row>
        <row r="781">
          <cell r="I781" t="str">
            <v>AF6204</v>
          </cell>
          <cell r="J781">
            <v>3300</v>
          </cell>
        </row>
        <row r="782">
          <cell r="I782" t="str">
            <v>AF6206</v>
          </cell>
          <cell r="J782">
            <v>4800</v>
          </cell>
        </row>
        <row r="783">
          <cell r="I783" t="str">
            <v>AF6208</v>
          </cell>
          <cell r="J783">
            <v>6500</v>
          </cell>
        </row>
        <row r="784">
          <cell r="I784" t="str">
            <v>AF8001</v>
          </cell>
          <cell r="J784">
            <v>38900</v>
          </cell>
        </row>
        <row r="785">
          <cell r="I785" t="str">
            <v>AT8001</v>
          </cell>
          <cell r="J785">
            <v>6300</v>
          </cell>
        </row>
        <row r="786">
          <cell r="I786" t="str">
            <v>AT8002</v>
          </cell>
          <cell r="J786">
            <v>6300</v>
          </cell>
        </row>
        <row r="787">
          <cell r="I787" t="str">
            <v>AT8003</v>
          </cell>
          <cell r="J787">
            <v>3200</v>
          </cell>
        </row>
        <row r="788">
          <cell r="I788" t="str">
            <v>CX0011</v>
          </cell>
          <cell r="J788">
            <v>24200</v>
          </cell>
        </row>
        <row r="789">
          <cell r="I789" t="str">
            <v>CX0012</v>
          </cell>
          <cell r="J789">
            <v>24200</v>
          </cell>
        </row>
        <row r="790">
          <cell r="I790" t="str">
            <v>AT8006</v>
          </cell>
          <cell r="J790">
            <v>8400</v>
          </cell>
        </row>
        <row r="791">
          <cell r="I791" t="str">
            <v>AT8007</v>
          </cell>
          <cell r="J791">
            <v>8400</v>
          </cell>
        </row>
        <row r="792">
          <cell r="I792" t="str">
            <v>AT8008</v>
          </cell>
          <cell r="J792">
            <v>8400</v>
          </cell>
        </row>
        <row r="793">
          <cell r="I793" t="str">
            <v>AT8010</v>
          </cell>
          <cell r="J793">
            <v>10500</v>
          </cell>
        </row>
        <row r="794">
          <cell r="I794" t="str">
            <v>AT8012</v>
          </cell>
          <cell r="J794">
            <v>10500</v>
          </cell>
        </row>
        <row r="795">
          <cell r="I795" t="str">
            <v>AF1062</v>
          </cell>
          <cell r="J795">
            <v>11600</v>
          </cell>
        </row>
        <row r="796">
          <cell r="I796" t="str">
            <v>AF1064</v>
          </cell>
          <cell r="J796">
            <v>16300</v>
          </cell>
        </row>
        <row r="797">
          <cell r="I797" t="str">
            <v>AF1066</v>
          </cell>
          <cell r="J797">
            <v>19400</v>
          </cell>
        </row>
        <row r="798">
          <cell r="I798" t="str">
            <v>AF1072</v>
          </cell>
          <cell r="J798">
            <v>12100</v>
          </cell>
        </row>
        <row r="799">
          <cell r="I799" t="str">
            <v>AF1074</v>
          </cell>
          <cell r="J799">
            <v>17900</v>
          </cell>
        </row>
        <row r="800">
          <cell r="I800" t="str">
            <v>AF1076</v>
          </cell>
          <cell r="J800">
            <v>22600</v>
          </cell>
        </row>
        <row r="801">
          <cell r="I801" t="str">
            <v>AF1082</v>
          </cell>
          <cell r="J801">
            <v>13100</v>
          </cell>
        </row>
        <row r="802">
          <cell r="I802" t="str">
            <v>AF1084</v>
          </cell>
          <cell r="J802">
            <v>19400</v>
          </cell>
        </row>
        <row r="803">
          <cell r="I803" t="str">
            <v>AF1086</v>
          </cell>
          <cell r="J803">
            <v>25700</v>
          </cell>
        </row>
        <row r="804">
          <cell r="I804" t="str">
            <v>AF1102</v>
          </cell>
          <cell r="J804">
            <v>14700</v>
          </cell>
        </row>
        <row r="805">
          <cell r="I805" t="str">
            <v>AF1104</v>
          </cell>
          <cell r="J805">
            <v>22600</v>
          </cell>
        </row>
        <row r="806">
          <cell r="I806" t="str">
            <v>AF1106</v>
          </cell>
          <cell r="J806">
            <v>30500</v>
          </cell>
        </row>
        <row r="807">
          <cell r="I807" t="str">
            <v>AF1122</v>
          </cell>
          <cell r="J807">
            <v>16300</v>
          </cell>
        </row>
        <row r="808">
          <cell r="I808" t="str">
            <v>AF1124</v>
          </cell>
          <cell r="J808">
            <v>25700</v>
          </cell>
        </row>
        <row r="809">
          <cell r="I809" t="str">
            <v>AF1126</v>
          </cell>
          <cell r="J809">
            <v>35700</v>
          </cell>
        </row>
        <row r="810">
          <cell r="I810" t="str">
            <v>AF1062G</v>
          </cell>
          <cell r="J810">
            <v>16300</v>
          </cell>
        </row>
        <row r="811">
          <cell r="I811" t="str">
            <v>AF1064G</v>
          </cell>
          <cell r="J811">
            <v>24200</v>
          </cell>
        </row>
        <row r="812">
          <cell r="I812" t="str">
            <v>AF1066G</v>
          </cell>
          <cell r="J812">
            <v>32600</v>
          </cell>
        </row>
        <row r="813">
          <cell r="I813" t="str">
            <v>AF1072G</v>
          </cell>
          <cell r="J813">
            <v>17900</v>
          </cell>
        </row>
        <row r="814">
          <cell r="I814" t="str">
            <v>AF1074G</v>
          </cell>
          <cell r="J814">
            <v>26800</v>
          </cell>
        </row>
        <row r="815">
          <cell r="I815" t="str">
            <v>AF1076G</v>
          </cell>
          <cell r="J815">
            <v>35700</v>
          </cell>
        </row>
        <row r="816">
          <cell r="I816" t="str">
            <v>AF1082G</v>
          </cell>
          <cell r="J816">
            <v>19400</v>
          </cell>
        </row>
        <row r="817">
          <cell r="I817" t="str">
            <v>AF1084G</v>
          </cell>
          <cell r="J817">
            <v>29400</v>
          </cell>
        </row>
        <row r="818">
          <cell r="I818" t="str">
            <v>AF1086G</v>
          </cell>
          <cell r="J818">
            <v>38900</v>
          </cell>
        </row>
        <row r="819">
          <cell r="I819" t="str">
            <v>AF1102G</v>
          </cell>
          <cell r="J819">
            <v>22600</v>
          </cell>
        </row>
        <row r="820">
          <cell r="I820" t="str">
            <v>AF1104G</v>
          </cell>
          <cell r="J820">
            <v>34100</v>
          </cell>
        </row>
        <row r="821">
          <cell r="I821" t="str">
            <v>AF1106G</v>
          </cell>
          <cell r="J821">
            <v>45200</v>
          </cell>
        </row>
        <row r="822">
          <cell r="I822" t="str">
            <v>AF1122G</v>
          </cell>
          <cell r="J822">
            <v>25700</v>
          </cell>
        </row>
        <row r="823">
          <cell r="I823" t="str">
            <v>AF1124G</v>
          </cell>
          <cell r="J823">
            <v>40400</v>
          </cell>
        </row>
        <row r="824">
          <cell r="I824" t="str">
            <v>AF1126G</v>
          </cell>
          <cell r="J824">
            <v>52000</v>
          </cell>
        </row>
        <row r="825">
          <cell r="I825" t="str">
            <v>AF2062</v>
          </cell>
          <cell r="J825">
            <v>12100</v>
          </cell>
        </row>
        <row r="826">
          <cell r="I826" t="str">
            <v>AF2072</v>
          </cell>
          <cell r="J826">
            <v>13100</v>
          </cell>
        </row>
        <row r="827">
          <cell r="I827" t="str">
            <v>AF2082</v>
          </cell>
          <cell r="J827">
            <v>14200</v>
          </cell>
        </row>
        <row r="828">
          <cell r="I828" t="str">
            <v>AF2102</v>
          </cell>
          <cell r="J828">
            <v>15200</v>
          </cell>
        </row>
        <row r="829">
          <cell r="I829" t="str">
            <v>AF2122</v>
          </cell>
          <cell r="J829">
            <v>16300</v>
          </cell>
        </row>
        <row r="830">
          <cell r="I830" t="str">
            <v>AF3061</v>
          </cell>
          <cell r="J830">
            <v>3200</v>
          </cell>
        </row>
        <row r="831">
          <cell r="I831" t="str">
            <v>AF3071</v>
          </cell>
          <cell r="J831">
            <v>4200</v>
          </cell>
        </row>
        <row r="832">
          <cell r="I832" t="str">
            <v>AF3081</v>
          </cell>
          <cell r="J832">
            <v>4200</v>
          </cell>
        </row>
        <row r="833">
          <cell r="I833" t="str">
            <v>AF3101</v>
          </cell>
          <cell r="J833">
            <v>4700</v>
          </cell>
        </row>
        <row r="834">
          <cell r="I834" t="str">
            <v>AF3121</v>
          </cell>
          <cell r="J834">
            <v>5800</v>
          </cell>
        </row>
        <row r="835">
          <cell r="I835" t="str">
            <v>AF1062A</v>
          </cell>
          <cell r="J835">
            <v>17900</v>
          </cell>
        </row>
        <row r="836">
          <cell r="I836" t="str">
            <v>AF1064A</v>
          </cell>
          <cell r="J836">
            <v>32600</v>
          </cell>
        </row>
        <row r="837">
          <cell r="I837" t="str">
            <v>AF1072A</v>
          </cell>
          <cell r="J837">
            <v>19400</v>
          </cell>
        </row>
        <row r="838">
          <cell r="I838" t="str">
            <v>AF1074A</v>
          </cell>
          <cell r="J838">
            <v>35700</v>
          </cell>
        </row>
        <row r="839">
          <cell r="I839" t="str">
            <v>AF1082A</v>
          </cell>
          <cell r="J839">
            <v>21000</v>
          </cell>
        </row>
        <row r="840">
          <cell r="I840" t="str">
            <v>AF1084A</v>
          </cell>
          <cell r="J840">
            <v>38900</v>
          </cell>
        </row>
        <row r="841">
          <cell r="I841" t="str">
            <v>AF1102A</v>
          </cell>
          <cell r="J841">
            <v>24200</v>
          </cell>
        </row>
        <row r="842">
          <cell r="I842" t="str">
            <v>AF1104A</v>
          </cell>
          <cell r="J842">
            <v>45200</v>
          </cell>
        </row>
        <row r="843">
          <cell r="I843" t="str">
            <v>AF1122A</v>
          </cell>
          <cell r="J843">
            <v>27300</v>
          </cell>
        </row>
        <row r="844">
          <cell r="I844" t="str">
            <v>AF1124A</v>
          </cell>
          <cell r="J844">
            <v>51500</v>
          </cell>
        </row>
        <row r="845">
          <cell r="I845" t="str">
            <v>AF1064B</v>
          </cell>
          <cell r="J845">
            <v>30500</v>
          </cell>
        </row>
        <row r="846">
          <cell r="I846" t="str">
            <v>AF1074B</v>
          </cell>
          <cell r="J846">
            <v>34700</v>
          </cell>
        </row>
        <row r="847">
          <cell r="I847" t="str">
            <v>AF1084B</v>
          </cell>
          <cell r="J847">
            <v>38900</v>
          </cell>
        </row>
        <row r="848">
          <cell r="I848" t="str">
            <v>AF1104B</v>
          </cell>
          <cell r="J848">
            <v>54600</v>
          </cell>
        </row>
        <row r="849">
          <cell r="I849" t="str">
            <v>AF1124B</v>
          </cell>
          <cell r="J849">
            <v>59900</v>
          </cell>
        </row>
        <row r="850">
          <cell r="I850" t="str">
            <v>AT3006</v>
          </cell>
          <cell r="J850">
            <v>66200</v>
          </cell>
        </row>
        <row r="851">
          <cell r="I851" t="str">
            <v>AT3007</v>
          </cell>
          <cell r="J851">
            <v>69300</v>
          </cell>
        </row>
        <row r="852">
          <cell r="I852" t="str">
            <v>AT3008</v>
          </cell>
          <cell r="J852">
            <v>71400</v>
          </cell>
        </row>
        <row r="853">
          <cell r="I853" t="str">
            <v>AT3010</v>
          </cell>
          <cell r="J853">
            <v>77700</v>
          </cell>
        </row>
        <row r="854">
          <cell r="I854" t="str">
            <v>AT3012</v>
          </cell>
          <cell r="J854">
            <v>81900</v>
          </cell>
        </row>
        <row r="855">
          <cell r="I855" t="str">
            <v>AT3406</v>
          </cell>
          <cell r="J855">
            <v>78800</v>
          </cell>
        </row>
        <row r="856">
          <cell r="I856" t="str">
            <v>AT3407</v>
          </cell>
          <cell r="J856">
            <v>81900</v>
          </cell>
        </row>
        <row r="857">
          <cell r="I857" t="str">
            <v>AT3408</v>
          </cell>
          <cell r="J857">
            <v>84000</v>
          </cell>
        </row>
        <row r="858">
          <cell r="I858" t="str">
            <v>AT3410</v>
          </cell>
          <cell r="J858">
            <v>89300</v>
          </cell>
        </row>
        <row r="859">
          <cell r="I859" t="str">
            <v>AT3412</v>
          </cell>
          <cell r="J859">
            <v>93500</v>
          </cell>
        </row>
        <row r="860">
          <cell r="I860" t="str">
            <v>AT3306</v>
          </cell>
          <cell r="J860">
            <v>168000</v>
          </cell>
        </row>
        <row r="861">
          <cell r="I861" t="str">
            <v>AT3307</v>
          </cell>
          <cell r="J861">
            <v>173300</v>
          </cell>
        </row>
        <row r="862">
          <cell r="I862" t="str">
            <v>AT3308</v>
          </cell>
          <cell r="J862">
            <v>177500</v>
          </cell>
        </row>
        <row r="863">
          <cell r="I863" t="str">
            <v>AT3310</v>
          </cell>
          <cell r="J863">
            <v>189000</v>
          </cell>
        </row>
        <row r="864">
          <cell r="I864" t="str">
            <v>AT3312</v>
          </cell>
          <cell r="J864">
            <v>198500</v>
          </cell>
        </row>
        <row r="865">
          <cell r="I865" t="str">
            <v>AF066HB</v>
          </cell>
          <cell r="J865">
            <v>246800</v>
          </cell>
        </row>
        <row r="866">
          <cell r="I866" t="str">
            <v>AF076HB</v>
          </cell>
          <cell r="J866">
            <v>270900</v>
          </cell>
        </row>
        <row r="867">
          <cell r="I867" t="str">
            <v>AF086HB</v>
          </cell>
          <cell r="J867">
            <v>293000</v>
          </cell>
        </row>
        <row r="868">
          <cell r="I868" t="str">
            <v>AF106HB</v>
          </cell>
          <cell r="J868">
            <v>330800</v>
          </cell>
        </row>
        <row r="869">
          <cell r="I869" t="str">
            <v>AF126HB</v>
          </cell>
          <cell r="J869">
            <v>373800</v>
          </cell>
        </row>
        <row r="870">
          <cell r="I870" t="str">
            <v>AF068HB</v>
          </cell>
          <cell r="J870">
            <v>278300</v>
          </cell>
        </row>
        <row r="871">
          <cell r="I871" t="str">
            <v>AF078HB</v>
          </cell>
          <cell r="J871">
            <v>306600</v>
          </cell>
        </row>
        <row r="872">
          <cell r="I872" t="str">
            <v>AF088HB</v>
          </cell>
          <cell r="J872">
            <v>330800</v>
          </cell>
        </row>
        <row r="873">
          <cell r="I873" t="str">
            <v>AF108HB</v>
          </cell>
          <cell r="J873">
            <v>373800</v>
          </cell>
        </row>
        <row r="874">
          <cell r="I874" t="str">
            <v>AF128HB</v>
          </cell>
          <cell r="J874">
            <v>425300</v>
          </cell>
        </row>
        <row r="875">
          <cell r="I875" t="str">
            <v>AF062C</v>
          </cell>
          <cell r="J875">
            <v>176400</v>
          </cell>
        </row>
        <row r="876">
          <cell r="I876" t="str">
            <v>AF072C</v>
          </cell>
          <cell r="J876">
            <v>192200</v>
          </cell>
        </row>
        <row r="877">
          <cell r="I877" t="str">
            <v>AF082C</v>
          </cell>
          <cell r="J877">
            <v>206300</v>
          </cell>
        </row>
        <row r="878">
          <cell r="I878" t="str">
            <v>AF102C</v>
          </cell>
          <cell r="J878">
            <v>230000</v>
          </cell>
        </row>
        <row r="879">
          <cell r="I879" t="str">
            <v>AF122C</v>
          </cell>
          <cell r="J879">
            <v>255700</v>
          </cell>
        </row>
        <row r="880">
          <cell r="I880" t="str">
            <v>AF064S</v>
          </cell>
          <cell r="J880">
            <v>51500</v>
          </cell>
        </row>
        <row r="881">
          <cell r="I881" t="str">
            <v>AF074S</v>
          </cell>
          <cell r="J881">
            <v>56700</v>
          </cell>
        </row>
        <row r="882">
          <cell r="I882" t="str">
            <v>AF084S</v>
          </cell>
          <cell r="J882">
            <v>62000</v>
          </cell>
        </row>
        <row r="883">
          <cell r="I883" t="str">
            <v>AF104S</v>
          </cell>
          <cell r="J883">
            <v>71400</v>
          </cell>
        </row>
        <row r="884">
          <cell r="I884" t="str">
            <v>AF124S</v>
          </cell>
          <cell r="J884">
            <v>80900</v>
          </cell>
        </row>
        <row r="885">
          <cell r="I885" t="str">
            <v>AF064SG</v>
          </cell>
          <cell r="J885">
            <v>67200</v>
          </cell>
        </row>
        <row r="886">
          <cell r="I886" t="str">
            <v>AF074SG</v>
          </cell>
          <cell r="J886">
            <v>74600</v>
          </cell>
        </row>
        <row r="887">
          <cell r="I887" t="str">
            <v>AF084SG</v>
          </cell>
          <cell r="J887">
            <v>81900</v>
          </cell>
        </row>
        <row r="888">
          <cell r="I888" t="str">
            <v>AF104SG</v>
          </cell>
          <cell r="J888">
            <v>94500</v>
          </cell>
        </row>
        <row r="889">
          <cell r="I889" t="str">
            <v>AF124SG</v>
          </cell>
          <cell r="J889">
            <v>110300</v>
          </cell>
        </row>
        <row r="890">
          <cell r="I890" t="str">
            <v>AF064SB</v>
          </cell>
          <cell r="J890">
            <v>79800</v>
          </cell>
        </row>
        <row r="891">
          <cell r="I891" t="str">
            <v>AF074SB</v>
          </cell>
          <cell r="J891">
            <v>90300</v>
          </cell>
        </row>
        <row r="892">
          <cell r="I892" t="str">
            <v>AF084SB</v>
          </cell>
          <cell r="J892">
            <v>100800</v>
          </cell>
        </row>
        <row r="893">
          <cell r="I893" t="str">
            <v>AF104SB</v>
          </cell>
          <cell r="J893">
            <v>135500</v>
          </cell>
        </row>
        <row r="894">
          <cell r="I894" t="str">
            <v>AF124SB</v>
          </cell>
          <cell r="J894">
            <v>149100</v>
          </cell>
        </row>
        <row r="895">
          <cell r="I895" t="str">
            <v>AF064SA</v>
          </cell>
          <cell r="J895">
            <v>84000</v>
          </cell>
        </row>
        <row r="896">
          <cell r="I896" t="str">
            <v>AF074SA</v>
          </cell>
          <cell r="J896">
            <v>92400</v>
          </cell>
        </row>
        <row r="897">
          <cell r="I897" t="str">
            <v>AF084SA</v>
          </cell>
          <cell r="J897">
            <v>100800</v>
          </cell>
        </row>
        <row r="898">
          <cell r="I898" t="str">
            <v>AF104SA</v>
          </cell>
          <cell r="J898">
            <v>116600</v>
          </cell>
        </row>
        <row r="899">
          <cell r="I899" t="str">
            <v>AF124SA</v>
          </cell>
          <cell r="J899">
            <v>132300</v>
          </cell>
        </row>
        <row r="900">
          <cell r="I900" t="str">
            <v>AF064SD</v>
          </cell>
          <cell r="J900">
            <v>65600</v>
          </cell>
        </row>
        <row r="901">
          <cell r="I901" t="str">
            <v>AF074SD</v>
          </cell>
          <cell r="J901">
            <v>73500</v>
          </cell>
        </row>
        <row r="902">
          <cell r="I902" t="str">
            <v>AF084SD</v>
          </cell>
          <cell r="J902">
            <v>81400</v>
          </cell>
        </row>
        <row r="903">
          <cell r="I903" t="str">
            <v>AF104SD</v>
          </cell>
          <cell r="J903">
            <v>103400</v>
          </cell>
        </row>
        <row r="904">
          <cell r="I904" t="str">
            <v>AF124SD</v>
          </cell>
          <cell r="J904">
            <v>115000</v>
          </cell>
        </row>
        <row r="905">
          <cell r="I905" t="str">
            <v>AF064SC</v>
          </cell>
          <cell r="J905">
            <v>67700</v>
          </cell>
        </row>
        <row r="906">
          <cell r="I906" t="str">
            <v>AF074SC</v>
          </cell>
          <cell r="J906">
            <v>74600</v>
          </cell>
        </row>
        <row r="907">
          <cell r="I907" t="str">
            <v>AF084SC</v>
          </cell>
          <cell r="J907">
            <v>81400</v>
          </cell>
        </row>
        <row r="908">
          <cell r="I908" t="str">
            <v>AF104SC</v>
          </cell>
          <cell r="J908">
            <v>94000</v>
          </cell>
        </row>
        <row r="909">
          <cell r="I909" t="str">
            <v>AF124SC</v>
          </cell>
          <cell r="J909">
            <v>106600</v>
          </cell>
        </row>
        <row r="910">
          <cell r="I910" t="str">
            <v>AF064SM</v>
          </cell>
          <cell r="J910">
            <v>81900</v>
          </cell>
        </row>
        <row r="911">
          <cell r="I911" t="str">
            <v>AF074SM</v>
          </cell>
          <cell r="J911">
            <v>91400</v>
          </cell>
        </row>
        <row r="912">
          <cell r="I912" t="str">
            <v>AF084SM</v>
          </cell>
          <cell r="J912">
            <v>100800</v>
          </cell>
        </row>
        <row r="913">
          <cell r="I913" t="str">
            <v>AF104SM</v>
          </cell>
          <cell r="J913">
            <v>126000</v>
          </cell>
        </row>
        <row r="914">
          <cell r="I914" t="str">
            <v>AF124SM</v>
          </cell>
          <cell r="J914">
            <v>140700</v>
          </cell>
        </row>
        <row r="915">
          <cell r="I915" t="str">
            <v>AF062A</v>
          </cell>
          <cell r="J915">
            <v>182700</v>
          </cell>
        </row>
        <row r="916">
          <cell r="I916" t="str">
            <v>AF072A</v>
          </cell>
          <cell r="J916">
            <v>199500</v>
          </cell>
        </row>
        <row r="917">
          <cell r="I917" t="str">
            <v>AF082A</v>
          </cell>
          <cell r="J917">
            <v>214200</v>
          </cell>
        </row>
        <row r="918">
          <cell r="I918" t="str">
            <v>AF102A</v>
          </cell>
          <cell r="J918">
            <v>239400</v>
          </cell>
        </row>
        <row r="919">
          <cell r="I919" t="str">
            <v>AF122A</v>
          </cell>
          <cell r="J919">
            <v>266700</v>
          </cell>
        </row>
        <row r="920">
          <cell r="I920" t="str">
            <v>SD008L</v>
          </cell>
          <cell r="J920">
            <v>177500</v>
          </cell>
        </row>
        <row r="921">
          <cell r="I921" t="str">
            <v>SD008R</v>
          </cell>
          <cell r="J921">
            <v>177500</v>
          </cell>
        </row>
        <row r="922">
          <cell r="I922" t="str">
            <v>SD008</v>
          </cell>
          <cell r="J922">
            <v>177500</v>
          </cell>
        </row>
        <row r="923">
          <cell r="I923" t="str">
            <v>SD012L</v>
          </cell>
          <cell r="J923">
            <v>210000</v>
          </cell>
        </row>
        <row r="924">
          <cell r="I924" t="str">
            <v>SD012R</v>
          </cell>
          <cell r="J924">
            <v>210000</v>
          </cell>
        </row>
        <row r="925">
          <cell r="I925" t="str">
            <v>SD012</v>
          </cell>
          <cell r="J925">
            <v>210000</v>
          </cell>
        </row>
        <row r="926">
          <cell r="I926" t="str">
            <v>SD014L</v>
          </cell>
          <cell r="J926">
            <v>236300</v>
          </cell>
        </row>
        <row r="927">
          <cell r="I927" t="str">
            <v>SD014R</v>
          </cell>
          <cell r="J927">
            <v>236300</v>
          </cell>
        </row>
        <row r="928">
          <cell r="I928" t="str">
            <v>SD014</v>
          </cell>
          <cell r="J928">
            <v>236300</v>
          </cell>
        </row>
        <row r="929">
          <cell r="I929" t="str">
            <v>SD016L</v>
          </cell>
          <cell r="J929">
            <v>254100</v>
          </cell>
        </row>
        <row r="930">
          <cell r="I930" t="str">
            <v>SD016R</v>
          </cell>
          <cell r="J930">
            <v>254100</v>
          </cell>
        </row>
        <row r="931">
          <cell r="I931" t="str">
            <v>SD016</v>
          </cell>
          <cell r="J931">
            <v>254100</v>
          </cell>
        </row>
        <row r="932">
          <cell r="I932" t="str">
            <v>SD316L</v>
          </cell>
          <cell r="J932">
            <v>339200</v>
          </cell>
        </row>
        <row r="933">
          <cell r="I933" t="str">
            <v>SD316R</v>
          </cell>
          <cell r="J933">
            <v>339200</v>
          </cell>
        </row>
        <row r="934">
          <cell r="I934" t="str">
            <v>SD318R</v>
          </cell>
          <cell r="J934">
            <v>356000</v>
          </cell>
        </row>
        <row r="935">
          <cell r="I935" t="str">
            <v>SD318L</v>
          </cell>
          <cell r="J935">
            <v>356000</v>
          </cell>
        </row>
        <row r="936">
          <cell r="I936" t="str">
            <v>SP0202</v>
          </cell>
          <cell r="J936">
            <v>146000</v>
          </cell>
        </row>
        <row r="937">
          <cell r="I937" t="str">
            <v>SP0203</v>
          </cell>
          <cell r="J937">
            <v>161700</v>
          </cell>
        </row>
        <row r="938">
          <cell r="I938" t="str">
            <v>SP0302</v>
          </cell>
          <cell r="J938">
            <v>170100</v>
          </cell>
        </row>
        <row r="939">
          <cell r="I939" t="str">
            <v>SP0303</v>
          </cell>
          <cell r="J939">
            <v>185900</v>
          </cell>
        </row>
        <row r="940">
          <cell r="I940" t="str">
            <v>SP0300</v>
          </cell>
          <cell r="J940">
            <v>53600</v>
          </cell>
        </row>
        <row r="941">
          <cell r="I941" t="str">
            <v>SD507</v>
          </cell>
          <cell r="J941">
            <v>174300</v>
          </cell>
        </row>
        <row r="942">
          <cell r="I942" t="str">
            <v>SD507F</v>
          </cell>
          <cell r="J942">
            <v>298200</v>
          </cell>
        </row>
        <row r="943">
          <cell r="I943" t="str">
            <v>SD517</v>
          </cell>
          <cell r="J943">
            <v>92400</v>
          </cell>
        </row>
        <row r="944">
          <cell r="I944" t="str">
            <v>SD517F</v>
          </cell>
          <cell r="J944">
            <v>217400</v>
          </cell>
        </row>
        <row r="945">
          <cell r="I945" t="str">
            <v>SD547</v>
          </cell>
          <cell r="J945">
            <v>60900</v>
          </cell>
        </row>
        <row r="946">
          <cell r="I946" t="str">
            <v>SD597</v>
          </cell>
          <cell r="J946">
            <v>77700</v>
          </cell>
        </row>
        <row r="947">
          <cell r="I947" t="str">
            <v>SD406L</v>
          </cell>
          <cell r="J947">
            <v>84000</v>
          </cell>
        </row>
        <row r="948">
          <cell r="I948" t="str">
            <v>SD406R</v>
          </cell>
          <cell r="J948">
            <v>84000</v>
          </cell>
        </row>
        <row r="949">
          <cell r="I949" t="str">
            <v>SD912</v>
          </cell>
          <cell r="J949">
            <v>162800</v>
          </cell>
        </row>
        <row r="950">
          <cell r="I950" t="str">
            <v>SD912F</v>
          </cell>
          <cell r="J950">
            <v>199500</v>
          </cell>
        </row>
        <row r="951">
          <cell r="I951" t="str">
            <v>SD955</v>
          </cell>
          <cell r="J951">
            <v>99800</v>
          </cell>
        </row>
        <row r="952">
          <cell r="I952" t="str">
            <v>SD977</v>
          </cell>
          <cell r="J952">
            <v>189000</v>
          </cell>
        </row>
        <row r="953">
          <cell r="I953" t="str">
            <v>SD927L</v>
          </cell>
          <cell r="J953">
            <v>165900</v>
          </cell>
        </row>
        <row r="954">
          <cell r="I954" t="str">
            <v>SD927R</v>
          </cell>
          <cell r="J954">
            <v>165900</v>
          </cell>
        </row>
        <row r="955">
          <cell r="I955" t="str">
            <v>SD990</v>
          </cell>
          <cell r="J955">
            <v>153300</v>
          </cell>
        </row>
        <row r="956">
          <cell r="I956" t="str">
            <v>SF008</v>
          </cell>
          <cell r="J956">
            <v>75600</v>
          </cell>
        </row>
        <row r="957">
          <cell r="I957" t="str">
            <v>SF008BE</v>
          </cell>
          <cell r="J957">
            <v>67200</v>
          </cell>
        </row>
        <row r="958">
          <cell r="I958" t="str">
            <v>SF012</v>
          </cell>
          <cell r="J958">
            <v>94500</v>
          </cell>
        </row>
        <row r="959">
          <cell r="I959" t="str">
            <v>SF012BE</v>
          </cell>
          <cell r="J959">
            <v>84000</v>
          </cell>
        </row>
        <row r="960">
          <cell r="I960" t="str">
            <v>SF014</v>
          </cell>
          <cell r="J960">
            <v>105000</v>
          </cell>
        </row>
        <row r="961">
          <cell r="I961" t="str">
            <v>SF014BE</v>
          </cell>
          <cell r="J961">
            <v>93500</v>
          </cell>
        </row>
        <row r="962">
          <cell r="I962" t="str">
            <v>SF016</v>
          </cell>
          <cell r="J962">
            <v>114500</v>
          </cell>
        </row>
        <row r="963">
          <cell r="I963" t="str">
            <v>SF016BE</v>
          </cell>
          <cell r="J963">
            <v>101900</v>
          </cell>
        </row>
        <row r="964">
          <cell r="I964" t="str">
            <v>SF300</v>
          </cell>
          <cell r="J964">
            <v>34700</v>
          </cell>
        </row>
        <row r="965">
          <cell r="I965" t="str">
            <v>SF300BE</v>
          </cell>
          <cell r="J965">
            <v>29400</v>
          </cell>
        </row>
        <row r="966">
          <cell r="I966" t="str">
            <v>SF912</v>
          </cell>
          <cell r="J966">
            <v>49400</v>
          </cell>
        </row>
        <row r="967">
          <cell r="I967" t="str">
            <v>SF912BE</v>
          </cell>
          <cell r="J967">
            <v>42000</v>
          </cell>
        </row>
        <row r="968">
          <cell r="I968" t="str">
            <v>SF507</v>
          </cell>
          <cell r="J968">
            <v>173300</v>
          </cell>
        </row>
        <row r="969">
          <cell r="I969" t="str">
            <v>SF507BE</v>
          </cell>
          <cell r="J969">
            <v>152300</v>
          </cell>
        </row>
        <row r="970">
          <cell r="I970" t="str">
            <v>SF517</v>
          </cell>
          <cell r="J970">
            <v>135500</v>
          </cell>
        </row>
        <row r="971">
          <cell r="I971" t="str">
            <v>SF517BE</v>
          </cell>
          <cell r="J971">
            <v>118700</v>
          </cell>
        </row>
        <row r="972">
          <cell r="I972" t="str">
            <v>SF316</v>
          </cell>
          <cell r="J972">
            <v>193200</v>
          </cell>
        </row>
        <row r="973">
          <cell r="I973" t="str">
            <v>SF316BE</v>
          </cell>
          <cell r="J973">
            <v>170100</v>
          </cell>
        </row>
        <row r="974">
          <cell r="I974" t="str">
            <v>SF507T</v>
          </cell>
          <cell r="J974">
            <v>260400</v>
          </cell>
        </row>
        <row r="975">
          <cell r="I975" t="str">
            <v>SF507TBE</v>
          </cell>
          <cell r="J975">
            <v>228900</v>
          </cell>
        </row>
        <row r="976">
          <cell r="I976" t="str">
            <v>SC182</v>
          </cell>
          <cell r="J976">
            <v>116600</v>
          </cell>
        </row>
        <row r="977">
          <cell r="I977" t="str">
            <v>SC183</v>
          </cell>
          <cell r="J977">
            <v>149100</v>
          </cell>
        </row>
        <row r="978">
          <cell r="I978" t="str">
            <v>SC1082</v>
          </cell>
          <cell r="J978">
            <v>80900</v>
          </cell>
        </row>
        <row r="979">
          <cell r="I979" t="str">
            <v>SC1083</v>
          </cell>
          <cell r="J979">
            <v>113400</v>
          </cell>
        </row>
        <row r="980">
          <cell r="I980" t="str">
            <v>SC0084</v>
          </cell>
          <cell r="J980">
            <v>144900</v>
          </cell>
        </row>
        <row r="981">
          <cell r="I981" t="str">
            <v>SC0085S</v>
          </cell>
          <cell r="J981">
            <v>153300</v>
          </cell>
        </row>
        <row r="982">
          <cell r="I982" t="str">
            <v>SC0086</v>
          </cell>
          <cell r="J982">
            <v>202700</v>
          </cell>
        </row>
        <row r="983">
          <cell r="I983" t="str">
            <v>SC0054</v>
          </cell>
          <cell r="J983">
            <v>110300</v>
          </cell>
        </row>
        <row r="984">
          <cell r="I984" t="str">
            <v>SC0055S</v>
          </cell>
          <cell r="J984">
            <v>122900</v>
          </cell>
        </row>
        <row r="985">
          <cell r="I985" t="str">
            <v>SC0056</v>
          </cell>
          <cell r="J985">
            <v>170100</v>
          </cell>
        </row>
        <row r="986">
          <cell r="I986" t="str">
            <v>SC5054</v>
          </cell>
          <cell r="J986">
            <v>110300</v>
          </cell>
        </row>
        <row r="987">
          <cell r="I987" t="str">
            <v>SC5055S</v>
          </cell>
          <cell r="J987">
            <v>122900</v>
          </cell>
        </row>
        <row r="988">
          <cell r="I988" t="str">
            <v>SC9108</v>
          </cell>
          <cell r="J988">
            <v>35700</v>
          </cell>
        </row>
        <row r="989">
          <cell r="I989" t="str">
            <v>SC9105</v>
          </cell>
          <cell r="J989">
            <v>26300</v>
          </cell>
        </row>
        <row r="990">
          <cell r="I990" t="str">
            <v>SB1082</v>
          </cell>
          <cell r="J990">
            <v>65100</v>
          </cell>
        </row>
        <row r="991">
          <cell r="I991" t="str">
            <v>SB1083</v>
          </cell>
          <cell r="J991">
            <v>81900</v>
          </cell>
        </row>
        <row r="992">
          <cell r="I992" t="str">
            <v>SB0082</v>
          </cell>
          <cell r="J992">
            <v>65100</v>
          </cell>
        </row>
        <row r="993">
          <cell r="I993" t="str">
            <v>SB0084</v>
          </cell>
          <cell r="J993">
            <v>108200</v>
          </cell>
        </row>
        <row r="994">
          <cell r="I994" t="str">
            <v>SB0085S</v>
          </cell>
          <cell r="J994">
            <v>120800</v>
          </cell>
        </row>
        <row r="995">
          <cell r="I995" t="str">
            <v>SB0086</v>
          </cell>
          <cell r="J995">
            <v>143900</v>
          </cell>
        </row>
        <row r="996">
          <cell r="I996" t="str">
            <v>SB0083SG</v>
          </cell>
          <cell r="J996">
            <v>85100</v>
          </cell>
        </row>
        <row r="997">
          <cell r="I997" t="str">
            <v>SB052L</v>
          </cell>
          <cell r="J997">
            <v>45200</v>
          </cell>
        </row>
        <row r="998">
          <cell r="I998" t="str">
            <v>SB052R</v>
          </cell>
          <cell r="J998">
            <v>45200</v>
          </cell>
        </row>
        <row r="999">
          <cell r="I999" t="str">
            <v>SB054L</v>
          </cell>
          <cell r="J999">
            <v>74600</v>
          </cell>
        </row>
        <row r="1000">
          <cell r="I1000" t="str">
            <v>SB054R</v>
          </cell>
          <cell r="J1000">
            <v>74600</v>
          </cell>
        </row>
        <row r="1001">
          <cell r="I1001" t="str">
            <v>SB055SL</v>
          </cell>
          <cell r="J1001">
            <v>80900</v>
          </cell>
        </row>
        <row r="1002">
          <cell r="I1002" t="str">
            <v>SB055SR</v>
          </cell>
          <cell r="J1002">
            <v>80900</v>
          </cell>
        </row>
        <row r="1003">
          <cell r="I1003" t="str">
            <v>SB056L</v>
          </cell>
          <cell r="J1003">
            <v>107100</v>
          </cell>
        </row>
        <row r="1004">
          <cell r="I1004" t="str">
            <v>SB056R</v>
          </cell>
          <cell r="J1004">
            <v>107100</v>
          </cell>
        </row>
        <row r="1005">
          <cell r="I1005" t="str">
            <v>SB9082</v>
          </cell>
          <cell r="J1005">
            <v>39900</v>
          </cell>
        </row>
        <row r="1006">
          <cell r="I1006" t="str">
            <v>SB9082BE</v>
          </cell>
          <cell r="J1006">
            <v>25800</v>
          </cell>
        </row>
        <row r="1007">
          <cell r="I1007" t="str">
            <v>SB9083</v>
          </cell>
          <cell r="J1007">
            <v>59900</v>
          </cell>
        </row>
        <row r="1008">
          <cell r="I1008" t="str">
            <v>SB9083BE</v>
          </cell>
          <cell r="J1008">
            <v>38900</v>
          </cell>
        </row>
        <row r="1009">
          <cell r="I1009" t="str">
            <v>SB9084</v>
          </cell>
          <cell r="J1009">
            <v>80900</v>
          </cell>
        </row>
        <row r="1010">
          <cell r="I1010" t="str">
            <v>SB9084BE</v>
          </cell>
          <cell r="J1010">
            <v>53600</v>
          </cell>
        </row>
        <row r="1011">
          <cell r="I1011" t="str">
            <v>SB9085S</v>
          </cell>
          <cell r="J1011">
            <v>93500</v>
          </cell>
        </row>
        <row r="1012">
          <cell r="I1012" t="str">
            <v>SB9055SBE</v>
          </cell>
          <cell r="J1012">
            <v>63000</v>
          </cell>
        </row>
        <row r="1013">
          <cell r="I1013" t="str">
            <v>SB9054</v>
          </cell>
          <cell r="J1013">
            <v>45200</v>
          </cell>
        </row>
        <row r="1014">
          <cell r="I1014" t="str">
            <v>SB9054BE</v>
          </cell>
          <cell r="J1014">
            <v>32600</v>
          </cell>
        </row>
        <row r="1015">
          <cell r="I1015" t="str">
            <v>SB9055S</v>
          </cell>
          <cell r="J1015">
            <v>57800</v>
          </cell>
        </row>
        <row r="1016">
          <cell r="I1016" t="str">
            <v>SB9055SBE</v>
          </cell>
          <cell r="J1016">
            <v>38900</v>
          </cell>
        </row>
        <row r="1017">
          <cell r="I1017" t="str">
            <v>SC981F</v>
          </cell>
          <cell r="J1017">
            <v>93000</v>
          </cell>
        </row>
        <row r="1018">
          <cell r="I1018" t="str">
            <v>SC981C</v>
          </cell>
          <cell r="J1018">
            <v>73000</v>
          </cell>
        </row>
        <row r="1019">
          <cell r="I1019" t="str">
            <v>SC982F</v>
          </cell>
          <cell r="J1019">
            <v>137000</v>
          </cell>
        </row>
        <row r="1020">
          <cell r="I1020" t="str">
            <v>SC982C</v>
          </cell>
          <cell r="J1020">
            <v>108000</v>
          </cell>
        </row>
        <row r="1021">
          <cell r="I1021" t="str">
            <v>SC951F</v>
          </cell>
          <cell r="J1021">
            <v>77000</v>
          </cell>
        </row>
        <row r="1022">
          <cell r="I1022" t="str">
            <v>SC951C</v>
          </cell>
          <cell r="J1022">
            <v>57000</v>
          </cell>
        </row>
        <row r="1023">
          <cell r="I1023" t="str">
            <v>SC952F</v>
          </cell>
          <cell r="J1023">
            <v>113000</v>
          </cell>
        </row>
        <row r="1024">
          <cell r="I1024" t="str">
            <v>SC952C</v>
          </cell>
          <cell r="J1024">
            <v>84000</v>
          </cell>
        </row>
        <row r="1025">
          <cell r="I1025" t="str">
            <v>SC9350</v>
          </cell>
          <cell r="J1025">
            <v>18000</v>
          </cell>
        </row>
        <row r="1026">
          <cell r="I1026" t="str">
            <v>SC9380</v>
          </cell>
          <cell r="J1026">
            <v>26000</v>
          </cell>
        </row>
        <row r="1027">
          <cell r="I1027" t="str">
            <v>SF517T</v>
          </cell>
          <cell r="J1027">
            <v>203700</v>
          </cell>
        </row>
        <row r="1028">
          <cell r="I1028" t="str">
            <v>SF517TBE</v>
          </cell>
          <cell r="J1028">
            <v>178500</v>
          </cell>
        </row>
        <row r="1029">
          <cell r="I1029" t="str">
            <v>SF316TA</v>
          </cell>
          <cell r="J1029">
            <v>300300</v>
          </cell>
        </row>
        <row r="1030">
          <cell r="I1030" t="str">
            <v>SF316TABE</v>
          </cell>
          <cell r="J1030">
            <v>264600</v>
          </cell>
        </row>
        <row r="1031">
          <cell r="I1031" t="str">
            <v>SF316TB</v>
          </cell>
          <cell r="J1031">
            <v>280400</v>
          </cell>
        </row>
        <row r="1032">
          <cell r="I1032" t="str">
            <v>SF316TBBE</v>
          </cell>
          <cell r="J1032">
            <v>246800</v>
          </cell>
        </row>
        <row r="1033">
          <cell r="I1033" t="str">
            <v>SC282</v>
          </cell>
          <cell r="J1033">
            <v>362300</v>
          </cell>
        </row>
        <row r="1034">
          <cell r="I1034" t="str">
            <v>SC283</v>
          </cell>
          <cell r="J1034">
            <v>485100</v>
          </cell>
        </row>
        <row r="1035">
          <cell r="I1035" t="str">
            <v>SC2082</v>
          </cell>
          <cell r="J1035">
            <v>326600</v>
          </cell>
        </row>
        <row r="1036">
          <cell r="I1036" t="str">
            <v>SC2083</v>
          </cell>
          <cell r="J1036">
            <v>449400</v>
          </cell>
        </row>
        <row r="1037">
          <cell r="I1037" t="str">
            <v>SC162</v>
          </cell>
          <cell r="J1037">
            <v>114500</v>
          </cell>
        </row>
        <row r="1038">
          <cell r="I1038" t="str">
            <v>SC662L</v>
          </cell>
          <cell r="J1038">
            <v>236300</v>
          </cell>
        </row>
        <row r="1039">
          <cell r="I1039" t="str">
            <v>SC662R</v>
          </cell>
          <cell r="J1039">
            <v>236300</v>
          </cell>
        </row>
        <row r="1040">
          <cell r="I1040" t="str">
            <v>SC764</v>
          </cell>
          <cell r="J1040">
            <v>239400</v>
          </cell>
        </row>
        <row r="1041">
          <cell r="I1041" t="str">
            <v>SA0101</v>
          </cell>
          <cell r="J1041">
            <v>4800</v>
          </cell>
        </row>
        <row r="1042">
          <cell r="I1042" t="str">
            <v>SA0102</v>
          </cell>
          <cell r="J1042">
            <v>4800</v>
          </cell>
        </row>
        <row r="1043">
          <cell r="I1043" t="str">
            <v>SA0103</v>
          </cell>
          <cell r="J1043">
            <v>4800</v>
          </cell>
        </row>
        <row r="1044">
          <cell r="I1044" t="str">
            <v>SA0104</v>
          </cell>
          <cell r="J1044">
            <v>9700</v>
          </cell>
        </row>
        <row r="1045">
          <cell r="I1045" t="str">
            <v>SA1012</v>
          </cell>
          <cell r="J1045">
            <v>60900</v>
          </cell>
        </row>
        <row r="1046">
          <cell r="I1046" t="str">
            <v>SA1014</v>
          </cell>
          <cell r="J1046">
            <v>68300</v>
          </cell>
        </row>
        <row r="1047">
          <cell r="I1047" t="str">
            <v>SA0201</v>
          </cell>
          <cell r="J1047">
            <v>57800</v>
          </cell>
        </row>
        <row r="1048">
          <cell r="I1048" t="str">
            <v>SA0301</v>
          </cell>
          <cell r="J1048">
            <v>14700</v>
          </cell>
        </row>
        <row r="1049">
          <cell r="I1049" t="str">
            <v>SA0401</v>
          </cell>
          <cell r="J1049">
            <v>14700</v>
          </cell>
        </row>
        <row r="1050">
          <cell r="I1050" t="str">
            <v>SA9900</v>
          </cell>
          <cell r="J1050">
            <v>8900</v>
          </cell>
        </row>
        <row r="1051">
          <cell r="I1051" t="str">
            <v>IF0060</v>
          </cell>
          <cell r="J1051">
            <v>33600</v>
          </cell>
        </row>
        <row r="1052">
          <cell r="I1052" t="str">
            <v>IF0070</v>
          </cell>
          <cell r="J1052">
            <v>36800</v>
          </cell>
        </row>
        <row r="1053">
          <cell r="I1053" t="str">
            <v>IF0080</v>
          </cell>
          <cell r="J1053">
            <v>39900</v>
          </cell>
        </row>
        <row r="1054">
          <cell r="I1054" t="str">
            <v>IF0100</v>
          </cell>
          <cell r="J1054">
            <v>45200</v>
          </cell>
        </row>
        <row r="1055">
          <cell r="I1055" t="str">
            <v>IF0120</v>
          </cell>
          <cell r="J1055">
            <v>50400</v>
          </cell>
        </row>
        <row r="1056">
          <cell r="I1056" t="str">
            <v>IF0062</v>
          </cell>
          <cell r="J1056">
            <v>36800</v>
          </cell>
        </row>
        <row r="1057">
          <cell r="I1057" t="str">
            <v>IF0072</v>
          </cell>
          <cell r="J1057">
            <v>39900</v>
          </cell>
        </row>
        <row r="1058">
          <cell r="I1058" t="str">
            <v>IF0082</v>
          </cell>
          <cell r="J1058">
            <v>43100</v>
          </cell>
        </row>
        <row r="1059">
          <cell r="I1059" t="str">
            <v>IF0102</v>
          </cell>
          <cell r="J1059">
            <v>48300</v>
          </cell>
        </row>
        <row r="1060">
          <cell r="I1060" t="str">
            <v>IF0122</v>
          </cell>
          <cell r="J1060">
            <v>53600</v>
          </cell>
        </row>
        <row r="1061">
          <cell r="I1061" t="str">
            <v>IF0064</v>
          </cell>
          <cell r="J1061">
            <v>42000</v>
          </cell>
        </row>
        <row r="1062">
          <cell r="I1062" t="str">
            <v>IF0074</v>
          </cell>
          <cell r="J1062">
            <v>45200</v>
          </cell>
        </row>
        <row r="1063">
          <cell r="I1063" t="str">
            <v>IF0084</v>
          </cell>
          <cell r="J1063">
            <v>48300</v>
          </cell>
        </row>
        <row r="1064">
          <cell r="I1064" t="str">
            <v>IF0104</v>
          </cell>
          <cell r="J1064">
            <v>53600</v>
          </cell>
        </row>
        <row r="1065">
          <cell r="I1065" t="str">
            <v>IF0124</v>
          </cell>
          <cell r="J1065">
            <v>58800</v>
          </cell>
        </row>
        <row r="1066">
          <cell r="I1066" t="str">
            <v>IF0066</v>
          </cell>
          <cell r="J1066">
            <v>47300</v>
          </cell>
        </row>
        <row r="1067">
          <cell r="I1067" t="str">
            <v>IF0076</v>
          </cell>
          <cell r="J1067">
            <v>50400</v>
          </cell>
        </row>
        <row r="1068">
          <cell r="I1068" t="str">
            <v>IF0086</v>
          </cell>
          <cell r="J1068">
            <v>53600</v>
          </cell>
        </row>
        <row r="1069">
          <cell r="I1069" t="str">
            <v>IF0106</v>
          </cell>
          <cell r="J1069">
            <v>58800</v>
          </cell>
        </row>
        <row r="1070">
          <cell r="I1070" t="str">
            <v>IF0126</v>
          </cell>
          <cell r="J1070">
            <v>64100</v>
          </cell>
        </row>
        <row r="1071">
          <cell r="I1071" t="str">
            <v>IF0068</v>
          </cell>
          <cell r="J1071">
            <v>51500</v>
          </cell>
        </row>
        <row r="1072">
          <cell r="I1072" t="str">
            <v>IF0078</v>
          </cell>
          <cell r="J1072">
            <v>54600</v>
          </cell>
        </row>
        <row r="1073">
          <cell r="I1073" t="str">
            <v>IF0088</v>
          </cell>
          <cell r="J1073">
            <v>57800</v>
          </cell>
        </row>
        <row r="1074">
          <cell r="I1074" t="str">
            <v>IF0108</v>
          </cell>
          <cell r="J1074">
            <v>63000</v>
          </cell>
        </row>
        <row r="1075">
          <cell r="I1075" t="str">
            <v>IF0128</v>
          </cell>
          <cell r="J1075">
            <v>68300</v>
          </cell>
        </row>
        <row r="1076">
          <cell r="I1076" t="str">
            <v>IF3061</v>
          </cell>
          <cell r="J1076">
            <v>10000</v>
          </cell>
        </row>
        <row r="1077">
          <cell r="I1077" t="str">
            <v>IF3071</v>
          </cell>
          <cell r="J1077">
            <v>11000</v>
          </cell>
        </row>
        <row r="1078">
          <cell r="I1078" t="str">
            <v>IF3081</v>
          </cell>
          <cell r="J1078">
            <v>12600</v>
          </cell>
        </row>
        <row r="1079">
          <cell r="I1079" t="str">
            <v>IF3101</v>
          </cell>
          <cell r="J1079">
            <v>14700</v>
          </cell>
        </row>
        <row r="1080">
          <cell r="I1080" t="str">
            <v>IF3121</v>
          </cell>
          <cell r="J1080">
            <v>16800</v>
          </cell>
        </row>
        <row r="1081">
          <cell r="I1081" t="str">
            <v>IF1062</v>
          </cell>
          <cell r="J1081">
            <v>8400</v>
          </cell>
        </row>
        <row r="1082">
          <cell r="I1082" t="str">
            <v>IF1072</v>
          </cell>
          <cell r="J1082">
            <v>10000</v>
          </cell>
        </row>
        <row r="1083">
          <cell r="I1083" t="str">
            <v>IF1082</v>
          </cell>
          <cell r="J1083">
            <v>11600</v>
          </cell>
        </row>
        <row r="1084">
          <cell r="I1084" t="str">
            <v>IF1102</v>
          </cell>
          <cell r="J1084">
            <v>13100</v>
          </cell>
        </row>
        <row r="1085">
          <cell r="I1085" t="str">
            <v>IF1122</v>
          </cell>
          <cell r="J1085">
            <v>14700</v>
          </cell>
        </row>
        <row r="1086">
          <cell r="I1086" t="str">
            <v>IF1064</v>
          </cell>
          <cell r="J1086">
            <v>14700</v>
          </cell>
        </row>
        <row r="1087">
          <cell r="I1087" t="str">
            <v>IF1074</v>
          </cell>
          <cell r="J1087">
            <v>16300</v>
          </cell>
        </row>
        <row r="1088">
          <cell r="I1088" t="str">
            <v>IF1084</v>
          </cell>
          <cell r="J1088">
            <v>17900</v>
          </cell>
        </row>
        <row r="1089">
          <cell r="I1089" t="str">
            <v>IF1104</v>
          </cell>
          <cell r="J1089">
            <v>21000</v>
          </cell>
        </row>
        <row r="1090">
          <cell r="I1090" t="str">
            <v>IF1124</v>
          </cell>
          <cell r="J1090">
            <v>24200</v>
          </cell>
        </row>
        <row r="1091">
          <cell r="I1091" t="str">
            <v>IF1066</v>
          </cell>
          <cell r="J1091">
            <v>21000</v>
          </cell>
        </row>
        <row r="1092">
          <cell r="I1092" t="str">
            <v>IF1076</v>
          </cell>
          <cell r="J1092">
            <v>22600</v>
          </cell>
        </row>
        <row r="1093">
          <cell r="I1093" t="str">
            <v>IF1086</v>
          </cell>
          <cell r="J1093">
            <v>24200</v>
          </cell>
        </row>
        <row r="1094">
          <cell r="I1094" t="str">
            <v>IF1106</v>
          </cell>
          <cell r="J1094">
            <v>27300</v>
          </cell>
        </row>
        <row r="1095">
          <cell r="I1095" t="str">
            <v>IF1126</v>
          </cell>
          <cell r="J1095">
            <v>30500</v>
          </cell>
        </row>
        <row r="1096">
          <cell r="I1096" t="str">
            <v>IF1066MM</v>
          </cell>
          <cell r="J1096">
            <v>17900</v>
          </cell>
        </row>
        <row r="1097">
          <cell r="I1097" t="str">
            <v>IF1066BE</v>
          </cell>
          <cell r="J1097">
            <v>17900</v>
          </cell>
        </row>
        <row r="1098">
          <cell r="I1098" t="str">
            <v>IF1076MM</v>
          </cell>
          <cell r="J1098">
            <v>19400</v>
          </cell>
        </row>
        <row r="1099">
          <cell r="I1099" t="str">
            <v>IF1076BE</v>
          </cell>
          <cell r="J1099">
            <v>19400</v>
          </cell>
        </row>
        <row r="1100">
          <cell r="I1100" t="str">
            <v>IF1086MM</v>
          </cell>
          <cell r="J1100">
            <v>21000</v>
          </cell>
        </row>
        <row r="1101">
          <cell r="I1101" t="str">
            <v>IF1086BE</v>
          </cell>
          <cell r="J1101">
            <v>21000</v>
          </cell>
        </row>
        <row r="1102">
          <cell r="I1102" t="str">
            <v>IF1106MM</v>
          </cell>
          <cell r="J1102">
            <v>23100</v>
          </cell>
        </row>
        <row r="1103">
          <cell r="I1103" t="str">
            <v>IF1106BE</v>
          </cell>
          <cell r="J1103">
            <v>23100</v>
          </cell>
        </row>
        <row r="1104">
          <cell r="I1104" t="str">
            <v>IF1126MM</v>
          </cell>
          <cell r="J1104">
            <v>26300</v>
          </cell>
        </row>
        <row r="1105">
          <cell r="I1105" t="str">
            <v>IF1126BE</v>
          </cell>
          <cell r="J1105">
            <v>26300</v>
          </cell>
        </row>
        <row r="1106">
          <cell r="I1106" t="str">
            <v>IF1064G</v>
          </cell>
          <cell r="J1106">
            <v>13100</v>
          </cell>
        </row>
        <row r="1107">
          <cell r="I1107" t="str">
            <v>IF1074G</v>
          </cell>
          <cell r="J1107">
            <v>15800</v>
          </cell>
        </row>
        <row r="1108">
          <cell r="I1108" t="str">
            <v>IF1084G</v>
          </cell>
          <cell r="J1108">
            <v>18900</v>
          </cell>
        </row>
        <row r="1109">
          <cell r="I1109" t="str">
            <v>IF1104G</v>
          </cell>
          <cell r="J1109">
            <v>24200</v>
          </cell>
        </row>
        <row r="1110">
          <cell r="I1110" t="str">
            <v>IF1124G</v>
          </cell>
          <cell r="J1110">
            <v>29400</v>
          </cell>
        </row>
        <row r="1111">
          <cell r="I1111" t="str">
            <v>IF1066G</v>
          </cell>
          <cell r="J1111">
            <v>21500</v>
          </cell>
        </row>
        <row r="1112">
          <cell r="I1112" t="str">
            <v>IF1076G</v>
          </cell>
          <cell r="J1112">
            <v>24200</v>
          </cell>
        </row>
        <row r="1113">
          <cell r="I1113" t="str">
            <v>IF1086G</v>
          </cell>
          <cell r="J1113">
            <v>27300</v>
          </cell>
        </row>
        <row r="1114">
          <cell r="I1114" t="str">
            <v>IF1106G</v>
          </cell>
          <cell r="J1114">
            <v>32600</v>
          </cell>
        </row>
        <row r="1115">
          <cell r="I1115" t="str">
            <v>IF1126G</v>
          </cell>
          <cell r="J1115">
            <v>37800</v>
          </cell>
        </row>
        <row r="1116">
          <cell r="I1116" t="str">
            <v>IF1064K</v>
          </cell>
          <cell r="J1116">
            <v>15800</v>
          </cell>
        </row>
        <row r="1117">
          <cell r="I1117" t="str">
            <v>IF1074K</v>
          </cell>
          <cell r="J1117">
            <v>18900</v>
          </cell>
        </row>
        <row r="1118">
          <cell r="I1118" t="str">
            <v>IF1084K</v>
          </cell>
          <cell r="J1118">
            <v>23100</v>
          </cell>
        </row>
        <row r="1119">
          <cell r="I1119" t="str">
            <v>IF1104K</v>
          </cell>
          <cell r="J1119">
            <v>27300</v>
          </cell>
        </row>
        <row r="1120">
          <cell r="I1120" t="str">
            <v>IF1124K</v>
          </cell>
          <cell r="J1120">
            <v>32600</v>
          </cell>
        </row>
        <row r="1121">
          <cell r="I1121" t="str">
            <v>IF1066K</v>
          </cell>
          <cell r="J1121">
            <v>26300</v>
          </cell>
        </row>
        <row r="1122">
          <cell r="I1122" t="str">
            <v>IF1076K</v>
          </cell>
          <cell r="J1122">
            <v>29400</v>
          </cell>
        </row>
        <row r="1123">
          <cell r="I1123" t="str">
            <v>IF1086K</v>
          </cell>
          <cell r="J1123">
            <v>32600</v>
          </cell>
        </row>
        <row r="1124">
          <cell r="I1124" t="str">
            <v>IF1106K</v>
          </cell>
          <cell r="J1124">
            <v>36800</v>
          </cell>
        </row>
        <row r="1125">
          <cell r="I1125" t="str">
            <v>IF1126K</v>
          </cell>
          <cell r="J1125">
            <v>42000</v>
          </cell>
        </row>
        <row r="1126">
          <cell r="I1126" t="str">
            <v>IF1064B</v>
          </cell>
          <cell r="J1126">
            <v>20000</v>
          </cell>
        </row>
        <row r="1127">
          <cell r="I1127" t="str">
            <v>IF1074B</v>
          </cell>
          <cell r="J1127">
            <v>22100</v>
          </cell>
        </row>
        <row r="1128">
          <cell r="I1128" t="str">
            <v>IF1084B</v>
          </cell>
          <cell r="J1128">
            <v>24200</v>
          </cell>
        </row>
        <row r="1129">
          <cell r="I1129" t="str">
            <v>IF1104B</v>
          </cell>
          <cell r="J1129">
            <v>35700</v>
          </cell>
        </row>
        <row r="1130">
          <cell r="I1130" t="str">
            <v>IF1124B</v>
          </cell>
          <cell r="J1130">
            <v>38900</v>
          </cell>
        </row>
        <row r="1131">
          <cell r="I1131" t="str">
            <v>IF1066B</v>
          </cell>
          <cell r="J1131">
            <v>27300</v>
          </cell>
        </row>
        <row r="1132">
          <cell r="I1132" t="str">
            <v>IF1076B</v>
          </cell>
          <cell r="J1132">
            <v>30500</v>
          </cell>
        </row>
        <row r="1133">
          <cell r="I1133" t="str">
            <v>IF1086B</v>
          </cell>
          <cell r="J1133">
            <v>33600</v>
          </cell>
        </row>
        <row r="1134">
          <cell r="I1134" t="str">
            <v>IF1106B</v>
          </cell>
          <cell r="J1134">
            <v>42000</v>
          </cell>
        </row>
        <row r="1135">
          <cell r="I1135" t="str">
            <v>IF1126B</v>
          </cell>
          <cell r="J1135">
            <v>46200</v>
          </cell>
        </row>
        <row r="1136">
          <cell r="I1136" t="str">
            <v>IF5110</v>
          </cell>
          <cell r="J1136">
            <v>17900</v>
          </cell>
        </row>
        <row r="1137">
          <cell r="I1137" t="str">
            <v>IF5112</v>
          </cell>
          <cell r="J1137">
            <v>19400</v>
          </cell>
        </row>
        <row r="1138">
          <cell r="I1138" t="str">
            <v>IF5114</v>
          </cell>
          <cell r="J1138">
            <v>21000</v>
          </cell>
        </row>
        <row r="1139">
          <cell r="I1139" t="str">
            <v>IF5116</v>
          </cell>
          <cell r="J1139">
            <v>24200</v>
          </cell>
        </row>
        <row r="1140">
          <cell r="I1140" t="str">
            <v>IF5118</v>
          </cell>
          <cell r="J1140">
            <v>28400</v>
          </cell>
        </row>
        <row r="1141">
          <cell r="I1141" t="str">
            <v>IF5210</v>
          </cell>
          <cell r="J1141">
            <v>21000</v>
          </cell>
        </row>
        <row r="1142">
          <cell r="I1142" t="str">
            <v>IF5212</v>
          </cell>
          <cell r="J1142">
            <v>22600</v>
          </cell>
        </row>
        <row r="1143">
          <cell r="I1143" t="str">
            <v>IF5214</v>
          </cell>
          <cell r="J1143">
            <v>24200</v>
          </cell>
        </row>
        <row r="1144">
          <cell r="I1144" t="str">
            <v>IF5216</v>
          </cell>
          <cell r="J1144">
            <v>27300</v>
          </cell>
        </row>
        <row r="1145">
          <cell r="I1145" t="str">
            <v>IF5218</v>
          </cell>
          <cell r="J1145">
            <v>31500</v>
          </cell>
        </row>
        <row r="1146">
          <cell r="I1146" t="str">
            <v>IF5510</v>
          </cell>
          <cell r="J1146">
            <v>24200</v>
          </cell>
        </row>
        <row r="1147">
          <cell r="I1147" t="str">
            <v>IF5512</v>
          </cell>
          <cell r="J1147">
            <v>25700</v>
          </cell>
        </row>
        <row r="1148">
          <cell r="I1148" t="str">
            <v>IF5514</v>
          </cell>
          <cell r="J1148">
            <v>27300</v>
          </cell>
        </row>
        <row r="1149">
          <cell r="I1149" t="str">
            <v>IF5516</v>
          </cell>
          <cell r="J1149">
            <v>30500</v>
          </cell>
        </row>
        <row r="1150">
          <cell r="I1150" t="str">
            <v>IF5518</v>
          </cell>
          <cell r="J1150">
            <v>34700</v>
          </cell>
        </row>
        <row r="1151">
          <cell r="I1151" t="str">
            <v>IF6010</v>
          </cell>
          <cell r="J1151">
            <v>6300</v>
          </cell>
        </row>
        <row r="1152">
          <cell r="I1152" t="str">
            <v>IF6012</v>
          </cell>
          <cell r="J1152">
            <v>7900</v>
          </cell>
        </row>
        <row r="1153">
          <cell r="I1153" t="str">
            <v>IF6014</v>
          </cell>
          <cell r="J1153">
            <v>9500</v>
          </cell>
        </row>
        <row r="1154">
          <cell r="I1154" t="str">
            <v>IF6016</v>
          </cell>
          <cell r="J1154">
            <v>11600</v>
          </cell>
        </row>
        <row r="1155">
          <cell r="I1155" t="str">
            <v>IF6018</v>
          </cell>
          <cell r="J1155">
            <v>13700</v>
          </cell>
        </row>
        <row r="1156">
          <cell r="I1156" t="str">
            <v>IF6102</v>
          </cell>
          <cell r="J1156">
            <v>3200</v>
          </cell>
        </row>
        <row r="1157">
          <cell r="I1157" t="str">
            <v>IF6104</v>
          </cell>
          <cell r="J1157">
            <v>4200</v>
          </cell>
        </row>
        <row r="1158">
          <cell r="I1158" t="str">
            <v>IF6106</v>
          </cell>
          <cell r="J1158">
            <v>4700</v>
          </cell>
        </row>
        <row r="1159">
          <cell r="I1159" t="str">
            <v>IF6108</v>
          </cell>
          <cell r="J1159">
            <v>5800</v>
          </cell>
        </row>
        <row r="1160">
          <cell r="I1160" t="str">
            <v>IF6102T</v>
          </cell>
          <cell r="J1160">
            <v>3200</v>
          </cell>
        </row>
        <row r="1161">
          <cell r="I1161" t="str">
            <v>IF6104T</v>
          </cell>
          <cell r="J1161">
            <v>4200</v>
          </cell>
        </row>
        <row r="1162">
          <cell r="I1162" t="str">
            <v>IF6106T</v>
          </cell>
          <cell r="J1162">
            <v>4700</v>
          </cell>
        </row>
        <row r="1163">
          <cell r="I1163" t="str">
            <v>IF6108T</v>
          </cell>
          <cell r="J1163">
            <v>5800</v>
          </cell>
        </row>
        <row r="1164">
          <cell r="I1164" t="str">
            <v>IF8001</v>
          </cell>
          <cell r="J1164">
            <v>23100</v>
          </cell>
        </row>
        <row r="1165">
          <cell r="I1165" t="str">
            <v>IF8002</v>
          </cell>
          <cell r="J1165">
            <v>3200</v>
          </cell>
        </row>
        <row r="1166">
          <cell r="I1166" t="str">
            <v>IT8001</v>
          </cell>
          <cell r="J1166">
            <v>5300</v>
          </cell>
        </row>
        <row r="1167">
          <cell r="I1167" t="str">
            <v>IT8002</v>
          </cell>
          <cell r="J1167">
            <v>5300</v>
          </cell>
        </row>
        <row r="1168">
          <cell r="I1168" t="str">
            <v>IT8003</v>
          </cell>
          <cell r="J1168">
            <v>2600</v>
          </cell>
        </row>
        <row r="1169">
          <cell r="I1169" t="str">
            <v>IT0008L</v>
          </cell>
          <cell r="J1169">
            <v>57800</v>
          </cell>
        </row>
        <row r="1170">
          <cell r="I1170" t="str">
            <v>IT0008R</v>
          </cell>
          <cell r="J1170">
            <v>57800</v>
          </cell>
        </row>
        <row r="1171">
          <cell r="I1171" t="str">
            <v>IT0008</v>
          </cell>
          <cell r="J1171">
            <v>57800</v>
          </cell>
        </row>
        <row r="1172">
          <cell r="I1172" t="str">
            <v>IT0010L</v>
          </cell>
          <cell r="J1172">
            <v>71400</v>
          </cell>
        </row>
        <row r="1173">
          <cell r="I1173" t="str">
            <v>IT0010R</v>
          </cell>
          <cell r="J1173">
            <v>71400</v>
          </cell>
        </row>
        <row r="1174">
          <cell r="I1174" t="str">
            <v>IT0100</v>
          </cell>
          <cell r="J1174">
            <v>71400</v>
          </cell>
        </row>
        <row r="1175">
          <cell r="I1175" t="str">
            <v>IT0012L</v>
          </cell>
          <cell r="J1175">
            <v>80900</v>
          </cell>
        </row>
        <row r="1176">
          <cell r="I1176" t="str">
            <v>IT0012R</v>
          </cell>
          <cell r="J1176">
            <v>80900</v>
          </cell>
        </row>
        <row r="1177">
          <cell r="I1177" t="str">
            <v>IT0012</v>
          </cell>
          <cell r="J1177">
            <v>80900</v>
          </cell>
        </row>
        <row r="1178">
          <cell r="I1178" t="str">
            <v>IT0116</v>
          </cell>
          <cell r="J1178">
            <v>92400</v>
          </cell>
        </row>
        <row r="1179">
          <cell r="I1179" t="str">
            <v>IT0118</v>
          </cell>
          <cell r="J1179">
            <v>101900</v>
          </cell>
        </row>
        <row r="1180">
          <cell r="I1180" t="str">
            <v>IT0100L</v>
          </cell>
          <cell r="J1180">
            <v>36800</v>
          </cell>
        </row>
        <row r="1181">
          <cell r="I1181" t="str">
            <v>IT0100R</v>
          </cell>
          <cell r="J1181">
            <v>36800</v>
          </cell>
        </row>
        <row r="1182">
          <cell r="I1182" t="str">
            <v>IT5066</v>
          </cell>
          <cell r="J1182">
            <v>110300</v>
          </cell>
        </row>
        <row r="1183">
          <cell r="I1183" t="str">
            <v>IT5077</v>
          </cell>
          <cell r="J1183">
            <v>135500</v>
          </cell>
        </row>
        <row r="1184">
          <cell r="I1184" t="str">
            <v>IT912</v>
          </cell>
          <cell r="J1184">
            <v>108200</v>
          </cell>
        </row>
        <row r="1185">
          <cell r="I1185" t="str">
            <v>IT916</v>
          </cell>
          <cell r="J1185">
            <v>160700</v>
          </cell>
        </row>
        <row r="1186">
          <cell r="I1186" t="str">
            <v>IT966</v>
          </cell>
          <cell r="J1186">
            <v>161700</v>
          </cell>
        </row>
        <row r="1187">
          <cell r="I1187" t="str">
            <v>IT977</v>
          </cell>
          <cell r="J1187">
            <v>172200</v>
          </cell>
        </row>
        <row r="1188">
          <cell r="I1188" t="str">
            <v>IT926L</v>
          </cell>
          <cell r="J1188">
            <v>138600</v>
          </cell>
        </row>
        <row r="1189">
          <cell r="I1189" t="str">
            <v>IT926R</v>
          </cell>
          <cell r="J1189">
            <v>138600</v>
          </cell>
        </row>
        <row r="1190">
          <cell r="I1190" t="str">
            <v>IT927L</v>
          </cell>
          <cell r="J1190">
            <v>141800</v>
          </cell>
        </row>
        <row r="1191">
          <cell r="I1191" t="str">
            <v>IT927R</v>
          </cell>
          <cell r="J1191">
            <v>141800</v>
          </cell>
        </row>
        <row r="1192">
          <cell r="I1192" t="str">
            <v>IT912CL</v>
          </cell>
          <cell r="J1192">
            <v>126000</v>
          </cell>
        </row>
        <row r="1193">
          <cell r="I1193" t="str">
            <v>IT912CR</v>
          </cell>
          <cell r="J1193">
            <v>126000</v>
          </cell>
        </row>
        <row r="1194">
          <cell r="I1194" t="str">
            <v>IT918CL</v>
          </cell>
          <cell r="J1194">
            <v>176400</v>
          </cell>
        </row>
        <row r="1195">
          <cell r="I1195" t="str">
            <v>IT918CR</v>
          </cell>
          <cell r="J1195">
            <v>176400</v>
          </cell>
        </row>
        <row r="1196">
          <cell r="I1196" t="str">
            <v>IT912DL</v>
          </cell>
          <cell r="J1196">
            <v>126000</v>
          </cell>
        </row>
        <row r="1197">
          <cell r="I1197" t="str">
            <v>IT912DR</v>
          </cell>
          <cell r="J1197">
            <v>126000</v>
          </cell>
        </row>
        <row r="1198">
          <cell r="I1198" t="str">
            <v>IT918DR</v>
          </cell>
          <cell r="J1198">
            <v>176400</v>
          </cell>
        </row>
        <row r="1199">
          <cell r="I1199" t="str">
            <v>IT918DL</v>
          </cell>
          <cell r="J1199">
            <v>176400</v>
          </cell>
        </row>
        <row r="1200">
          <cell r="I1200" t="str">
            <v>IT2004</v>
          </cell>
          <cell r="J1200">
            <v>21000</v>
          </cell>
        </row>
        <row r="1201">
          <cell r="I1201" t="str">
            <v>IT2005</v>
          </cell>
          <cell r="J1201">
            <v>24200</v>
          </cell>
        </row>
        <row r="1202">
          <cell r="I1202" t="str">
            <v>IT2006</v>
          </cell>
          <cell r="J1202">
            <v>27300</v>
          </cell>
        </row>
        <row r="1203">
          <cell r="I1203" t="str">
            <v>IT2007</v>
          </cell>
          <cell r="J1203">
            <v>30500</v>
          </cell>
        </row>
        <row r="1204">
          <cell r="I1204" t="str">
            <v>IT2008</v>
          </cell>
          <cell r="J1204">
            <v>33600</v>
          </cell>
        </row>
        <row r="1205">
          <cell r="I1205" t="str">
            <v>IT2010</v>
          </cell>
          <cell r="J1205">
            <v>39900</v>
          </cell>
        </row>
        <row r="1206">
          <cell r="I1206" t="str">
            <v>IT2012</v>
          </cell>
          <cell r="J1206">
            <v>47300</v>
          </cell>
        </row>
        <row r="1207">
          <cell r="I1207" t="str">
            <v>IT2014</v>
          </cell>
          <cell r="J1207">
            <v>54600</v>
          </cell>
        </row>
        <row r="1208">
          <cell r="I1208" t="str">
            <v>IT2016</v>
          </cell>
          <cell r="J1208">
            <v>60900</v>
          </cell>
        </row>
        <row r="1209">
          <cell r="I1209" t="str">
            <v>IT2122</v>
          </cell>
          <cell r="J1209">
            <v>21000</v>
          </cell>
        </row>
        <row r="1210">
          <cell r="I1210" t="str">
            <v>IT2204</v>
          </cell>
          <cell r="J1210">
            <v>24200</v>
          </cell>
        </row>
        <row r="1211">
          <cell r="I1211" t="str">
            <v>IT2205</v>
          </cell>
          <cell r="J1211">
            <v>27300</v>
          </cell>
        </row>
        <row r="1212">
          <cell r="I1212" t="str">
            <v>IT2206</v>
          </cell>
          <cell r="J1212">
            <v>30500</v>
          </cell>
        </row>
        <row r="1213">
          <cell r="I1213" t="str">
            <v>IT2207</v>
          </cell>
          <cell r="J1213">
            <v>33600</v>
          </cell>
        </row>
        <row r="1214">
          <cell r="I1214" t="str">
            <v>IT2208</v>
          </cell>
          <cell r="J1214">
            <v>36800</v>
          </cell>
        </row>
        <row r="1215">
          <cell r="I1215" t="str">
            <v>IT2210</v>
          </cell>
          <cell r="J1215">
            <v>44100</v>
          </cell>
        </row>
        <row r="1216">
          <cell r="I1216" t="str">
            <v>IT2212</v>
          </cell>
          <cell r="J1216">
            <v>51500</v>
          </cell>
        </row>
        <row r="1217">
          <cell r="I1217" t="str">
            <v>IT3006</v>
          </cell>
          <cell r="J1217">
            <v>44100</v>
          </cell>
        </row>
        <row r="1218">
          <cell r="I1218" t="str">
            <v>IT3007</v>
          </cell>
          <cell r="J1218">
            <v>47300</v>
          </cell>
        </row>
        <row r="1219">
          <cell r="I1219" t="str">
            <v>IT3008</v>
          </cell>
          <cell r="J1219">
            <v>51500</v>
          </cell>
        </row>
        <row r="1220">
          <cell r="I1220" t="str">
            <v>IT3010</v>
          </cell>
          <cell r="J1220">
            <v>57800</v>
          </cell>
        </row>
        <row r="1221">
          <cell r="I1221" t="str">
            <v>IT3012</v>
          </cell>
          <cell r="J1221">
            <v>65100</v>
          </cell>
        </row>
        <row r="1222">
          <cell r="I1222" t="str">
            <v>IT3406</v>
          </cell>
          <cell r="J1222">
            <v>53600</v>
          </cell>
        </row>
        <row r="1223">
          <cell r="I1223" t="str">
            <v>IT3407</v>
          </cell>
          <cell r="J1223">
            <v>56700</v>
          </cell>
        </row>
        <row r="1224">
          <cell r="I1224" t="str">
            <v>IT3408</v>
          </cell>
          <cell r="J1224">
            <v>59900</v>
          </cell>
        </row>
        <row r="1225">
          <cell r="I1225" t="str">
            <v>IT3410</v>
          </cell>
          <cell r="J1225">
            <v>66200</v>
          </cell>
        </row>
        <row r="1226">
          <cell r="I1226" t="str">
            <v>IT3412</v>
          </cell>
          <cell r="J1226">
            <v>72500</v>
          </cell>
        </row>
        <row r="1227">
          <cell r="I1227" t="str">
            <v>IT3106</v>
          </cell>
          <cell r="J1227">
            <v>44100</v>
          </cell>
        </row>
        <row r="1228">
          <cell r="I1228" t="str">
            <v>IT3107</v>
          </cell>
          <cell r="J1228">
            <v>47300</v>
          </cell>
        </row>
        <row r="1229">
          <cell r="I1229" t="str">
            <v>IT3108</v>
          </cell>
          <cell r="J1229">
            <v>51500</v>
          </cell>
        </row>
        <row r="1230">
          <cell r="I1230" t="str">
            <v>IT3110</v>
          </cell>
          <cell r="J1230">
            <v>57800</v>
          </cell>
        </row>
        <row r="1231">
          <cell r="I1231" t="str">
            <v>IT3112</v>
          </cell>
          <cell r="J1231">
            <v>65100</v>
          </cell>
        </row>
        <row r="1232">
          <cell r="I1232" t="str">
            <v>IT3306</v>
          </cell>
          <cell r="J1232">
            <v>162800</v>
          </cell>
        </row>
        <row r="1233">
          <cell r="I1233" t="str">
            <v>IT3307</v>
          </cell>
          <cell r="J1233">
            <v>170100</v>
          </cell>
        </row>
        <row r="1234">
          <cell r="I1234" t="str">
            <v>IT3308</v>
          </cell>
          <cell r="J1234">
            <v>174300</v>
          </cell>
        </row>
        <row r="1235">
          <cell r="I1235" t="str">
            <v>IT3310</v>
          </cell>
          <cell r="J1235">
            <v>183800</v>
          </cell>
        </row>
        <row r="1236">
          <cell r="I1236" t="str">
            <v>IT3312</v>
          </cell>
          <cell r="J1236">
            <v>195300</v>
          </cell>
        </row>
        <row r="1237">
          <cell r="I1237" t="str">
            <v>IA0006</v>
          </cell>
          <cell r="J1237">
            <v>12600</v>
          </cell>
        </row>
        <row r="1238">
          <cell r="I1238" t="str">
            <v>IA0007</v>
          </cell>
          <cell r="J1238">
            <v>14200</v>
          </cell>
        </row>
        <row r="1239">
          <cell r="I1239" t="str">
            <v>IA0008</v>
          </cell>
          <cell r="J1239">
            <v>15800</v>
          </cell>
        </row>
        <row r="1240">
          <cell r="I1240" t="str">
            <v>IA0010</v>
          </cell>
          <cell r="J1240">
            <v>18900</v>
          </cell>
        </row>
        <row r="1241">
          <cell r="I1241" t="str">
            <v>IA0012</v>
          </cell>
          <cell r="J1241">
            <v>21000</v>
          </cell>
        </row>
        <row r="1242">
          <cell r="I1242" t="str">
            <v>IA9901</v>
          </cell>
          <cell r="J1242">
            <v>5800</v>
          </cell>
        </row>
        <row r="1243">
          <cell r="I1243" t="str">
            <v>IF060</v>
          </cell>
          <cell r="J1243">
            <v>102400</v>
          </cell>
        </row>
        <row r="1244">
          <cell r="I1244" t="str">
            <v>IF070</v>
          </cell>
          <cell r="J1244">
            <v>112900</v>
          </cell>
        </row>
        <row r="1245">
          <cell r="I1245" t="str">
            <v>IF080</v>
          </cell>
          <cell r="J1245">
            <v>123900</v>
          </cell>
        </row>
        <row r="1246">
          <cell r="I1246" t="str">
            <v>IF100</v>
          </cell>
          <cell r="J1246">
            <v>140700</v>
          </cell>
        </row>
        <row r="1247">
          <cell r="I1247" t="str">
            <v>IF120</v>
          </cell>
          <cell r="J1247">
            <v>157500</v>
          </cell>
        </row>
        <row r="1248">
          <cell r="I1248" t="str">
            <v>IF062</v>
          </cell>
          <cell r="J1248">
            <v>118100</v>
          </cell>
        </row>
        <row r="1249">
          <cell r="I1249" t="str">
            <v>IF072</v>
          </cell>
          <cell r="J1249">
            <v>128600</v>
          </cell>
        </row>
        <row r="1250">
          <cell r="I1250" t="str">
            <v>IF082</v>
          </cell>
          <cell r="J1250">
            <v>139700</v>
          </cell>
        </row>
        <row r="1251">
          <cell r="I1251" t="str">
            <v>IF102</v>
          </cell>
          <cell r="J1251">
            <v>159600</v>
          </cell>
        </row>
        <row r="1252">
          <cell r="I1252" t="str">
            <v>IF122</v>
          </cell>
          <cell r="J1252">
            <v>179600</v>
          </cell>
        </row>
        <row r="1253">
          <cell r="I1253" t="str">
            <v>IF064</v>
          </cell>
          <cell r="J1253">
            <v>136000</v>
          </cell>
        </row>
        <row r="1254">
          <cell r="I1254" t="str">
            <v>IF074</v>
          </cell>
          <cell r="J1254">
            <v>146500</v>
          </cell>
        </row>
        <row r="1255">
          <cell r="I1255" t="str">
            <v>IF084</v>
          </cell>
          <cell r="J1255">
            <v>157500</v>
          </cell>
        </row>
        <row r="1256">
          <cell r="I1256" t="str">
            <v>IF104</v>
          </cell>
          <cell r="J1256">
            <v>177500</v>
          </cell>
        </row>
        <row r="1257">
          <cell r="I1257" t="str">
            <v>IF124</v>
          </cell>
          <cell r="J1257">
            <v>197400</v>
          </cell>
        </row>
        <row r="1258">
          <cell r="I1258" t="str">
            <v>IF066</v>
          </cell>
          <cell r="J1258">
            <v>158000</v>
          </cell>
        </row>
        <row r="1259">
          <cell r="I1259" t="str">
            <v>IF076</v>
          </cell>
          <cell r="J1259">
            <v>171700</v>
          </cell>
        </row>
        <row r="1260">
          <cell r="I1260" t="str">
            <v>IF086</v>
          </cell>
          <cell r="J1260">
            <v>185900</v>
          </cell>
        </row>
        <row r="1261">
          <cell r="I1261" t="str">
            <v>IF106</v>
          </cell>
          <cell r="J1261">
            <v>212100</v>
          </cell>
        </row>
        <row r="1262">
          <cell r="I1262" t="str">
            <v>IF126</v>
          </cell>
          <cell r="J1262">
            <v>238400</v>
          </cell>
        </row>
        <row r="1263">
          <cell r="I1263" t="str">
            <v>IF068</v>
          </cell>
          <cell r="J1263">
            <v>174800</v>
          </cell>
        </row>
        <row r="1264">
          <cell r="I1264" t="str">
            <v>IF078</v>
          </cell>
          <cell r="J1264">
            <v>188500</v>
          </cell>
        </row>
        <row r="1265">
          <cell r="I1265" t="str">
            <v>IF088</v>
          </cell>
          <cell r="J1265">
            <v>202700</v>
          </cell>
        </row>
        <row r="1266">
          <cell r="I1266" t="str">
            <v>IF108</v>
          </cell>
          <cell r="J1266">
            <v>228900</v>
          </cell>
        </row>
        <row r="1267">
          <cell r="I1267" t="str">
            <v>IF128</v>
          </cell>
          <cell r="J1267">
            <v>255200</v>
          </cell>
        </row>
        <row r="1268">
          <cell r="I1268" t="str">
            <v>IF060T</v>
          </cell>
          <cell r="J1268">
            <v>96100</v>
          </cell>
        </row>
        <row r="1269">
          <cell r="I1269" t="str">
            <v>IF070T</v>
          </cell>
          <cell r="J1269">
            <v>106600</v>
          </cell>
        </row>
        <row r="1270">
          <cell r="I1270" t="str">
            <v>IF080T</v>
          </cell>
          <cell r="J1270">
            <v>117600</v>
          </cell>
        </row>
        <row r="1271">
          <cell r="I1271" t="str">
            <v>IF100T</v>
          </cell>
          <cell r="J1271">
            <v>132300</v>
          </cell>
        </row>
        <row r="1272">
          <cell r="I1272" t="str">
            <v>IF120T</v>
          </cell>
          <cell r="J1272">
            <v>149100</v>
          </cell>
        </row>
        <row r="1273">
          <cell r="I1273" t="str">
            <v>IF062T</v>
          </cell>
          <cell r="J1273">
            <v>111800</v>
          </cell>
        </row>
        <row r="1274">
          <cell r="I1274" t="str">
            <v>IF072T</v>
          </cell>
          <cell r="J1274">
            <v>122300</v>
          </cell>
        </row>
        <row r="1275">
          <cell r="I1275" t="str">
            <v>IF082T</v>
          </cell>
          <cell r="J1275">
            <v>133400</v>
          </cell>
        </row>
        <row r="1276">
          <cell r="I1276" t="str">
            <v>IF102T</v>
          </cell>
          <cell r="J1276">
            <v>151200</v>
          </cell>
        </row>
        <row r="1277">
          <cell r="I1277" t="str">
            <v>IF122T</v>
          </cell>
          <cell r="J1277">
            <v>171200</v>
          </cell>
        </row>
        <row r="1278">
          <cell r="I1278" t="str">
            <v>IF064T</v>
          </cell>
          <cell r="J1278">
            <v>129700</v>
          </cell>
        </row>
        <row r="1279">
          <cell r="I1279" t="str">
            <v>IF074T</v>
          </cell>
          <cell r="J1279">
            <v>140200</v>
          </cell>
        </row>
        <row r="1280">
          <cell r="I1280" t="str">
            <v>IF084T</v>
          </cell>
          <cell r="J1280">
            <v>151200</v>
          </cell>
        </row>
        <row r="1281">
          <cell r="I1281" t="str">
            <v>IF104T</v>
          </cell>
          <cell r="J1281">
            <v>169100</v>
          </cell>
        </row>
        <row r="1282">
          <cell r="I1282" t="str">
            <v>IF124T</v>
          </cell>
          <cell r="J1282">
            <v>189000</v>
          </cell>
        </row>
        <row r="1283">
          <cell r="I1283" t="str">
            <v>IF066T</v>
          </cell>
          <cell r="J1283">
            <v>151700</v>
          </cell>
        </row>
        <row r="1284">
          <cell r="I1284" t="str">
            <v>IF076T</v>
          </cell>
          <cell r="J1284">
            <v>165400</v>
          </cell>
        </row>
        <row r="1285">
          <cell r="I1285" t="str">
            <v>IF086T</v>
          </cell>
          <cell r="J1285">
            <v>179600</v>
          </cell>
        </row>
        <row r="1286">
          <cell r="I1286" t="str">
            <v>IF106T</v>
          </cell>
          <cell r="J1286">
            <v>302700</v>
          </cell>
        </row>
        <row r="1287">
          <cell r="I1287" t="str">
            <v>IF126T</v>
          </cell>
          <cell r="J1287">
            <v>230000</v>
          </cell>
        </row>
        <row r="1288">
          <cell r="I1288" t="str">
            <v>IF068T</v>
          </cell>
          <cell r="J1288">
            <v>168500</v>
          </cell>
        </row>
        <row r="1289">
          <cell r="I1289" t="str">
            <v>IF078T</v>
          </cell>
          <cell r="J1289">
            <v>182200</v>
          </cell>
        </row>
        <row r="1290">
          <cell r="I1290" t="str">
            <v>IF088T</v>
          </cell>
          <cell r="J1290">
            <v>196400</v>
          </cell>
        </row>
        <row r="1291">
          <cell r="I1291" t="str">
            <v>IF108T</v>
          </cell>
          <cell r="J1291">
            <v>220500</v>
          </cell>
        </row>
        <row r="1292">
          <cell r="I1292" t="str">
            <v>IF128T</v>
          </cell>
          <cell r="J1292">
            <v>246800</v>
          </cell>
        </row>
        <row r="1293">
          <cell r="I1293" t="str">
            <v>IF060W</v>
          </cell>
          <cell r="J1293">
            <v>99200</v>
          </cell>
        </row>
        <row r="1294">
          <cell r="I1294" t="str">
            <v>IF070W</v>
          </cell>
          <cell r="J1294">
            <v>109700</v>
          </cell>
        </row>
        <row r="1295">
          <cell r="I1295" t="str">
            <v>IF080W</v>
          </cell>
          <cell r="J1295">
            <v>120800</v>
          </cell>
        </row>
        <row r="1296">
          <cell r="I1296" t="str">
            <v>IF100W</v>
          </cell>
          <cell r="J1296">
            <v>136500</v>
          </cell>
        </row>
        <row r="1297">
          <cell r="I1297" t="str">
            <v>IF120W</v>
          </cell>
          <cell r="J1297">
            <v>153300</v>
          </cell>
        </row>
        <row r="1298">
          <cell r="I1298" t="str">
            <v>IF062W</v>
          </cell>
          <cell r="J1298">
            <v>115000</v>
          </cell>
        </row>
        <row r="1299">
          <cell r="I1299" t="str">
            <v>IF072W</v>
          </cell>
          <cell r="J1299">
            <v>125500</v>
          </cell>
        </row>
        <row r="1300">
          <cell r="I1300" t="str">
            <v>IF082W</v>
          </cell>
          <cell r="J1300">
            <v>136500</v>
          </cell>
        </row>
        <row r="1301">
          <cell r="I1301" t="str">
            <v>IF102W</v>
          </cell>
          <cell r="J1301">
            <v>155400</v>
          </cell>
        </row>
        <row r="1302">
          <cell r="I1302" t="str">
            <v>IF122W</v>
          </cell>
          <cell r="J1302">
            <v>175400</v>
          </cell>
        </row>
        <row r="1303">
          <cell r="I1303" t="str">
            <v>IF064W</v>
          </cell>
          <cell r="J1303">
            <v>132800</v>
          </cell>
        </row>
        <row r="1304">
          <cell r="I1304" t="str">
            <v>IF074W</v>
          </cell>
          <cell r="J1304">
            <v>143300</v>
          </cell>
        </row>
        <row r="1305">
          <cell r="I1305" t="str">
            <v>IF084W</v>
          </cell>
          <cell r="J1305">
            <v>154400</v>
          </cell>
        </row>
        <row r="1306">
          <cell r="I1306" t="str">
            <v>IF104W</v>
          </cell>
          <cell r="J1306">
            <v>173300</v>
          </cell>
        </row>
        <row r="1307">
          <cell r="I1307" t="str">
            <v>IF124W</v>
          </cell>
          <cell r="J1307">
            <v>193200</v>
          </cell>
        </row>
        <row r="1308">
          <cell r="I1308" t="str">
            <v>IF066W</v>
          </cell>
          <cell r="J1308">
            <v>154900</v>
          </cell>
        </row>
        <row r="1309">
          <cell r="I1309" t="str">
            <v>IF076W</v>
          </cell>
          <cell r="J1309">
            <v>168500</v>
          </cell>
        </row>
        <row r="1310">
          <cell r="I1310" t="str">
            <v>IF086W</v>
          </cell>
          <cell r="J1310">
            <v>182700</v>
          </cell>
        </row>
        <row r="1311">
          <cell r="I1311" t="str">
            <v>IF106W</v>
          </cell>
          <cell r="J1311">
            <v>207900</v>
          </cell>
        </row>
        <row r="1312">
          <cell r="I1312" t="str">
            <v>IF126W</v>
          </cell>
          <cell r="J1312">
            <v>234200</v>
          </cell>
        </row>
        <row r="1313">
          <cell r="I1313" t="str">
            <v>IF068W</v>
          </cell>
          <cell r="J1313">
            <v>171700</v>
          </cell>
        </row>
        <row r="1314">
          <cell r="I1314" t="str">
            <v>IF078W</v>
          </cell>
          <cell r="J1314">
            <v>185300</v>
          </cell>
        </row>
        <row r="1315">
          <cell r="I1315" t="str">
            <v>IF088W</v>
          </cell>
          <cell r="J1315">
            <v>199500</v>
          </cell>
        </row>
        <row r="1316">
          <cell r="I1316" t="str">
            <v>IF108W</v>
          </cell>
          <cell r="J1316">
            <v>224700</v>
          </cell>
        </row>
        <row r="1317">
          <cell r="I1317" t="str">
            <v>IF128W</v>
          </cell>
          <cell r="J1317">
            <v>251000</v>
          </cell>
        </row>
        <row r="1318">
          <cell r="I1318" t="str">
            <v>IF062G</v>
          </cell>
          <cell r="J1318">
            <v>116000</v>
          </cell>
        </row>
        <row r="1319">
          <cell r="I1319" t="str">
            <v>IF072G</v>
          </cell>
          <cell r="J1319">
            <v>130700</v>
          </cell>
        </row>
        <row r="1320">
          <cell r="I1320" t="str">
            <v>IF082G</v>
          </cell>
          <cell r="J1320">
            <v>148100</v>
          </cell>
        </row>
        <row r="1321">
          <cell r="I1321" t="str">
            <v>IF102G</v>
          </cell>
          <cell r="J1321">
            <v>176400</v>
          </cell>
        </row>
        <row r="1322">
          <cell r="I1322" t="str">
            <v>IF122G</v>
          </cell>
          <cell r="J1322">
            <v>204800</v>
          </cell>
        </row>
        <row r="1323">
          <cell r="I1323" t="str">
            <v>IF064G</v>
          </cell>
          <cell r="J1323">
            <v>138100</v>
          </cell>
        </row>
        <row r="1324">
          <cell r="I1324" t="str">
            <v>IF074G</v>
          </cell>
          <cell r="J1324">
            <v>152800</v>
          </cell>
        </row>
        <row r="1325">
          <cell r="I1325" t="str">
            <v>IF084G</v>
          </cell>
          <cell r="J1325">
            <v>170100</v>
          </cell>
        </row>
        <row r="1326">
          <cell r="I1326" t="str">
            <v>IF104G</v>
          </cell>
          <cell r="J1326">
            <v>198500</v>
          </cell>
        </row>
        <row r="1327">
          <cell r="I1327" t="str">
            <v>IF124G</v>
          </cell>
          <cell r="J1327">
            <v>226800</v>
          </cell>
        </row>
        <row r="1328">
          <cell r="I1328" t="str">
            <v>IF066G</v>
          </cell>
          <cell r="J1328">
            <v>152800</v>
          </cell>
        </row>
        <row r="1329">
          <cell r="I1329" t="str">
            <v>IF076G</v>
          </cell>
          <cell r="J1329">
            <v>172700</v>
          </cell>
        </row>
        <row r="1330">
          <cell r="I1330" t="str">
            <v>IF086G</v>
          </cell>
          <cell r="J1330">
            <v>196400</v>
          </cell>
        </row>
        <row r="1331">
          <cell r="I1331" t="str">
            <v>IF106G</v>
          </cell>
          <cell r="J1331">
            <v>235200</v>
          </cell>
        </row>
        <row r="1332">
          <cell r="I1332" t="str">
            <v>IF126G</v>
          </cell>
          <cell r="J1332">
            <v>274100</v>
          </cell>
        </row>
        <row r="1333">
          <cell r="I1333" t="str">
            <v>IF068G</v>
          </cell>
          <cell r="J1333">
            <v>173800</v>
          </cell>
        </row>
        <row r="1334">
          <cell r="I1334" t="str">
            <v>IF078G</v>
          </cell>
          <cell r="J1334">
            <v>193700</v>
          </cell>
        </row>
        <row r="1335">
          <cell r="I1335" t="str">
            <v>IF088G</v>
          </cell>
          <cell r="J1335">
            <v>217400</v>
          </cell>
        </row>
        <row r="1336">
          <cell r="I1336" t="str">
            <v>IF108G</v>
          </cell>
          <cell r="J1336">
            <v>256200</v>
          </cell>
        </row>
        <row r="1337">
          <cell r="I1337" t="str">
            <v>IF128G</v>
          </cell>
          <cell r="J1337">
            <v>295100</v>
          </cell>
        </row>
        <row r="1338">
          <cell r="I1338" t="str">
            <v>IF062H</v>
          </cell>
          <cell r="J1338">
            <v>115000</v>
          </cell>
        </row>
        <row r="1339">
          <cell r="I1339" t="str">
            <v>IF072H</v>
          </cell>
          <cell r="J1339">
            <v>127600</v>
          </cell>
        </row>
        <row r="1340">
          <cell r="I1340" t="str">
            <v>IF082H</v>
          </cell>
          <cell r="J1340">
            <v>141800</v>
          </cell>
        </row>
        <row r="1341">
          <cell r="I1341" t="str">
            <v>IF102H</v>
          </cell>
          <cell r="J1341">
            <v>165900</v>
          </cell>
        </row>
        <row r="1342">
          <cell r="I1342" t="str">
            <v>IF122H</v>
          </cell>
          <cell r="J1342">
            <v>190100</v>
          </cell>
        </row>
        <row r="1343">
          <cell r="I1343" t="str">
            <v>IF064H</v>
          </cell>
          <cell r="J1343">
            <v>137000</v>
          </cell>
        </row>
        <row r="1344">
          <cell r="I1344" t="str">
            <v>IF074H</v>
          </cell>
          <cell r="J1344">
            <v>149600</v>
          </cell>
        </row>
        <row r="1345">
          <cell r="I1345" t="str">
            <v>IF084H</v>
          </cell>
          <cell r="J1345">
            <v>163800</v>
          </cell>
        </row>
        <row r="1346">
          <cell r="I1346" t="str">
            <v>IF104H</v>
          </cell>
          <cell r="J1346">
            <v>188000</v>
          </cell>
        </row>
        <row r="1347">
          <cell r="I1347" t="str">
            <v>IF124H</v>
          </cell>
          <cell r="J1347">
            <v>212100</v>
          </cell>
        </row>
        <row r="1348">
          <cell r="I1348" t="str">
            <v>IF066H</v>
          </cell>
          <cell r="J1348">
            <v>154900</v>
          </cell>
        </row>
        <row r="1349">
          <cell r="I1349" t="str">
            <v>IF076H</v>
          </cell>
          <cell r="J1349">
            <v>170600</v>
          </cell>
        </row>
        <row r="1350">
          <cell r="I1350" t="str">
            <v>IF086H</v>
          </cell>
          <cell r="J1350">
            <v>188000</v>
          </cell>
        </row>
        <row r="1351">
          <cell r="I1351" t="str">
            <v>IF106H</v>
          </cell>
          <cell r="J1351">
            <v>218400</v>
          </cell>
        </row>
        <row r="1352">
          <cell r="I1352" t="str">
            <v>IF126H</v>
          </cell>
          <cell r="J1352">
            <v>248900</v>
          </cell>
        </row>
        <row r="1353">
          <cell r="I1353" t="str">
            <v>IF068H</v>
          </cell>
          <cell r="J1353">
            <v>175900</v>
          </cell>
        </row>
        <row r="1354">
          <cell r="I1354" t="str">
            <v>IF078H</v>
          </cell>
          <cell r="J1354">
            <v>191600</v>
          </cell>
        </row>
        <row r="1355">
          <cell r="I1355" t="str">
            <v>IF088H</v>
          </cell>
          <cell r="J1355">
            <v>209000</v>
          </cell>
        </row>
        <row r="1356">
          <cell r="I1356" t="str">
            <v>IF108H</v>
          </cell>
          <cell r="J1356">
            <v>239400</v>
          </cell>
        </row>
        <row r="1357">
          <cell r="I1357" t="str">
            <v>IF128H</v>
          </cell>
          <cell r="J1357">
            <v>269900</v>
          </cell>
        </row>
        <row r="1358">
          <cell r="I1358" t="str">
            <v>IF062B</v>
          </cell>
          <cell r="J1358">
            <v>128600</v>
          </cell>
        </row>
        <row r="1359">
          <cell r="I1359" t="str">
            <v>IF072B</v>
          </cell>
          <cell r="J1359">
            <v>140200</v>
          </cell>
        </row>
        <row r="1360">
          <cell r="I1360" t="str">
            <v>IF082B</v>
          </cell>
          <cell r="J1360">
            <v>152300</v>
          </cell>
        </row>
        <row r="1361">
          <cell r="I1361" t="str">
            <v>IF102B</v>
          </cell>
          <cell r="J1361">
            <v>176400</v>
          </cell>
        </row>
        <row r="1362">
          <cell r="I1362" t="str">
            <v>IF122B</v>
          </cell>
          <cell r="J1362">
            <v>200600</v>
          </cell>
        </row>
        <row r="1363">
          <cell r="I1363" t="str">
            <v>IF064B</v>
          </cell>
          <cell r="J1363">
            <v>148600</v>
          </cell>
        </row>
        <row r="1364">
          <cell r="I1364" t="str">
            <v>IF074B</v>
          </cell>
          <cell r="J1364">
            <v>162200</v>
          </cell>
        </row>
        <row r="1365">
          <cell r="I1365" t="str">
            <v>IF084B</v>
          </cell>
          <cell r="J1365">
            <v>176400</v>
          </cell>
        </row>
        <row r="1366">
          <cell r="I1366" t="str">
            <v>IF104B</v>
          </cell>
          <cell r="J1366">
            <v>202700</v>
          </cell>
        </row>
        <row r="1367">
          <cell r="I1367" t="str">
            <v>IF124B</v>
          </cell>
          <cell r="J1367">
            <v>228900</v>
          </cell>
        </row>
        <row r="1368">
          <cell r="I1368" t="str">
            <v>IF066B</v>
          </cell>
          <cell r="J1368">
            <v>168500</v>
          </cell>
        </row>
        <row r="1369">
          <cell r="I1369" t="str">
            <v>IF076B</v>
          </cell>
          <cell r="J1369">
            <v>183200</v>
          </cell>
        </row>
        <row r="1370">
          <cell r="I1370" t="str">
            <v>IF086B</v>
          </cell>
          <cell r="J1370">
            <v>198500</v>
          </cell>
        </row>
        <row r="1371">
          <cell r="I1371" t="str">
            <v>IF106B</v>
          </cell>
          <cell r="J1371">
            <v>228900</v>
          </cell>
        </row>
        <row r="1372">
          <cell r="I1372" t="str">
            <v>IF126B</v>
          </cell>
          <cell r="J1372">
            <v>259400</v>
          </cell>
        </row>
        <row r="1373">
          <cell r="I1373" t="str">
            <v>IF068B</v>
          </cell>
          <cell r="J1373">
            <v>187400</v>
          </cell>
        </row>
        <row r="1374">
          <cell r="I1374" t="str">
            <v>IF078B</v>
          </cell>
          <cell r="J1374">
            <v>204200</v>
          </cell>
        </row>
        <row r="1375">
          <cell r="I1375" t="str">
            <v>IF088B</v>
          </cell>
          <cell r="J1375">
            <v>221600</v>
          </cell>
        </row>
        <row r="1376">
          <cell r="I1376" t="str">
            <v>IF108B</v>
          </cell>
          <cell r="J1376">
            <v>254100</v>
          </cell>
        </row>
        <row r="1377">
          <cell r="I1377" t="str">
            <v>IF128B</v>
          </cell>
          <cell r="J1377">
            <v>286700</v>
          </cell>
        </row>
        <row r="1378">
          <cell r="I1378" t="str">
            <v>IF066HB</v>
          </cell>
          <cell r="J1378">
            <v>151700</v>
          </cell>
        </row>
        <row r="1379">
          <cell r="I1379" t="str">
            <v>IF076HB</v>
          </cell>
          <cell r="J1379">
            <v>169600</v>
          </cell>
        </row>
        <row r="1380">
          <cell r="I1380" t="str">
            <v>IF086HB</v>
          </cell>
          <cell r="J1380">
            <v>190100</v>
          </cell>
        </row>
        <row r="1381">
          <cell r="I1381" t="str">
            <v>IF106HB</v>
          </cell>
          <cell r="J1381">
            <v>224700</v>
          </cell>
        </row>
        <row r="1382">
          <cell r="I1382" t="str">
            <v>IF126HB</v>
          </cell>
          <cell r="J1382">
            <v>259400</v>
          </cell>
        </row>
        <row r="1383">
          <cell r="I1383" t="str">
            <v>IF068HB</v>
          </cell>
          <cell r="J1383">
            <v>172700</v>
          </cell>
        </row>
        <row r="1384">
          <cell r="I1384" t="str">
            <v>IF078HB</v>
          </cell>
          <cell r="J1384">
            <v>190600</v>
          </cell>
        </row>
        <row r="1385">
          <cell r="I1385" t="str">
            <v>IF088HB</v>
          </cell>
          <cell r="J1385">
            <v>211100</v>
          </cell>
        </row>
        <row r="1386">
          <cell r="I1386" t="str">
            <v>IF108HB</v>
          </cell>
          <cell r="J1386">
            <v>245700</v>
          </cell>
        </row>
        <row r="1387">
          <cell r="I1387" t="str">
            <v>IF128HB</v>
          </cell>
          <cell r="J1387">
            <v>280400</v>
          </cell>
        </row>
        <row r="1388">
          <cell r="I1388" t="str">
            <v>IF062D</v>
          </cell>
          <cell r="J1388">
            <v>123400</v>
          </cell>
        </row>
        <row r="1389">
          <cell r="I1389" t="str">
            <v>IF072D</v>
          </cell>
          <cell r="J1389">
            <v>134400</v>
          </cell>
        </row>
        <row r="1390">
          <cell r="I1390" t="str">
            <v>IF082D</v>
          </cell>
          <cell r="J1390">
            <v>146000</v>
          </cell>
        </row>
        <row r="1391">
          <cell r="I1391" t="str">
            <v>IF102D</v>
          </cell>
          <cell r="J1391">
            <v>168000</v>
          </cell>
        </row>
        <row r="1392">
          <cell r="I1392" t="str">
            <v>IF122D</v>
          </cell>
          <cell r="J1392">
            <v>190100</v>
          </cell>
        </row>
        <row r="1393">
          <cell r="I1393" t="str">
            <v>IF064D</v>
          </cell>
          <cell r="J1393">
            <v>142300</v>
          </cell>
        </row>
        <row r="1394">
          <cell r="I1394" t="str">
            <v>IF074D</v>
          </cell>
          <cell r="J1394">
            <v>154400</v>
          </cell>
        </row>
        <row r="1395">
          <cell r="I1395" t="str">
            <v>IF084D</v>
          </cell>
          <cell r="J1395">
            <v>167000</v>
          </cell>
        </row>
        <row r="1396">
          <cell r="I1396" t="str">
            <v>IF104D</v>
          </cell>
          <cell r="J1396">
            <v>190100</v>
          </cell>
        </row>
        <row r="1397">
          <cell r="I1397" t="str">
            <v>IF124D</v>
          </cell>
          <cell r="J1397">
            <v>213200</v>
          </cell>
        </row>
        <row r="1398">
          <cell r="I1398" t="str">
            <v>IF066D</v>
          </cell>
          <cell r="J1398">
            <v>163300</v>
          </cell>
        </row>
        <row r="1399">
          <cell r="I1399" t="str">
            <v>IF076D</v>
          </cell>
          <cell r="J1399">
            <v>177500</v>
          </cell>
        </row>
        <row r="1400">
          <cell r="I1400" t="str">
            <v>IF086D</v>
          </cell>
          <cell r="J1400">
            <v>192200</v>
          </cell>
        </row>
        <row r="1401">
          <cell r="I1401" t="str">
            <v>IF106D</v>
          </cell>
          <cell r="J1401">
            <v>220500</v>
          </cell>
        </row>
        <row r="1402">
          <cell r="I1402" t="str">
            <v>IF126D</v>
          </cell>
          <cell r="J1402">
            <v>248900</v>
          </cell>
        </row>
        <row r="1403">
          <cell r="I1403" t="str">
            <v>IF068D</v>
          </cell>
          <cell r="J1403">
            <v>181100</v>
          </cell>
        </row>
        <row r="1404">
          <cell r="I1404" t="str">
            <v>IF078D</v>
          </cell>
          <cell r="J1404">
            <v>196400</v>
          </cell>
        </row>
        <row r="1405">
          <cell r="I1405" t="str">
            <v>IF088D</v>
          </cell>
          <cell r="J1405">
            <v>212100</v>
          </cell>
        </row>
        <row r="1406">
          <cell r="I1406" t="str">
            <v>IF108D</v>
          </cell>
          <cell r="J1406">
            <v>241500</v>
          </cell>
        </row>
        <row r="1407">
          <cell r="I1407" t="str">
            <v>IF128D</v>
          </cell>
          <cell r="J1407">
            <v>270900</v>
          </cell>
        </row>
        <row r="1408">
          <cell r="I1408" t="str">
            <v>유리ED008</v>
          </cell>
          <cell r="J1408">
            <v>28000</v>
          </cell>
        </row>
        <row r="1409">
          <cell r="I1409" t="str">
            <v>유리ED012</v>
          </cell>
          <cell r="J1409">
            <v>32000</v>
          </cell>
        </row>
        <row r="1410">
          <cell r="I1410" t="str">
            <v>유리ED014</v>
          </cell>
          <cell r="J1410">
            <v>37000</v>
          </cell>
        </row>
        <row r="1411">
          <cell r="I1411" t="str">
            <v>유리ED016</v>
          </cell>
          <cell r="J1411">
            <v>43000</v>
          </cell>
        </row>
        <row r="1412">
          <cell r="I1412" t="str">
            <v>유리ED018</v>
          </cell>
          <cell r="J1412">
            <v>48000</v>
          </cell>
        </row>
        <row r="1413">
          <cell r="I1413" t="str">
            <v>유리ED018X</v>
          </cell>
          <cell r="J1413">
            <v>50000</v>
          </cell>
        </row>
        <row r="1414">
          <cell r="I1414" t="str">
            <v>유리ED0108</v>
          </cell>
          <cell r="J1414">
            <v>22000</v>
          </cell>
        </row>
        <row r="1415">
          <cell r="I1415" t="str">
            <v>유리ED0112</v>
          </cell>
          <cell r="J1415">
            <v>26000</v>
          </cell>
        </row>
        <row r="1416">
          <cell r="I1416" t="str">
            <v>유리ED0114</v>
          </cell>
          <cell r="J1416">
            <v>28000</v>
          </cell>
        </row>
        <row r="1417">
          <cell r="I1417" t="str">
            <v>유리ED0116</v>
          </cell>
          <cell r="J1417">
            <v>32000</v>
          </cell>
        </row>
        <row r="1418">
          <cell r="I1418" t="str">
            <v>유리ED401</v>
          </cell>
          <cell r="J1418">
            <v>20000</v>
          </cell>
        </row>
        <row r="1419">
          <cell r="I1419" t="str">
            <v>유리ED410</v>
          </cell>
          <cell r="J1419">
            <v>20000</v>
          </cell>
        </row>
        <row r="1420">
          <cell r="I1420" t="str">
            <v>유리ED412</v>
          </cell>
          <cell r="J1420">
            <v>22000</v>
          </cell>
        </row>
        <row r="1421">
          <cell r="I1421" t="str">
            <v>유리ED0706</v>
          </cell>
          <cell r="J1421">
            <v>22000</v>
          </cell>
        </row>
        <row r="1422">
          <cell r="I1422" t="str">
            <v>유리ED0708</v>
          </cell>
          <cell r="J1422">
            <v>27000</v>
          </cell>
        </row>
        <row r="1423">
          <cell r="I1423" t="str">
            <v>유리ED0806</v>
          </cell>
          <cell r="J1423">
            <v>15000</v>
          </cell>
        </row>
        <row r="1424">
          <cell r="I1424" t="str">
            <v>유리ED0808</v>
          </cell>
          <cell r="J1424">
            <v>18000</v>
          </cell>
        </row>
        <row r="1425">
          <cell r="I1425" t="str">
            <v>유리ED5466</v>
          </cell>
          <cell r="J1425">
            <v>22000</v>
          </cell>
        </row>
        <row r="1426">
          <cell r="I1426" t="str">
            <v>유리ED5488</v>
          </cell>
          <cell r="J1426">
            <v>25000</v>
          </cell>
        </row>
        <row r="1427">
          <cell r="I1427" t="str">
            <v>유리ED5966</v>
          </cell>
          <cell r="J1427">
            <v>22000</v>
          </cell>
        </row>
        <row r="1428">
          <cell r="I1428" t="str">
            <v>유리ED5988</v>
          </cell>
          <cell r="J1428">
            <v>25000</v>
          </cell>
        </row>
        <row r="1429">
          <cell r="I1429" t="str">
            <v>유리ED950</v>
          </cell>
          <cell r="J1429">
            <v>40000</v>
          </cell>
        </row>
        <row r="1430">
          <cell r="I1430" t="str">
            <v>유리ED912</v>
          </cell>
          <cell r="J1430">
            <v>28000</v>
          </cell>
        </row>
        <row r="1431">
          <cell r="I1431" t="str">
            <v>유리ED916</v>
          </cell>
          <cell r="J1431">
            <v>43000</v>
          </cell>
        </row>
        <row r="1432">
          <cell r="I1432" t="str">
            <v>유리EZ016</v>
          </cell>
          <cell r="J1432">
            <v>30000</v>
          </cell>
        </row>
        <row r="1433">
          <cell r="I1433" t="str">
            <v>유리TD008</v>
          </cell>
          <cell r="J1433">
            <v>30000</v>
          </cell>
        </row>
        <row r="1434">
          <cell r="I1434" t="str">
            <v>유리TD010</v>
          </cell>
          <cell r="J1434">
            <v>35000</v>
          </cell>
        </row>
        <row r="1435">
          <cell r="I1435" t="str">
            <v>유리TD012</v>
          </cell>
          <cell r="J1435">
            <v>37000</v>
          </cell>
        </row>
        <row r="1436">
          <cell r="I1436" t="str">
            <v>유리TD014</v>
          </cell>
          <cell r="J1436">
            <v>42000</v>
          </cell>
        </row>
        <row r="1437">
          <cell r="I1437" t="str">
            <v>유리TD016</v>
          </cell>
          <cell r="J1437">
            <v>47000</v>
          </cell>
        </row>
        <row r="1438">
          <cell r="I1438" t="str">
            <v>유리TD018</v>
          </cell>
          <cell r="J1438">
            <v>52000</v>
          </cell>
        </row>
        <row r="1439">
          <cell r="I1439" t="str">
            <v>유리TD108</v>
          </cell>
          <cell r="J1439">
            <v>23000</v>
          </cell>
        </row>
        <row r="1440">
          <cell r="I1440" t="str">
            <v>유리TD110</v>
          </cell>
          <cell r="J1440">
            <v>28000</v>
          </cell>
        </row>
        <row r="1441">
          <cell r="I1441" t="str">
            <v>유리TD112</v>
          </cell>
          <cell r="J1441">
            <v>30000</v>
          </cell>
        </row>
        <row r="1442">
          <cell r="I1442" t="str">
            <v>유리TD114</v>
          </cell>
          <cell r="J1442">
            <v>35000</v>
          </cell>
        </row>
        <row r="1443">
          <cell r="I1443" t="str">
            <v>유리TD116</v>
          </cell>
          <cell r="J1443">
            <v>40000</v>
          </cell>
        </row>
        <row r="1444">
          <cell r="I1444" t="str">
            <v>유리TD118</v>
          </cell>
          <cell r="J1444">
            <v>43000</v>
          </cell>
        </row>
        <row r="1445">
          <cell r="I1445" t="str">
            <v>유리TD912</v>
          </cell>
          <cell r="J1445">
            <v>27000</v>
          </cell>
        </row>
        <row r="1446">
          <cell r="I1446" t="str">
            <v>유리TD916</v>
          </cell>
          <cell r="J1446">
            <v>40000</v>
          </cell>
        </row>
        <row r="1447">
          <cell r="I1447" t="str">
            <v>유리TD990</v>
          </cell>
          <cell r="J1447">
            <v>42000</v>
          </cell>
        </row>
        <row r="1448">
          <cell r="I1448" t="str">
            <v>유리TD966</v>
          </cell>
          <cell r="J1448">
            <v>32000</v>
          </cell>
        </row>
        <row r="1449">
          <cell r="I1449" t="str">
            <v>유리TD988</v>
          </cell>
          <cell r="J1449">
            <v>43000</v>
          </cell>
        </row>
        <row r="1450">
          <cell r="I1450" t="str">
            <v>유리TD412</v>
          </cell>
          <cell r="J1450">
            <v>20000</v>
          </cell>
        </row>
        <row r="1451">
          <cell r="I1451" t="str">
            <v>유리TD508</v>
          </cell>
          <cell r="J1451">
            <v>46000</v>
          </cell>
        </row>
        <row r="1452">
          <cell r="I1452" t="str">
            <v>유리TD507</v>
          </cell>
          <cell r="J1452">
            <v>46000</v>
          </cell>
        </row>
        <row r="1453">
          <cell r="I1453" t="str">
            <v>유리TD518</v>
          </cell>
          <cell r="J1453">
            <v>35000</v>
          </cell>
        </row>
        <row r="1454">
          <cell r="I1454" t="str">
            <v>유리TD516</v>
          </cell>
          <cell r="J1454">
            <v>30000</v>
          </cell>
        </row>
        <row r="1455">
          <cell r="I1455" t="str">
            <v>유리NT0006</v>
          </cell>
          <cell r="J1455">
            <v>18000</v>
          </cell>
        </row>
        <row r="1456">
          <cell r="I1456" t="str">
            <v>유리NT0008</v>
          </cell>
          <cell r="J1456">
            <v>23000</v>
          </cell>
        </row>
        <row r="1457">
          <cell r="I1457" t="str">
            <v>유리NT0010</v>
          </cell>
          <cell r="J1457">
            <v>28000</v>
          </cell>
        </row>
        <row r="1458">
          <cell r="I1458" t="str">
            <v>유리NT0012</v>
          </cell>
          <cell r="J1458">
            <v>32000</v>
          </cell>
        </row>
        <row r="1459">
          <cell r="I1459" t="str">
            <v>유리NT0016</v>
          </cell>
          <cell r="J1459">
            <v>43000</v>
          </cell>
        </row>
        <row r="1460">
          <cell r="I1460" t="str">
            <v>유리NT0018</v>
          </cell>
          <cell r="J1460">
            <v>45000</v>
          </cell>
        </row>
        <row r="1461">
          <cell r="I1461" t="str">
            <v>유리NT0106</v>
          </cell>
          <cell r="J1461">
            <v>18000</v>
          </cell>
        </row>
        <row r="1462">
          <cell r="I1462" t="str">
            <v>유리NT0108</v>
          </cell>
          <cell r="J1462">
            <v>22000</v>
          </cell>
        </row>
        <row r="1463">
          <cell r="I1463" t="str">
            <v>유리NT0110</v>
          </cell>
          <cell r="J1463">
            <v>23000</v>
          </cell>
        </row>
        <row r="1464">
          <cell r="I1464" t="str">
            <v>유리NT0112</v>
          </cell>
          <cell r="J1464">
            <v>25000</v>
          </cell>
        </row>
        <row r="1465">
          <cell r="I1465" t="str">
            <v>유리NT0114</v>
          </cell>
          <cell r="J1465">
            <v>30000</v>
          </cell>
        </row>
        <row r="1466">
          <cell r="I1466" t="str">
            <v>유리NT0116</v>
          </cell>
          <cell r="J1466">
            <v>34000</v>
          </cell>
        </row>
        <row r="1467">
          <cell r="I1467" t="str">
            <v>유리NT0118</v>
          </cell>
          <cell r="J1467">
            <v>38000</v>
          </cell>
        </row>
        <row r="1468">
          <cell r="I1468" t="str">
            <v>유리NT966</v>
          </cell>
          <cell r="J1468">
            <v>40000</v>
          </cell>
        </row>
        <row r="1469">
          <cell r="I1469" t="str">
            <v>유리NT5566</v>
          </cell>
          <cell r="J1469">
            <v>47000</v>
          </cell>
        </row>
        <row r="1470">
          <cell r="I1470" t="str">
            <v>유리NT988</v>
          </cell>
          <cell r="J1470">
            <v>45000</v>
          </cell>
        </row>
        <row r="1471">
          <cell r="I1471" t="str">
            <v>유리NT912</v>
          </cell>
          <cell r="J1471">
            <v>28000</v>
          </cell>
        </row>
        <row r="1472">
          <cell r="I1472" t="str">
            <v>유리NT916</v>
          </cell>
          <cell r="J1472">
            <v>38000</v>
          </cell>
        </row>
        <row r="1473">
          <cell r="I1473" t="str">
            <v>유리NT918</v>
          </cell>
          <cell r="J1473">
            <v>45000</v>
          </cell>
        </row>
        <row r="1474">
          <cell r="I1474" t="str">
            <v>유리NT5586</v>
          </cell>
          <cell r="J1474">
            <v>50000</v>
          </cell>
        </row>
        <row r="1475">
          <cell r="I1475" t="str">
            <v>유리NT5588</v>
          </cell>
          <cell r="J1475">
            <v>52000</v>
          </cell>
        </row>
        <row r="1476">
          <cell r="I1476" t="str">
            <v>유리YD018</v>
          </cell>
          <cell r="J1476">
            <v>60000</v>
          </cell>
        </row>
        <row r="1477">
          <cell r="I1477" t="str">
            <v>유리YD412</v>
          </cell>
          <cell r="J1477">
            <v>25000</v>
          </cell>
        </row>
        <row r="1478">
          <cell r="I1478" t="str">
            <v>유리YD990</v>
          </cell>
          <cell r="J1478">
            <v>40000</v>
          </cell>
        </row>
        <row r="1479">
          <cell r="I1479" t="str">
            <v>유리CR009</v>
          </cell>
          <cell r="J1479">
            <v>27000</v>
          </cell>
        </row>
        <row r="1480">
          <cell r="I1480" t="str">
            <v>유리CR012</v>
          </cell>
          <cell r="J1480">
            <v>40000</v>
          </cell>
        </row>
        <row r="1481">
          <cell r="I1481" t="str">
            <v>유리CR018</v>
          </cell>
          <cell r="J1481">
            <v>48000</v>
          </cell>
        </row>
        <row r="1482">
          <cell r="I1482" t="str">
            <v>유리CR024</v>
          </cell>
          <cell r="J1482">
            <v>75000</v>
          </cell>
        </row>
        <row r="1483">
          <cell r="I1483" t="str">
            <v>유리SR009</v>
          </cell>
          <cell r="J1483">
            <v>25000</v>
          </cell>
        </row>
        <row r="1484">
          <cell r="I1484" t="str">
            <v>유리SR012</v>
          </cell>
          <cell r="J1484">
            <v>40000</v>
          </cell>
        </row>
        <row r="1485">
          <cell r="I1485" t="str">
            <v>유리SR018</v>
          </cell>
          <cell r="J1485">
            <v>46000</v>
          </cell>
        </row>
        <row r="1486">
          <cell r="I1486" t="str">
            <v>유리SR024S</v>
          </cell>
          <cell r="J1486">
            <v>62000</v>
          </cell>
        </row>
        <row r="1487">
          <cell r="I1487" t="str">
            <v>유리SR024</v>
          </cell>
          <cell r="J1487">
            <v>70000</v>
          </cell>
        </row>
        <row r="1488">
          <cell r="I1488" t="str">
            <v>유리SR032</v>
          </cell>
          <cell r="J1488">
            <v>85000</v>
          </cell>
        </row>
        <row r="1489">
          <cell r="I1489" t="str">
            <v>유리PD018</v>
          </cell>
          <cell r="J1489">
            <v>56000</v>
          </cell>
        </row>
        <row r="1490">
          <cell r="I1490" t="str">
            <v>유리PD021</v>
          </cell>
          <cell r="J1490">
            <v>72000</v>
          </cell>
        </row>
        <row r="1491">
          <cell r="I1491" t="str">
            <v>유리PD414</v>
          </cell>
          <cell r="J1491">
            <v>28000</v>
          </cell>
        </row>
        <row r="1492">
          <cell r="I1492" t="str">
            <v>유리EL0112</v>
          </cell>
          <cell r="J1492">
            <v>25000</v>
          </cell>
        </row>
        <row r="1493">
          <cell r="I1493" t="str">
            <v>유리EL0104</v>
          </cell>
          <cell r="J1493">
            <v>15000</v>
          </cell>
        </row>
        <row r="1494">
          <cell r="I1494" t="str">
            <v>유리CL0207</v>
          </cell>
          <cell r="J1494">
            <v>26000</v>
          </cell>
        </row>
        <row r="1495">
          <cell r="I1495" t="str">
            <v>유리CL0212</v>
          </cell>
          <cell r="J1495">
            <v>25000</v>
          </cell>
        </row>
        <row r="1496">
          <cell r="I1496" t="str">
            <v>유리CL0204</v>
          </cell>
          <cell r="J1496">
            <v>18000</v>
          </cell>
        </row>
        <row r="1497">
          <cell r="I1497" t="str">
            <v>유리LD021</v>
          </cell>
          <cell r="J1497">
            <v>70000</v>
          </cell>
        </row>
        <row r="1498">
          <cell r="I1498" t="str">
            <v>유리LD018</v>
          </cell>
          <cell r="J1498">
            <v>45000</v>
          </cell>
        </row>
        <row r="1499">
          <cell r="I1499" t="str">
            <v>유리LZ01</v>
          </cell>
          <cell r="J1499">
            <v>40000</v>
          </cell>
        </row>
        <row r="1500">
          <cell r="I1500" t="str">
            <v>유리LZ11</v>
          </cell>
          <cell r="J1500">
            <v>30000</v>
          </cell>
        </row>
        <row r="1501">
          <cell r="I1501" t="str">
            <v>유리LL016</v>
          </cell>
          <cell r="J1501">
            <v>45000</v>
          </cell>
        </row>
        <row r="1502">
          <cell r="I1502" t="str">
            <v>유리LL008</v>
          </cell>
          <cell r="J1502">
            <v>25000</v>
          </cell>
        </row>
        <row r="1503">
          <cell r="I1503" t="str">
            <v>유리LL0007</v>
          </cell>
          <cell r="J1503">
            <v>18000</v>
          </cell>
        </row>
        <row r="1504">
          <cell r="I1504" t="str">
            <v>유리CR1107</v>
          </cell>
          <cell r="J1504">
            <v>18000</v>
          </cell>
        </row>
        <row r="1505">
          <cell r="I1505" t="str">
            <v>유리CR1115</v>
          </cell>
          <cell r="J1505">
            <v>25000</v>
          </cell>
        </row>
        <row r="1506">
          <cell r="I1506" t="str">
            <v>유리CR1166</v>
          </cell>
          <cell r="J1506">
            <v>25000</v>
          </cell>
        </row>
        <row r="1507">
          <cell r="I1507" t="str">
            <v>유리CR1007</v>
          </cell>
          <cell r="J1507">
            <v>20000</v>
          </cell>
        </row>
        <row r="1508">
          <cell r="I1508" t="str">
            <v>유리CR1015</v>
          </cell>
          <cell r="J1508">
            <v>40000</v>
          </cell>
        </row>
        <row r="1509">
          <cell r="I1509" t="str">
            <v>유리CR1066</v>
          </cell>
          <cell r="J1509">
            <v>45000</v>
          </cell>
        </row>
        <row r="1510">
          <cell r="I1510" t="str">
            <v>유리CR3118</v>
          </cell>
          <cell r="J1510">
            <v>30000</v>
          </cell>
        </row>
        <row r="1511">
          <cell r="I1511" t="str">
            <v>유리SD008</v>
          </cell>
          <cell r="J1511">
            <v>23000</v>
          </cell>
        </row>
        <row r="1512">
          <cell r="I1512" t="str">
            <v>유리SD008L</v>
          </cell>
          <cell r="J1512">
            <v>23000</v>
          </cell>
        </row>
        <row r="1513">
          <cell r="I1513" t="str">
            <v>유리SD008R</v>
          </cell>
          <cell r="J1513">
            <v>23000</v>
          </cell>
        </row>
        <row r="1514">
          <cell r="I1514" t="str">
            <v>유리SD012</v>
          </cell>
          <cell r="J1514">
            <v>30000</v>
          </cell>
        </row>
        <row r="1515">
          <cell r="I1515" t="str">
            <v>유리SD012L</v>
          </cell>
          <cell r="J1515">
            <v>30000</v>
          </cell>
        </row>
        <row r="1516">
          <cell r="I1516" t="str">
            <v>유리SD012R</v>
          </cell>
          <cell r="J1516">
            <v>30000</v>
          </cell>
        </row>
        <row r="1517">
          <cell r="I1517" t="str">
            <v>유리SD014</v>
          </cell>
          <cell r="J1517">
            <v>40000</v>
          </cell>
        </row>
        <row r="1518">
          <cell r="I1518" t="str">
            <v>유리SD014L</v>
          </cell>
          <cell r="J1518">
            <v>40000</v>
          </cell>
        </row>
        <row r="1519">
          <cell r="I1519" t="str">
            <v>유리SD014R</v>
          </cell>
          <cell r="J1519">
            <v>40000</v>
          </cell>
        </row>
        <row r="1520">
          <cell r="I1520" t="str">
            <v>유리SD016</v>
          </cell>
          <cell r="J1520">
            <v>50000</v>
          </cell>
        </row>
        <row r="1521">
          <cell r="I1521" t="str">
            <v>유리SD016R</v>
          </cell>
          <cell r="J1521">
            <v>50000</v>
          </cell>
        </row>
        <row r="1522">
          <cell r="I1522" t="str">
            <v>유리SD016L</v>
          </cell>
          <cell r="J1522">
            <v>50000</v>
          </cell>
        </row>
        <row r="1523">
          <cell r="I1523" t="str">
            <v>유리SD316R</v>
          </cell>
          <cell r="J1523">
            <v>60000</v>
          </cell>
        </row>
        <row r="1524">
          <cell r="I1524" t="str">
            <v>유리SD316L</v>
          </cell>
          <cell r="J1524">
            <v>60000</v>
          </cell>
        </row>
        <row r="1525">
          <cell r="I1525" t="str">
            <v>유리SD507</v>
          </cell>
          <cell r="J1525">
            <v>40000</v>
          </cell>
        </row>
        <row r="1526">
          <cell r="I1526" t="str">
            <v>유리SD517</v>
          </cell>
          <cell r="J1526">
            <v>30000</v>
          </cell>
        </row>
        <row r="1527">
          <cell r="I1527" t="str">
            <v>유리SD547</v>
          </cell>
          <cell r="J1527">
            <v>18000</v>
          </cell>
        </row>
        <row r="1528">
          <cell r="I1528" t="str">
            <v>유리SD597</v>
          </cell>
          <cell r="J1528">
            <v>23000</v>
          </cell>
        </row>
        <row r="1529">
          <cell r="I1529" t="str">
            <v>유리SD406L</v>
          </cell>
          <cell r="J1529">
            <v>15000</v>
          </cell>
        </row>
        <row r="1530">
          <cell r="I1530" t="str">
            <v>유리SD406R</v>
          </cell>
          <cell r="J1530">
            <v>15000</v>
          </cell>
        </row>
        <row r="1531">
          <cell r="I1531" t="str">
            <v>유리SD912</v>
          </cell>
          <cell r="J1531">
            <v>23000</v>
          </cell>
        </row>
        <row r="1532">
          <cell r="I1532" t="str">
            <v>유리SD955</v>
          </cell>
          <cell r="J1532">
            <v>20000</v>
          </cell>
        </row>
        <row r="1533">
          <cell r="I1533" t="str">
            <v>유리SD977</v>
          </cell>
          <cell r="J1533">
            <v>34000</v>
          </cell>
        </row>
        <row r="1534">
          <cell r="I1534" t="str">
            <v>유리SD927L</v>
          </cell>
          <cell r="J1534">
            <v>40000</v>
          </cell>
        </row>
        <row r="1535">
          <cell r="I1535" t="str">
            <v>유리SD927R</v>
          </cell>
          <cell r="J1535">
            <v>40000</v>
          </cell>
        </row>
        <row r="1536">
          <cell r="I1536" t="str">
            <v>유리SD990</v>
          </cell>
          <cell r="J1536">
            <v>42000</v>
          </cell>
        </row>
        <row r="1537">
          <cell r="I1537" t="str">
            <v>유리SD0300</v>
          </cell>
          <cell r="J1537">
            <v>15000</v>
          </cell>
        </row>
        <row r="1538">
          <cell r="I1538" t="str">
            <v>유리SD662</v>
          </cell>
          <cell r="J1538">
            <v>18000</v>
          </cell>
        </row>
        <row r="1539">
          <cell r="I1539" t="str">
            <v>유리IT0008</v>
          </cell>
          <cell r="J1539">
            <v>24000</v>
          </cell>
        </row>
        <row r="1540">
          <cell r="I1540" t="str">
            <v>유리IT0008L</v>
          </cell>
          <cell r="J1540">
            <v>24000</v>
          </cell>
        </row>
        <row r="1541">
          <cell r="I1541" t="str">
            <v>유리IT0008R</v>
          </cell>
          <cell r="J1541">
            <v>24000</v>
          </cell>
        </row>
        <row r="1542">
          <cell r="I1542" t="str">
            <v>유리IT0010</v>
          </cell>
          <cell r="J1542">
            <v>30000</v>
          </cell>
        </row>
        <row r="1543">
          <cell r="I1543" t="str">
            <v>유리IT0010L</v>
          </cell>
          <cell r="J1543">
            <v>30000</v>
          </cell>
        </row>
        <row r="1544">
          <cell r="I1544" t="str">
            <v>유리IT0010R</v>
          </cell>
          <cell r="J1544">
            <v>30000</v>
          </cell>
        </row>
        <row r="1545">
          <cell r="I1545" t="str">
            <v>유리IT0012</v>
          </cell>
          <cell r="J1545">
            <v>32000</v>
          </cell>
        </row>
        <row r="1546">
          <cell r="I1546" t="str">
            <v>유리IT0012L</v>
          </cell>
          <cell r="J1546">
            <v>32000</v>
          </cell>
        </row>
        <row r="1547">
          <cell r="I1547" t="str">
            <v>유리IT0012R</v>
          </cell>
          <cell r="J1547">
            <v>32000</v>
          </cell>
        </row>
        <row r="1548">
          <cell r="I1548" t="str">
            <v>유리IT0116</v>
          </cell>
          <cell r="J1548">
            <v>38000</v>
          </cell>
        </row>
        <row r="1549">
          <cell r="I1549" t="str">
            <v>유리IT0118</v>
          </cell>
          <cell r="J1549">
            <v>40000</v>
          </cell>
        </row>
        <row r="1550">
          <cell r="I1550" t="str">
            <v>유리IT5066</v>
          </cell>
          <cell r="J1550">
            <v>42000</v>
          </cell>
        </row>
        <row r="1551">
          <cell r="I1551" t="str">
            <v>유리IT5077</v>
          </cell>
          <cell r="J1551">
            <v>45000</v>
          </cell>
        </row>
        <row r="1552">
          <cell r="I1552" t="str">
            <v>유리IT912</v>
          </cell>
          <cell r="J1552">
            <v>27000</v>
          </cell>
        </row>
        <row r="1553">
          <cell r="I1553" t="str">
            <v>유리IT916</v>
          </cell>
          <cell r="J1553">
            <v>43000</v>
          </cell>
        </row>
        <row r="1554">
          <cell r="I1554" t="str">
            <v>유리IT966</v>
          </cell>
          <cell r="J1554">
            <v>28000</v>
          </cell>
        </row>
        <row r="1555">
          <cell r="I1555" t="str">
            <v>유리IT977</v>
          </cell>
          <cell r="J1555">
            <v>43000</v>
          </cell>
        </row>
        <row r="1556">
          <cell r="I1556" t="str">
            <v>유리IT926L</v>
          </cell>
          <cell r="J1556">
            <v>43000</v>
          </cell>
        </row>
        <row r="1557">
          <cell r="I1557" t="str">
            <v>유리IT926R</v>
          </cell>
          <cell r="J1557">
            <v>43000</v>
          </cell>
        </row>
        <row r="1558">
          <cell r="I1558" t="str">
            <v>유리IT927L</v>
          </cell>
          <cell r="J1558">
            <v>43000</v>
          </cell>
        </row>
        <row r="1559">
          <cell r="I1559" t="str">
            <v>유리IT927R</v>
          </cell>
          <cell r="J1559">
            <v>43000</v>
          </cell>
        </row>
        <row r="1560">
          <cell r="I1560" t="str">
            <v>유리IT912DL</v>
          </cell>
          <cell r="J1560">
            <v>38000</v>
          </cell>
        </row>
        <row r="1561">
          <cell r="I1561" t="str">
            <v>유리IT912DR</v>
          </cell>
          <cell r="J1561">
            <v>38000</v>
          </cell>
        </row>
        <row r="1562">
          <cell r="I1562" t="str">
            <v>유리IT918DL</v>
          </cell>
          <cell r="J1562">
            <v>43000</v>
          </cell>
        </row>
        <row r="1563">
          <cell r="I1563" t="str">
            <v>유리IT918DR</v>
          </cell>
          <cell r="J1563">
            <v>43000</v>
          </cell>
        </row>
        <row r="1564">
          <cell r="I1564" t="str">
            <v>유리IT912CL</v>
          </cell>
          <cell r="J1564">
            <v>38000</v>
          </cell>
        </row>
        <row r="1565">
          <cell r="I1565" t="str">
            <v>유리IT912CR</v>
          </cell>
          <cell r="J1565">
            <v>38000</v>
          </cell>
        </row>
        <row r="1566">
          <cell r="I1566" t="str">
            <v>유리IT918CL</v>
          </cell>
          <cell r="J1566">
            <v>43000</v>
          </cell>
        </row>
        <row r="1567">
          <cell r="I1567" t="str">
            <v>유리IT918CR</v>
          </cell>
          <cell r="J1567">
            <v>43000</v>
          </cell>
        </row>
        <row r="1568">
          <cell r="I1568" t="str">
            <v>유리IT2004</v>
          </cell>
          <cell r="J1568">
            <v>15000</v>
          </cell>
        </row>
        <row r="1569">
          <cell r="I1569" t="str">
            <v>유리IT2005</v>
          </cell>
          <cell r="J1569">
            <v>15000</v>
          </cell>
        </row>
        <row r="1570">
          <cell r="I1570" t="str">
            <v>유리IT2006</v>
          </cell>
          <cell r="J1570">
            <v>15000</v>
          </cell>
        </row>
        <row r="1571">
          <cell r="I1571" t="str">
            <v>유리IT2007</v>
          </cell>
          <cell r="J1571">
            <v>17000</v>
          </cell>
        </row>
        <row r="1572">
          <cell r="I1572" t="str">
            <v>유리IT2008</v>
          </cell>
          <cell r="J1572">
            <v>20000</v>
          </cell>
        </row>
        <row r="1573">
          <cell r="I1573" t="str">
            <v>유리IT2010</v>
          </cell>
          <cell r="J1573">
            <v>20000</v>
          </cell>
        </row>
        <row r="1574">
          <cell r="I1574" t="str">
            <v>유리IT2012</v>
          </cell>
          <cell r="J1574">
            <v>22000</v>
          </cell>
        </row>
        <row r="1575">
          <cell r="I1575" t="str">
            <v>유리IT2014</v>
          </cell>
          <cell r="J1575">
            <v>25000</v>
          </cell>
        </row>
        <row r="1576">
          <cell r="I1576" t="str">
            <v>유리IT2016</v>
          </cell>
          <cell r="J1576">
            <v>28000</v>
          </cell>
        </row>
        <row r="1577">
          <cell r="I1577" t="str">
            <v>유리IT2122</v>
          </cell>
          <cell r="J1577">
            <v>15000</v>
          </cell>
        </row>
        <row r="1578">
          <cell r="I1578" t="str">
            <v>유리IT2204</v>
          </cell>
          <cell r="J1578">
            <v>15000</v>
          </cell>
        </row>
        <row r="1579">
          <cell r="I1579" t="str">
            <v>유리IT2205</v>
          </cell>
          <cell r="J1579">
            <v>15000</v>
          </cell>
        </row>
        <row r="1580">
          <cell r="I1580" t="str">
            <v>유리IT2206</v>
          </cell>
          <cell r="J1580">
            <v>18000</v>
          </cell>
        </row>
        <row r="1581">
          <cell r="I1581" t="str">
            <v>유리IT2207</v>
          </cell>
          <cell r="J1581">
            <v>20000</v>
          </cell>
        </row>
        <row r="1582">
          <cell r="I1582" t="str">
            <v>유리IT2208</v>
          </cell>
          <cell r="J1582">
            <v>22000</v>
          </cell>
        </row>
        <row r="1583">
          <cell r="I1583" t="str">
            <v>유리IT2210</v>
          </cell>
          <cell r="J1583">
            <v>22000</v>
          </cell>
        </row>
        <row r="1584">
          <cell r="I1584" t="str">
            <v>유리IT2212</v>
          </cell>
          <cell r="J1584">
            <v>25000</v>
          </cell>
        </row>
        <row r="1585">
          <cell r="I1585" t="str">
            <v>유리PL0904</v>
          </cell>
          <cell r="J1585">
            <v>18000</v>
          </cell>
        </row>
        <row r="1586">
          <cell r="I1586" t="str">
            <v>유리PL0908</v>
          </cell>
          <cell r="J1586">
            <v>28000</v>
          </cell>
        </row>
        <row r="1587">
          <cell r="I1587" t="str">
            <v>유리PL0912</v>
          </cell>
          <cell r="J1587">
            <v>30000</v>
          </cell>
        </row>
        <row r="1588">
          <cell r="I1588" t="str">
            <v>유리PL0914</v>
          </cell>
          <cell r="J1588">
            <v>34000</v>
          </cell>
        </row>
        <row r="1589">
          <cell r="I1589" t="str">
            <v>유리CR2008</v>
          </cell>
          <cell r="J1589">
            <v>28000</v>
          </cell>
        </row>
        <row r="1590">
          <cell r="I1590" t="str">
            <v>유리CR2590</v>
          </cell>
          <cell r="J1590">
            <v>28000</v>
          </cell>
        </row>
        <row r="1591">
          <cell r="I1591" t="str">
            <v>유리CR2016</v>
          </cell>
          <cell r="J1591">
            <v>42000</v>
          </cell>
        </row>
        <row r="1592">
          <cell r="I1592" t="str">
            <v>유리CC1083</v>
          </cell>
          <cell r="J1592">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efreshError="1"/>
      <sheetData sheetId="504" refreshError="1"/>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refreshError="1"/>
      <sheetData sheetId="520" refreshError="1"/>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refreshError="1"/>
      <sheetData sheetId="590" refreshError="1"/>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refreshError="1"/>
      <sheetData sheetId="631" refreshError="1"/>
      <sheetData sheetId="632" refreshError="1"/>
      <sheetData sheetId="633" refreshError="1"/>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sheetData sheetId="666"/>
      <sheetData sheetId="667"/>
      <sheetData sheetId="668"/>
      <sheetData sheetId="669"/>
      <sheetData sheetId="670"/>
      <sheetData sheetId="671"/>
      <sheetData sheetId="672"/>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sheetData sheetId="731"/>
      <sheetData sheetId="732"/>
      <sheetData sheetId="733"/>
      <sheetData sheetId="734"/>
      <sheetData sheetId="735"/>
      <sheetData sheetId="736"/>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sheetData sheetId="819"/>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안내"/>
      <sheetName val="관리"/>
      <sheetName val="Sheet1"/>
      <sheetName val="전체입력"/>
      <sheetName val="입력"/>
      <sheetName val="매매계약서"/>
      <sheetName val="신고서"/>
      <sheetName val="납부서"/>
      <sheetName val="환산"/>
      <sheetName val="코드"/>
      <sheetName val="주식양수도프로그램 V2.0"/>
      <sheetName val="Total"/>
      <sheetName val="소비자가"/>
      <sheetName val="주식양수도프로그램_V2_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익월작업계힉"/>
      <sheetName val="건물대사"/>
      <sheetName val="인원계획-미화"/>
      <sheetName val="Sheet1"/>
      <sheetName val="식음료"/>
      <sheetName val="Total"/>
      <sheetName val="노무비"/>
      <sheetName val="N賃率-職"/>
      <sheetName val="원가서"/>
      <sheetName val="CC Down load 07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약품공급2"/>
      <sheetName val="퍼스트"/>
      <sheetName val="기존단가 (2)"/>
      <sheetName val="GODO"/>
      <sheetName val="소비자가"/>
      <sheetName val="노임"/>
      <sheetName val="교통대책내역"/>
      <sheetName val="일위대가"/>
      <sheetName val="집계표"/>
      <sheetName val="현장관리비"/>
      <sheetName val="31층물량산출조서"/>
      <sheetName val="입력"/>
      <sheetName val="N賃率-職"/>
      <sheetName val="간접비계산"/>
      <sheetName val="실행철강하도"/>
      <sheetName val="I一般比"/>
      <sheetName val="전체"/>
      <sheetName val="인원"/>
      <sheetName val="관급자재"/>
      <sheetName val=" HIT-&gt;HMC 견적(3900)"/>
      <sheetName val="MOTOR"/>
      <sheetName val="금융비용"/>
      <sheetName val="일위CODE"/>
      <sheetName val="내역"/>
      <sheetName val="기존단가_(2)"/>
      <sheetName val="6. 안전관리비"/>
      <sheetName val="단가산출"/>
      <sheetName val="차액보증"/>
      <sheetName val="입찰안"/>
      <sheetName val="노임조서"/>
      <sheetName val="sheet1"/>
      <sheetName val="SHL"/>
      <sheetName val="일위집계표"/>
      <sheetName val="제경비"/>
      <sheetName val="산출내역서"/>
      <sheetName val="제직재"/>
      <sheetName val="설직재-1"/>
      <sheetName val="일위대가표"/>
      <sheetName val="일위대가(건축)"/>
      <sheetName val="집계"/>
      <sheetName val="2공구산출내역"/>
      <sheetName val="공사내역"/>
      <sheetName val="일용직내역"/>
      <sheetName val="부서코드표"/>
      <sheetName val="소방사항"/>
      <sheetName val="연부97-1"/>
      <sheetName val="갑지1"/>
      <sheetName val="추가예산"/>
      <sheetName val="갑지(추정)"/>
      <sheetName val=" 총괄표"/>
      <sheetName val="건설성적"/>
      <sheetName val="시화점실행"/>
      <sheetName val="sh1"/>
      <sheetName val="개요"/>
      <sheetName val="선급금신청서"/>
      <sheetName val="입력정보"/>
      <sheetName val="재료비"/>
      <sheetName val="원형1호맨홀토공수량"/>
      <sheetName val="원하대비"/>
      <sheetName val="원도급"/>
      <sheetName val="하도급"/>
      <sheetName val="일위목록"/>
      <sheetName val="품셈총괄표"/>
      <sheetName val="#REF"/>
      <sheetName val="원가계산서"/>
      <sheetName val="5.정산서"/>
      <sheetName val="RFP견적물량(60%)"/>
      <sheetName val="빗물받이(910-510-410)"/>
      <sheetName val="공사개요"/>
      <sheetName val="가로등기초"/>
      <sheetName val="PAD TR보호대기초"/>
      <sheetName val="노임단가"/>
      <sheetName val="자재단가"/>
      <sheetName val="접지수량"/>
      <sheetName val="코드표"/>
      <sheetName val="내역서"/>
      <sheetName val="일위"/>
      <sheetName val="요율"/>
      <sheetName val="일위단가"/>
      <sheetName val="일위집계(기존)"/>
      <sheetName val="여과지동"/>
      <sheetName val="기초자료"/>
      <sheetName val="BID"/>
      <sheetName val="일위대가(가설)"/>
      <sheetName val="0Title"/>
      <sheetName val="Total"/>
      <sheetName val="산출0"/>
      <sheetName val="목차 "/>
      <sheetName val="#2_일위대가목록"/>
      <sheetName val="코드"/>
      <sheetName val="2004일위대가"/>
      <sheetName val="DATE"/>
      <sheetName val="요약&amp;결과"/>
      <sheetName val="시약"/>
      <sheetName val="1공구산출내역서"/>
      <sheetName val="J"/>
      <sheetName val="(A)내역서"/>
      <sheetName val="터파기및재료"/>
      <sheetName val="단면치수"/>
      <sheetName val="조견표"/>
      <sheetName val="상-교대(A1-A2)"/>
      <sheetName val="sub"/>
      <sheetName val="뒷구간중간D - 1련"/>
      <sheetName val="국산화"/>
      <sheetName val="지수"/>
      <sheetName val="수량산출서"/>
      <sheetName val="A LINE"/>
      <sheetName val="원가계산(2)"/>
      <sheetName val="총괄표"/>
      <sheetName val="산출(토공‥"/>
      <sheetName val="맨홀수량산출"/>
      <sheetName val="노무비 근거"/>
      <sheetName val="인입관"/>
      <sheetName val="인명부"/>
      <sheetName val="일위(시설)"/>
      <sheetName val="기본단가표"/>
      <sheetName val="제출"/>
      <sheetName val="1,2공구원가계산서"/>
      <sheetName val="일위대가집계"/>
      <sheetName val="산수배수"/>
      <sheetName val="지하"/>
      <sheetName val="예산총괄"/>
      <sheetName val="Customer Databas"/>
      <sheetName val="유입량"/>
      <sheetName val=""/>
      <sheetName val="GC산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약품공급2"/>
      <sheetName val="교통대책내역"/>
      <sheetName val="sheet1"/>
      <sheetName val="#REF"/>
      <sheetName val="4.전기"/>
      <sheetName val="RE9604"/>
      <sheetName val="내역"/>
      <sheetName val="접지수량"/>
      <sheetName val="부속동"/>
      <sheetName val="APT"/>
      <sheetName val="자재단가표"/>
      <sheetName val="갑지"/>
      <sheetName val="내역서"/>
      <sheetName val="천방교접속"/>
      <sheetName val="대포2교접속"/>
      <sheetName val="98지급계획"/>
      <sheetName val="실행(1)"/>
      <sheetName val="선급금신청서"/>
      <sheetName val="건축내역"/>
      <sheetName val="일위CODE"/>
      <sheetName val="기성내역"/>
      <sheetName val="전체"/>
      <sheetName val="sub"/>
      <sheetName val="견적"/>
      <sheetName val="4_전기"/>
      <sheetName val="공사비산출내역"/>
      <sheetName val="LD"/>
      <sheetName val="집계표"/>
      <sheetName val="ELEC"/>
      <sheetName val="원가계산서"/>
      <sheetName val="원도급"/>
      <sheetName val="하도급"/>
      <sheetName val="원가총괄"/>
      <sheetName val="도담구내 개소별 명세"/>
      <sheetName val="금융"/>
      <sheetName val="산출내역서집계표"/>
      <sheetName val="퍼스트"/>
      <sheetName val="소방사항"/>
      <sheetName val="직노"/>
      <sheetName val="S0"/>
      <sheetName val="GODO"/>
      <sheetName val="노임"/>
      <sheetName val="잡철물"/>
      <sheetName val="백암비스타내역"/>
      <sheetName val="실행내역"/>
      <sheetName val=" 소방공사 산출근거"/>
      <sheetName val="부서코드표"/>
      <sheetName val="봉양~조차장간고하개명(신설)"/>
      <sheetName val="품셈TABLE"/>
      <sheetName val="전입"/>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차집관로, 중계펌프장"/>
      <sheetName val="중계펌프장-건축"/>
      <sheetName val="중계펌프장-사급자재대"/>
      <sheetName val="약품설비"/>
      <sheetName val="GODO.XLS"/>
      <sheetName val="일위목록"/>
      <sheetName val="요율"/>
      <sheetName val="자재단가비교표"/>
      <sheetName val="기본Data"/>
      <sheetName val="간접비계산"/>
      <sheetName val="노임단가"/>
      <sheetName val="자재테이블"/>
      <sheetName val="전기2005"/>
      <sheetName val="통신2005"/>
      <sheetName val="소비자가"/>
      <sheetName val="전기일위목록"/>
      <sheetName val="일위대가(가설)"/>
      <sheetName val="WORK"/>
      <sheetName val="정류기"/>
      <sheetName val="재료비"/>
      <sheetName val="입찰안"/>
      <sheetName val="토목주소"/>
      <sheetName val="프랜트면허"/>
      <sheetName val="공사개요"/>
      <sheetName val="설계내역서"/>
      <sheetName val="단"/>
      <sheetName val="추가예산"/>
      <sheetName val="신호등일위대가"/>
      <sheetName val="감압변선정"/>
      <sheetName val="자재단가"/>
      <sheetName val="날개벽수량표"/>
      <sheetName val="차액보증"/>
      <sheetName val="총괄표"/>
      <sheetName val="참고자료"/>
      <sheetName val="노임조서"/>
      <sheetName val="교각계산"/>
      <sheetName val="직재"/>
      <sheetName val="옥내소화전계산서"/>
      <sheetName val="매입"/>
      <sheetName val="당진1,2호기전선관설치및접지4차공사내역서-을지"/>
      <sheetName val="문학간접"/>
      <sheetName val="점검총괄"/>
      <sheetName val="Macro(전선)"/>
      <sheetName val="부대공"/>
      <sheetName val="입력"/>
      <sheetName val="&lt;--"/>
      <sheetName val="P1(좌,우)"/>
      <sheetName val="9.단가조사서"/>
      <sheetName val="일위목차"/>
      <sheetName val="인사자료총집계"/>
      <sheetName val="소방내역서"/>
      <sheetName val="간선"/>
      <sheetName val="계산표지"/>
      <sheetName val="실행철강하도"/>
      <sheetName val="현우실적"/>
      <sheetName val="건설성적"/>
      <sheetName val="중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stomer Databas"/>
      <sheetName val="NAME"/>
      <sheetName val="cover "/>
      <sheetName val="제출"/>
      <sheetName val="제출 (2)"/>
      <sheetName val="compare"/>
      <sheetName val="XXXXXX"/>
      <sheetName val="공사일보"/>
      <sheetName val="약품공급2"/>
      <sheetName val="교통대책내역"/>
      <sheetName val="CUSTOMER"/>
      <sheetName val="소비자가"/>
      <sheetName val="노임단가"/>
      <sheetName val="지질조사"/>
      <sheetName val="#3_일위대가목록"/>
      <sheetName val="TEL"/>
      <sheetName val="입찰안"/>
      <sheetName val="중기"/>
      <sheetName val="101동"/>
      <sheetName val="조명율표"/>
      <sheetName val="sheet1"/>
      <sheetName val="단가일람"/>
      <sheetName val="조경일람"/>
      <sheetName val="4.전기"/>
      <sheetName val="금액집계"/>
      <sheetName val="바닥판"/>
      <sheetName val="입력DATA"/>
      <sheetName val="품셈TABLE"/>
      <sheetName val="내역서(전기)"/>
      <sheetName val="N賃率-職"/>
      <sheetName val="간접1"/>
      <sheetName val="장비내역"/>
      <sheetName val="입력"/>
      <sheetName val="2000년1차"/>
      <sheetName val="일위대가표"/>
      <sheetName val="잡철물"/>
      <sheetName val="직노"/>
      <sheetName val="DB"/>
      <sheetName val="환산"/>
      <sheetName val="Customer_Databas"/>
      <sheetName val="cover_"/>
      <sheetName val="제출_(2)"/>
      <sheetName val="4_전기"/>
      <sheetName val="BUS제원1"/>
      <sheetName val="내역서1"/>
      <sheetName val="기본사항"/>
      <sheetName val="인부신상자료"/>
      <sheetName val="토목주소"/>
      <sheetName val="6호기"/>
      <sheetName val="일위대가"/>
      <sheetName val="전사계"/>
      <sheetName val="공사착공계"/>
      <sheetName val="DI1"/>
      <sheetName val="준공정산"/>
      <sheetName val="원가계산"/>
      <sheetName val="집계표"/>
      <sheetName val="Customer_Databas1"/>
      <sheetName val="cover_1"/>
      <sheetName val="제출_(2)1"/>
      <sheetName val="4_전기1"/>
      <sheetName val="자료"/>
      <sheetName val="부대대비"/>
      <sheetName val="냉연집계"/>
      <sheetName val="일 위 목 록 표"/>
      <sheetName val="제품목록"/>
      <sheetName val="물량표"/>
      <sheetName val="산출내역서"/>
      <sheetName val="2000전체분"/>
      <sheetName val="99년하반기"/>
      <sheetName val="유림총괄"/>
      <sheetName val="단가비교"/>
      <sheetName val="전기혼잡제경비(45)"/>
      <sheetName val="종배수관면벽구"/>
      <sheetName val="내역서"/>
      <sheetName val="입찰보고"/>
      <sheetName val="실행(1)"/>
      <sheetName val="98지급계획"/>
      <sheetName val="8-1"/>
      <sheetName val="내역전기"/>
      <sheetName val="Total"/>
      <sheetName val="조명일위"/>
      <sheetName val="건축내역"/>
      <sheetName val="공기압축기실"/>
      <sheetName val="진주방향"/>
      <sheetName val="차수"/>
      <sheetName val="협조전"/>
      <sheetName val="공사개요"/>
      <sheetName val="간접비계산"/>
      <sheetName val="#2_일위대가목록"/>
      <sheetName val="자재단가비교표"/>
      <sheetName val="시운전연료"/>
      <sheetName val="정보"/>
      <sheetName val="#REF"/>
      <sheetName val="목록"/>
      <sheetName val="총괄표"/>
      <sheetName val="asd"/>
      <sheetName val="선급비용"/>
      <sheetName val="총괄내역서"/>
      <sheetName val="잡비"/>
      <sheetName val="실행내역"/>
      <sheetName val="간접"/>
      <sheetName val="데이타"/>
      <sheetName val="0226"/>
      <sheetName val="1ST"/>
      <sheetName val="백암비스타내역"/>
      <sheetName val="산출내역서집계표"/>
      <sheetName val="Macro(MCC)"/>
      <sheetName val="갑지(추정)"/>
      <sheetName val="기존단가 (2)"/>
      <sheetName val="일반부표"/>
      <sheetName val="추가예산"/>
      <sheetName val="분석표_아파트동"/>
      <sheetName val="분석표_부속동"/>
      <sheetName val="97년 추정"/>
      <sheetName val="BSD (2)"/>
      <sheetName val="재집"/>
      <sheetName val="직재"/>
      <sheetName val="기본일위"/>
      <sheetName val="대비"/>
      <sheetName val="현우실적"/>
      <sheetName val="01"/>
      <sheetName val="Sheet5"/>
      <sheetName val="금융비용"/>
      <sheetName val="날개벽수량표"/>
      <sheetName val="견적서세부내용"/>
      <sheetName val="견적내용입력"/>
      <sheetName val="예산총괄"/>
      <sheetName val="조직"/>
      <sheetName val="LD"/>
      <sheetName val="13LPMCC"/>
      <sheetName val="cover"/>
      <sheetName val="실행갑지"/>
      <sheetName val="BOQ 실행10.9"/>
      <sheetName val="전기일위대가"/>
      <sheetName val="설계내역서"/>
      <sheetName val="기계경비(시간당)"/>
      <sheetName val="램머"/>
      <sheetName val="갑지"/>
      <sheetName val="1차 내역서"/>
      <sheetName val="골조시행"/>
      <sheetName val="EACT10"/>
      <sheetName val="내역서(총)"/>
      <sheetName val="개요"/>
      <sheetName val="일위대가목차"/>
      <sheetName val="BID"/>
      <sheetName val="Sheet2 (2)"/>
      <sheetName val="산출금액내역"/>
      <sheetName val="청천내"/>
      <sheetName val="DESIGN CRITERIA"/>
      <sheetName val="실행(표지,갑,을)"/>
      <sheetName val="기계내역"/>
      <sheetName val="내역_FILE"/>
      <sheetName val="공통비(전체)"/>
      <sheetName val="중갑지"/>
      <sheetName val="총투입계"/>
      <sheetName val="수량산출"/>
      <sheetName val="계정"/>
      <sheetName val="아파트"/>
      <sheetName val="공통가설"/>
      <sheetName val="1-1"/>
      <sheetName val="BOQ_실행10_9"/>
      <sheetName val="1차_내역서"/>
      <sheetName val="Sheet2_(2)"/>
      <sheetName val="DESIGN_CRITERIA"/>
      <sheetName val="일위대가(4층원격)"/>
      <sheetName val="일위대가목록"/>
      <sheetName val="예가표"/>
      <sheetName val="건축원가계산서"/>
      <sheetName val="코스모공장 (어음)"/>
      <sheetName val="FANDBS"/>
      <sheetName val="GRDATA"/>
      <sheetName val="SHAFTDBSE"/>
      <sheetName val="경산"/>
      <sheetName val="신고서.전"/>
      <sheetName val="실행(ALT1)"/>
      <sheetName val="공사내역"/>
      <sheetName val="일용직내역"/>
      <sheetName val="BOQ_실행10_91"/>
      <sheetName val="1차_내역서1"/>
      <sheetName val="Sheet2_(2)1"/>
      <sheetName val="DESIGN_CRITERIA1"/>
      <sheetName val="코스모공장_(어음)"/>
      <sheetName val="신고서_전"/>
      <sheetName val="3월팀계 "/>
      <sheetName val="UR2-Calculation"/>
      <sheetName val="공사원가계산서"/>
      <sheetName val="도급예산내역서총괄표"/>
      <sheetName val="지급어음(일별)"/>
      <sheetName val="건축(충일분)"/>
      <sheetName val="노원열병합  건축공사기성내역서"/>
      <sheetName val="Baby일위대가"/>
      <sheetName val="DATE"/>
      <sheetName val="INPUT"/>
      <sheetName val="납부서"/>
      <sheetName val="VENDOR LIST"/>
      <sheetName val="소운반"/>
      <sheetName val="Tender Summary"/>
      <sheetName val="단"/>
      <sheetName val="주요항목별"/>
      <sheetName val="작성"/>
      <sheetName val="저"/>
      <sheetName val="예산M12A"/>
      <sheetName val="기초자료입력"/>
      <sheetName val="hvac(제어동)"/>
      <sheetName val="평가데이터"/>
      <sheetName val="터파기및재료"/>
      <sheetName val="EKOG10건축"/>
      <sheetName val="범례표"/>
      <sheetName val="원가"/>
      <sheetName val="Build Up"/>
      <sheetName val="주소"/>
      <sheetName val="인원계획-미화"/>
      <sheetName val="Cash Flows"/>
      <sheetName val="Area"/>
      <sheetName val="BDGTCE"/>
      <sheetName val="Building Input"/>
      <sheetName val="견적서"/>
      <sheetName val="database"/>
      <sheetName val="변동인원"/>
      <sheetName val="내부부하"/>
      <sheetName val="차액보증"/>
      <sheetName val="물가시세"/>
      <sheetName val="단가산출1"/>
      <sheetName val="단가산출2"/>
      <sheetName val="I一般比"/>
      <sheetName val="Ⅴ-2.공종별내역"/>
      <sheetName val="인건비"/>
      <sheetName val="G004601"/>
      <sheetName val="1.설계조건"/>
      <sheetName val="구조물공"/>
      <sheetName val="부대공"/>
      <sheetName val="배수공"/>
      <sheetName val="토공"/>
      <sheetName val="포장공"/>
      <sheetName val="예산M5A"/>
      <sheetName val="CON'C"/>
      <sheetName val="경비_원본"/>
      <sheetName val="밸브설치"/>
      <sheetName val="실행"/>
      <sheetName val="식재인부"/>
      <sheetName val="을"/>
      <sheetName val="내역"/>
      <sheetName val="200"/>
      <sheetName val="단가"/>
      <sheetName val="CASHFLOW"/>
      <sheetName val="Collateral"/>
      <sheetName val="적용률"/>
      <sheetName val="Sheet2"/>
      <sheetName val="완성차 미수금"/>
      <sheetName val="SG"/>
      <sheetName val=" HIT-&gt;HMC 견적(3900)"/>
      <sheetName val="공문"/>
      <sheetName val="자금운용계획표"/>
      <sheetName val="2002년"/>
      <sheetName val="CDTK"/>
      <sheetName val="CDPS"/>
      <sheetName val="controll"/>
      <sheetName val="원가계산서"/>
      <sheetName val="부서코드표"/>
      <sheetName val="집계"/>
      <sheetName val="소방"/>
      <sheetName val="세부내역"/>
      <sheetName val="sheets"/>
      <sheetName val="준공내역"/>
      <sheetName val="표지"/>
      <sheetName val="AR1.01"/>
      <sheetName val="PS3-01(3-1)"/>
      <sheetName val="."/>
      <sheetName val="선급금신청서"/>
      <sheetName val="노임"/>
      <sheetName val="조경"/>
      <sheetName val="건축"/>
      <sheetName val="노무비"/>
      <sheetName val="제품원재"/>
      <sheetName val="3련 BOX"/>
      <sheetName val="단가조사-2"/>
      <sheetName val="단가대비표"/>
      <sheetName val="Customer_Databas2"/>
      <sheetName val="cover_2"/>
      <sheetName val="제출_(2)2"/>
      <sheetName val="4_전기2"/>
      <sheetName val="일_위_목_록_표"/>
      <sheetName val="기존단가_(2)"/>
      <sheetName val="97년_추정"/>
      <sheetName val="BSD_(2)"/>
      <sheetName val="F4-F7"/>
      <sheetName val="공비대비"/>
      <sheetName val="Customer_Databas3"/>
      <sheetName val="cover_3"/>
      <sheetName val="제출_(2)3"/>
      <sheetName val="4_전기3"/>
      <sheetName val="일_위_목_록_표1"/>
      <sheetName val="기존단가_(2)1"/>
      <sheetName val="97년_추정1"/>
      <sheetName val="BSD_(2)1"/>
      <sheetName val="_1"/>
      <sheetName val="BOQ_실행10_93"/>
      <sheetName val="1차_내역서3"/>
      <sheetName val="Sheet2_(2)3"/>
      <sheetName val="DESIGN_CRITERIA3"/>
      <sheetName val="코스모공장_(어음)2"/>
      <sheetName val="신고서_전2"/>
      <sheetName val="3월팀계_1"/>
      <sheetName val="노원열병합__건축공사기성내역서1"/>
      <sheetName val="VENDOR_LIST1"/>
      <sheetName val="Tender_Summary1"/>
      <sheetName val="Build_Up1"/>
      <sheetName val="Cash_Flows1"/>
      <sheetName val="Building_Input1"/>
      <sheetName val="Ⅴ-2_공종별내역1"/>
      <sheetName val="1_설계조건1"/>
      <sheetName val="_"/>
      <sheetName val="BOQ_실행10_92"/>
      <sheetName val="1차_내역서2"/>
      <sheetName val="Sheet2_(2)2"/>
      <sheetName val="DESIGN_CRITERIA2"/>
      <sheetName val="코스모공장_(어음)1"/>
      <sheetName val="신고서_전1"/>
      <sheetName val="3월팀계_"/>
      <sheetName val="노원열병합__건축공사기성내역서"/>
      <sheetName val="VENDOR_LIST"/>
      <sheetName val="Tender_Summary"/>
      <sheetName val="Build_Up"/>
      <sheetName val="Cash_Flows"/>
      <sheetName val="Building_Input"/>
      <sheetName val="Ⅴ-2_공종별내역"/>
      <sheetName val="1_설계조건"/>
      <sheetName val="조명시설"/>
      <sheetName val="본장"/>
      <sheetName val="RD제품개발투자비(매가)"/>
      <sheetName val="광혁기성"/>
      <sheetName val="제이스_일위대가표"/>
      <sheetName val="전체"/>
      <sheetName val="재료"/>
      <sheetName val="3월연장근무"/>
      <sheetName val="대차"/>
      <sheetName val="실행철강하도"/>
      <sheetName val="프랜트면허"/>
      <sheetName val="Resource2"/>
      <sheetName val="당초"/>
      <sheetName val="공용공통공사"/>
      <sheetName val="데리네이타현황"/>
      <sheetName val="일위대가표 (2)"/>
      <sheetName val="총괄내역"/>
      <sheetName val="공종별 집계표"/>
      <sheetName val="사급,관급자재대"/>
      <sheetName val="도급내역서 표지"/>
      <sheetName val="공사구성비"/>
      <sheetName val="목차"/>
      <sheetName val="간지"/>
      <sheetName val="소방사항"/>
      <sheetName val="0Title"/>
      <sheetName val="Customer_Databas5"/>
      <sheetName val="cover_5"/>
      <sheetName val="제출_(2)5"/>
      <sheetName val="4_전기5"/>
      <sheetName val="일_위_목_록_표3"/>
      <sheetName val="기존단가_(2)3"/>
      <sheetName val="97년_추정3"/>
      <sheetName val="BSD_(2)3"/>
      <sheetName val="BOQ_실행10_95"/>
      <sheetName val="1차_내역서5"/>
      <sheetName val="Sheet2_(2)5"/>
      <sheetName val="DESIGN_CRITERIA5"/>
      <sheetName val="코스모공장_(어음)4"/>
      <sheetName val="신고서_전4"/>
      <sheetName val="3월팀계_3"/>
      <sheetName val="노원열병합__건축공사기성내역서3"/>
      <sheetName val="VENDOR_LIST3"/>
      <sheetName val="Tender_Summary3"/>
      <sheetName val="Build_Up3"/>
      <sheetName val="Cash_Flows3"/>
      <sheetName val="Building_Input3"/>
      <sheetName val="Ⅴ-2_공종별내역3"/>
      <sheetName val="1_설계조건3"/>
      <sheetName val="완성차_미수금1"/>
      <sheetName val="_HIT-&gt;HMC_견적(3900)1"/>
      <sheetName val="AR1_011"/>
      <sheetName val="_3"/>
      <sheetName val="3련_BOX1"/>
      <sheetName val="Customer_Databas4"/>
      <sheetName val="cover_4"/>
      <sheetName val="제출_(2)4"/>
      <sheetName val="4_전기4"/>
      <sheetName val="일_위_목_록_표2"/>
      <sheetName val="기존단가_(2)2"/>
      <sheetName val="97년_추정2"/>
      <sheetName val="BSD_(2)2"/>
      <sheetName val="BOQ_실행10_94"/>
      <sheetName val="1차_내역서4"/>
      <sheetName val="Sheet2_(2)4"/>
      <sheetName val="DESIGN_CRITERIA4"/>
      <sheetName val="코스모공장_(어음)3"/>
      <sheetName val="신고서_전3"/>
      <sheetName val="3월팀계_2"/>
      <sheetName val="노원열병합__건축공사기성내역서2"/>
      <sheetName val="VENDOR_LIST2"/>
      <sheetName val="Tender_Summary2"/>
      <sheetName val="Build_Up2"/>
      <sheetName val="Cash_Flows2"/>
      <sheetName val="Building_Input2"/>
      <sheetName val="Ⅴ-2_공종별내역2"/>
      <sheetName val="1_설계조건2"/>
      <sheetName val="완성차_미수금"/>
      <sheetName val="_HIT-&gt;HMC_견적(3900)"/>
      <sheetName val="AR1_01"/>
      <sheetName val="_2"/>
      <sheetName val="3련_BOX"/>
      <sheetName val="구의33고"/>
      <sheetName val="정부노임단가"/>
      <sheetName val="인사자료총집계"/>
      <sheetName val="Customer_Databas6"/>
      <sheetName val="cover_6"/>
      <sheetName val="제출_(2)6"/>
      <sheetName val="4_전기6"/>
      <sheetName val="일_위_목_록_표4"/>
      <sheetName val="기존단가_(2)4"/>
      <sheetName val="97년_추정4"/>
      <sheetName val="BSD_(2)4"/>
      <sheetName val="BOQ_실행10_96"/>
      <sheetName val="1차_내역서6"/>
      <sheetName val="Sheet2_(2)6"/>
      <sheetName val="DESIGN_CRITERIA6"/>
      <sheetName val="코스모공장_(어음)5"/>
      <sheetName val="신고서_전5"/>
      <sheetName val="3월팀계_4"/>
      <sheetName val="노원열병합__건축공사기성내역서4"/>
      <sheetName val="VENDOR_LIST4"/>
      <sheetName val="Tender_Summary4"/>
      <sheetName val="Build_Up4"/>
      <sheetName val="Cash_Flows4"/>
      <sheetName val="Building_Input4"/>
      <sheetName val="Ⅴ-2_공종별내역4"/>
      <sheetName val="1_설계조건4"/>
      <sheetName val="완성차_미수금2"/>
      <sheetName val="_HIT-&gt;HMC_견적(3900)2"/>
      <sheetName val="AR1_012"/>
      <sheetName val="_4"/>
      <sheetName val="3련_BOX2"/>
      <sheetName val="MOTOR"/>
      <sheetName val="ABUT수량-A1"/>
      <sheetName val=" Pearson Korea - Estimate -0710"/>
      <sheetName val="개당손익0303"/>
      <sheetName val="옥내소화전계산서"/>
      <sheetName val="ASEM내역"/>
      <sheetName val="노임이"/>
      <sheetName val="암거날개벽"/>
      <sheetName val="별표"/>
      <sheetName val="1공구산출내역서"/>
      <sheetName val="교수설계"/>
      <sheetName val="견적"/>
      <sheetName val="반포2차"/>
      <sheetName val="자료입력"/>
      <sheetName val="송라터널총괄"/>
      <sheetName val="청주(철골발주의뢰서)"/>
      <sheetName val="당진1,2호기전선관설치및접지4차공사내역서-을지"/>
      <sheetName val="경비"/>
      <sheetName val="수목데이타 "/>
      <sheetName val="플랜트 설치"/>
      <sheetName val="DATA"/>
      <sheetName val="현장관리비"/>
      <sheetName val="견적내역"/>
      <sheetName val="공정집계_국별"/>
      <sheetName val="도급철콘내역"/>
      <sheetName val="천방교접속"/>
      <sheetName val="대포2교접속"/>
      <sheetName val="FAX"/>
      <sheetName val="관급자재"/>
      <sheetName val="도담구내 개소별 명세"/>
      <sheetName val="을부담운반비"/>
      <sheetName val="NEWDRAW"/>
      <sheetName val="code"/>
      <sheetName val="dtxl"/>
      <sheetName val="자판실행"/>
      <sheetName val="BOJUNGGM"/>
      <sheetName val=" 냉각수펌프"/>
      <sheetName val="BOQ-1"/>
      <sheetName val="BANG TONG HOP (2)"/>
      <sheetName val="단위중량"/>
      <sheetName val="직공비"/>
      <sheetName val="Y-WORK"/>
      <sheetName val="산업"/>
      <sheetName val="분석가정"/>
      <sheetName val="자재단가"/>
      <sheetName val="표  지"/>
      <sheetName val="항목등록"/>
      <sheetName val="자재테이블"/>
      <sheetName val="급여(현지화)"/>
      <sheetName val="품의서"/>
      <sheetName val="토목"/>
      <sheetName val="금액내역서"/>
      <sheetName val=" 내역"/>
      <sheetName val="상반기손익차2총괄"/>
      <sheetName val="시화점실행"/>
      <sheetName val="SHEET"/>
      <sheetName val="접지수량"/>
      <sheetName val="위치조서"/>
      <sheetName val="옥외외등집계표"/>
      <sheetName val="C3"/>
      <sheetName val="설직재-1"/>
      <sheetName val="참고1.분류"/>
      <sheetName val="설직재-Ú"/>
      <sheetName val="금액"/>
      <sheetName val="설직재-¾"/>
      <sheetName val="6PILE  (돌출)"/>
      <sheetName val="자동세륜기"/>
      <sheetName val="자금운용표"/>
      <sheetName val="참고1.椀ﻶ"/>
      <sheetName val="설직재-_x0000_"/>
      <sheetName val="설직재-؀"/>
      <sheetName val="건축공사"/>
      <sheetName val="설직재-¬"/>
      <sheetName val="17차"/>
      <sheetName val="______C_DATA_XLS_DONGAEST_MSO_2"/>
      <sheetName val="Macro(전선)"/>
      <sheetName val=""/>
      <sheetName val="설직재-뀀"/>
      <sheetName val="Customer_Databas7"/>
      <sheetName val="cover_7"/>
      <sheetName val="제출_(2)7"/>
      <sheetName val="4_전기7"/>
      <sheetName val="일_위_목_록_표5"/>
      <sheetName val="기존단가_(2)5"/>
      <sheetName val="97년_추정5"/>
      <sheetName val="BSD_(2)5"/>
      <sheetName val="BOQ_실행10_97"/>
      <sheetName val="1차_내역서7"/>
      <sheetName val="Sheet2_(2)7"/>
      <sheetName val="DESIGN_CRITERIA7"/>
      <sheetName val="코스모공장_(어음)6"/>
      <sheetName val="신고서_전6"/>
      <sheetName val="3월팀계_5"/>
      <sheetName val="노원열병합__건축공사기성내역서5"/>
      <sheetName val="VENDOR_LIST5"/>
      <sheetName val="Tender_Summary5"/>
      <sheetName val="Build_Up5"/>
      <sheetName val="Cash_Flows5"/>
      <sheetName val="Building_Input5"/>
      <sheetName val="Ⅴ-2_공종별내역5"/>
      <sheetName val="1_설계조건5"/>
      <sheetName val="완성차_미수금3"/>
      <sheetName val="_HIT-&gt;HMC_견적(3900)3"/>
      <sheetName val="AR1_013"/>
      <sheetName val="_5"/>
      <sheetName val="3련_BOX3"/>
      <sheetName val="일위대가표_(2)"/>
      <sheetName val="공종별_집계표"/>
      <sheetName val="도급내역서_표지"/>
      <sheetName val="_Pearson_Korea_-_Estimate_-0710"/>
      <sheetName val="수목데이타_"/>
      <sheetName val="플랜트_설치"/>
      <sheetName val="도담구내_개소별_명세"/>
      <sheetName val="_냉각수펌프"/>
      <sheetName val="BANG_TONG_HOP_(2)"/>
      <sheetName val="표__지"/>
      <sheetName val="_내역"/>
      <sheetName val="참고1_분류"/>
      <sheetName val="6PILE__(돌출)"/>
      <sheetName val="참고1_椀ﻶ"/>
      <sheetName val="암거단위"/>
      <sheetName val="공사비산출내역"/>
      <sheetName val="04,10,11"/>
      <sheetName val="요율"/>
      <sheetName val="현장식당(1)"/>
      <sheetName val="______C_DATA_XLS_DONGAEST_MSO_3"/>
      <sheetName val="Macro1"/>
      <sheetName val="내역표지"/>
      <sheetName val="노임,재료비"/>
      <sheetName val="측량요율"/>
      <sheetName val="총괄메뉴"/>
      <sheetName val="학생내역"/>
      <sheetName val="수문일위1"/>
    </sheetNames>
    <sheetDataSet>
      <sheetData sheetId="0"/>
      <sheetData sheetId="1"/>
      <sheetData sheetId="2"/>
      <sheetData sheetId="3"/>
      <sheetData sheetId="4"/>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refreshError="1"/>
      <sheetData sheetId="515"/>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refreshError="1"/>
      <sheetData sheetId="560" refreshError="1"/>
      <sheetData sheetId="561" refreshError="1"/>
      <sheetData sheetId="562" refreshError="1"/>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asd"/>
      <sheetName val="Customer Databas"/>
      <sheetName val="재료"/>
      <sheetName val="공사비총괄표"/>
      <sheetName val="약품공급2"/>
      <sheetName val="금액내역서"/>
      <sheetName val="중기"/>
      <sheetName val="일위대가표"/>
      <sheetName val="#REF"/>
      <sheetName val="입찰안"/>
      <sheetName val="실행(1)"/>
      <sheetName val="조명율표"/>
      <sheetName val="지하"/>
      <sheetName val="유림콘도"/>
      <sheetName val="정산내역서"/>
      <sheetName val="노임단가"/>
      <sheetName val="노임"/>
      <sheetName val="간접1"/>
      <sheetName val="개요"/>
      <sheetName val="Customer_Databas"/>
      <sheetName val="N賃率-職"/>
      <sheetName val="101동"/>
      <sheetName val="현장근무일지 (3)"/>
      <sheetName val="NAME"/>
      <sheetName val="Customer_Databas1"/>
      <sheetName val="현장근무일지_(3)"/>
      <sheetName val="교통대책내역"/>
      <sheetName val="원가"/>
      <sheetName val="98지급계획"/>
      <sheetName val="집계표"/>
      <sheetName val="표지"/>
      <sheetName val="Resource2"/>
      <sheetName val="노임이"/>
      <sheetName val="공사개요"/>
      <sheetName val="골조"/>
      <sheetName val="설계내역서"/>
      <sheetName val="일위대가"/>
      <sheetName val="토목주소"/>
      <sheetName val="프랜트면허"/>
      <sheetName val="일위"/>
      <sheetName val="#3_일위대가목록"/>
      <sheetName val="데리네이타현황"/>
      <sheetName val="갑지(추정)"/>
      <sheetName val="#2_일위대가목록"/>
      <sheetName val="단가비교표_공통1"/>
      <sheetName val="광장"/>
      <sheetName val="실행철강하도"/>
      <sheetName val="부서코드표"/>
      <sheetName val="인사자료총집계"/>
      <sheetName val="GAEYO"/>
      <sheetName val="금융"/>
      <sheetName val="유림골조"/>
      <sheetName val="제품원재"/>
    </sheetNames>
    <sheetDataSet>
      <sheetData sheetId="0"/>
      <sheetData sheetId="1" refreshError="1">
        <row r="1">
          <cell r="B1" t="str">
            <v>직종별</v>
          </cell>
        </row>
        <row r="2">
          <cell r="B2" t="str">
            <v xml:space="preserve">  갱부</v>
          </cell>
        </row>
        <row r="3">
          <cell r="B3" t="str">
            <v xml:space="preserve">  도목수</v>
          </cell>
        </row>
        <row r="4">
          <cell r="B4" t="str">
            <v xml:space="preserve">  건축목공</v>
          </cell>
        </row>
        <row r="5">
          <cell r="B5" t="str">
            <v xml:space="preserve">  형틀목공</v>
          </cell>
        </row>
        <row r="6">
          <cell r="B6" t="str">
            <v xml:space="preserve">  창호목공</v>
          </cell>
        </row>
        <row r="7">
          <cell r="B7" t="str">
            <v xml:space="preserve">  철골공</v>
          </cell>
        </row>
        <row r="8">
          <cell r="B8" t="str">
            <v xml:space="preserve">  철공</v>
          </cell>
        </row>
        <row r="9">
          <cell r="B9" t="str">
            <v xml:space="preserve">  철근공</v>
          </cell>
        </row>
        <row r="10">
          <cell r="B10" t="str">
            <v xml:space="preserve">  철판공</v>
          </cell>
        </row>
        <row r="11">
          <cell r="B11" t="str">
            <v xml:space="preserve">  셔터공</v>
          </cell>
        </row>
        <row r="12">
          <cell r="B12" t="str">
            <v xml:space="preserve">  샤시공</v>
          </cell>
        </row>
        <row r="13">
          <cell r="B13" t="str">
            <v xml:space="preserve">  절단공</v>
          </cell>
        </row>
        <row r="14">
          <cell r="B14" t="str">
            <v xml:space="preserve">  석공</v>
          </cell>
        </row>
        <row r="15">
          <cell r="B15" t="str">
            <v xml:space="preserve">  특수비계공</v>
          </cell>
        </row>
        <row r="16">
          <cell r="B16" t="str">
            <v xml:space="preserve">  비계공</v>
          </cell>
        </row>
        <row r="17">
          <cell r="B17" t="str">
            <v xml:space="preserve">  동발공(터널)</v>
          </cell>
        </row>
        <row r="18">
          <cell r="B18" t="str">
            <v xml:space="preserve">  조적공</v>
          </cell>
        </row>
        <row r="19">
          <cell r="B19" t="str">
            <v xml:space="preserve">  치장벽돌공</v>
          </cell>
        </row>
        <row r="20">
          <cell r="B20" t="str">
            <v xml:space="preserve">  벽돌(블록)제작공</v>
          </cell>
        </row>
        <row r="21">
          <cell r="B21" t="str">
            <v xml:space="preserve">  연돌공</v>
          </cell>
        </row>
        <row r="22">
          <cell r="B22" t="str">
            <v xml:space="preserve">  미장공</v>
          </cell>
        </row>
        <row r="23">
          <cell r="B23" t="str">
            <v xml:space="preserve">  방수공</v>
          </cell>
        </row>
        <row r="24">
          <cell r="B24" t="str">
            <v xml:space="preserve">  타일공</v>
          </cell>
        </row>
        <row r="25">
          <cell r="B25" t="str">
            <v xml:space="preserve">  줄눈공</v>
          </cell>
        </row>
        <row r="26">
          <cell r="B26" t="str">
            <v xml:space="preserve">  연마공</v>
          </cell>
        </row>
        <row r="27">
          <cell r="B27" t="str">
            <v xml:space="preserve">  콘크리트공</v>
          </cell>
        </row>
        <row r="28">
          <cell r="B28" t="str">
            <v xml:space="preserve">  바이브레타공</v>
          </cell>
        </row>
        <row r="29">
          <cell r="B29" t="str">
            <v xml:space="preserve">  콘크리트공(광의)</v>
          </cell>
        </row>
        <row r="30">
          <cell r="B30" t="str">
            <v xml:space="preserve">  보일러공</v>
          </cell>
        </row>
        <row r="31">
          <cell r="B31" t="str">
            <v xml:space="preserve">  배관공</v>
          </cell>
        </row>
        <row r="32">
          <cell r="B32" t="str">
            <v xml:space="preserve">  온돌공</v>
          </cell>
        </row>
        <row r="33">
          <cell r="B33" t="str">
            <v xml:space="preserve">  위생공</v>
          </cell>
        </row>
        <row r="34">
          <cell r="B34" t="str">
            <v xml:space="preserve">  보온공</v>
          </cell>
        </row>
        <row r="35">
          <cell r="B35" t="str">
            <v xml:space="preserve">  도장공</v>
          </cell>
        </row>
        <row r="36">
          <cell r="B36" t="str">
            <v xml:space="preserve">  내장공</v>
          </cell>
        </row>
        <row r="37">
          <cell r="B37" t="str">
            <v xml:space="preserve">  도배공</v>
          </cell>
        </row>
        <row r="38">
          <cell r="B38" t="str">
            <v xml:space="preserve">  아스타일공</v>
          </cell>
        </row>
        <row r="39">
          <cell r="B39" t="str">
            <v xml:space="preserve">  기와공</v>
          </cell>
        </row>
        <row r="40">
          <cell r="B40" t="str">
            <v xml:space="preserve">  슬레이트공</v>
          </cell>
        </row>
        <row r="41">
          <cell r="B41" t="str">
            <v xml:space="preserve">  지붕잇기공</v>
          </cell>
        </row>
        <row r="42">
          <cell r="B42" t="str">
            <v xml:space="preserve">  화약취급공</v>
          </cell>
        </row>
        <row r="43">
          <cell r="B43" t="str">
            <v xml:space="preserve">  착암공</v>
          </cell>
        </row>
        <row r="44">
          <cell r="B44" t="str">
            <v xml:space="preserve">  보안공</v>
          </cell>
        </row>
        <row r="45">
          <cell r="B45" t="str">
            <v xml:space="preserve">  포장공</v>
          </cell>
        </row>
        <row r="46">
          <cell r="B46" t="str">
            <v xml:space="preserve">  포설공</v>
          </cell>
        </row>
        <row r="47">
          <cell r="B47" t="str">
            <v xml:space="preserve">  궤도공</v>
          </cell>
        </row>
        <row r="48">
          <cell r="B48" t="str">
            <v xml:space="preserve">  용접공(철도)</v>
          </cell>
        </row>
        <row r="49">
          <cell r="B49" t="str">
            <v xml:space="preserve">  잠수공</v>
          </cell>
        </row>
        <row r="50">
          <cell r="B50" t="str">
            <v xml:space="preserve">  잠함공</v>
          </cell>
        </row>
        <row r="51">
          <cell r="B51" t="str">
            <v xml:space="preserve">  보링공(지질조사)</v>
          </cell>
        </row>
        <row r="52">
          <cell r="B52" t="str">
            <v xml:space="preserve">  우물공</v>
          </cell>
        </row>
        <row r="53">
          <cell r="B53" t="str">
            <v xml:space="preserve">  영림기사</v>
          </cell>
        </row>
        <row r="54">
          <cell r="B54" t="str">
            <v xml:space="preserve">  조경공</v>
          </cell>
        </row>
        <row r="55">
          <cell r="B55" t="str">
            <v xml:space="preserve">  벌목부</v>
          </cell>
        </row>
        <row r="56">
          <cell r="B56" t="str">
            <v xml:space="preserve">  조림인부</v>
          </cell>
        </row>
        <row r="57">
          <cell r="B57" t="str">
            <v xml:space="preserve">  플랜트기계설치공</v>
          </cell>
        </row>
        <row r="58">
          <cell r="B58" t="str">
            <v xml:space="preserve">  플랜트특수용접공</v>
          </cell>
        </row>
        <row r="59">
          <cell r="B59" t="str">
            <v xml:space="preserve">  플랜트용접공</v>
          </cell>
        </row>
        <row r="60">
          <cell r="B60" t="str">
            <v xml:space="preserve">  플랜트배관공</v>
          </cell>
        </row>
        <row r="61">
          <cell r="B61" t="str">
            <v xml:space="preserve">  플랜트제관공</v>
          </cell>
        </row>
        <row r="62">
          <cell r="B62" t="str">
            <v xml:space="preserve">  시공측량사</v>
          </cell>
        </row>
        <row r="63">
          <cell r="B63" t="str">
            <v xml:space="preserve">  시공측량사조수</v>
          </cell>
        </row>
        <row r="64">
          <cell r="B64" t="str">
            <v xml:space="preserve">  측부</v>
          </cell>
        </row>
        <row r="65">
          <cell r="B65" t="str">
            <v xml:space="preserve">  검조부</v>
          </cell>
        </row>
        <row r="66">
          <cell r="B66" t="str">
            <v xml:space="preserve">  송전전공</v>
          </cell>
        </row>
        <row r="67">
          <cell r="B67" t="str">
            <v xml:space="preserve">  송전활선전공</v>
          </cell>
        </row>
        <row r="68">
          <cell r="B68" t="str">
            <v xml:space="preserve">  배전전공</v>
          </cell>
        </row>
        <row r="69">
          <cell r="B69" t="str">
            <v xml:space="preserve">  배전활선전공</v>
          </cell>
        </row>
        <row r="70">
          <cell r="B70" t="str">
            <v xml:space="preserve">  플랜트전공</v>
          </cell>
        </row>
        <row r="71">
          <cell r="B71" t="str">
            <v xml:space="preserve">  내선전공</v>
          </cell>
        </row>
        <row r="72">
          <cell r="B72" t="str">
            <v xml:space="preserve">  특별고압케이블전공</v>
          </cell>
        </row>
        <row r="73">
          <cell r="B73" t="str">
            <v xml:space="preserve">  고압케이블전공</v>
          </cell>
        </row>
        <row r="74">
          <cell r="B74" t="str">
            <v xml:space="preserve">  저압케이블전공</v>
          </cell>
        </row>
        <row r="75">
          <cell r="B75" t="str">
            <v xml:space="preserve">  철도신호공</v>
          </cell>
        </row>
        <row r="76">
          <cell r="B76" t="str">
            <v xml:space="preserve">  계장공</v>
          </cell>
        </row>
        <row r="77">
          <cell r="B77" t="str">
            <v xml:space="preserve">  통신외선공</v>
          </cell>
        </row>
        <row r="78">
          <cell r="B78" t="str">
            <v xml:space="preserve">  통신설비공</v>
          </cell>
        </row>
        <row r="79">
          <cell r="B79" t="str">
            <v xml:space="preserve">  통신내선공</v>
          </cell>
        </row>
        <row r="80">
          <cell r="B80" t="str">
            <v xml:space="preserve">  통신케이블공</v>
          </cell>
        </row>
        <row r="81">
          <cell r="B81" t="str">
            <v xml:space="preserve">  무선안테나공</v>
          </cell>
        </row>
        <row r="82">
          <cell r="B82" t="str">
            <v xml:space="preserve">  수작업반장</v>
          </cell>
        </row>
        <row r="83">
          <cell r="B83" t="str">
            <v xml:space="preserve">  작업반장</v>
          </cell>
        </row>
        <row r="84">
          <cell r="B84" t="str">
            <v xml:space="preserve">  목도</v>
          </cell>
        </row>
        <row r="85">
          <cell r="B85" t="str">
            <v xml:space="preserve">  조력공</v>
          </cell>
        </row>
        <row r="86">
          <cell r="B86" t="str">
            <v xml:space="preserve">  특별인부</v>
          </cell>
        </row>
        <row r="87">
          <cell r="B87" t="str">
            <v xml:space="preserve">  보통인부</v>
          </cell>
        </row>
        <row r="88">
          <cell r="B88" t="str">
            <v xml:space="preserve">  건설기계운전기사</v>
          </cell>
        </row>
        <row r="89">
          <cell r="B89" t="str">
            <v xml:space="preserve">  건설기계조장</v>
          </cell>
        </row>
        <row r="90">
          <cell r="B90" t="str">
            <v xml:space="preserve">  운전사(운반차)</v>
          </cell>
        </row>
        <row r="91">
          <cell r="B91" t="str">
            <v xml:space="preserve">  운전사(기계)</v>
          </cell>
        </row>
        <row r="92">
          <cell r="B92" t="str">
            <v xml:space="preserve">  건설기계운전조수</v>
          </cell>
        </row>
        <row r="93">
          <cell r="B93" t="str">
            <v xml:space="preserve">  고급선원</v>
          </cell>
        </row>
        <row r="94">
          <cell r="B94" t="str">
            <v xml:space="preserve">  보통선원</v>
          </cell>
        </row>
        <row r="95">
          <cell r="B95" t="str">
            <v xml:space="preserve">  선부</v>
          </cell>
        </row>
        <row r="96">
          <cell r="B96" t="str">
            <v xml:space="preserve">  준설선선장</v>
          </cell>
        </row>
        <row r="97">
          <cell r="B97" t="str">
            <v xml:space="preserve">  준설선기관장</v>
          </cell>
        </row>
        <row r="98">
          <cell r="B98" t="str">
            <v xml:space="preserve">  준설선기관사</v>
          </cell>
        </row>
        <row r="99">
          <cell r="B99" t="str">
            <v xml:space="preserve">  준설선운전사</v>
          </cell>
        </row>
        <row r="100">
          <cell r="B100" t="str">
            <v xml:space="preserve">  준설선전기사</v>
          </cell>
        </row>
        <row r="101">
          <cell r="B101" t="str">
            <v xml:space="preserve">  기계설치공</v>
          </cell>
        </row>
        <row r="102">
          <cell r="B102" t="str">
            <v xml:space="preserve">  기계공 </v>
          </cell>
        </row>
        <row r="103">
          <cell r="B103" t="str">
            <v xml:space="preserve">  선반공</v>
          </cell>
        </row>
        <row r="104">
          <cell r="B104" t="str">
            <v xml:space="preserve">  정비공</v>
          </cell>
        </row>
        <row r="105">
          <cell r="B105" t="str">
            <v xml:space="preserve">  벨트콘베이어작업공</v>
          </cell>
        </row>
        <row r="106">
          <cell r="B106" t="str">
            <v xml:space="preserve">  현도사</v>
          </cell>
        </row>
        <row r="107">
          <cell r="B107" t="str">
            <v xml:space="preserve">  제도사</v>
          </cell>
        </row>
        <row r="108">
          <cell r="B108" t="str">
            <v xml:space="preserve">  시험사1급</v>
          </cell>
        </row>
        <row r="109">
          <cell r="B109" t="str">
            <v xml:space="preserve">  시험사2급</v>
          </cell>
        </row>
        <row r="110">
          <cell r="B110" t="str">
            <v xml:space="preserve">  시험사3급</v>
          </cell>
        </row>
        <row r="111">
          <cell r="B111" t="str">
            <v xml:space="preserve">  시험사4급</v>
          </cell>
        </row>
        <row r="112">
          <cell r="B112" t="str">
            <v xml:space="preserve">  시험보조수</v>
          </cell>
        </row>
        <row r="113">
          <cell r="B113" t="str">
            <v xml:space="preserve">  유리공</v>
          </cell>
        </row>
        <row r="114">
          <cell r="B114" t="str">
            <v xml:space="preserve">  함석공</v>
          </cell>
        </row>
        <row r="115">
          <cell r="B115" t="str">
            <v xml:space="preserve">  용접공(일반)</v>
          </cell>
        </row>
        <row r="116">
          <cell r="B116" t="str">
            <v xml:space="preserve">  리벳공</v>
          </cell>
        </row>
        <row r="117">
          <cell r="B117" t="str">
            <v xml:space="preserve">  루핑공</v>
          </cell>
        </row>
        <row r="118">
          <cell r="B118" t="str">
            <v xml:space="preserve">  닥트공</v>
          </cell>
        </row>
        <row r="119">
          <cell r="B119" t="str">
            <v xml:space="preserve">  대장공</v>
          </cell>
        </row>
        <row r="120">
          <cell r="B120" t="str">
            <v xml:space="preserve">  할석공</v>
          </cell>
        </row>
        <row r="121">
          <cell r="B121" t="str">
            <v xml:space="preserve">  제철축로공</v>
          </cell>
        </row>
        <row r="122">
          <cell r="B122" t="str">
            <v xml:space="preserve">  양생공</v>
          </cell>
        </row>
        <row r="123">
          <cell r="B123" t="str">
            <v xml:space="preserve">  계령공</v>
          </cell>
        </row>
        <row r="124">
          <cell r="B124" t="str">
            <v xml:space="preserve">  모래분사공</v>
          </cell>
        </row>
        <row r="125">
          <cell r="B125" t="str">
            <v xml:space="preserve">  사공(배포함)</v>
          </cell>
        </row>
        <row r="126">
          <cell r="B126" t="str">
            <v xml:space="preserve">  마부(우마차포함)</v>
          </cell>
        </row>
        <row r="127">
          <cell r="B127" t="str">
            <v xml:space="preserve">  제재공</v>
          </cell>
        </row>
        <row r="128">
          <cell r="B128" t="str">
            <v xml:space="preserve">  철도궤도공</v>
          </cell>
        </row>
        <row r="129">
          <cell r="B129" t="str">
            <v xml:space="preserve">  지적기사1급</v>
          </cell>
        </row>
        <row r="130">
          <cell r="B130" t="str">
            <v xml:space="preserve">  지적기사2급</v>
          </cell>
        </row>
        <row r="131">
          <cell r="B131" t="str">
            <v xml:space="preserve">  지적기능사1급</v>
          </cell>
        </row>
        <row r="132">
          <cell r="B132" t="str">
            <v xml:space="preserve">  지적기능사2급</v>
          </cell>
        </row>
        <row r="133">
          <cell r="B133" t="str">
            <v xml:space="preserve">  견출공</v>
          </cell>
        </row>
        <row r="134">
          <cell r="B134" t="str">
            <v xml:space="preserve">  판넬조립공</v>
          </cell>
        </row>
        <row r="135">
          <cell r="B135" t="str">
            <v xml:space="preserve">  기술사</v>
          </cell>
        </row>
        <row r="136">
          <cell r="B136" t="str">
            <v xml:space="preserve">  특급기술자</v>
          </cell>
        </row>
        <row r="137">
          <cell r="B137" t="str">
            <v xml:space="preserve">  고급기술자</v>
          </cell>
        </row>
        <row r="138">
          <cell r="B138" t="str">
            <v xml:space="preserve">  중급기술자</v>
          </cell>
        </row>
        <row r="139">
          <cell r="B139" t="str">
            <v xml:space="preserve">  초급기술자</v>
          </cell>
        </row>
        <row r="140">
          <cell r="B140" t="str">
            <v xml:space="preserve">  고급기능사</v>
          </cell>
        </row>
        <row r="141">
          <cell r="B141" t="str">
            <v xml:space="preserve">  중급기능사</v>
          </cell>
        </row>
        <row r="142">
          <cell r="B142" t="str">
            <v xml:space="preserve">  초급기능사</v>
          </cell>
        </row>
        <row r="65536">
          <cell r="B65536" t="str">
            <v>직종별</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참고자료"/>
      <sheetName val="월별"/>
      <sheetName val="업종별"/>
      <sheetName val="이윤율"/>
      <sheetName val="계약금액별"/>
      <sheetName val="공정별"/>
      <sheetName val="매출자료 집계"/>
      <sheetName val="매출그래프"/>
      <sheetName val="본부총합"/>
      <sheetName val="국내1"/>
      <sheetName val="국내2"/>
      <sheetName val="국제부"/>
      <sheetName val="총괄표"/>
      <sheetName val="금액 업종별"/>
      <sheetName val="98-200"/>
      <sheetName val="실행내역"/>
      <sheetName val="개요"/>
      <sheetName val="asd"/>
      <sheetName val="2000-1분기"/>
      <sheetName val="목표대비,수금"/>
      <sheetName val="내역서"/>
      <sheetName val="SIL98"/>
      <sheetName val="220 (2)"/>
      <sheetName val="손익분석"/>
      <sheetName val="직노"/>
      <sheetName val="DB"/>
      <sheetName val="Customer Databas"/>
      <sheetName val="내역"/>
      <sheetName val="노임"/>
      <sheetName val="매출자료_집계"/>
      <sheetName val="금액_업종별"/>
      <sheetName val="220_(2)"/>
      <sheetName val="재료비내역서"/>
      <sheetName val="금액내역서"/>
      <sheetName val="견적서"/>
      <sheetName val="일위대가표"/>
      <sheetName val="0226"/>
      <sheetName val="화재 탐지 설비"/>
      <sheetName val="매출자료_집계1"/>
      <sheetName val="금액_업종별1"/>
      <sheetName val="220_(2)1"/>
      <sheetName val="Customer_Databas"/>
      <sheetName val="화재_탐지_설비"/>
      <sheetName val="MAIN_TABLE"/>
      <sheetName val="200"/>
      <sheetName val="백암비스타내역"/>
      <sheetName val="제경비율"/>
      <sheetName val="연부97-1"/>
      <sheetName val="입찰안"/>
      <sheetName val="인사자료총집계"/>
      <sheetName val="갑지1"/>
      <sheetName val="설계내역서"/>
      <sheetName val="집계표"/>
      <sheetName val="#REF"/>
      <sheetName val="FILE1"/>
      <sheetName val="견적"/>
      <sheetName val="TB-내역서"/>
      <sheetName val="실행철강하도"/>
      <sheetName val="정산내역서"/>
      <sheetName val="실행"/>
      <sheetName val="부안일위"/>
      <sheetName val="구조물공"/>
      <sheetName val="약품공급2"/>
      <sheetName val="1차설계변경내역"/>
      <sheetName val="공사개요"/>
      <sheetName val="토목주소"/>
      <sheetName val="프랜트면허"/>
      <sheetName val="세금계산서List"/>
      <sheetName val="종합표"/>
      <sheetName val="신규 수주분(사용자 정의)"/>
      <sheetName val="동해title"/>
      <sheetName val="대공종"/>
      <sheetName val="지하1층"/>
      <sheetName val="부서코드표"/>
      <sheetName val="토공내역"/>
      <sheetName val="표지"/>
      <sheetName val="96정변2"/>
      <sheetName val="소방"/>
      <sheetName val="당초"/>
      <sheetName val="N賃率-職"/>
      <sheetName val="설계명세"/>
      <sheetName val="조명시설"/>
      <sheetName val="전기내역"/>
      <sheetName val="건축내역"/>
    </sheetNames>
    <sheetDataSet>
      <sheetData sheetId="0" refreshError="1">
        <row r="2">
          <cell r="Q2" t="str">
            <v>대 외 비</v>
          </cell>
        </row>
        <row r="3">
          <cell r="Q3" t="str">
            <v>대 외 비</v>
          </cell>
        </row>
        <row r="4">
          <cell r="O4" t="str">
            <v>결</v>
          </cell>
          <cell r="P4" t="str">
            <v>담  당</v>
          </cell>
          <cell r="Q4" t="str">
            <v>전  무</v>
          </cell>
          <cell r="R4" t="str">
            <v>사  장</v>
          </cell>
        </row>
        <row r="6">
          <cell r="O6" t="str">
            <v>결</v>
          </cell>
          <cell r="P6" t="str">
            <v>담  당</v>
          </cell>
          <cell r="Q6" t="str">
            <v>전  무</v>
          </cell>
          <cell r="R6" t="str">
            <v>사  장</v>
          </cell>
        </row>
        <row r="7">
          <cell r="O7" t="str">
            <v>재</v>
          </cell>
        </row>
        <row r="9">
          <cell r="O9" t="str">
            <v>재</v>
          </cell>
        </row>
        <row r="10">
          <cell r="A10" t="str">
            <v>2000년도 1/4분기 원가관리 보고</v>
          </cell>
        </row>
        <row r="11">
          <cell r="A11" t="str">
            <v>2000년도 1/4분기 원가관리 보고</v>
          </cell>
        </row>
        <row r="12">
          <cell r="A12" t="str">
            <v>(1999년도 고실행 현장분 포함 산정)</v>
          </cell>
        </row>
        <row r="15">
          <cell r="A15" t="str">
            <v>(1999년도 고실행 현장분 포함 산정)</v>
          </cell>
        </row>
        <row r="16">
          <cell r="G16" t="str">
            <v>참고 자료: 1998년 ~ 2000년 1/4분기 대비자료</v>
          </cell>
        </row>
        <row r="17">
          <cell r="G17" t="str">
            <v>1. 월별 이윤율</v>
          </cell>
        </row>
        <row r="18">
          <cell r="G18" t="str">
            <v>2. 공종별 이윤율</v>
          </cell>
        </row>
        <row r="19">
          <cell r="G19" t="str">
            <v>3. 현장 건수별/ 본부별 이윤율</v>
          </cell>
        </row>
        <row r="20">
          <cell r="G20" t="str">
            <v>4. 계약금액별 이윤율</v>
          </cell>
        </row>
        <row r="21">
          <cell r="G21" t="str">
            <v>5. 공종별 이윤율</v>
          </cell>
        </row>
        <row r="22">
          <cell r="G22" t="str">
            <v>6. 1998년 ~ 2000년 출력인원/ 현장수/ 공사계약금액 대비</v>
          </cell>
        </row>
        <row r="23">
          <cell r="G23" t="str">
            <v>7. 1/4분기 입찰수행공사 이윤율 비교</v>
          </cell>
        </row>
        <row r="24">
          <cell r="G24" t="str">
            <v>8. 계약 확정 매출자료(1999/ 2000년)</v>
          </cell>
        </row>
        <row r="25">
          <cell r="G25" t="str">
            <v>9. 1/4분기 원가 집계자료(본부별, 공종별, 계약금액 순서별)</v>
          </cell>
        </row>
        <row r="29">
          <cell r="G29" t="str">
            <v>9. 1/4분기 원가 집계자료(본부별, 공종별, 계약금액 순서별)</v>
          </cell>
        </row>
        <row r="30">
          <cell r="A30" t="str">
            <v>2000.  04. 17</v>
          </cell>
        </row>
        <row r="36">
          <cell r="A36" t="str">
            <v>2000.  04. 17</v>
          </cell>
        </row>
        <row r="37">
          <cell r="A37" t="str">
            <v>공무팀</v>
          </cell>
        </row>
        <row r="46">
          <cell r="A46" t="str">
            <v>공무팀</v>
          </cell>
        </row>
        <row r="47">
          <cell r="A47" t="str">
            <v xml:space="preserve">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자율"/>
      <sheetName val="소트"/>
      <sheetName val="쏘트자료"/>
      <sheetName val="환율이자율"/>
      <sheetName val="44소트"/>
      <sheetName val="34쏘트"/>
      <sheetName val="24쏘트"/>
      <sheetName val="44이자율"/>
      <sheetName val="34이자율"/>
      <sheetName val="44쏘트자료"/>
      <sheetName val="34쏘트자료"/>
      <sheetName val="24쏘트자료"/>
      <sheetName val="24이자율"/>
      <sheetName val="인건비(010330)"/>
      <sheetName val="월간"/>
      <sheetName val="판매량"/>
      <sheetName val="업종코드"/>
      <sheetName val="Intro2"/>
      <sheetName val="Id"/>
      <sheetName val="수정시산표"/>
      <sheetName val="Project_CF"/>
      <sheetName val="공사개요"/>
      <sheetName val="1Month+Sheet2!"/>
      <sheetName val="회사정보"/>
      <sheetName val="매입현황"/>
      <sheetName val="수입"/>
      <sheetName val="98지급계획"/>
      <sheetName val="Initial Input Variable"/>
      <sheetName val="효용적수"/>
      <sheetName val="수지차(년)"/>
      <sheetName val="OPREV(대한)"/>
      <sheetName val="인원계획-미화"/>
      <sheetName val="노임단가"/>
      <sheetName val="1월"/>
      <sheetName val="본사감가상각대장(비품)"/>
      <sheetName val="관계주식"/>
      <sheetName val="세금계산서유"/>
      <sheetName val="Menu_Link"/>
      <sheetName val="퇴충98"/>
      <sheetName val="이름"/>
      <sheetName val="Convert"/>
      <sheetName val="1-7(재가공내역)"/>
      <sheetName val="99선급비용"/>
      <sheetName val="입찰안"/>
      <sheetName val="97년"/>
      <sheetName val="평가결과_사본"/>
      <sheetName val="98실적"/>
      <sheetName val="현장"/>
      <sheetName val="판매용03"/>
      <sheetName val="서식시트"/>
      <sheetName val="매출원가"/>
      <sheetName val="상정안건"/>
      <sheetName val="WorldQuest"/>
      <sheetName val="집계"/>
      <sheetName val="퇴직기초"/>
      <sheetName val="산출내역(1)"/>
      <sheetName val="견"/>
      <sheetName val="투자예산"/>
      <sheetName val="연구인원내역"/>
      <sheetName val="현장별미수"/>
      <sheetName val="외화계약"/>
      <sheetName val="AIR SHOWER(3인용)"/>
      <sheetName val="종합2"/>
      <sheetName val="118.세금과공과"/>
      <sheetName val="보험금"/>
      <sheetName val="상품입고집계"/>
      <sheetName val="1.취수장"/>
      <sheetName val="하조서"/>
      <sheetName val="15"/>
      <sheetName val="入力用(家賃)"/>
      <sheetName val="入力用(駐車)"/>
      <sheetName val="98년간분기"/>
      <sheetName val="건물대사"/>
      <sheetName val="손익분석"/>
      <sheetName val="임대손익"/>
      <sheetName val="XREF"/>
      <sheetName val="조정전"/>
      <sheetName val="평가금액"/>
      <sheetName val="집연95"/>
      <sheetName val="특수직호봉표"/>
      <sheetName val="admin"/>
      <sheetName val="자료"/>
      <sheetName val="코드"/>
      <sheetName val="매매손실준비금"/>
      <sheetName val="Asset98-CAK"/>
      <sheetName val="출자한도"/>
      <sheetName val="CODE"/>
      <sheetName val="PMP등급_9월"/>
      <sheetName val="지급이자"/>
      <sheetName val="산출근거"/>
      <sheetName val="비주거용"/>
      <sheetName val="집계표"/>
      <sheetName val="표지"/>
      <sheetName val="요약BS"/>
      <sheetName val="신구계정대사표"/>
      <sheetName val="경영비율 "/>
      <sheetName val="명세표"/>
      <sheetName val="표준지"/>
      <sheetName val="상여 (2)"/>
      <sheetName val="도급"/>
      <sheetName val="Initial_Input_Variable"/>
      <sheetName val="#REF"/>
      <sheetName val="機器明細(MC)"/>
      <sheetName val="시산표"/>
      <sheetName val="PHTC"/>
      <sheetName val="노무비"/>
      <sheetName val="설계내역서"/>
      <sheetName val="EJ"/>
      <sheetName val="S&amp;R"/>
      <sheetName val="품의서취합"/>
      <sheetName val="총원"/>
      <sheetName val="Control Sheet"/>
      <sheetName val="대리이하_상신양식"/>
      <sheetName val="견적대비"/>
      <sheetName val="Sheet1"/>
      <sheetName val="주요품목별판매실적"/>
      <sheetName val="보정사항"/>
      <sheetName val="합천내역"/>
      <sheetName val="2012년 하반기 승진안 및 상신양식_디자인 파트.xls"/>
      <sheetName val="등록자료"/>
      <sheetName val="인사자료총집계"/>
      <sheetName val="대리이하_승진"/>
      <sheetName val="이자수익보조부"/>
      <sheetName val="SIL98"/>
      <sheetName val="GRAPH"/>
      <sheetName val="현장기성(공사)"/>
      <sheetName val="하수급견적대비"/>
      <sheetName val="이코스"/>
      <sheetName val="부재예실1월"/>
      <sheetName val="04_도료_전체_하순"/>
      <sheetName val="실적"/>
      <sheetName val="단가"/>
      <sheetName val="울산자금"/>
      <sheetName val="자금청구"/>
      <sheetName val="당좌개설보증용"/>
      <sheetName val="금강투자2000"/>
      <sheetName val="당초"/>
      <sheetName val="신림자금"/>
      <sheetName val="GC산출"/>
      <sheetName val="Sheet4"/>
      <sheetName val="BASE"/>
      <sheetName val="조경내역"/>
      <sheetName val="건축비목군분류"/>
      <sheetName val="두께별"/>
      <sheetName val="승용"/>
      <sheetName val="상용"/>
      <sheetName val="준검 내역서"/>
      <sheetName val="실행내역"/>
      <sheetName val="총괄"/>
      <sheetName val="건재양식"/>
      <sheetName val="CAUDIT"/>
      <sheetName val="00실적"/>
      <sheetName val="배수통관(좌)"/>
      <sheetName val="판촉계획(고정)"/>
      <sheetName val="건설성적"/>
      <sheetName val="세부(종합)"/>
      <sheetName val="2. 2012년 실행계획 수립 및 대상선정용 SHEET."/>
      <sheetName val="FG"/>
      <sheetName val="부서"/>
      <sheetName val="보통예금"/>
      <sheetName val="당좌차월"/>
      <sheetName val="가격표"/>
      <sheetName val="산출근거1"/>
      <sheetName val="적격심사표"/>
      <sheetName val="이익잉여금처분계산서"/>
      <sheetName val="재무상태변동표"/>
      <sheetName val="제조원가명세서"/>
      <sheetName val="현금흐름표"/>
      <sheetName val="Macro1"/>
      <sheetName val="공정가치"/>
      <sheetName val="인원_20001101"/>
      <sheetName val="투자2"/>
      <sheetName val="단가비교"/>
      <sheetName val="입력_판매"/>
      <sheetName val="정산표"/>
      <sheetName val="종합표"/>
      <sheetName val="주소 작성"/>
      <sheetName val="타계정에서 명세서(PL상)"/>
      <sheetName val="상품수불"/>
      <sheetName val="5907"/>
      <sheetName val="편성절차"/>
      <sheetName val="지급어음(일별)"/>
      <sheetName val="생산직"/>
      <sheetName val="9-1차이내역"/>
      <sheetName val="KA011205"/>
      <sheetName val="5사남"/>
      <sheetName val="손익"/>
      <sheetName val="변동"/>
      <sheetName val="STROKE별 단가"/>
      <sheetName val="8월차잔"/>
      <sheetName val="FAB별"/>
      <sheetName val="Sheet3"/>
      <sheetName val="내역"/>
      <sheetName val="3월연장근무"/>
      <sheetName val="당기추가완료"/>
      <sheetName val="주요재무비율"/>
      <sheetName val="LIST"/>
      <sheetName val="AIR_SHOWER(3인용)"/>
      <sheetName val="경영비율_"/>
      <sheetName val="상여_(2)"/>
      <sheetName val="118_세금과공과"/>
      <sheetName val="1_취수장"/>
      <sheetName val="재료비집계표"/>
      <sheetName val="외화가수금"/>
      <sheetName val="2001Org"/>
      <sheetName val="소계정"/>
      <sheetName val="본부96(1차)"/>
      <sheetName val="월소계정(최종)"/>
      <sheetName val="본부증가(최종)"/>
      <sheetName val="배부기준별비용"/>
      <sheetName val="unit배부표"/>
      <sheetName val="비교표"/>
      <sheetName val="초고압제조원가계획"/>
      <sheetName val="고압제조원가계획"/>
      <sheetName val="Mark"/>
      <sheetName val="1. Svc_Sales"/>
      <sheetName val="2. Portfolio"/>
      <sheetName val="3. SVC_Price(Avg)"/>
      <sheetName val="4.  Net Gain"/>
      <sheetName val="5.1Q_SVC(callback)"/>
      <sheetName val="5.2 Q_SVC(Response)"/>
      <sheetName val="5.3 Q_SVC(all)"/>
      <sheetName val="SVC_Portfolio(1)"/>
      <sheetName val="2008년판매현황 (조정)"/>
      <sheetName val="참고_장르별매출"/>
      <sheetName val="무형자산명세서"/>
      <sheetName val="내외국인총괄"/>
      <sheetName val="3월"/>
      <sheetName val="그래프 (2)"/>
      <sheetName val="2.대상자"/>
      <sheetName val="정보"/>
      <sheetName val="데이터베이스"/>
      <sheetName val="9903말 현재"/>
      <sheetName val="당월금액"/>
      <sheetName val="ATM기초철가"/>
      <sheetName val="외화평가"/>
      <sheetName val="제품단가"/>
      <sheetName val="그래프_(2)"/>
      <sheetName val="2_대상자"/>
      <sheetName val="9903말_현재"/>
      <sheetName val="Control_Sheet"/>
      <sheetName val="AIR_SHOWER(3인용)1"/>
      <sheetName val="그래프_(2)1"/>
      <sheetName val="2_대상자1"/>
      <sheetName val="9903말_현재1"/>
      <sheetName val="Control_Sheet1"/>
      <sheetName val="MAIN"/>
      <sheetName val="지역개발"/>
      <sheetName val="재고자산명세"/>
      <sheetName val="96"/>
      <sheetName val="총무팀"/>
      <sheetName val="마포-임현"/>
      <sheetName val="ELECTRIC"/>
      <sheetName val="계산요약"/>
      <sheetName val="Ⅱ1-0타"/>
      <sheetName val="Cover"/>
      <sheetName val="#3_일위대가목록"/>
      <sheetName val="#2_일위대가목록"/>
      <sheetName val="지점_가격정보보고양식(면목지점)"/>
      <sheetName val="09년지점목표"/>
      <sheetName val="SQL Statement"/>
      <sheetName val="급여인상효과-연간부담분"/>
      <sheetName val="현장코드"/>
      <sheetName val="협조전"/>
      <sheetName val="대차대조표"/>
      <sheetName val="3-31"/>
      <sheetName val="금융"/>
      <sheetName val="은행"/>
      <sheetName val="리스"/>
      <sheetName val="보험"/>
      <sheetName val="24.보증금(전신전화가입권)"/>
      <sheetName val="일별자금"/>
      <sheetName val="증감내역서"/>
      <sheetName val="민감도"/>
      <sheetName val="내역서"/>
      <sheetName val="95TOTREV"/>
      <sheetName val="T6-6(2)"/>
      <sheetName val="인건비"/>
      <sheetName val="04년 투자전망"/>
      <sheetName val="2. Financial Performance"/>
      <sheetName val="DB"/>
      <sheetName val="견적서"/>
      <sheetName val="98수문일위"/>
      <sheetName val="진도말"/>
      <sheetName val="교통대책내역"/>
      <sheetName val="연부97-1"/>
      <sheetName val="주요기준"/>
      <sheetName val="T48a"/>
      <sheetName val="단말기누계"/>
      <sheetName val="A4공장"/>
      <sheetName val="sw1"/>
      <sheetName val="입찰보고"/>
      <sheetName val="총괄-1"/>
      <sheetName val="DATA"/>
      <sheetName val="콘센트신설"/>
      <sheetName val="FILE1"/>
      <sheetName val="유형분류"/>
      <sheetName val="예산실적전체당월"/>
      <sheetName val="배합비(2,3.4분기)"/>
      <sheetName val="부재예실"/>
      <sheetName val="BTS-시범물량"/>
      <sheetName val="제조원가"/>
      <sheetName val="tsuga"/>
      <sheetName val="진천"/>
      <sheetName val="가중평균 보통주식02"/>
      <sheetName val="가중평균 보통주식01"/>
      <sheetName val="완성차 미수금"/>
      <sheetName val="내역서변경성원"/>
      <sheetName val="별첨3.실패원팀"/>
      <sheetName val="매출액월별가중치"/>
      <sheetName val="외주정비"/>
      <sheetName val="매장판(BR)"/>
      <sheetName val="수익성분석2"/>
      <sheetName val="용소리교"/>
      <sheetName val="투자자산명세서"/>
      <sheetName val="외화금융(97-03)"/>
      <sheetName val="제조원가조정"/>
      <sheetName val="총괄표"/>
      <sheetName val="사원명부"/>
      <sheetName val="관급"/>
      <sheetName val="AC List"/>
      <sheetName val="상가매매0115"/>
      <sheetName val="상가임대0115"/>
      <sheetName val="본관내역서"/>
      <sheetName val="DATA_Garak"/>
      <sheetName val="DATA_Total"/>
      <sheetName val="DATA_Kwangju"/>
      <sheetName val="DATA_Daejeon"/>
      <sheetName val="DATA_Sadang"/>
      <sheetName val="DATA_Yangjae"/>
      <sheetName val="DATA_Yoido"/>
      <sheetName val="DATA_Ulsan"/>
      <sheetName val="DATA_Incheon"/>
      <sheetName val="DATA_Jeonju"/>
      <sheetName val="한일자야(감액손실) (2)"/>
      <sheetName val="Data Sheet"/>
      <sheetName val="설치공사비"/>
      <sheetName val="97년 추정"/>
      <sheetName val="매출및수주이익"/>
      <sheetName val="GRADE별 투입원단위"/>
      <sheetName val="경비세목"/>
      <sheetName val="SMXEXPS"/>
      <sheetName val="전환대상"/>
      <sheetName val="영외수지"/>
      <sheetName val="STROKE별_단가"/>
      <sheetName val="준검_내역서"/>
      <sheetName val="Executive Summary"/>
      <sheetName val="Labels"/>
      <sheetName val="Executive_Summary"/>
      <sheetName val="AIR_SHOWER(3인용)2"/>
      <sheetName val="그래프_(2)2"/>
      <sheetName val="2_대상자2"/>
      <sheetName val="9903말_현재2"/>
      <sheetName val="Control_Sheet2"/>
      <sheetName val="1__Svc_Sales"/>
      <sheetName val="2__Portfolio"/>
      <sheetName val="3__SVC_Price(Avg)"/>
      <sheetName val="4___Net_Gain"/>
      <sheetName val="5_1Q_SVC(callback)"/>
      <sheetName val="5_2_Q_SVC(Response)"/>
      <sheetName val="5_3_Q_SVC(all)"/>
      <sheetName val="2008년판매현황_(조정)"/>
      <sheetName val="SQL_Statement"/>
      <sheetName val="주소_작성"/>
      <sheetName val="BS Prior"/>
      <sheetName val="ls"/>
      <sheetName val="재공품(3)"/>
      <sheetName val="표준원가표(2)"/>
      <sheetName val="공통"/>
      <sheetName val="03中"/>
      <sheetName val="분개집계"/>
      <sheetName val="해외사업"/>
      <sheetName val="첨부1"/>
      <sheetName val="이자율별 차입금 적수"/>
      <sheetName val="TENSCH"/>
      <sheetName val="Sheet1 (2)"/>
      <sheetName val="0.0ControlSheet"/>
      <sheetName val="0.1keyAssumption"/>
      <sheetName val="선급비용"/>
      <sheetName val="익월작업계힉"/>
      <sheetName val="직노"/>
      <sheetName val="Data(인원)"/>
      <sheetName val="투찰(하수)"/>
      <sheetName val="재무제표"/>
      <sheetName val="자료입력"/>
      <sheetName val="남양내역"/>
      <sheetName val="12"/>
      <sheetName val="차량별점검"/>
      <sheetName val="区分一覧表"/>
      <sheetName val="송전기본"/>
      <sheetName val="9710"/>
      <sheetName val="평가예상(200308)"/>
      <sheetName val="96수출"/>
      <sheetName val="◀-▶"/>
      <sheetName val="버튼"/>
      <sheetName val="판매추이"/>
      <sheetName val="pt_기투자금액"/>
      <sheetName val="pt_출자_분배"/>
      <sheetName val="***********************00"/>
      <sheetName val="Q2 Actual"/>
      <sheetName val="Q3 actuals"/>
      <sheetName val="본사"/>
      <sheetName val="2__2012년_실행계획_수립_및_대상선정용_SHEET_"/>
      <sheetName val="배합비(2,3_4분기)"/>
      <sheetName val="완성차_미수금"/>
      <sheetName val="BS"/>
      <sheetName val="LOOKUP"/>
      <sheetName val="AIR_SHOWER(3인용)3"/>
      <sheetName val="그래프_(2)3"/>
      <sheetName val="2_대상자3"/>
      <sheetName val="9903말_현재3"/>
      <sheetName val="Control_Sheet3"/>
      <sheetName val="1_취수장1"/>
      <sheetName val="118_세금과공과1"/>
      <sheetName val="1__Svc_Sales1"/>
      <sheetName val="2__Portfolio1"/>
      <sheetName val="3__SVC_Price(Avg)1"/>
      <sheetName val="4___Net_Gain1"/>
      <sheetName val="5_1Q_SVC(callback)1"/>
      <sheetName val="5_2_Q_SVC(Response)1"/>
      <sheetName val="5_3_Q_SVC(all)1"/>
      <sheetName val="2008년판매현황_(조정)1"/>
      <sheetName val="Initial_Input_Variable1"/>
      <sheetName val="경영비율_1"/>
      <sheetName val="상여_(2)1"/>
      <sheetName val="준검_내역서1"/>
      <sheetName val="SQL_Statement1"/>
      <sheetName val="주소_작성1"/>
      <sheetName val="2012년_하반기_승진안_및_상신양식_디자인_파트_xls"/>
      <sheetName val="24_보증금(전신전화가입권)"/>
      <sheetName val="04년_투자전망"/>
      <sheetName val="가중평균_보통주식02"/>
      <sheetName val="가중평균_보통주식01"/>
      <sheetName val="타계정에서_명세서(PL상)"/>
      <sheetName val="BS_Prior"/>
      <sheetName val="별첨3_실패원팀"/>
      <sheetName val="직영2"/>
      <sheetName val="부동산현황표"/>
      <sheetName val="BS(5월-경리과)"/>
      <sheetName val="스평"/>
      <sheetName val="조건"/>
      <sheetName val="구동"/>
      <sheetName val="총수량집계표"/>
      <sheetName val="골조시행"/>
      <sheetName val="설비"/>
      <sheetName val="B&amp;F1"/>
      <sheetName val="생산량"/>
      <sheetName val="6.이토처리시간"/>
      <sheetName val="VXXXXXXX"/>
      <sheetName val="tggwan(mac)"/>
      <sheetName val="guard(mac)"/>
      <sheetName val="보차도경계석"/>
      <sheetName val="작업본"/>
      <sheetName val="정리"/>
      <sheetName val="담당자"/>
      <sheetName val="손익11"/>
      <sheetName val="총괄갑 "/>
      <sheetName val="1차 내역서"/>
      <sheetName val="도급FORM"/>
      <sheetName val="2공구산출내역"/>
      <sheetName val="을지"/>
      <sheetName val="백암비스타내역"/>
      <sheetName val="견적서-자동"/>
      <sheetName val="경비공통"/>
      <sheetName val="Config"/>
      <sheetName val="AC_List"/>
      <sheetName val="연결CF정산표"/>
      <sheetName val="손익계산서"/>
      <sheetName val="원가"/>
      <sheetName val="공사설계서"/>
      <sheetName val="퇴직급여충당금"/>
      <sheetName val="갑지"/>
      <sheetName val="제조부문배부"/>
      <sheetName val="Sheet2"/>
      <sheetName val="퇴직영수증"/>
      <sheetName val="FAB4생산"/>
      <sheetName val="土地ﾃﾞｰﾀ"/>
      <sheetName val="산업은행 경영지표"/>
      <sheetName val="보험료"/>
      <sheetName val="연간상여집계"/>
      <sheetName val="인건비 내역서"/>
      <sheetName val="종바2차"/>
      <sheetName val="평균급여(구미)"/>
      <sheetName val="평균급여(부산)"/>
      <sheetName val="1-1-1-1"/>
      <sheetName val="입출고9807"/>
      <sheetName val="4.2.1 마루높이 검토"/>
      <sheetName val="고시단가"/>
      <sheetName val="Data&amp;Result"/>
      <sheetName val="당월영향8월"/>
      <sheetName val="95년12월말"/>
      <sheetName val="제경비율"/>
      <sheetName val="복갑"/>
      <sheetName val="음료실행"/>
      <sheetName val="토목주소"/>
      <sheetName val="기본정보"/>
      <sheetName val="양식3"/>
      <sheetName val="최종보고1"/>
      <sheetName val="Assumption"/>
      <sheetName val="범용개발순소요비용"/>
      <sheetName val="준공내역(을)"/>
      <sheetName val="1__Svc_Sales2"/>
      <sheetName val="2__Portfolio2"/>
      <sheetName val="3__SVC_Price(Avg)2"/>
      <sheetName val="4___Net_Gain2"/>
      <sheetName val="5_1Q_SVC(callback)2"/>
      <sheetName val="5_2_Q_SVC(Response)2"/>
      <sheetName val="5_3_Q_SVC(all)2"/>
      <sheetName val="주소_작성2"/>
      <sheetName val="1_취수장2"/>
      <sheetName val="118_세금과공과2"/>
      <sheetName val="STROKE별_단가1"/>
      <sheetName val="AIR_SHOWER(3인용)4"/>
      <sheetName val="상여_(2)2"/>
      <sheetName val="준검_내역서2"/>
      <sheetName val="2008년판매현황_(조정)2"/>
      <sheetName val="그래프_(2)4"/>
      <sheetName val="2_대상자4"/>
      <sheetName val="9903말_현재4"/>
      <sheetName val="Control_Sheet4"/>
      <sheetName val="Initial_Input_Variable2"/>
      <sheetName val="경영비율_2"/>
      <sheetName val="SQL_Statement2"/>
      <sheetName val="24_보증금(전신전화가입권)1"/>
      <sheetName val="2__2012년_실행계획_수립_및_대상선정용_SHEET1"/>
      <sheetName val="타계정에서_명세서(PL상)1"/>
      <sheetName val="04년_투자전망1"/>
      <sheetName val="배합비(2,3_4분기)1"/>
      <sheetName val="완성차_미수금1"/>
      <sheetName val="2012년_하반기_승진안_및_상신양식_디자인_파트_xl1"/>
      <sheetName val="별첨3_실패원팀1"/>
      <sheetName val="Executive_Summary1"/>
      <sheetName val="가중평균_보통주식021"/>
      <sheetName val="가중평균_보통주식011"/>
      <sheetName val="97년_추정"/>
      <sheetName val="BS_Prior1"/>
      <sheetName val="이자율별_차입금_적수"/>
      <sheetName val="Sheet1_(2)"/>
      <sheetName val="0_0ControlSheet"/>
      <sheetName val="0_1keyAssumption"/>
      <sheetName val="2__Financial_Performance"/>
      <sheetName val="Q2_Actual"/>
      <sheetName val="Q3_actuals"/>
      <sheetName val="스포회원매출"/>
      <sheetName val="GRADE별_투입원단위"/>
      <sheetName val="Executive_Summary2"/>
      <sheetName val="Executive_Summary3"/>
      <sheetName val="Initial_Input_Variable3"/>
      <sheetName val="118_세금과공과3"/>
      <sheetName val="1_취수장3"/>
      <sheetName val="상여_(2)3"/>
      <sheetName val="경영비율_3"/>
      <sheetName val="STROKE별_단가2"/>
      <sheetName val="2012년_하반기_승진안_및_상신양식_디자인_파트_xl2"/>
      <sheetName val="24_보증금(전신전화가입권)2"/>
      <sheetName val="04년_투자전망2"/>
      <sheetName val="별첨3_실패원팀2"/>
      <sheetName val="2__2012년_실행계획_수립_및_대상선정용_SHEET2"/>
      <sheetName val="가중평균_보통주식022"/>
      <sheetName val="가중평균_보통주식012"/>
      <sheetName val="타계정에서_명세서(PL상)2"/>
      <sheetName val="배합비(2,3_4분기)2"/>
      <sheetName val="Controls"/>
      <sheetName val="감가상각비 배부검토"/>
      <sheetName val="00.09"/>
      <sheetName val="SAP_Role"/>
      <sheetName val="cctr"/>
      <sheetName val="계정_H100"/>
      <sheetName val="계정_1000"/>
      <sheetName val="계정_7000"/>
      <sheetName val="계정_8000"/>
      <sheetName val="AP_H100"/>
      <sheetName val="AP_1000"/>
      <sheetName val="AP_7000"/>
      <sheetName val="AP_8000"/>
      <sheetName val="수불상"/>
      <sheetName val="Index"/>
      <sheetName val="건축내역"/>
      <sheetName val="품셈TABLE"/>
      <sheetName val="主要规划指标"/>
      <sheetName val="测算明细表(0+1+1)"/>
      <sheetName val="评估结论"/>
      <sheetName val="Collateral"/>
      <sheetName val="信息"/>
      <sheetName val="B"/>
      <sheetName val="영업외손익등"/>
      <sheetName val="108.수선비"/>
      <sheetName val="Sales"/>
      <sheetName val="사회보험료세액공제"/>
      <sheetName val="고용증대세액공제"/>
      <sheetName val="2019년_세부자료_(입력할 시트)"/>
      <sheetName val="2019년보험요율_(입력할 시트)"/>
      <sheetName val="조명시설"/>
      <sheetName val="공사착공계"/>
      <sheetName val="직재"/>
      <sheetName val="방수공사 집계표"/>
      <sheetName val="평3"/>
      <sheetName val="토공산근"/>
      <sheetName val="2B1U-F-4"/>
      <sheetName val="Variables"/>
      <sheetName val="유가증권미수"/>
      <sheetName val="Finmod"/>
      <sheetName val="01반기조정감"/>
      <sheetName val="01반기조정증"/>
      <sheetName val="FOB발"/>
      <sheetName val="업무분장 "/>
      <sheetName val="source"/>
      <sheetName val="3본사"/>
      <sheetName val="월급제"/>
      <sheetName val="갑지(추정)"/>
      <sheetName val="MatchCode"/>
      <sheetName val="MARCH 25"/>
      <sheetName val="値付くん"/>
      <sheetName val="0217상가미분양자산"/>
      <sheetName val="GRACE"/>
      <sheetName val="2__2012__________________SHEE_2"/>
      <sheetName val="토공사"/>
      <sheetName val="평균터파기고(1-2,ASP)"/>
      <sheetName val="목록"/>
      <sheetName val="중기"/>
      <sheetName val="예산(한화)"/>
      <sheetName val="Executive_Summary4"/>
      <sheetName val="AIR_SHOWER(3인용)5"/>
      <sheetName val="Initial_Input_Variable4"/>
      <sheetName val="118_세금과공과4"/>
      <sheetName val="1_취수장4"/>
      <sheetName val="상여_(2)4"/>
      <sheetName val="경영비율_4"/>
      <sheetName val="준검_내역서3"/>
      <sheetName val="1__Svc_Sales3"/>
      <sheetName val="2__Portfolio3"/>
      <sheetName val="3__SVC_Price(Avg)3"/>
      <sheetName val="4___Net_Gain3"/>
      <sheetName val="5_1Q_SVC(callback)3"/>
      <sheetName val="5_2_Q_SVC(Response)3"/>
      <sheetName val="5_3_Q_SVC(all)3"/>
      <sheetName val="2008년판매현황_(조정)3"/>
      <sheetName val="그래프_(2)5"/>
      <sheetName val="2_대상자5"/>
      <sheetName val="9903말_현재5"/>
      <sheetName val="Control_Sheet5"/>
      <sheetName val="SQL_Statement3"/>
      <sheetName val="STROKE별_단가3"/>
      <sheetName val="주소_작성3"/>
      <sheetName val="2012년_하반기_승진안_및_상신양식_디자인_파트_xl3"/>
      <sheetName val="24_보증금(전신전화가입권)3"/>
      <sheetName val="04년_투자전망3"/>
      <sheetName val="별첨3_실패원팀3"/>
      <sheetName val="2__2012년_실행계획_수립_및_대상선정용_SHEET3"/>
      <sheetName val="가중평균_보통주식023"/>
      <sheetName val="가중평균_보통주식013"/>
      <sheetName val="타계정에서_명세서(PL상)3"/>
      <sheetName val="배합비(2,3_4분기)3"/>
      <sheetName val="97년_추정1"/>
      <sheetName val="AC_List1"/>
      <sheetName val="이자율별_차입금_적수1"/>
      <sheetName val="2__Financial_Performance1"/>
      <sheetName val="Sheet1_(2)1"/>
      <sheetName val="0_0ControlSheet1"/>
      <sheetName val="0_1keyAssumption1"/>
      <sheetName val="분양선수금"/>
      <sheetName val="2012________________________x_2"/>
      <sheetName val="완성차_미수금2"/>
      <sheetName val="BS_Prior2"/>
      <sheetName val="Q2_Actual1"/>
      <sheetName val="Q3_actuals1"/>
      <sheetName val="Data_Sheet"/>
      <sheetName val="한일자야(감액손실)_(2)"/>
      <sheetName val="6_이토처리시간"/>
      <sheetName val="GRADE별_투입원단위1"/>
      <sheetName val="산업은행_경영지표"/>
      <sheetName val="4_2_1_마루높이_검토"/>
      <sheetName val="인건비_내역서"/>
      <sheetName val="감가상각비_배부검토"/>
      <sheetName val="108_수선비"/>
      <sheetName val="2019년_세부자료_(입력할_시트)"/>
      <sheetName val="2019년보험요율_(입력할_시트)"/>
      <sheetName val="00_09"/>
      <sheetName val="시중노임단가"/>
      <sheetName val="전기"/>
      <sheetName val="영업점별목표산출"/>
      <sheetName val="부서코드표"/>
      <sheetName val="재무가정"/>
      <sheetName val="短期借款余额表"/>
      <sheetName val="现金和银行"/>
      <sheetName val="P9"/>
      <sheetName val="总分类账"/>
      <sheetName val="CQFMA"/>
      <sheetName val="SHFMA"/>
      <sheetName val="BPCARD"/>
      <sheetName val="Phone"/>
      <sheetName val="토목"/>
      <sheetName val="controll"/>
      <sheetName val="현금"/>
      <sheetName val="ESH 평가 Sheet"/>
      <sheetName val="추가예산"/>
      <sheetName val="참조자료"/>
      <sheetName val="계획VS실적"/>
      <sheetName val="재공품"/>
      <sheetName val="축산기준"/>
      <sheetName val="2007"/>
      <sheetName val="资产负债表"/>
      <sheetName val="大连项目（大连置业）"/>
      <sheetName val="Parameters"/>
      <sheetName val="银行借款询证"/>
      <sheetName val="科目余额表正式"/>
      <sheetName val="temp"/>
      <sheetName val="Disposition"/>
      <sheetName val="상여_(2)5"/>
      <sheetName val="118_세금과공과5"/>
      <sheetName val="1_취수장5"/>
      <sheetName val="AIR_SHOWER(3인용)6"/>
      <sheetName val="1__Svc_Sales4"/>
      <sheetName val="2__Portfolio4"/>
      <sheetName val="3__SVC_Price(Avg)4"/>
      <sheetName val="4___Net_Gain4"/>
      <sheetName val="5_1Q_SVC(callback)4"/>
      <sheetName val="5_2_Q_SVC(Response)4"/>
      <sheetName val="5_3_Q_SVC(all)4"/>
      <sheetName val="2008년판매현황_(조정)4"/>
      <sheetName val="그래프_(2)6"/>
      <sheetName val="2_대상자6"/>
      <sheetName val="9903말_현재6"/>
      <sheetName val="Control_Sheet6"/>
      <sheetName val="Initial_Input_Variable5"/>
      <sheetName val="경영비율_5"/>
      <sheetName val="준검_내역서4"/>
      <sheetName val="SQL_Statement4"/>
      <sheetName val="주소_작성4"/>
      <sheetName val="STROKE별_단가4"/>
      <sheetName val="2012년_하반기_승진안_및_상신양식_디자인_파트_xl4"/>
      <sheetName val="24_보증금(전신전화가입권)4"/>
      <sheetName val="04년_투자전망4"/>
      <sheetName val="가중평균_보통주식024"/>
      <sheetName val="가중평균_보통주식014"/>
      <sheetName val="2__2012년_실행계획_수립_및_대상선정용_SHEET4"/>
      <sheetName val="타계정에서_명세서(PL상)4"/>
      <sheetName val="별첨3_실패원팀4"/>
      <sheetName val="배합비(2,3_4분기)4"/>
      <sheetName val="완성차_미수금3"/>
      <sheetName val="BS_Prior3"/>
      <sheetName val="Executive_Summary5"/>
      <sheetName val="97년_추정2"/>
      <sheetName val="2__Financial_Performance2"/>
      <sheetName val="이자율별_차입금_적수2"/>
      <sheetName val="AC_List2"/>
      <sheetName val="Sheet1_(2)2"/>
      <sheetName val="0_0ControlSheet2"/>
      <sheetName val="0_1keyAssumption2"/>
      <sheetName val="Q2_Actual2"/>
      <sheetName val="Q3_actuals2"/>
      <sheetName val="Data_Sheet1"/>
      <sheetName val="한일자야(감액손실)_(2)1"/>
      <sheetName val="GRADE별_투입원단위2"/>
      <sheetName val="6_이토처리시간1"/>
      <sheetName val="산업은행_경영지표1"/>
      <sheetName val="인건비_내역서1"/>
      <sheetName val="감가상각비_배부검토1"/>
      <sheetName val="108_수선비1"/>
      <sheetName val="2019년_세부자료_(입력할_시트)1"/>
      <sheetName val="2019년보험요율_(입력할_시트)1"/>
      <sheetName val="4_2_1_마루높이_검토1"/>
      <sheetName val="00_091"/>
      <sheetName val="MARCH_251"/>
      <sheetName val="총괄갑_1"/>
      <sheetName val="1차_내역서1"/>
      <sheetName val="업무분장_1"/>
      <sheetName val="MARCH_25"/>
      <sheetName val="총괄갑_"/>
      <sheetName val="1차_내역서"/>
      <sheetName val="업무분장_"/>
      <sheetName val="참고(3)고정비"/>
      <sheetName val="03년"/>
      <sheetName val="시멘트"/>
      <sheetName val="h-013211-2"/>
      <sheetName val="초과사유"/>
      <sheetName val="마감사양"/>
      <sheetName val="공사비"/>
      <sheetName val="임대료산정(자동계산)"/>
      <sheetName val="안산기계장치"/>
      <sheetName val="부문99-2"/>
      <sheetName val="RECORD"/>
      <sheetName val="LD TX"/>
      <sheetName val="전전"/>
      <sheetName val="(Hidden)세부계정"/>
      <sheetName val="ESH_평가_Sheet"/>
      <sheetName val="환경설정"/>
      <sheetName val="정비활동_수선비 절감"/>
      <sheetName val="지질조사"/>
      <sheetName val="10매출"/>
      <sheetName val="배수공 시멘트 및 골재량 산출"/>
      <sheetName val="전선 및 전선관"/>
      <sheetName val="일위대가"/>
      <sheetName val="차입종류별"/>
      <sheetName val="총수신_속보"/>
      <sheetName val="00건설추정대차대조표"/>
      <sheetName val="Condition"/>
      <sheetName val="Input"/>
      <sheetName val="부서별"/>
      <sheetName val="접수"/>
      <sheetName val="ESH_평가_Sheet1"/>
      <sheetName val="All report 1"/>
      <sheetName val="ESH_평가_Sheet2"/>
      <sheetName val="정비활동_수선비_절감"/>
      <sheetName val="ESH_평가_Sheet3"/>
      <sheetName val="정비활동_수선비_절감1"/>
      <sheetName val="All_report_1"/>
      <sheetName val="ESH_평가_Sheet4"/>
      <sheetName val="정비활동_수선비_절감2"/>
      <sheetName val="All_report_11"/>
      <sheetName val="AIR_SHOWER(3인용)7"/>
      <sheetName val="ESH_평가_Sheet6"/>
      <sheetName val="정비활동_수선비_절감4"/>
      <sheetName val="All_report_13"/>
      <sheetName val="AC_List3"/>
      <sheetName val="Data_Sheet2"/>
      <sheetName val="6_이토처리시간2"/>
      <sheetName val="한일자야(감액손실)_(2)2"/>
      <sheetName val="산업은행_경영지표2"/>
      <sheetName val="인건비_내역서2"/>
      <sheetName val="ESH_평가_Sheet5"/>
      <sheetName val="정비활동_수선비_절감3"/>
      <sheetName val="All_report_12"/>
      <sheetName val="AIR_SHOWER(3인용)8"/>
      <sheetName val="ESH_평가_Sheet7"/>
      <sheetName val="정비활동_수선비_절감5"/>
      <sheetName val="All_report_14"/>
      <sheetName val="준검_내역서5"/>
      <sheetName val="1__Svc_Sales5"/>
      <sheetName val="2__Portfolio5"/>
      <sheetName val="3__SVC_Price(Avg)5"/>
      <sheetName val="4___Net_Gain5"/>
      <sheetName val="5_1Q_SVC(callback)5"/>
      <sheetName val="5_2_Q_SVC(Response)5"/>
      <sheetName val="5_3_Q_SVC(all)5"/>
      <sheetName val="2008년판매현황_(조정)5"/>
      <sheetName val="그래프_(2)7"/>
      <sheetName val="2_대상자7"/>
      <sheetName val="9903말_현재7"/>
      <sheetName val="Control_Sheet7"/>
      <sheetName val="SQL_Statement5"/>
      <sheetName val="주소_작성5"/>
      <sheetName val="완성차_미수금4"/>
      <sheetName val="AC_List4"/>
      <sheetName val="2__Financial_Performance3"/>
      <sheetName val="BS_Prior4"/>
      <sheetName val="97년_추정3"/>
      <sheetName val="이자율별_차입금_적수3"/>
      <sheetName val="Sheet1_(2)3"/>
      <sheetName val="0_0ControlSheet3"/>
      <sheetName val="0_1keyAssumption3"/>
      <sheetName val="Data_Sheet3"/>
      <sheetName val="6_이토처리시간3"/>
      <sheetName val="GRADE별_투입원단위3"/>
      <sheetName val="한일자야(감액손실)_(2)3"/>
      <sheetName val="Q2_Actual3"/>
      <sheetName val="Q3_actuals3"/>
      <sheetName val="산업은행_경영지표3"/>
      <sheetName val="인건비_내역서3"/>
      <sheetName val="방수공사_집계표"/>
      <sheetName val="AIR_SHOWER(3인용)9"/>
      <sheetName val="ESH_평가_Sheet8"/>
      <sheetName val="정비활동_수선비_절감6"/>
      <sheetName val="All_report_15"/>
      <sheetName val="118_세금과공과6"/>
      <sheetName val="1_취수장6"/>
      <sheetName val="준검_내역서6"/>
      <sheetName val="상여_(2)6"/>
      <sheetName val="1__Svc_Sales6"/>
      <sheetName val="2__Portfolio6"/>
      <sheetName val="3__SVC_Price(Avg)6"/>
      <sheetName val="4___Net_Gain6"/>
      <sheetName val="5_1Q_SVC(callback)6"/>
      <sheetName val="5_2_Q_SVC(Response)6"/>
      <sheetName val="5_3_Q_SVC(all)6"/>
      <sheetName val="2008년판매현황_(조정)6"/>
      <sheetName val="STROKE별_단가5"/>
      <sheetName val="Initial_Input_Variable6"/>
      <sheetName val="경영비율_6"/>
      <sheetName val="그래프_(2)8"/>
      <sheetName val="2_대상자8"/>
      <sheetName val="9903말_현재8"/>
      <sheetName val="Control_Sheet8"/>
      <sheetName val="2012년_하반기_승진안_및_상신양식_디자인_파트_xl5"/>
      <sheetName val="SQL_Statement6"/>
      <sheetName val="주소_작성6"/>
      <sheetName val="2__2012년_실행계획_수립_및_대상선정용_SHEET5"/>
      <sheetName val="타계정에서_명세서(PL상)5"/>
      <sheetName val="별첨3_실패원팀5"/>
      <sheetName val="24_보증금(전신전화가입권)5"/>
      <sheetName val="04년_투자전망5"/>
      <sheetName val="배합비(2,3_4분기)5"/>
      <sheetName val="가중평균_보통주식025"/>
      <sheetName val="가중평균_보통주식015"/>
      <sheetName val="완성차_미수금5"/>
      <sheetName val="AC_List5"/>
      <sheetName val="2__Financial_Performance4"/>
      <sheetName val="BS_Prior5"/>
      <sheetName val="97년_추정4"/>
      <sheetName val="이자율별_차입금_적수4"/>
      <sheetName val="Sheet1_(2)4"/>
      <sheetName val="0_0ControlSheet4"/>
      <sheetName val="0_1keyAssumption4"/>
      <sheetName val="Data_Sheet4"/>
      <sheetName val="6_이토처리시간4"/>
      <sheetName val="GRADE별_투입원단위4"/>
      <sheetName val="한일자야(감액손실)_(2)4"/>
      <sheetName val="Q2_Actual4"/>
      <sheetName val="Q3_actuals4"/>
      <sheetName val="산업은행_경영지표4"/>
      <sheetName val="인건비_내역서4"/>
      <sheetName val="방수공사_집계표1"/>
      <sheetName val="AIR_SHOWER(3인용)10"/>
      <sheetName val="ESH_평가_Sheet9"/>
      <sheetName val="정비활동_수선비_절감7"/>
      <sheetName val="All_report_16"/>
      <sheetName val="118_세금과공과7"/>
      <sheetName val="1_취수장7"/>
      <sheetName val="준검_내역서7"/>
      <sheetName val="상여_(2)7"/>
      <sheetName val="1__Svc_Sales7"/>
      <sheetName val="2__Portfolio7"/>
      <sheetName val="3__SVC_Price(Avg)7"/>
      <sheetName val="4___Net_Gain7"/>
      <sheetName val="5_1Q_SVC(callback)7"/>
      <sheetName val="5_2_Q_SVC(Response)7"/>
      <sheetName val="5_3_Q_SVC(all)7"/>
      <sheetName val="2008년판매현황_(조정)7"/>
      <sheetName val="Executive_Summary6"/>
      <sheetName val="STROKE별_단가6"/>
      <sheetName val="Initial_Input_Variable7"/>
      <sheetName val="경영비율_7"/>
      <sheetName val="그래프_(2)9"/>
      <sheetName val="2_대상자9"/>
      <sheetName val="9903말_현재9"/>
      <sheetName val="Control_Sheet9"/>
      <sheetName val="2012년_하반기_승진안_및_상신양식_디자인_파트_xl6"/>
      <sheetName val="SQL_Statement7"/>
      <sheetName val="주소_작성7"/>
      <sheetName val="2__2012년_실행계획_수립_및_대상선정용_SHEET6"/>
      <sheetName val="타계정에서_명세서(PL상)6"/>
      <sheetName val="별첨3_실패원팀6"/>
      <sheetName val="24_보증금(전신전화가입권)6"/>
      <sheetName val="04년_투자전망6"/>
      <sheetName val="배합비(2,3_4분기)6"/>
      <sheetName val="가중평균_보통주식026"/>
      <sheetName val="가중평균_보통주식016"/>
      <sheetName val="완성차_미수금6"/>
      <sheetName val="AC_List6"/>
      <sheetName val="2__Financial_Performance5"/>
      <sheetName val="BS_Prior6"/>
      <sheetName val="97년_추정5"/>
      <sheetName val="이자율별_차입금_적수5"/>
      <sheetName val="Sheet1_(2)5"/>
      <sheetName val="0_0ControlSheet5"/>
      <sheetName val="0_1keyAssumption5"/>
      <sheetName val="Data_Sheet5"/>
      <sheetName val="6_이토처리시간5"/>
      <sheetName val="GRADE별_투입원단위5"/>
      <sheetName val="한일자야(감액손실)_(2)5"/>
      <sheetName val="Q2_Actual5"/>
      <sheetName val="Q3_actuals5"/>
      <sheetName val="산업은행_경영지표5"/>
      <sheetName val="인건비_내역서5"/>
      <sheetName val="방수공사_집계표2"/>
      <sheetName val="AIR_SHOWER(3인용)11"/>
      <sheetName val="ESH_평가_Sheet10"/>
      <sheetName val="정비활동_수선비_절감8"/>
      <sheetName val="All_report_17"/>
      <sheetName val="118_세금과공과8"/>
      <sheetName val="1_취수장8"/>
      <sheetName val="준검_내역서8"/>
      <sheetName val="상여_(2)8"/>
      <sheetName val="1__Svc_Sales8"/>
      <sheetName val="2__Portfolio8"/>
      <sheetName val="3__SVC_Price(Avg)8"/>
      <sheetName val="4___Net_Gain8"/>
      <sheetName val="5_1Q_SVC(callback)8"/>
      <sheetName val="5_2_Q_SVC(Response)8"/>
      <sheetName val="5_3_Q_SVC(all)8"/>
      <sheetName val="2008년판매현황_(조정)8"/>
      <sheetName val="Executive_Summary7"/>
      <sheetName val="STROKE별_단가7"/>
      <sheetName val="Initial_Input_Variable8"/>
      <sheetName val="경영비율_8"/>
      <sheetName val="그래프_(2)10"/>
      <sheetName val="2_대상자10"/>
      <sheetName val="9903말_현재10"/>
      <sheetName val="Control_Sheet10"/>
      <sheetName val="2012년_하반기_승진안_및_상신양식_디자인_파트_xl7"/>
      <sheetName val="SQL_Statement8"/>
      <sheetName val="주소_작성8"/>
      <sheetName val="2__2012년_실행계획_수립_및_대상선정용_SHEET7"/>
      <sheetName val="타계정에서_명세서(PL상)7"/>
      <sheetName val="별첨3_실패원팀7"/>
      <sheetName val="24_보증금(전신전화가입권)7"/>
      <sheetName val="04년_투자전망7"/>
      <sheetName val="배합비(2,3_4분기)7"/>
      <sheetName val="가중평균_보통주식027"/>
      <sheetName val="가중평균_보통주식017"/>
      <sheetName val="완성차_미수금7"/>
      <sheetName val="AC_List7"/>
      <sheetName val="2__Financial_Performance6"/>
      <sheetName val="BS_Prior7"/>
      <sheetName val="97년_추정6"/>
      <sheetName val="이자율별_차입금_적수6"/>
      <sheetName val="Sheet1_(2)6"/>
      <sheetName val="0_0ControlSheet6"/>
      <sheetName val="0_1keyAssumption6"/>
      <sheetName val="Data_Sheet6"/>
      <sheetName val="6_이토처리시간6"/>
      <sheetName val="GRADE별_투입원단위6"/>
      <sheetName val="한일자야(감액손실)_(2)6"/>
      <sheetName val="Q2_Actual6"/>
      <sheetName val="Q3_actuals6"/>
      <sheetName val="산업은행_경영지표6"/>
      <sheetName val="인건비_내역서6"/>
      <sheetName val="방수공사_집계표3"/>
      <sheetName val="AIR_SHOWER(3인용)13"/>
      <sheetName val="ESH_평가_Sheet12"/>
      <sheetName val="정비활동_수선비_절감10"/>
      <sheetName val="All_report_19"/>
      <sheetName val="118_세금과공과10"/>
      <sheetName val="1_취수장10"/>
      <sheetName val="준검_내역서10"/>
      <sheetName val="상여_(2)10"/>
      <sheetName val="1__Svc_Sales10"/>
      <sheetName val="2__Portfolio10"/>
      <sheetName val="3__SVC_Price(Avg)10"/>
      <sheetName val="4___Net_Gain10"/>
      <sheetName val="5_1Q_SVC(callback)10"/>
      <sheetName val="5_2_Q_SVC(Response)10"/>
      <sheetName val="5_3_Q_SVC(all)10"/>
      <sheetName val="2008년판매현황_(조정)10"/>
      <sheetName val="Executive_Summary9"/>
      <sheetName val="STROKE별_단가9"/>
      <sheetName val="Initial_Input_Variable10"/>
      <sheetName val="경영비율_10"/>
      <sheetName val="그래프_(2)12"/>
      <sheetName val="2_대상자12"/>
      <sheetName val="9903말_현재12"/>
      <sheetName val="Control_Sheet12"/>
      <sheetName val="2012년_하반기_승진안_및_상신양식_디자인_파트_xl9"/>
      <sheetName val="SQL_Statement10"/>
      <sheetName val="주소_작성10"/>
      <sheetName val="2__2012년_실행계획_수립_및_대상선정용_SHEET9"/>
      <sheetName val="타계정에서_명세서(PL상)9"/>
      <sheetName val="별첨3_실패원팀9"/>
      <sheetName val="24_보증금(전신전화가입권)9"/>
      <sheetName val="04년_투자전망9"/>
      <sheetName val="배합비(2,3_4분기)9"/>
      <sheetName val="가중평균_보통주식029"/>
      <sheetName val="가중평균_보통주식019"/>
      <sheetName val="완성차_미수금9"/>
      <sheetName val="AC_List9"/>
      <sheetName val="2__Financial_Performance8"/>
      <sheetName val="BS_Prior9"/>
      <sheetName val="97년_추정8"/>
      <sheetName val="이자율별_차입금_적수8"/>
      <sheetName val="Sheet1_(2)8"/>
      <sheetName val="0_0ControlSheet8"/>
      <sheetName val="0_1keyAssumption8"/>
      <sheetName val="Data_Sheet8"/>
      <sheetName val="6_이토처리시간8"/>
      <sheetName val="GRADE별_투입원단위8"/>
      <sheetName val="한일자야(감액손실)_(2)8"/>
      <sheetName val="Q2_Actual8"/>
      <sheetName val="Q3_actuals8"/>
      <sheetName val="산업은행_경영지표8"/>
      <sheetName val="인건비_내역서8"/>
      <sheetName val="방수공사_집계표5"/>
      <sheetName val="AIR_SHOWER(3인용)12"/>
      <sheetName val="ESH_평가_Sheet11"/>
      <sheetName val="정비활동_수선비_절감9"/>
      <sheetName val="All_report_18"/>
      <sheetName val="118_세금과공과9"/>
      <sheetName val="1_취수장9"/>
      <sheetName val="준검_내역서9"/>
      <sheetName val="상여_(2)9"/>
      <sheetName val="1__Svc_Sales9"/>
      <sheetName val="2__Portfolio9"/>
      <sheetName val="3__SVC_Price(Avg)9"/>
      <sheetName val="4___Net_Gain9"/>
      <sheetName val="5_1Q_SVC(callback)9"/>
      <sheetName val="5_2_Q_SVC(Response)9"/>
      <sheetName val="5_3_Q_SVC(all)9"/>
      <sheetName val="2008년판매현황_(조정)9"/>
      <sheetName val="Executive_Summary8"/>
      <sheetName val="STROKE별_단가8"/>
      <sheetName val="Initial_Input_Variable9"/>
      <sheetName val="경영비율_9"/>
      <sheetName val="그래프_(2)11"/>
      <sheetName val="2_대상자11"/>
      <sheetName val="9903말_현재11"/>
      <sheetName val="Control_Sheet11"/>
      <sheetName val="2012년_하반기_승진안_및_상신양식_디자인_파트_xl8"/>
      <sheetName val="SQL_Statement9"/>
      <sheetName val="주소_작성9"/>
      <sheetName val="2__2012년_실행계획_수립_및_대상선정용_SHEET8"/>
      <sheetName val="타계정에서_명세서(PL상)8"/>
      <sheetName val="별첨3_실패원팀8"/>
      <sheetName val="24_보증금(전신전화가입권)8"/>
      <sheetName val="04년_투자전망8"/>
      <sheetName val="배합비(2,3_4분기)8"/>
      <sheetName val="가중평균_보통주식028"/>
      <sheetName val="가중평균_보통주식018"/>
      <sheetName val="완성차_미수금8"/>
      <sheetName val="AC_List8"/>
      <sheetName val="2__Financial_Performance7"/>
      <sheetName val="BS_Prior8"/>
      <sheetName val="97년_추정7"/>
      <sheetName val="이자율별_차입금_적수7"/>
      <sheetName val="Sheet1_(2)7"/>
      <sheetName val="0_0ControlSheet7"/>
      <sheetName val="0_1keyAssumption7"/>
      <sheetName val="Data_Sheet7"/>
      <sheetName val="6_이토처리시간7"/>
      <sheetName val="GRADE별_투입원단위7"/>
      <sheetName val="한일자야(감액손실)_(2)7"/>
      <sheetName val="Q2_Actual7"/>
      <sheetName val="Q3_actuals7"/>
      <sheetName val="산업은행_경영지표7"/>
      <sheetName val="인건비_내역서7"/>
      <sheetName val="방수공사_집계표4"/>
      <sheetName val="AIR_SHOWER(3인용)14"/>
      <sheetName val="ESH_평가_Sheet13"/>
      <sheetName val="정비활동_수선비_절감11"/>
      <sheetName val="All_report_110"/>
      <sheetName val="118_세금과공과11"/>
      <sheetName val="1_취수장11"/>
      <sheetName val="준검_내역서11"/>
      <sheetName val="상여_(2)11"/>
      <sheetName val="1__Svc_Sales11"/>
      <sheetName val="2__Portfolio11"/>
      <sheetName val="3__SVC_Price(Avg)11"/>
      <sheetName val="4___Net_Gain11"/>
      <sheetName val="5_1Q_SVC(callback)11"/>
      <sheetName val="5_2_Q_SVC(Response)11"/>
      <sheetName val="5_3_Q_SVC(all)11"/>
      <sheetName val="2008년판매현황_(조정)11"/>
      <sheetName val="Executive_Summary10"/>
      <sheetName val="STROKE별_단가10"/>
      <sheetName val="Initial_Input_Variable11"/>
      <sheetName val="경영비율_11"/>
      <sheetName val="그래프_(2)13"/>
      <sheetName val="2_대상자13"/>
      <sheetName val="9903말_현재13"/>
      <sheetName val="Control_Sheet13"/>
      <sheetName val="2012년_하반기_승진안_및_상신양식_디자인_파트_x10"/>
      <sheetName val="SQL_Statement11"/>
      <sheetName val="주소_작성11"/>
      <sheetName val="2__2012년_실행계획_수립_및_대상선정용_SHEE10"/>
      <sheetName val="타계정에서_명세서(PL상)10"/>
      <sheetName val="별첨3_실패원팀10"/>
      <sheetName val="24_보증금(전신전화가입권)10"/>
      <sheetName val="04년_투자전망10"/>
      <sheetName val="배합비(2,3_4분기)10"/>
      <sheetName val="가중평균_보통주식0210"/>
      <sheetName val="가중평균_보통주식0110"/>
      <sheetName val="완성차_미수금10"/>
      <sheetName val="AC_List10"/>
      <sheetName val="2__Financial_Performance9"/>
      <sheetName val="BS_Prior10"/>
      <sheetName val="97년_추정9"/>
      <sheetName val="이자율별_차입금_적수9"/>
      <sheetName val="Sheet1_(2)9"/>
      <sheetName val="0_0ControlSheet9"/>
      <sheetName val="0_1keyAssumption9"/>
      <sheetName val="Data_Sheet9"/>
      <sheetName val="6_이토처리시간9"/>
      <sheetName val="GRADE별_투입원단위9"/>
      <sheetName val="한일자야(감액손실)_(2)9"/>
      <sheetName val="Q2_Actual9"/>
      <sheetName val="Q3_actuals9"/>
      <sheetName val="산업은행_경영지표9"/>
      <sheetName val="인건비_내역서9"/>
      <sheetName val="방수공사_집계표6"/>
      <sheetName val="AIR_SHOWER(3인용)15"/>
      <sheetName val="ESH_평가_Sheet14"/>
      <sheetName val="정비활동_수선비_절감12"/>
      <sheetName val="All_report_111"/>
      <sheetName val="118_세금과공과12"/>
      <sheetName val="1_취수장12"/>
      <sheetName val="준검_내역서12"/>
      <sheetName val="상여_(2)12"/>
      <sheetName val="1__Svc_Sales12"/>
      <sheetName val="2__Portfolio12"/>
      <sheetName val="3__SVC_Price(Avg)12"/>
      <sheetName val="4___Net_Gain12"/>
      <sheetName val="5_1Q_SVC(callback)12"/>
      <sheetName val="5_2_Q_SVC(Response)12"/>
      <sheetName val="5_3_Q_SVC(all)12"/>
      <sheetName val="2008년판매현황_(조정)12"/>
      <sheetName val="Executive_Summary11"/>
      <sheetName val="STROKE별_단가11"/>
      <sheetName val="Initial_Input_Variable12"/>
      <sheetName val="경영비율_12"/>
      <sheetName val="그래프_(2)14"/>
      <sheetName val="2_대상자14"/>
      <sheetName val="9903말_현재14"/>
      <sheetName val="Control_Sheet14"/>
      <sheetName val="2012년_하반기_승진안_및_상신양식_디자인_파트_x11"/>
      <sheetName val="SQL_Statement12"/>
      <sheetName val="주소_작성12"/>
      <sheetName val="2__2012년_실행계획_수립_및_대상선정용_SHEE11"/>
      <sheetName val="타계정에서_명세서(PL상)11"/>
      <sheetName val="별첨3_실패원팀11"/>
      <sheetName val="24_보증금(전신전화가입권)11"/>
      <sheetName val="04년_투자전망11"/>
      <sheetName val="배합비(2,3_4분기)11"/>
      <sheetName val="가중평균_보통주식0211"/>
      <sheetName val="가중평균_보통주식0111"/>
      <sheetName val="완성차_미수금11"/>
      <sheetName val="AC_List11"/>
      <sheetName val="2__Financial_Performance10"/>
      <sheetName val="BS_Prior11"/>
      <sheetName val="97년_추정10"/>
      <sheetName val="이자율별_차입금_적수10"/>
      <sheetName val="Sheet1_(2)10"/>
      <sheetName val="0_0ControlSheet10"/>
      <sheetName val="0_1keyAssumption10"/>
      <sheetName val="Data_Sheet10"/>
      <sheetName val="6_이토처리시간10"/>
      <sheetName val="GRADE별_투입원단위10"/>
      <sheetName val="한일자야(감액손실)_(2)10"/>
      <sheetName val="Q2_Actual10"/>
      <sheetName val="Q3_actuals10"/>
      <sheetName val="산업은행_경영지표10"/>
      <sheetName val="인건비_내역서10"/>
      <sheetName val="방수공사_집계표7"/>
      <sheetName val="AIR_SHOWER(3인용)16"/>
      <sheetName val="ESH_평가_Sheet15"/>
      <sheetName val="정비활동_수선비_절감13"/>
      <sheetName val="All_report_112"/>
      <sheetName val="118_세금과공과13"/>
      <sheetName val="1_취수장13"/>
      <sheetName val="준검_내역서13"/>
      <sheetName val="상여_(2)13"/>
      <sheetName val="1__Svc_Sales13"/>
      <sheetName val="2__Portfolio13"/>
      <sheetName val="3__SVC_Price(Avg)13"/>
      <sheetName val="4___Net_Gain13"/>
      <sheetName val="5_1Q_SVC(callback)13"/>
      <sheetName val="5_2_Q_SVC(Response)13"/>
      <sheetName val="5_3_Q_SVC(all)13"/>
      <sheetName val="2008년판매현황_(조정)13"/>
      <sheetName val="Executive_Summary12"/>
      <sheetName val="STROKE별_단가12"/>
      <sheetName val="Initial_Input_Variable13"/>
      <sheetName val="경영비율_13"/>
      <sheetName val="그래프_(2)15"/>
      <sheetName val="2_대상자15"/>
      <sheetName val="9903말_현재15"/>
      <sheetName val="Control_Sheet15"/>
      <sheetName val="2012년_하반기_승진안_및_상신양식_디자인_파트_x12"/>
      <sheetName val="SQL_Statement13"/>
      <sheetName val="주소_작성13"/>
      <sheetName val="2__2012년_실행계획_수립_및_대상선정용_SHEE12"/>
      <sheetName val="타계정에서_명세서(PL상)12"/>
      <sheetName val="별첨3_실패원팀12"/>
      <sheetName val="24_보증금(전신전화가입권)12"/>
      <sheetName val="04년_투자전망12"/>
      <sheetName val="배합비(2,3_4분기)12"/>
      <sheetName val="가중평균_보통주식0212"/>
      <sheetName val="가중평균_보통주식0112"/>
      <sheetName val="완성차_미수금12"/>
      <sheetName val="AC_List12"/>
      <sheetName val="2__Financial_Performance11"/>
      <sheetName val="BS_Prior12"/>
      <sheetName val="97년_추정11"/>
      <sheetName val="이자율별_차입금_적수11"/>
      <sheetName val="Sheet1_(2)11"/>
      <sheetName val="0_0ControlSheet11"/>
      <sheetName val="0_1keyAssumption11"/>
      <sheetName val="Data_Sheet11"/>
      <sheetName val="6_이토처리시간11"/>
      <sheetName val="GRADE별_투입원단위11"/>
      <sheetName val="한일자야(감액손실)_(2)11"/>
      <sheetName val="Q2_Actual11"/>
      <sheetName val="Q3_actuals11"/>
      <sheetName val="산업은행_경영지표11"/>
      <sheetName val="인건비_내역서11"/>
      <sheetName val="방수공사_집계표8"/>
      <sheetName val="AIR_SHOWER(3인용)17"/>
      <sheetName val="ESH_평가_Sheet16"/>
      <sheetName val="정비활동_수선비_절감14"/>
      <sheetName val="All_report_113"/>
      <sheetName val="118_세금과공과14"/>
      <sheetName val="1_취수장14"/>
      <sheetName val="준검_내역서14"/>
      <sheetName val="상여_(2)14"/>
      <sheetName val="1__Svc_Sales14"/>
      <sheetName val="2__Portfolio14"/>
      <sheetName val="3__SVC_Price(Avg)14"/>
      <sheetName val="4___Net_Gain14"/>
      <sheetName val="5_1Q_SVC(callback)14"/>
      <sheetName val="5_2_Q_SVC(Response)14"/>
      <sheetName val="5_3_Q_SVC(all)14"/>
      <sheetName val="2008년판매현황_(조정)14"/>
      <sheetName val="Executive_Summary13"/>
      <sheetName val="STROKE별_단가13"/>
      <sheetName val="Initial_Input_Variable14"/>
      <sheetName val="경영비율_14"/>
      <sheetName val="그래프_(2)16"/>
      <sheetName val="2_대상자16"/>
      <sheetName val="9903말_현재16"/>
      <sheetName val="Control_Sheet16"/>
      <sheetName val="2012년_하반기_승진안_및_상신양식_디자인_파트_x13"/>
      <sheetName val="SQL_Statement14"/>
      <sheetName val="주소_작성14"/>
      <sheetName val="2__2012년_실행계획_수립_및_대상선정용_SHEE13"/>
      <sheetName val="타계정에서_명세서(PL상)13"/>
      <sheetName val="별첨3_실패원팀13"/>
      <sheetName val="24_보증금(전신전화가입권)13"/>
      <sheetName val="04년_투자전망13"/>
      <sheetName val="배합비(2,3_4분기)13"/>
      <sheetName val="가중평균_보통주식0213"/>
      <sheetName val="가중평균_보통주식0113"/>
      <sheetName val="완성차_미수금13"/>
      <sheetName val="AC_List13"/>
      <sheetName val="2__Financial_Performance12"/>
      <sheetName val="BS_Prior13"/>
      <sheetName val="97년_추정12"/>
      <sheetName val="이자율별_차입금_적수12"/>
      <sheetName val="Sheet1_(2)12"/>
      <sheetName val="0_0ControlSheet12"/>
      <sheetName val="0_1keyAssumption12"/>
      <sheetName val="Data_Sheet12"/>
      <sheetName val="6_이토처리시간12"/>
      <sheetName val="GRADE별_투입원단위12"/>
      <sheetName val="한일자야(감액손실)_(2)12"/>
      <sheetName val="Q2_Actual12"/>
      <sheetName val="Q3_actuals12"/>
      <sheetName val="산업은행_경영지표12"/>
      <sheetName val="인건비_내역서12"/>
      <sheetName val="방수공사_집계표9"/>
      <sheetName val="AIR_SHOWER(3인용)18"/>
      <sheetName val="ESH_평가_Sheet17"/>
      <sheetName val="정비활동_수선비_절감15"/>
      <sheetName val="All_report_114"/>
      <sheetName val="118_세금과공과15"/>
      <sheetName val="1_취수장15"/>
      <sheetName val="준검_내역서15"/>
      <sheetName val="상여_(2)15"/>
      <sheetName val="1__Svc_Sales15"/>
      <sheetName val="2__Portfolio15"/>
      <sheetName val="3__SVC_Price(Avg)15"/>
      <sheetName val="4___Net_Gain15"/>
      <sheetName val="5_1Q_SVC(callback)15"/>
      <sheetName val="5_2_Q_SVC(Response)15"/>
      <sheetName val="5_3_Q_SVC(all)15"/>
      <sheetName val="2008년판매현황_(조정)15"/>
      <sheetName val="Executive_Summary14"/>
      <sheetName val="STROKE별_단가14"/>
      <sheetName val="Initial_Input_Variable15"/>
      <sheetName val="경영비율_15"/>
      <sheetName val="그래프_(2)17"/>
      <sheetName val="2_대상자17"/>
      <sheetName val="9903말_현재17"/>
      <sheetName val="Control_Sheet17"/>
      <sheetName val="2012년_하반기_승진안_및_상신양식_디자인_파트_x14"/>
      <sheetName val="SQL_Statement15"/>
      <sheetName val="주소_작성15"/>
      <sheetName val="2__2012년_실행계획_수립_및_대상선정용_SHEE14"/>
      <sheetName val="타계정에서_명세서(PL상)14"/>
      <sheetName val="별첨3_실패원팀14"/>
      <sheetName val="24_보증금(전신전화가입권)14"/>
      <sheetName val="04년_투자전망14"/>
      <sheetName val="배합비(2,3_4분기)14"/>
      <sheetName val="가중평균_보통주식0214"/>
      <sheetName val="가중평균_보통주식0114"/>
      <sheetName val="완성차_미수금14"/>
      <sheetName val="AC_List14"/>
      <sheetName val="2__Financial_Performance13"/>
      <sheetName val="BS_Prior14"/>
      <sheetName val="97년_추정13"/>
      <sheetName val="이자율별_차입금_적수13"/>
      <sheetName val="Sheet1_(2)13"/>
      <sheetName val="0_0ControlSheet13"/>
      <sheetName val="0_1keyAssumption13"/>
      <sheetName val="Data_Sheet13"/>
      <sheetName val="6_이토처리시간13"/>
      <sheetName val="GRADE별_투입원단위13"/>
      <sheetName val="한일자야(감액손실)_(2)13"/>
      <sheetName val="Q2_Actual13"/>
      <sheetName val="Q3_actuals13"/>
      <sheetName val="산업은행_경영지표13"/>
      <sheetName val="인건비_내역서13"/>
      <sheetName val="방수공사_집계표10"/>
      <sheetName val="AIR_SHOWER(3인용)19"/>
      <sheetName val="ESH_평가_Sheet18"/>
      <sheetName val="정비활동_수선비_절감16"/>
      <sheetName val="All_report_115"/>
      <sheetName val="118_세금과공과16"/>
      <sheetName val="1_취수장16"/>
      <sheetName val="준검_내역서16"/>
      <sheetName val="상여_(2)16"/>
      <sheetName val="1__Svc_Sales16"/>
      <sheetName val="2__Portfolio16"/>
      <sheetName val="3__SVC_Price(Avg)16"/>
      <sheetName val="4___Net_Gain16"/>
      <sheetName val="5_1Q_SVC(callback)16"/>
      <sheetName val="5_2_Q_SVC(Response)16"/>
      <sheetName val="5_3_Q_SVC(all)16"/>
      <sheetName val="2008년판매현황_(조정)16"/>
      <sheetName val="Executive_Summary15"/>
      <sheetName val="STROKE별_단가15"/>
      <sheetName val="Initial_Input_Variable16"/>
      <sheetName val="경영비율_16"/>
      <sheetName val="그래프_(2)18"/>
      <sheetName val="2_대상자18"/>
      <sheetName val="9903말_현재18"/>
      <sheetName val="Control_Sheet18"/>
      <sheetName val="2012년_하반기_승진안_및_상신양식_디자인_파트_x15"/>
      <sheetName val="SQL_Statement16"/>
      <sheetName val="주소_작성16"/>
      <sheetName val="2__2012년_실행계획_수립_및_대상선정용_SHEE15"/>
      <sheetName val="타계정에서_명세서(PL상)15"/>
      <sheetName val="별첨3_실패원팀15"/>
      <sheetName val="24_보증금(전신전화가입권)15"/>
      <sheetName val="04년_투자전망15"/>
      <sheetName val="배합비(2,3_4분기)15"/>
      <sheetName val="가중평균_보통주식0215"/>
      <sheetName val="가중평균_보통주식0115"/>
      <sheetName val="완성차_미수금15"/>
      <sheetName val="AC_List15"/>
      <sheetName val="2__Financial_Performance14"/>
      <sheetName val="BS_Prior15"/>
      <sheetName val="97년_추정14"/>
      <sheetName val="이자율별_차입금_적수14"/>
      <sheetName val="Sheet1_(2)14"/>
      <sheetName val="0_0ControlSheet14"/>
      <sheetName val="0_1keyAssumption14"/>
      <sheetName val="Data_Sheet14"/>
      <sheetName val="6_이토처리시간14"/>
      <sheetName val="GRADE별_투입원단위14"/>
      <sheetName val="한일자야(감액손실)_(2)14"/>
      <sheetName val="Q2_Actual14"/>
      <sheetName val="Q3_actuals14"/>
      <sheetName val="산업은행_경영지표14"/>
      <sheetName val="인건비_내역서14"/>
      <sheetName val="방수공사_집계표11"/>
      <sheetName val="AIR_SHOWER(3인용)20"/>
      <sheetName val="ESH_평가_Sheet19"/>
      <sheetName val="정비활동_수선비_절감17"/>
      <sheetName val="All_report_116"/>
      <sheetName val="118_세금과공과17"/>
      <sheetName val="1_취수장17"/>
      <sheetName val="준검_내역서17"/>
      <sheetName val="상여_(2)17"/>
      <sheetName val="1__Svc_Sales17"/>
      <sheetName val="2__Portfolio17"/>
      <sheetName val="3__SVC_Price(Avg)17"/>
      <sheetName val="4___Net_Gain17"/>
      <sheetName val="5_1Q_SVC(callback)17"/>
      <sheetName val="5_2_Q_SVC(Response)17"/>
      <sheetName val="5_3_Q_SVC(all)17"/>
      <sheetName val="2008년판매현황_(조정)17"/>
      <sheetName val="Executive_Summary16"/>
      <sheetName val="STROKE별_단가16"/>
      <sheetName val="Initial_Input_Variable17"/>
      <sheetName val="경영비율_17"/>
      <sheetName val="그래프_(2)19"/>
      <sheetName val="2_대상자19"/>
      <sheetName val="9903말_현재19"/>
      <sheetName val="Control_Sheet19"/>
      <sheetName val="2012년_하반기_승진안_및_상신양식_디자인_파트_x16"/>
      <sheetName val="SQL_Statement17"/>
      <sheetName val="주소_작성17"/>
      <sheetName val="2__2012년_실행계획_수립_및_대상선정용_SHEE16"/>
      <sheetName val="타계정에서_명세서(PL상)16"/>
      <sheetName val="별첨3_실패원팀16"/>
      <sheetName val="24_보증금(전신전화가입권)16"/>
      <sheetName val="04년_투자전망16"/>
      <sheetName val="배합비(2,3_4분기)16"/>
      <sheetName val="가중평균_보통주식0216"/>
      <sheetName val="가중평균_보통주식0116"/>
      <sheetName val="완성차_미수금16"/>
      <sheetName val="AC_List16"/>
      <sheetName val="2__Financial_Performance15"/>
      <sheetName val="BS_Prior16"/>
      <sheetName val="97년_추정15"/>
      <sheetName val="이자율별_차입금_적수15"/>
      <sheetName val="Sheet1_(2)15"/>
      <sheetName val="0_0ControlSheet15"/>
      <sheetName val="0_1keyAssumption15"/>
      <sheetName val="Data_Sheet15"/>
      <sheetName val="6_이토처리시간15"/>
      <sheetName val="GRADE별_투입원단위15"/>
      <sheetName val="한일자야(감액손실)_(2)15"/>
      <sheetName val="Q2_Actual15"/>
      <sheetName val="Q3_actuals15"/>
      <sheetName val="산업은행_경영지표15"/>
      <sheetName val="인건비_내역서15"/>
      <sheetName val="방수공사_집계표12"/>
      <sheetName val="AIR_SHOWER(3인용)21"/>
      <sheetName val="ESH_평가_Sheet20"/>
      <sheetName val="정비활동_수선비_절감18"/>
      <sheetName val="All_report_117"/>
      <sheetName val="118_세금과공과18"/>
      <sheetName val="1_취수장18"/>
      <sheetName val="준검_내역서18"/>
      <sheetName val="상여_(2)18"/>
      <sheetName val="1__Svc_Sales18"/>
      <sheetName val="2__Portfolio18"/>
      <sheetName val="3__SVC_Price(Avg)18"/>
      <sheetName val="4___Net_Gain18"/>
      <sheetName val="5_1Q_SVC(callback)18"/>
      <sheetName val="5_2_Q_SVC(Response)18"/>
      <sheetName val="5_3_Q_SVC(all)18"/>
      <sheetName val="2008년판매현황_(조정)18"/>
      <sheetName val="Executive_Summary17"/>
      <sheetName val="STROKE별_단가17"/>
      <sheetName val="Initial_Input_Variable18"/>
      <sheetName val="경영비율_18"/>
      <sheetName val="그래프_(2)20"/>
      <sheetName val="2_대상자20"/>
      <sheetName val="9903말_현재20"/>
      <sheetName val="Control_Sheet20"/>
      <sheetName val="2012년_하반기_승진안_및_상신양식_디자인_파트_x17"/>
      <sheetName val="SQL_Statement18"/>
      <sheetName val="주소_작성18"/>
      <sheetName val="2__2012년_실행계획_수립_및_대상선정용_SHEE17"/>
      <sheetName val="타계정에서_명세서(PL상)17"/>
      <sheetName val="별첨3_실패원팀17"/>
      <sheetName val="24_보증금(전신전화가입권)17"/>
      <sheetName val="04년_투자전망17"/>
      <sheetName val="배합비(2,3_4분기)17"/>
      <sheetName val="가중평균_보통주식0217"/>
      <sheetName val="가중평균_보통주식0117"/>
      <sheetName val="완성차_미수금17"/>
      <sheetName val="AC_List17"/>
      <sheetName val="2__Financial_Performance16"/>
      <sheetName val="BS_Prior17"/>
      <sheetName val="97년_추정16"/>
      <sheetName val="이자율별_차입금_적수16"/>
      <sheetName val="Sheet1_(2)16"/>
      <sheetName val="0_0ControlSheet16"/>
      <sheetName val="0_1keyAssumption16"/>
      <sheetName val="Data_Sheet16"/>
      <sheetName val="6_이토처리시간16"/>
      <sheetName val="GRADE별_투입원단위16"/>
      <sheetName val="한일자야(감액손실)_(2)16"/>
      <sheetName val="Q2_Actual16"/>
      <sheetName val="Q3_actuals16"/>
      <sheetName val="산업은행_경영지표16"/>
      <sheetName val="인건비_내역서16"/>
      <sheetName val="방수공사_집계표13"/>
      <sheetName val="AC__x0000__x0000__x0005__x0000_"/>
      <sheetName val="2__2012__________________SHEE_3"/>
      <sheetName val="1-1평균터파기고(1)"/>
      <sheetName val="200"/>
      <sheetName val="정렬"/>
      <sheetName val="BID"/>
      <sheetName val="플랜트 설치"/>
      <sheetName val="대구은행"/>
      <sheetName val="건축개요_"/>
      <sheetName val="6-G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refreshError="1"/>
      <sheetData sheetId="347" refreshError="1"/>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sheetData sheetId="403"/>
      <sheetData sheetId="404"/>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efreshError="1"/>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efreshError="1"/>
      <sheetData sheetId="563" refreshError="1"/>
      <sheetData sheetId="564" refreshError="1"/>
      <sheetData sheetId="565"/>
      <sheetData sheetId="566"/>
      <sheetData sheetId="567"/>
      <sheetData sheetId="568"/>
      <sheetData sheetId="569"/>
      <sheetData sheetId="570"/>
      <sheetData sheetId="571"/>
      <sheetData sheetId="572"/>
      <sheetData sheetId="573"/>
      <sheetData sheetId="574"/>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refreshError="1"/>
      <sheetData sheetId="702" refreshError="1"/>
      <sheetData sheetId="703" refreshError="1"/>
      <sheetData sheetId="704" refreshError="1"/>
      <sheetData sheetId="705" refreshError="1"/>
      <sheetData sheetId="706" refreshError="1"/>
      <sheetData sheetId="707" refreshError="1"/>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갑지"/>
      <sheetName val="을지"/>
      <sheetName val="통관비용"/>
      <sheetName val="spare"/>
      <sheetName val="투자비상환"/>
      <sheetName val="Project Brief"/>
      <sheetName val="거제도"/>
      <sheetName val="COVER"/>
      <sheetName val="검토기준"/>
      <sheetName val="산출근거_성능값"/>
      <sheetName val="계산근거"/>
      <sheetName val="요약"/>
      <sheetName val="분석_CASE1"/>
      <sheetName val="분석_CASE2"/>
      <sheetName val="분석_CASE3"/>
      <sheetName val="분석_CASE4"/>
      <sheetName val="外周区 "/>
      <sheetName val="손익"/>
      <sheetName val="BMC009"/>
      <sheetName val="식대견적"/>
      <sheetName val="13.Op. Activities"/>
      <sheetName val="노무비"/>
      <sheetName val="Prices"/>
      <sheetName val="1Month+Sheet2!"/>
      <sheetName val="Facility Information"/>
      <sheetName val="General"/>
      <sheetName val="Instructions"/>
      <sheetName val="People"/>
      <sheetName val="Quality"/>
      <sheetName val="Risk"/>
      <sheetName val="Training"/>
      <sheetName val="Assumption"/>
      <sheetName val="2 카드채권(대출포함)"/>
      <sheetName val="의왕F사"/>
      <sheetName val="가공사"/>
      <sheetName val="의령"/>
      <sheetName val="대구"/>
      <sheetName val="안성"/>
      <sheetName val="118.세금과공과"/>
      <sheetName val="108.수선비"/>
      <sheetName val="재무가정"/>
      <sheetName val="Project_Brief"/>
      <sheetName val="外周区_"/>
      <sheetName val="13_Op__Activities"/>
      <sheetName val="Facility_Information"/>
      <sheetName val="2_카드채권(대출포함)"/>
      <sheetName val="Operational Activities"/>
      <sheetName val="'94자산"/>
      <sheetName val="근무변경검토"/>
      <sheetName val="표지"/>
      <sheetName val="CM 1"/>
      <sheetName val="입찰안"/>
      <sheetName val="일위대가(가설)"/>
      <sheetName val="CAL1"/>
      <sheetName val="단가비교"/>
      <sheetName val="입찰품의서"/>
      <sheetName val="체계"/>
      <sheetName val="하조서"/>
      <sheetName val="효율표"/>
      <sheetName val="공사설계서"/>
      <sheetName val="17.채용자명단"/>
      <sheetName val="1ST"/>
      <sheetName val="절감계산"/>
      <sheetName val="항목"/>
      <sheetName val="COA-17"/>
      <sheetName val="C-18"/>
      <sheetName val="할증 "/>
      <sheetName val="vlookup"/>
      <sheetName val="Scope Functional Categories"/>
      <sheetName val="GL Codes"/>
      <sheetName val="15.Op. Activities"/>
      <sheetName val="인근점포"/>
      <sheetName val="단가산출"/>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충주"/>
      <sheetName val="기본사항"/>
      <sheetName val="실행(1)"/>
      <sheetName val="CTEMCOST"/>
      <sheetName val="예산작성기준(전기)"/>
      <sheetName val="95삼성급(본사)"/>
      <sheetName val="#REF"/>
      <sheetName val="Utility Cost Trend"/>
      <sheetName val="영업.일1"/>
      <sheetName val="18"/>
      <sheetName val="목표세부명세"/>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Sheet1"/>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POOM_MOTO"/>
      <sheetName val="POOM_MOTO2"/>
      <sheetName val="Utility Usage엠닷컴 26"/>
      <sheetName val="직공비"/>
      <sheetName val="점수계산1-2"/>
      <sheetName val="신규투자종합"/>
      <sheetName val="직노"/>
      <sheetName val="dV&amp;Cl"/>
      <sheetName val="CAP"/>
      <sheetName val="변수"/>
      <sheetName val="전압하강"/>
      <sheetName val="F-T Voltage"/>
      <sheetName val="Var."/>
      <sheetName val="1월"/>
      <sheetName val="납부서"/>
      <sheetName val="산출내역서집계표"/>
      <sheetName val="목록"/>
      <sheetName val="マスタ"/>
      <sheetName val="Drop-down"/>
      <sheetName val="工완성공사율"/>
      <sheetName val="Voreinstellungen"/>
      <sheetName val="Eingabe"/>
      <sheetName val="B053_(990701)공정실적PP%계산2"/>
      <sheetName val="B053_(990701)공정능력PC%계산2"/>
      <sheetName val="CC_Down_load_07162"/>
      <sheetName val="2_카드채권(대출포함)2"/>
      <sheetName val="진행_DATA_(2)2"/>
      <sheetName val="二_POSITION_XLS1"/>
      <sheetName val="Project_Brief2"/>
      <sheetName val="外周区_2"/>
      <sheetName val="13_Op__Activities2"/>
      <sheetName val="Facility_Information2"/>
      <sheetName val="Operational_Activities1"/>
      <sheetName val="17_채용자명단1"/>
      <sheetName val="118_세금과공과1"/>
      <sheetName val="108_수선비1"/>
      <sheetName val="CM_11"/>
      <sheetName val="Scope_Functional_Categories1"/>
      <sheetName val="GL_Codes1"/>
      <sheetName val="할증_1"/>
      <sheetName val="MP2006_data1"/>
      <sheetName val="B053_(990701)공정실적PP%계산1"/>
      <sheetName val="B053_(990701)공정능력PC%계산1"/>
      <sheetName val="CC_Down_load_07161"/>
      <sheetName val="진행_DATA_(2)1"/>
      <sheetName val="二_POSITION_XLS"/>
      <sheetName val="CM_1"/>
      <sheetName val="Scope_Functional_Categories"/>
      <sheetName val="GL_Codes"/>
      <sheetName val="할증_"/>
      <sheetName val="MP2006_data"/>
      <sheetName val="B053_(990701)공정실적PP%계산4"/>
      <sheetName val="B053_(990701)공정능력PC%계산4"/>
      <sheetName val="CC_Down_load_07164"/>
      <sheetName val="2_카드채권(대출포함)4"/>
      <sheetName val="진행_DATA_(2)4"/>
      <sheetName val="二_POSITION_XLS3"/>
      <sheetName val="Project_Brief4"/>
      <sheetName val="外周区_4"/>
      <sheetName val="13_Op__Activities4"/>
      <sheetName val="Facility_Information4"/>
      <sheetName val="Operational_Activities3"/>
      <sheetName val="17_채용자명단3"/>
      <sheetName val="118_세금과공과3"/>
      <sheetName val="108_수선비3"/>
      <sheetName val="CM_13"/>
      <sheetName val="Scope_Functional_Categories3"/>
      <sheetName val="GL_Codes3"/>
      <sheetName val="할증_3"/>
      <sheetName val="MP2006_data3"/>
      <sheetName val="B053_(990701)공정실적PP%계산3"/>
      <sheetName val="B053_(990701)공정능력PC%계산3"/>
      <sheetName val="CC_Down_load_07163"/>
      <sheetName val="2_카드채권(대출포함)3"/>
      <sheetName val="진행_DATA_(2)3"/>
      <sheetName val="二_POSITION_XLS2"/>
      <sheetName val="Project_Brief3"/>
      <sheetName val="外周区_3"/>
      <sheetName val="13_Op__Activities3"/>
      <sheetName val="Facility_Information3"/>
      <sheetName val="Operational_Activities2"/>
      <sheetName val="17_채용자명단2"/>
      <sheetName val="118_세금과공과2"/>
      <sheetName val="108_수선비2"/>
      <sheetName val="CM_12"/>
      <sheetName val="Scope_Functional_Categories2"/>
      <sheetName val="GL_Codes2"/>
      <sheetName val="할증_2"/>
      <sheetName val="MP2006_data2"/>
      <sheetName val="IP EXP RE TTL"/>
      <sheetName val="3.2(a)- OD Pairs Direct Supp"/>
      <sheetName val="5_2_04MRSupp"/>
      <sheetName val="5_2PARTDETAIL"/>
      <sheetName val="1. KPI"/>
      <sheetName val="교통대책내역"/>
      <sheetName val="조명율표"/>
      <sheetName val="sw1"/>
      <sheetName val="갑지1"/>
      <sheetName val="배명(단가)"/>
      <sheetName val="토목주소"/>
      <sheetName val="프랜트면허"/>
      <sheetName val="0226"/>
      <sheetName val="터널조도"/>
      <sheetName val="전기실-1"/>
      <sheetName val="EJ"/>
      <sheetName val="실행(ALT1)"/>
      <sheetName val="설계내역서"/>
      <sheetName val="Office"/>
      <sheetName val="Retail"/>
      <sheetName val="200"/>
      <sheetName val="공정"/>
      <sheetName val="대정예"/>
      <sheetName val="여흥"/>
      <sheetName val="건축원가"/>
      <sheetName val="일위대가"/>
      <sheetName val="연돌일위집계"/>
      <sheetName val="평당자료"/>
      <sheetName val="현황"/>
      <sheetName val="0216직장별인원"/>
      <sheetName val="국내 pilot sample"/>
      <sheetName val="MH_??"/>
      <sheetName val="WEIGHT"/>
      <sheetName val="CF"/>
      <sheetName val="손익계산서"/>
      <sheetName val="Sheet2"/>
      <sheetName val="입력방법 설명서"/>
      <sheetName val="적용률"/>
      <sheetName val="상하차비용(기계상차)"/>
      <sheetName val="운반비"/>
      <sheetName val="총괄표 (조정2)"/>
      <sheetName val="공사내역"/>
      <sheetName val="17.수도광열비"/>
      <sheetName val="EQT-ESTN"/>
      <sheetName val="주차(현행)"/>
      <sheetName val="경비(현행)"/>
      <sheetName val="안내도우미(현행)"/>
      <sheetName val="시설(현행)"/>
      <sheetName val="판매시설"/>
      <sheetName val="금융비용"/>
      <sheetName val="잡철물"/>
      <sheetName val="TOTAL"/>
      <sheetName val="집계표"/>
      <sheetName val="내역"/>
      <sheetName val="내역서 "/>
      <sheetName val="일위대가(계측기설치)"/>
      <sheetName val="도급"/>
      <sheetName val="C-301E~305E"/>
      <sheetName val="Main"/>
      <sheetName val="CD-실적"/>
      <sheetName val="_94자산"/>
      <sheetName val="●MC계"/>
      <sheetName val="코드생성기"/>
      <sheetName val=""/>
      <sheetName val="Graph"/>
      <sheetName val="B053_(990701)공정실적PP%계산5"/>
      <sheetName val="B053_(990701)공정능력PC%계산5"/>
      <sheetName val="CC_Down_load_07165"/>
      <sheetName val="2_카드채권(대출포함)5"/>
      <sheetName val="二_POSITION_XLS4"/>
      <sheetName val="진행_DATA_(2)5"/>
      <sheetName val="Project_Brief5"/>
      <sheetName val="外周区_5"/>
      <sheetName val="13_Op__Activities5"/>
      <sheetName val="Facility_Information5"/>
      <sheetName val="Operational_Activities4"/>
      <sheetName val="17_채용자명단4"/>
      <sheetName val="118_세금과공과4"/>
      <sheetName val="108_수선비4"/>
      <sheetName val="CM_14"/>
      <sheetName val="Scope_Functional_Categories4"/>
      <sheetName val="GL_Codes4"/>
      <sheetName val="할증_4"/>
      <sheetName val="MP2006_data4"/>
      <sheetName val="IP_EXP_RE_TTL"/>
      <sheetName val="3_2(a)-_OD_Pairs_Direct_Supp"/>
      <sheetName val="1__KPI"/>
      <sheetName val="인사자료총집계"/>
      <sheetName val="플랜트 설치"/>
      <sheetName val="평가데이터"/>
      <sheetName val="2.2)기계배관철골-R2"/>
      <sheetName val="VAV단가조사"/>
      <sheetName val="9902"/>
      <sheetName val="PIPING"/>
      <sheetName val="단기차입금(200006)"/>
      <sheetName val="D-경비1"/>
      <sheetName val="제조원가"/>
      <sheetName val="조명시설"/>
      <sheetName val="15_Op__Activities"/>
      <sheetName val="Utility_Cost_Trend"/>
      <sheetName val="영업_일1"/>
      <sheetName val="Utility_Usage엠닷컴_26"/>
      <sheetName val="F-T_Voltage"/>
      <sheetName val="Var_"/>
      <sheetName val="재료비_산출표"/>
      <sheetName val="VXXXXXXXXXXXXXXXXXXXXXXXX"/>
      <sheetName val="참고"/>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일위(PN)"/>
      <sheetName val="남양구조시험동"/>
      <sheetName val="J直材4"/>
      <sheetName val="기숙사(파주)_프로에스콤"/>
      <sheetName val="운동장 (2)"/>
      <sheetName val="장비당단가_(1)"/>
      <sheetName val="간_지1"/>
      <sheetName val="2_대외공문"/>
      <sheetName val="부진점(10.09)"/>
      <sheetName val="데이타"/>
      <sheetName val="K(비품-사무용1)"/>
      <sheetName val="FC-101"/>
      <sheetName val="소일위대가코드표"/>
      <sheetName val="업무용유지비실적"/>
      <sheetName val="PILOT품"/>
      <sheetName val="M96현황-동아"/>
      <sheetName val="p2-1"/>
      <sheetName val="유림골조"/>
      <sheetName val="적격"/>
      <sheetName val="예상"/>
      <sheetName val="공통부대비"/>
      <sheetName val="JUCKEYK"/>
      <sheetName val="우수"/>
      <sheetName val="공량산출서"/>
      <sheetName val="역T형"/>
      <sheetName val="안정검토"/>
      <sheetName val="ELECTRIC"/>
      <sheetName val="일명"/>
      <sheetName val="일명95"/>
      <sheetName val="일비"/>
      <sheetName val="일비95"/>
      <sheetName val="경명"/>
      <sheetName val="경명95"/>
      <sheetName val="경배"/>
      <sheetName val="경배95"/>
      <sheetName val="임율"/>
      <sheetName val="임율95"/>
      <sheetName val="간노비"/>
      <sheetName val="간노비95"/>
      <sheetName val="원가계산"/>
      <sheetName val="수정내역"/>
      <sheetName val="일위대가표"/>
      <sheetName val="XXXXXX"/>
      <sheetName val="VXXX"/>
      <sheetName val="진짜내역"/>
      <sheetName val="전시원"/>
      <sheetName val="전시내"/>
      <sheetName val="Sheet3"/>
      <sheetName val="표"/>
      <sheetName val="목"/>
      <sheetName val="설 (3)"/>
      <sheetName val="설 (2)"/>
      <sheetName val="설"/>
      <sheetName val="일"/>
      <sheetName val="일집표"/>
      <sheetName val="일위표"/>
      <sheetName val="수표"/>
      <sheetName val="총집"/>
      <sheetName val="원가"/>
      <sheetName val="제작총집계표"/>
      <sheetName val="총경기장별내역서(10-11)"/>
      <sheetName val="경기장별내역서(12-107)"/>
      <sheetName val="단가산출서"/>
      <sheetName val="중기사용료"/>
      <sheetName val="재료단가"/>
      <sheetName val="노임단가"/>
      <sheetName val="기본일위"/>
      <sheetName val="I一般比"/>
      <sheetName val="재료"/>
      <sheetName val="기본단가표"/>
      <sheetName val="현장"/>
      <sheetName val="단가조사"/>
      <sheetName val="식재인부"/>
      <sheetName val="예산M11A"/>
      <sheetName val="건축내역"/>
      <sheetName val="101동"/>
      <sheetName val="2000년1차"/>
      <sheetName val="2000전체분"/>
      <sheetName val="MAIN_TABLE"/>
      <sheetName val="백암비스타내역"/>
      <sheetName val="출자한도"/>
      <sheetName val="KKK"/>
      <sheetName val="골재산출"/>
      <sheetName val="5공철탑검토표"/>
      <sheetName val="4공철탑검토"/>
      <sheetName val="기초자료"/>
      <sheetName val="공사비총괄표"/>
      <sheetName val="3BL공동구 수량"/>
      <sheetName val="일대-1"/>
      <sheetName val="공사개요(서광주)"/>
      <sheetName val="매출채권"/>
      <sheetName val="제안실적sum조회"/>
      <sheetName val="경산"/>
      <sheetName val="산근"/>
      <sheetName val="철탑공사"/>
      <sheetName val="산출근거"/>
      <sheetName val="토공(우물통,기타) "/>
      <sheetName val="차수공개요"/>
      <sheetName val="스포회원매출"/>
      <sheetName val="총괄표"/>
      <sheetName val="대공종"/>
      <sheetName val="단중표"/>
      <sheetName val="지하"/>
      <sheetName val="산출내역서"/>
      <sheetName val="당초"/>
      <sheetName val="교각별철근수량집계표"/>
      <sheetName val="Customer Databas"/>
      <sheetName val="자료"/>
      <sheetName val="노임"/>
      <sheetName val="본체"/>
      <sheetName val="실행"/>
      <sheetName val="지질조사"/>
      <sheetName val="코드표"/>
      <sheetName val="적용토목"/>
      <sheetName val="NYS"/>
      <sheetName val="N賃率-職"/>
      <sheetName val="설직재-1"/>
      <sheetName val="영창26"/>
      <sheetName val="요율"/>
      <sheetName val="본공사"/>
      <sheetName val="기초내역서"/>
      <sheetName val="수량산출"/>
      <sheetName val="대가목록표"/>
      <sheetName val="일위대가목차"/>
      <sheetName val="조경일람"/>
      <sheetName val="물가자료"/>
      <sheetName val="중기"/>
      <sheetName val="식생블럭단위수량"/>
      <sheetName val="LF자재단가"/>
      <sheetName val="노임,재료비"/>
      <sheetName val="갑지(추정)"/>
      <sheetName val="AIR SHOWER(3인용)"/>
      <sheetName val="예산"/>
      <sheetName val="Sheet5"/>
      <sheetName val="6PILE  (돌출)"/>
      <sheetName val="asd"/>
      <sheetName val="수주추정"/>
      <sheetName val="토공 total"/>
      <sheetName val="기술부대조건"/>
      <sheetName val="재료비노무비"/>
      <sheetName val="위생설비"/>
      <sheetName val="내역서(중수)"/>
      <sheetName val="CAT_5"/>
      <sheetName val="단가비교표_공통1"/>
      <sheetName val="48전력선로일위"/>
      <sheetName val="단가표"/>
      <sheetName val="도급기성"/>
      <sheetName val="설비단가표"/>
      <sheetName val="LEGEND"/>
      <sheetName val="오수공수량집계표"/>
      <sheetName val="공정율"/>
      <sheetName val="pldt"/>
      <sheetName val="건집"/>
      <sheetName val="건축"/>
      <sheetName val="기설집"/>
      <sheetName val="설집"/>
      <sheetName val="식재수량표"/>
      <sheetName val="총괄"/>
      <sheetName val="집계"/>
      <sheetName val="공량집"/>
      <sheetName val="단가"/>
      <sheetName val="배부율"/>
      <sheetName val="완성1"/>
      <sheetName val="완성2"/>
      <sheetName val="산재비율"/>
      <sheetName val="안전비율"/>
      <sheetName val="일반비율"/>
      <sheetName val="공량"/>
      <sheetName val="VXXXXX"/>
      <sheetName val="적용대가"/>
      <sheetName val="지수내역"/>
      <sheetName val="노(97.1,97.9,98.1)"/>
      <sheetName val="자재단가"/>
      <sheetName val="Sheet6"/>
      <sheetName val="원가 (2)"/>
      <sheetName val="연부97-1"/>
      <sheetName val="조건표"/>
      <sheetName val="자갈,시멘트,모래산출"/>
      <sheetName val="교수설계"/>
      <sheetName val="시설물기초"/>
      <sheetName val="공사직종별노임"/>
      <sheetName val=" 냉각수펌프"/>
      <sheetName val="AHU집계"/>
      <sheetName val="1.설계조건"/>
      <sheetName val="CIVIL4"/>
      <sheetName val="지급자재"/>
      <sheetName val=" HIT-&gt;HMC 견적(3900)"/>
      <sheetName val="RE9604"/>
      <sheetName val="내역서2안"/>
      <sheetName val="ELEC"/>
      <sheetName val="9GNG운반"/>
      <sheetName val="율촌법률사무소2내역"/>
      <sheetName val="공조기휀"/>
      <sheetName val="시멘트"/>
      <sheetName val="N賃率_職"/>
      <sheetName val="102역사"/>
      <sheetName val="특외대"/>
      <sheetName val="6호기"/>
      <sheetName val="금액집계"/>
      <sheetName val="96정변2"/>
      <sheetName val="내역(원안-대안)"/>
      <sheetName val="전기일위목록"/>
      <sheetName val="노무,재료"/>
      <sheetName val="견적"/>
      <sheetName val="철거산출근거"/>
      <sheetName val="사다리"/>
      <sheetName val="아파트건축"/>
      <sheetName val="당진1,2호기전선관설치및접지4차공사내역서-을지"/>
      <sheetName val="제-노임"/>
      <sheetName val="제직재"/>
      <sheetName val="데리네이타현황"/>
      <sheetName val="기계경비(시간당)"/>
      <sheetName val="일위대가1"/>
      <sheetName val="공통가설공사"/>
      <sheetName val="계약서"/>
      <sheetName val="DATE"/>
      <sheetName val="산출-설비"/>
      <sheetName val="원가계산서"/>
      <sheetName val="견적서"/>
      <sheetName val="Sheet7(ㅅ)"/>
      <sheetName val="본체철근표"/>
      <sheetName val="제작비추산총괄표"/>
      <sheetName val="갑"/>
      <sheetName val="일위"/>
      <sheetName val="3.2제조설비"/>
      <sheetName val="적용건축"/>
      <sheetName val="역공종"/>
      <sheetName val="대치판정"/>
      <sheetName val="원가서"/>
      <sheetName val="001"/>
      <sheetName val="단위내역서"/>
      <sheetName val="주beam"/>
      <sheetName val="도급견적가"/>
      <sheetName val="guard(mac)"/>
      <sheetName val="부대공Ⅱ"/>
      <sheetName val="공사개요"/>
      <sheetName val="간접1"/>
      <sheetName val="장비가동"/>
      <sheetName val="내역관리1"/>
      <sheetName val="설_(3)"/>
      <sheetName val="설_(2)"/>
      <sheetName val="3BL공동구_수량"/>
      <sheetName val="전선 및 전선관"/>
      <sheetName val="공통가설"/>
      <sheetName val="저"/>
      <sheetName val="내역(설계)"/>
      <sheetName val="총수량집계표"/>
      <sheetName val="백룡교차로"/>
      <sheetName val="산정교차로"/>
      <sheetName val="신영교차로"/>
      <sheetName val="물량입력"/>
      <sheetName val="일위(철거)"/>
      <sheetName val="E총15"/>
      <sheetName val="약품공급2"/>
      <sheetName val="카메라"/>
      <sheetName val="내역서(기성청구)"/>
      <sheetName val="입력변수"/>
      <sheetName val="별표 "/>
      <sheetName val="부대"/>
      <sheetName val="일위CODE"/>
      <sheetName val="gyun"/>
      <sheetName val="노 무 비"/>
      <sheetName val="예가표"/>
      <sheetName val="첨부1"/>
      <sheetName val="물량표"/>
      <sheetName val="부하자료"/>
      <sheetName val="국내"/>
      <sheetName val="Baby일위대가"/>
      <sheetName val="내역서 제출"/>
      <sheetName val="기계공사비집계(원안)"/>
      <sheetName val="2000년 공정표"/>
      <sheetName val="단"/>
      <sheetName val="토공집계표"/>
      <sheetName val="Inst."/>
      <sheetName val="01상노임"/>
      <sheetName val="하도급원가계산총괄표(식재)"/>
      <sheetName val="청주(철골발주의뢰서)"/>
      <sheetName val="토공"/>
      <sheetName val="터파기및재료"/>
      <sheetName val="2공구산출내역"/>
      <sheetName val="sub"/>
      <sheetName val="반포2차"/>
      <sheetName val="공사착공계"/>
      <sheetName val="찍기"/>
      <sheetName val="특별땅고르기"/>
      <sheetName val="단위단가"/>
      <sheetName val="연결관암거"/>
      <sheetName val="소비자가"/>
      <sheetName val="일위대가목록"/>
      <sheetName val="일위_파일"/>
      <sheetName val="일위(PANEL)"/>
      <sheetName val="효성CB 1P기초"/>
      <sheetName val="계수시트"/>
      <sheetName val="램머"/>
      <sheetName val="경영상태"/>
      <sheetName val="노무비 근거"/>
      <sheetName val="상가분양"/>
      <sheetName val="INPUT"/>
      <sheetName val="직접공사비"/>
      <sheetName val="내역표지"/>
      <sheetName val="#3_일위대가목록"/>
      <sheetName val="AIR_SHOWER(3인용)"/>
      <sheetName val="Customer_Databas"/>
      <sheetName val="토공(우물통,기타)_"/>
      <sheetName val="원가_(2)"/>
      <sheetName val="_HIT-&gt;HMC_견적(3900)"/>
      <sheetName val="별표"/>
      <sheetName val="기초일위"/>
      <sheetName val="설계조건"/>
      <sheetName val="배수내역"/>
      <sheetName val="기흥하도용"/>
      <sheetName val="차액보증"/>
      <sheetName val="도급예산내역서봉투"/>
      <sheetName val="공사원가계산서"/>
      <sheetName val="설계산출표지"/>
      <sheetName val="도급예산내역서총괄표"/>
      <sheetName val="을부담운반비"/>
      <sheetName val="설계산출기초"/>
      <sheetName val="운반비산출"/>
      <sheetName val="내역서1"/>
      <sheetName val="1공구산출내역서"/>
      <sheetName val="노무비단가"/>
      <sheetName val="지점장"/>
      <sheetName val="유기공정"/>
      <sheetName val="유림콘도"/>
      <sheetName val="ITEM"/>
      <sheetName val="원본"/>
      <sheetName val="암거단위"/>
      <sheetName val="단가대비표 (3)"/>
      <sheetName val="손익분석"/>
      <sheetName val="원가총괄"/>
      <sheetName val="수량산출(생반)"/>
      <sheetName val="일반전기C"/>
      <sheetName val="청곡지선입력"/>
      <sheetName val="토공_total"/>
      <sheetName val="노(97_1,97_9,98_1)"/>
      <sheetName val="6PILE__(돌출)"/>
      <sheetName val="적용단위길이"/>
      <sheetName val="피벗테이블데이터분석"/>
      <sheetName val="COST"/>
      <sheetName val="부대내역"/>
      <sheetName val="세골재  T2 변경 현황"/>
      <sheetName val="직재"/>
      <sheetName val="통합집계표"/>
      <sheetName val="3본사"/>
      <sheetName val="단가일람"/>
      <sheetName val="갑지.을지"/>
      <sheetName val="BID"/>
      <sheetName val="일위대가(1)"/>
      <sheetName val="기타 정보통신공사"/>
      <sheetName val="재집"/>
      <sheetName val="Sheet1 (2)"/>
      <sheetName val="조명율"/>
      <sheetName val="(1)본선수량집계"/>
      <sheetName val="Macro1"/>
      <sheetName val="1000 DB구축 부표"/>
      <sheetName val="CT "/>
      <sheetName val="발신정보"/>
      <sheetName val="기초대가"/>
      <sheetName val="조도계산서 (도서)"/>
      <sheetName val="명세서"/>
      <sheetName val="구리토평1전기"/>
      <sheetName val="C.전기공사"/>
      <sheetName val="J-EQ"/>
      <sheetName val="총괄내역"/>
      <sheetName val="하이테콤직원"/>
      <sheetName val="맨홀수량산출"/>
      <sheetName val="개요"/>
      <sheetName val="노임단가(08.01)"/>
      <sheetName val="현장관리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봉방동근생"/>
      <sheetName val="민감도"/>
      <sheetName val="세부내역서(전기)"/>
      <sheetName val="품셈"/>
      <sheetName val="변경내역(전체)"/>
      <sheetName val="참조자료"/>
      <sheetName val="날개벽수량표"/>
      <sheetName val="신우"/>
      <sheetName val="전기내역"/>
      <sheetName val="자재표"/>
      <sheetName val="을"/>
      <sheetName val="98지급계획"/>
      <sheetName val="20관리비율"/>
      <sheetName val="연습"/>
      <sheetName val="직접노무"/>
      <sheetName val="직접재료"/>
      <sheetName val="내역서중"/>
      <sheetName val="접지수량"/>
      <sheetName val="교각계산"/>
      <sheetName val="계측기"/>
      <sheetName val="전기2005"/>
      <sheetName val="통신2005"/>
      <sheetName val="총괄집계표"/>
      <sheetName val="자료입력"/>
      <sheetName val="철콘"/>
      <sheetName val="표  지"/>
      <sheetName val="패널"/>
      <sheetName val="간접비계산"/>
      <sheetName val="그림"/>
      <sheetName val="그림2"/>
      <sheetName val="분전반"/>
      <sheetName val="내역서적용수량"/>
      <sheetName val="가도공"/>
      <sheetName val="유림총괄"/>
      <sheetName val="현장관리비참조"/>
      <sheetName val="작성"/>
      <sheetName val="출력은 금물"/>
      <sheetName val="일위대가(건축)"/>
      <sheetName val="간접비"/>
      <sheetName val="청도공장"/>
      <sheetName val="간접(90)"/>
      <sheetName val="입상내역"/>
      <sheetName val="품셈총괄"/>
      <sheetName val="교각1"/>
      <sheetName val="표층포설및다짐"/>
      <sheetName val="전기"/>
      <sheetName val="인적사항"/>
      <sheetName val="단재적표"/>
      <sheetName val="설계"/>
      <sheetName val="투찰가"/>
      <sheetName val="공문"/>
      <sheetName val="수목표준대가"/>
      <sheetName val="예산총괄"/>
      <sheetName val="옥외계측"/>
      <sheetName val="CODE"/>
      <sheetName val="전체"/>
      <sheetName val="인공"/>
      <sheetName val="도급자재"/>
      <sheetName val="일위목록"/>
      <sheetName val="설_(3)1"/>
      <sheetName val="설_(2)1"/>
      <sheetName val="3BL공동구_수량1"/>
      <sheetName val="1_설계조건"/>
      <sheetName val="_냉각수펌프"/>
      <sheetName val="2000년_공정표"/>
      <sheetName val="노무비_근거"/>
      <sheetName val="전선_및_전선관"/>
      <sheetName val="효성CB_1P기초"/>
      <sheetName val="내역서_제출"/>
      <sheetName val="중기일위대가"/>
      <sheetName val="0Title"/>
      <sheetName val="추가예산"/>
      <sheetName val="오동"/>
      <sheetName val="대조"/>
      <sheetName val="나한"/>
      <sheetName val="물가시세"/>
      <sheetName val="부하"/>
      <sheetName val="단가 "/>
      <sheetName val="ESCO개보수공사"/>
      <sheetName val="수량총괄"/>
      <sheetName val="빌딩 안내"/>
      <sheetName val="화재 탐지 설비"/>
      <sheetName val="DATA테이블1 (2)"/>
      <sheetName val="건축기계설비표선정수장"/>
      <sheetName val="DB"/>
      <sheetName val="공연,전시"/>
      <sheetName val="A 견적"/>
      <sheetName val="s.v"/>
      <sheetName val="공사입찰정보입력"/>
      <sheetName val="국내조달(통합-1)"/>
      <sheetName val="보증수수료산출"/>
      <sheetName val="도담구내 개소별 명세"/>
      <sheetName val="철근중량"/>
      <sheetName val="ABUT수량-A1"/>
      <sheetName val="工관리비율"/>
      <sheetName val="정거장 설계조건"/>
      <sheetName val="주요기준"/>
      <sheetName val="제경비율"/>
      <sheetName val="기본가정"/>
      <sheetName val="자재단가비교표"/>
      <sheetName val="단가대비표"/>
      <sheetName val="b_balju"/>
      <sheetName val="인공산출"/>
      <sheetName val="노무단가산정"/>
      <sheetName val="산출0"/>
      <sheetName val="담장산출"/>
      <sheetName val="처리단락"/>
      <sheetName val="건축부하"/>
      <sheetName val="약전닥트"/>
      <sheetName val="일지-H"/>
      <sheetName val="김포IO"/>
      <sheetName val="LD"/>
      <sheetName val="FA설치명세"/>
      <sheetName val="콘크리트"/>
      <sheetName val="건설기계사용료목록"/>
      <sheetName val="단가조사서"/>
      <sheetName val="집"/>
      <sheetName val="간선계산"/>
      <sheetName val="계화배수"/>
      <sheetName val="99년하반기"/>
      <sheetName val="말뚝지지력산정"/>
      <sheetName val="철근집계"/>
      <sheetName val="COPING"/>
      <sheetName val="기성내역서표지"/>
      <sheetName val="포승중환경개선공사(변경)"/>
      <sheetName val="공정코드"/>
      <sheetName val="2000.05"/>
      <sheetName val="구의33고"/>
      <sheetName val="구성1"/>
      <sheetName val="구성2"/>
      <sheetName val="구성3"/>
      <sheetName val="구성4"/>
      <sheetName val="도급내역서(재노경)"/>
      <sheetName val="16-1"/>
      <sheetName val="와동수량"/>
      <sheetName val="직원현황"/>
      <sheetName val="품셈TABLE"/>
      <sheetName val="예비용"/>
      <sheetName val="상행-교대(A1-A2)"/>
      <sheetName val="전기설계변경"/>
      <sheetName val="기초목록"/>
      <sheetName val="단가(자재)"/>
      <sheetName val="공사추진현황"/>
      <sheetName val="입력"/>
      <sheetName val="&lt;--"/>
      <sheetName val="Data Sheet('21.03)"/>
      <sheetName val="G95"/>
      <sheetName val="G59"/>
      <sheetName val="플랜트_설치"/>
      <sheetName val="10.월간주차수입현황"/>
      <sheetName val="IT-BAT"/>
      <sheetName val="리스료"/>
      <sheetName val="환율"/>
      <sheetName val="Bellinfo"/>
      <sheetName val="mm10"/>
      <sheetName val="견적대비표"/>
      <sheetName val="기술기획검토"/>
      <sheetName val="01"/>
      <sheetName val="Project_Brief6"/>
      <sheetName val="外周区_6"/>
      <sheetName val="13_Op__Activities6"/>
      <sheetName val="Facility_Information6"/>
      <sheetName val="2_카드채권(대출포함)6"/>
      <sheetName val="Operational_Activities5"/>
      <sheetName val="17_채용자명단5"/>
      <sheetName val="118_세금과공과5"/>
      <sheetName val="108_수선비5"/>
      <sheetName val="CM_15"/>
      <sheetName val="Scope_Functional_Categories5"/>
      <sheetName val="GL_Codes5"/>
      <sheetName val="할증_5"/>
      <sheetName val="15_Op__Activities1"/>
      <sheetName val="Utility_Cost_Trend1"/>
      <sheetName val="영업_일11"/>
      <sheetName val="B053_(990701)공정실적PP%계산6"/>
      <sheetName val="B053_(990701)공정능력PC%계산6"/>
      <sheetName val="CC_Down_load_07166"/>
      <sheetName val="二_POSITION_XLS5"/>
      <sheetName val="진행_DATA_(2)6"/>
      <sheetName val="MP2006_data5"/>
      <sheetName val="IP_EXP_RE_TTL1"/>
      <sheetName val="3_2(a)-_OD_Pairs_Direct_Supp1"/>
      <sheetName val="1__KPI1"/>
      <sheetName val="F-T_Voltage1"/>
      <sheetName val="Var_1"/>
      <sheetName val="Utility_Usage엠닷컴_261"/>
      <sheetName val="재료비_산출표1"/>
      <sheetName val="국내_pilot_sample"/>
      <sheetName val="입력방법_설명서"/>
      <sheetName val="내역서_"/>
      <sheetName val="17_수도광열비"/>
      <sheetName val="총괄표_(조정2)"/>
      <sheetName val="플랜트_설치1"/>
      <sheetName val="2_2)기계배관철골-R2"/>
      <sheetName val="장비당단가_(1)1"/>
      <sheetName val="간_지11"/>
      <sheetName val="2_대외공문1"/>
      <sheetName val="운동장_(2)"/>
      <sheetName val="부진점(10_09)"/>
      <sheetName val="설_(3)2"/>
      <sheetName val="설_(2)2"/>
      <sheetName val="3BL공동구_수량2"/>
      <sheetName val="토공(우물통,기타)_1"/>
      <sheetName val="Customer_Databas1"/>
      <sheetName val="AIR_SHOWER(3인용)1"/>
      <sheetName val="6PILE__(돌출)1"/>
      <sheetName val="토공_total1"/>
      <sheetName val="노(97_1,97_9,98_1)1"/>
      <sheetName val="원가_(2)1"/>
      <sheetName val="_냉각수펌프1"/>
      <sheetName val="1_설계조건1"/>
      <sheetName val="_HIT-&gt;HMC_견적(3900)1"/>
      <sheetName val="3_2제조설비"/>
      <sheetName val="전선_및_전선관1"/>
      <sheetName val="별표_"/>
      <sheetName val="노_무_비"/>
      <sheetName val="내역서_제출1"/>
      <sheetName val="2000년_공정표1"/>
      <sheetName val="Inst_"/>
      <sheetName val="효성CB_1P기초1"/>
      <sheetName val="노무비_근거1"/>
      <sheetName val="단가대비표_(3)"/>
      <sheetName val="세골재__T2_변경_현황"/>
      <sheetName val="갑지_을지"/>
      <sheetName val="기타_정보통신공사"/>
      <sheetName val="Sheet1_(2)"/>
      <sheetName val="1000_DB구축_부표"/>
      <sheetName val="CT_"/>
      <sheetName val="조도계산서_(도서)"/>
      <sheetName val="C_전기공사"/>
      <sheetName val="노임단가(08_01)"/>
      <sheetName val="일위대가56-1_"/>
      <sheetName val="일위대가71-1_"/>
      <sheetName val="일위대가74-1_"/>
      <sheetName val="일위대가76-1_"/>
      <sheetName val="일위대가77-1_"/>
      <sheetName val="일위대가78-1_"/>
      <sheetName val="표__지"/>
      <sheetName val="출력은_금물"/>
      <sheetName val="단가_"/>
      <sheetName val="빌딩_안내"/>
      <sheetName val="화재_탐지_설비"/>
      <sheetName val="DATA테이블1_(2)"/>
      <sheetName val="A_견적"/>
      <sheetName val="s_v"/>
      <sheetName val="도담구내_개소별_명세"/>
      <sheetName val="정거장_설계조건"/>
      <sheetName val="2000_05"/>
      <sheetName val="Data_Sheet('21_03)"/>
      <sheetName val="10_월간주차수입현황"/>
      <sheetName val="6.임대계약 만료현황"/>
      <sheetName val="cctv"/>
      <sheetName val="A-100전제"/>
      <sheetName val="법인세신고자료"/>
      <sheetName val="모델표준"/>
      <sheetName val="MH__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sheetData sheetId="43" refreshError="1"/>
      <sheetData sheetId="44" refreshError="1"/>
      <sheetData sheetId="45" refreshError="1"/>
      <sheetData sheetId="46" refreshError="1"/>
      <sheetData sheetId="47" refreshError="1"/>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sheetData sheetId="76"/>
      <sheetData sheetId="77"/>
      <sheetData sheetId="78"/>
      <sheetData sheetId="79"/>
      <sheetData sheetId="80"/>
      <sheetData sheetId="81"/>
      <sheetData sheetId="82" refreshError="1"/>
      <sheetData sheetId="83" refreshError="1"/>
      <sheetData sheetId="84" refreshError="1"/>
      <sheetData sheetId="85"/>
      <sheetData sheetId="86"/>
      <sheetData sheetId="87"/>
      <sheetData sheetId="88" refreshError="1"/>
      <sheetData sheetId="89" refreshError="1"/>
      <sheetData sheetId="90" refreshError="1"/>
      <sheetData sheetId="91" refreshError="1"/>
      <sheetData sheetId="92" refreshError="1"/>
      <sheetData sheetId="93"/>
      <sheetData sheetId="94" refreshError="1"/>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refreshError="1"/>
      <sheetData sheetId="379" refreshError="1"/>
      <sheetData sheetId="380" refreshError="1"/>
      <sheetData sheetId="381"/>
      <sheetData sheetId="382"/>
      <sheetData sheetId="383"/>
      <sheetData sheetId="384" refreshError="1"/>
      <sheetData sheetId="385" refreshError="1"/>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refreshError="1"/>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refreshError="1"/>
      <sheetData sheetId="1045" refreshError="1"/>
      <sheetData sheetId="1046" refreshError="1"/>
      <sheetData sheetId="1047" refreshError="1"/>
      <sheetData sheetId="1048" refreshError="1"/>
      <sheetData sheetId="104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0A6FD-FDA9-41B4-8D81-FC1C9136415D}">
  <sheetPr codeName="Sheet1">
    <tabColor rgb="FFFFC000"/>
  </sheetPr>
  <dimension ref="X2:AI31"/>
  <sheetViews>
    <sheetView showGridLines="0" tabSelected="1" topLeftCell="N1" zoomScale="85" zoomScaleNormal="85" workbookViewId="0">
      <selection activeCell="AC17" sqref="AC17"/>
    </sheetView>
  </sheetViews>
  <sheetFormatPr defaultRowHeight="18.75" customHeight="1"/>
  <cols>
    <col min="1" max="22" width="9" style="118"/>
    <col min="23" max="23" width="3.125" style="118" customWidth="1"/>
    <col min="24" max="24" width="21.75" style="118" customWidth="1"/>
    <col min="25" max="25" width="24.375" style="118" customWidth="1"/>
    <col min="26" max="31" width="12.75" style="118" customWidth="1"/>
    <col min="32" max="32" width="31.875" style="118" customWidth="1"/>
    <col min="33" max="33" width="9.75" style="118" customWidth="1"/>
    <col min="34" max="34" width="20.125" style="118" customWidth="1"/>
    <col min="35" max="35" width="9" style="118" customWidth="1"/>
    <col min="36" max="16384" width="9" style="118"/>
  </cols>
  <sheetData>
    <row r="2" spans="24:35" ht="18.75" customHeight="1">
      <c r="X2" s="170" t="s">
        <v>199</v>
      </c>
    </row>
    <row r="3" spans="24:35" ht="18.75" customHeight="1">
      <c r="AH3" s="119" t="s">
        <v>204</v>
      </c>
    </row>
    <row r="4" spans="24:35" ht="18.75" customHeight="1">
      <c r="X4" s="138" t="s">
        <v>150</v>
      </c>
      <c r="Y4" s="114" t="s">
        <v>151</v>
      </c>
      <c r="Z4" s="149" t="s">
        <v>184</v>
      </c>
      <c r="AA4" s="150" t="s">
        <v>185</v>
      </c>
      <c r="AB4" s="150" t="s">
        <v>186</v>
      </c>
      <c r="AC4" s="150" t="s">
        <v>187</v>
      </c>
      <c r="AD4" s="150" t="s">
        <v>188</v>
      </c>
      <c r="AE4" s="151" t="s">
        <v>203</v>
      </c>
      <c r="AF4" s="139" t="s">
        <v>152</v>
      </c>
      <c r="AH4" s="120" t="s">
        <v>153</v>
      </c>
      <c r="AI4" s="111" t="s">
        <v>154</v>
      </c>
    </row>
    <row r="5" spans="24:35" ht="18.75" customHeight="1">
      <c r="X5" s="171" t="s">
        <v>245</v>
      </c>
      <c r="Y5" s="135" t="s">
        <v>189</v>
      </c>
      <c r="Z5" s="152">
        <v>1</v>
      </c>
      <c r="AA5" s="153">
        <v>2</v>
      </c>
      <c r="AB5" s="153">
        <v>3</v>
      </c>
      <c r="AC5" s="153">
        <v>10</v>
      </c>
      <c r="AD5" s="153">
        <v>3</v>
      </c>
      <c r="AE5" s="154">
        <v>4</v>
      </c>
      <c r="AF5" s="140">
        <f>SUM(Z5:AE5)</f>
        <v>23</v>
      </c>
      <c r="AH5" s="107" t="s">
        <v>155</v>
      </c>
      <c r="AI5" s="108">
        <v>80</v>
      </c>
    </row>
    <row r="6" spans="24:35" ht="18.75" customHeight="1">
      <c r="X6" s="141"/>
      <c r="Y6" s="115"/>
      <c r="Z6" s="155">
        <f t="shared" ref="Z6:AE6" si="0">Z5/$AF$5</f>
        <v>4.3478260869565216E-2</v>
      </c>
      <c r="AA6" s="156">
        <f t="shared" si="0"/>
        <v>8.6956521739130432E-2</v>
      </c>
      <c r="AB6" s="156">
        <f t="shared" si="0"/>
        <v>0.13043478260869565</v>
      </c>
      <c r="AC6" s="156">
        <f t="shared" si="0"/>
        <v>0.43478260869565216</v>
      </c>
      <c r="AD6" s="156">
        <f t="shared" si="0"/>
        <v>0.13043478260869565</v>
      </c>
      <c r="AE6" s="157">
        <f t="shared" si="0"/>
        <v>0.17391304347826086</v>
      </c>
      <c r="AF6" s="142">
        <f>SUM(Z6:AE6)</f>
        <v>1</v>
      </c>
      <c r="AH6" s="97" t="s">
        <v>156</v>
      </c>
      <c r="AI6" s="98">
        <v>50</v>
      </c>
    </row>
    <row r="7" spans="24:35" ht="18.75" customHeight="1">
      <c r="X7" s="143"/>
      <c r="Y7" s="135" t="s">
        <v>190</v>
      </c>
      <c r="Z7" s="152">
        <v>2</v>
      </c>
      <c r="AA7" s="153">
        <v>6</v>
      </c>
      <c r="AB7" s="153">
        <v>12</v>
      </c>
      <c r="AC7" s="153">
        <v>84</v>
      </c>
      <c r="AD7" s="153">
        <v>73</v>
      </c>
      <c r="AE7" s="154">
        <v>218</v>
      </c>
      <c r="AF7" s="140">
        <f>SUM(Z7:AE7)</f>
        <v>395</v>
      </c>
      <c r="AH7" s="97" t="s">
        <v>157</v>
      </c>
      <c r="AI7" s="98">
        <v>50</v>
      </c>
    </row>
    <row r="8" spans="24:35" ht="18.75" customHeight="1">
      <c r="X8" s="144"/>
      <c r="Y8" s="115"/>
      <c r="Z8" s="155">
        <f t="shared" ref="Z8:AE8" si="1">Z7/$AF$7</f>
        <v>5.0632911392405064E-3</v>
      </c>
      <c r="AA8" s="156">
        <f t="shared" si="1"/>
        <v>1.5189873417721518E-2</v>
      </c>
      <c r="AB8" s="156">
        <f t="shared" si="1"/>
        <v>3.0379746835443037E-2</v>
      </c>
      <c r="AC8" s="156">
        <f t="shared" si="1"/>
        <v>0.21265822784810126</v>
      </c>
      <c r="AD8" s="156">
        <f t="shared" si="1"/>
        <v>0.18481012658227849</v>
      </c>
      <c r="AE8" s="157">
        <f t="shared" si="1"/>
        <v>0.55189873417721524</v>
      </c>
      <c r="AF8" s="142">
        <f>SUM(Z8:AE8)</f>
        <v>1</v>
      </c>
      <c r="AH8" s="99" t="s">
        <v>158</v>
      </c>
      <c r="AI8" s="100">
        <v>38</v>
      </c>
    </row>
    <row r="9" spans="24:35" ht="27.75" customHeight="1">
      <c r="X9" s="173" t="s">
        <v>246</v>
      </c>
      <c r="Y9" s="334" t="s">
        <v>257</v>
      </c>
      <c r="Z9" s="335">
        <f t="shared" ref="Z9:AE9" si="2">ROUND(Z10*$AF$9,0)</f>
        <v>12</v>
      </c>
      <c r="AA9" s="336">
        <f t="shared" si="2"/>
        <v>26</v>
      </c>
      <c r="AB9" s="336">
        <f t="shared" si="2"/>
        <v>40</v>
      </c>
      <c r="AC9" s="336">
        <f t="shared" si="2"/>
        <v>162</v>
      </c>
      <c r="AD9" s="336">
        <f t="shared" si="2"/>
        <v>79</v>
      </c>
      <c r="AE9" s="337">
        <f t="shared" si="2"/>
        <v>181</v>
      </c>
      <c r="AF9" s="338">
        <v>500</v>
      </c>
      <c r="AH9" s="107" t="s">
        <v>159</v>
      </c>
      <c r="AI9" s="108">
        <v>30</v>
      </c>
    </row>
    <row r="10" spans="24:35" ht="27.75" customHeight="1" thickBot="1">
      <c r="X10" s="145"/>
      <c r="Y10" s="318" t="s">
        <v>191</v>
      </c>
      <c r="Z10" s="319">
        <f t="shared" ref="Z10:AF10" si="3">(Z6+Z8)/2</f>
        <v>2.4270776004402861E-2</v>
      </c>
      <c r="AA10" s="320">
        <f t="shared" si="3"/>
        <v>5.1073197578425975E-2</v>
      </c>
      <c r="AB10" s="320">
        <f t="shared" si="3"/>
        <v>8.0407264722069341E-2</v>
      </c>
      <c r="AC10" s="320">
        <f t="shared" ref="AC10" si="4">(AC6+AC8)/2</f>
        <v>0.3237204182718767</v>
      </c>
      <c r="AD10" s="320">
        <f t="shared" si="3"/>
        <v>0.15762245459548707</v>
      </c>
      <c r="AE10" s="321">
        <f t="shared" si="3"/>
        <v>0.36290588882773805</v>
      </c>
      <c r="AF10" s="322">
        <f t="shared" si="3"/>
        <v>1</v>
      </c>
      <c r="AH10" s="97" t="s">
        <v>160</v>
      </c>
      <c r="AI10" s="98">
        <v>26</v>
      </c>
    </row>
    <row r="11" spans="24:35" ht="27.75" customHeight="1">
      <c r="X11" s="323" t="s">
        <v>244</v>
      </c>
      <c r="Y11" s="324" t="s">
        <v>259</v>
      </c>
      <c r="Z11" s="325">
        <v>14000</v>
      </c>
      <c r="AA11" s="326">
        <v>11000</v>
      </c>
      <c r="AB11" s="326">
        <v>10000</v>
      </c>
      <c r="AC11" s="326">
        <v>10000</v>
      </c>
      <c r="AD11" s="326">
        <v>10000</v>
      </c>
      <c r="AE11" s="327">
        <v>10000</v>
      </c>
      <c r="AF11" s="343" t="s">
        <v>258</v>
      </c>
      <c r="AH11" s="109" t="s">
        <v>161</v>
      </c>
      <c r="AI11" s="100">
        <v>17</v>
      </c>
    </row>
    <row r="12" spans="24:35" ht="27.75" customHeight="1">
      <c r="X12" s="290"/>
      <c r="Y12" s="339" t="s">
        <v>260</v>
      </c>
      <c r="Z12" s="340">
        <v>2000</v>
      </c>
      <c r="AA12" s="341">
        <v>2000</v>
      </c>
      <c r="AB12" s="341">
        <v>2000</v>
      </c>
      <c r="AC12" s="341">
        <v>2000</v>
      </c>
      <c r="AD12" s="341">
        <v>2000</v>
      </c>
      <c r="AE12" s="342">
        <v>2000</v>
      </c>
      <c r="AF12" s="344" t="s">
        <v>261</v>
      </c>
      <c r="AH12" s="110" t="s">
        <v>162</v>
      </c>
      <c r="AI12" s="108">
        <v>10</v>
      </c>
    </row>
    <row r="13" spans="24:35" ht="27.75" customHeight="1">
      <c r="X13" s="172" t="s">
        <v>193</v>
      </c>
      <c r="Y13" s="116" t="s">
        <v>194</v>
      </c>
      <c r="Z13" s="158">
        <f>Z27</f>
        <v>15200</v>
      </c>
      <c r="AA13" s="159">
        <f t="shared" ref="AA13:AE13" si="5">AA27</f>
        <v>12150</v>
      </c>
      <c r="AB13" s="159">
        <f t="shared" si="5"/>
        <v>10880</v>
      </c>
      <c r="AC13" s="159">
        <f t="shared" si="5"/>
        <v>9040</v>
      </c>
      <c r="AD13" s="159">
        <f t="shared" si="5"/>
        <v>8390</v>
      </c>
      <c r="AE13" s="160">
        <f t="shared" si="5"/>
        <v>8640</v>
      </c>
      <c r="AF13" s="146"/>
      <c r="AH13" s="97" t="s">
        <v>163</v>
      </c>
      <c r="AI13" s="98">
        <v>10</v>
      </c>
    </row>
    <row r="14" spans="24:35" ht="27.75" customHeight="1">
      <c r="X14" s="143"/>
      <c r="Y14" s="313" t="s">
        <v>262</v>
      </c>
      <c r="Z14" s="314">
        <f>Z9*(Z11+Z12)</f>
        <v>192000</v>
      </c>
      <c r="AA14" s="315">
        <f t="shared" ref="AA14:AE14" si="6">AA9*(AA11+AA12)</f>
        <v>338000</v>
      </c>
      <c r="AB14" s="315">
        <f t="shared" si="6"/>
        <v>480000</v>
      </c>
      <c r="AC14" s="315">
        <f t="shared" si="6"/>
        <v>1944000</v>
      </c>
      <c r="AD14" s="315">
        <f t="shared" si="6"/>
        <v>948000</v>
      </c>
      <c r="AE14" s="316">
        <f t="shared" si="6"/>
        <v>2172000</v>
      </c>
      <c r="AF14" s="317">
        <f>SUM(Z14:AE14)</f>
        <v>6074000</v>
      </c>
      <c r="AH14" s="97" t="s">
        <v>164</v>
      </c>
      <c r="AI14" s="98">
        <v>9</v>
      </c>
    </row>
    <row r="15" spans="24:35" ht="27.75" customHeight="1">
      <c r="X15" s="141"/>
      <c r="Y15" s="116" t="s">
        <v>263</v>
      </c>
      <c r="Z15" s="164">
        <f>Z9*Z13</f>
        <v>182400</v>
      </c>
      <c r="AA15" s="165">
        <f>AA9*AA13</f>
        <v>315900</v>
      </c>
      <c r="AB15" s="165">
        <f>AB9*AB13</f>
        <v>435200</v>
      </c>
      <c r="AC15" s="165">
        <f>AC9*AC13</f>
        <v>1464480</v>
      </c>
      <c r="AD15" s="165">
        <f>AD9*AD13</f>
        <v>662810</v>
      </c>
      <c r="AE15" s="166">
        <f>AE9*AE13</f>
        <v>1563840</v>
      </c>
      <c r="AF15" s="147">
        <f>SUM(Z15:AE15)</f>
        <v>4624630</v>
      </c>
      <c r="AH15" s="97" t="s">
        <v>165</v>
      </c>
      <c r="AI15" s="98">
        <v>9</v>
      </c>
    </row>
    <row r="16" spans="24:35" ht="27.75" customHeight="1">
      <c r="X16" s="143"/>
      <c r="Y16" s="313" t="s">
        <v>167</v>
      </c>
      <c r="Z16" s="314">
        <f>Z14-Z15</f>
        <v>9600</v>
      </c>
      <c r="AA16" s="315">
        <f t="shared" ref="AA16:AE16" si="7">AA14-AA15</f>
        <v>22100</v>
      </c>
      <c r="AB16" s="315">
        <f t="shared" si="7"/>
        <v>44800</v>
      </c>
      <c r="AC16" s="315">
        <f t="shared" ref="AC16" si="8">AC14-AC15</f>
        <v>479520</v>
      </c>
      <c r="AD16" s="315">
        <f t="shared" si="7"/>
        <v>285190</v>
      </c>
      <c r="AE16" s="316">
        <f t="shared" si="7"/>
        <v>608160</v>
      </c>
      <c r="AF16" s="317">
        <f t="shared" ref="AF16" si="9">SUM(Z16:AE16)</f>
        <v>1449370</v>
      </c>
      <c r="AH16" s="97" t="s">
        <v>166</v>
      </c>
      <c r="AI16" s="98">
        <v>9</v>
      </c>
    </row>
    <row r="17" spans="24:35" ht="27.75" customHeight="1" thickBot="1">
      <c r="X17" s="328"/>
      <c r="Y17" s="329" t="s">
        <v>169</v>
      </c>
      <c r="Z17" s="330">
        <f>Z16/Z14</f>
        <v>0.05</v>
      </c>
      <c r="AA17" s="331">
        <f t="shared" ref="AA17:AF17" si="10">AA16/AA14</f>
        <v>6.5384615384615388E-2</v>
      </c>
      <c r="AB17" s="331">
        <f t="shared" si="10"/>
        <v>9.3333333333333338E-2</v>
      </c>
      <c r="AC17" s="331">
        <f t="shared" ref="AC17" si="11">AC16/AC14</f>
        <v>0.24666666666666667</v>
      </c>
      <c r="AD17" s="331">
        <f t="shared" si="10"/>
        <v>0.30083333333333334</v>
      </c>
      <c r="AE17" s="332">
        <f t="shared" si="10"/>
        <v>0.28000000000000003</v>
      </c>
      <c r="AF17" s="333">
        <f t="shared" si="10"/>
        <v>0.23861870266710569</v>
      </c>
      <c r="AH17" s="97" t="s">
        <v>168</v>
      </c>
      <c r="AI17" s="98">
        <v>8</v>
      </c>
    </row>
    <row r="18" spans="24:35" ht="27.75" customHeight="1">
      <c r="X18" s="171" t="s">
        <v>247</v>
      </c>
      <c r="Y18" s="116" t="s">
        <v>242</v>
      </c>
      <c r="Z18" s="158">
        <v>14680</v>
      </c>
      <c r="AA18" s="159">
        <v>12260</v>
      </c>
      <c r="AB18" s="159">
        <v>11360</v>
      </c>
      <c r="AC18" s="159">
        <v>10020</v>
      </c>
      <c r="AD18" s="159">
        <v>9530</v>
      </c>
      <c r="AE18" s="160">
        <v>9850</v>
      </c>
      <c r="AF18" s="291"/>
      <c r="AH18" s="97" t="s">
        <v>170</v>
      </c>
      <c r="AI18" s="98">
        <v>8</v>
      </c>
    </row>
    <row r="19" spans="24:35" ht="27.75" customHeight="1">
      <c r="X19" s="172" t="s">
        <v>193</v>
      </c>
      <c r="Y19" s="116" t="s">
        <v>243</v>
      </c>
      <c r="Z19" s="158">
        <v>12000</v>
      </c>
      <c r="AA19" s="159">
        <v>9990</v>
      </c>
      <c r="AB19" s="159">
        <v>9230</v>
      </c>
      <c r="AC19" s="159">
        <v>8120</v>
      </c>
      <c r="AD19" s="159">
        <v>7710</v>
      </c>
      <c r="AE19" s="160">
        <v>7980</v>
      </c>
      <c r="AF19" s="292"/>
      <c r="AH19" s="97" t="s">
        <v>171</v>
      </c>
      <c r="AI19" s="98">
        <v>8</v>
      </c>
    </row>
    <row r="20" spans="24:35" ht="27.75" customHeight="1">
      <c r="X20" s="143"/>
      <c r="Y20" s="117" t="s">
        <v>167</v>
      </c>
      <c r="Z20" s="161">
        <f>Z18-Z19</f>
        <v>2680</v>
      </c>
      <c r="AA20" s="162">
        <f t="shared" ref="AA20:AE20" si="12">AA18-AA19</f>
        <v>2270</v>
      </c>
      <c r="AB20" s="162">
        <f t="shared" si="12"/>
        <v>2130</v>
      </c>
      <c r="AC20" s="162">
        <f t="shared" si="12"/>
        <v>1900</v>
      </c>
      <c r="AD20" s="162">
        <f t="shared" si="12"/>
        <v>1820</v>
      </c>
      <c r="AE20" s="163">
        <f t="shared" si="12"/>
        <v>1870</v>
      </c>
      <c r="AF20" s="293"/>
      <c r="AH20" s="97" t="s">
        <v>172</v>
      </c>
      <c r="AI20" s="98">
        <v>7</v>
      </c>
    </row>
    <row r="21" spans="24:35" ht="27.75" customHeight="1">
      <c r="X21" s="148"/>
      <c r="Y21" s="116" t="s">
        <v>169</v>
      </c>
      <c r="Z21" s="167">
        <f>Z20/Z18</f>
        <v>0.18256130790190736</v>
      </c>
      <c r="AA21" s="168">
        <f t="shared" ref="AA21:AE21" si="13">AA20/AA18</f>
        <v>0.18515497553017946</v>
      </c>
      <c r="AB21" s="168">
        <f t="shared" si="13"/>
        <v>0.1875</v>
      </c>
      <c r="AC21" s="168">
        <f t="shared" si="13"/>
        <v>0.18962075848303392</v>
      </c>
      <c r="AD21" s="168">
        <f t="shared" si="13"/>
        <v>0.19097586568730326</v>
      </c>
      <c r="AE21" s="169">
        <f t="shared" si="13"/>
        <v>0.18984771573604062</v>
      </c>
      <c r="AF21" s="294"/>
      <c r="AH21" s="99" t="s">
        <v>173</v>
      </c>
      <c r="AI21" s="100">
        <v>6</v>
      </c>
    </row>
    <row r="22" spans="24:35" ht="27.75" customHeight="1">
      <c r="X22" s="171" t="s">
        <v>248</v>
      </c>
      <c r="Y22" s="116" t="s">
        <v>242</v>
      </c>
      <c r="Z22" s="158">
        <v>3870</v>
      </c>
      <c r="AA22" s="159">
        <v>2620</v>
      </c>
      <c r="AB22" s="159">
        <v>1990</v>
      </c>
      <c r="AC22" s="159">
        <v>1110</v>
      </c>
      <c r="AD22" s="159">
        <v>790</v>
      </c>
      <c r="AE22" s="160">
        <v>770</v>
      </c>
      <c r="AF22" s="291"/>
      <c r="AH22" s="107" t="s">
        <v>174</v>
      </c>
      <c r="AI22" s="108">
        <v>4</v>
      </c>
    </row>
    <row r="23" spans="24:35" ht="27.75" customHeight="1">
      <c r="X23" s="172" t="s">
        <v>249</v>
      </c>
      <c r="Y23" s="116" t="s">
        <v>243</v>
      </c>
      <c r="Z23" s="158">
        <v>3190</v>
      </c>
      <c r="AA23" s="159">
        <v>2160</v>
      </c>
      <c r="AB23" s="159">
        <v>1640</v>
      </c>
      <c r="AC23" s="159">
        <v>920</v>
      </c>
      <c r="AD23" s="159">
        <v>670</v>
      </c>
      <c r="AE23" s="160">
        <v>650</v>
      </c>
      <c r="AF23" s="292"/>
      <c r="AH23" s="97" t="s">
        <v>175</v>
      </c>
      <c r="AI23" s="98">
        <v>4</v>
      </c>
    </row>
    <row r="24" spans="24:35" ht="27.75" customHeight="1">
      <c r="X24" s="143"/>
      <c r="Y24" s="117" t="s">
        <v>167</v>
      </c>
      <c r="Z24" s="161">
        <f>Z22-Z23</f>
        <v>680</v>
      </c>
      <c r="AA24" s="162">
        <f t="shared" ref="AA24" si="14">AA22-AA23</f>
        <v>460</v>
      </c>
      <c r="AB24" s="162">
        <f t="shared" ref="AB24" si="15">AB22-AB23</f>
        <v>350</v>
      </c>
      <c r="AC24" s="162">
        <f t="shared" ref="AC24" si="16">AC22-AC23</f>
        <v>190</v>
      </c>
      <c r="AD24" s="162">
        <f t="shared" ref="AD24" si="17">AD22-AD23</f>
        <v>120</v>
      </c>
      <c r="AE24" s="163">
        <f t="shared" ref="AE24" si="18">AE22-AE23</f>
        <v>120</v>
      </c>
      <c r="AF24" s="293"/>
      <c r="AH24" s="97" t="s">
        <v>176</v>
      </c>
      <c r="AI24" s="98">
        <v>4</v>
      </c>
    </row>
    <row r="25" spans="24:35" ht="27.75" customHeight="1">
      <c r="X25" s="148"/>
      <c r="Y25" s="116" t="s">
        <v>169</v>
      </c>
      <c r="Z25" s="167">
        <f>Z24/Z22</f>
        <v>0.17571059431524547</v>
      </c>
      <c r="AA25" s="168">
        <f t="shared" ref="AA25" si="19">AA24/AA22</f>
        <v>0.17557251908396945</v>
      </c>
      <c r="AB25" s="168">
        <f t="shared" ref="AB25" si="20">AB24/AB22</f>
        <v>0.17587939698492464</v>
      </c>
      <c r="AC25" s="168">
        <f t="shared" ref="AC25" si="21">AC24/AC22</f>
        <v>0.17117117117117117</v>
      </c>
      <c r="AD25" s="168">
        <f t="shared" ref="AD25" si="22">AD24/AD22</f>
        <v>0.15189873417721519</v>
      </c>
      <c r="AE25" s="169">
        <f t="shared" ref="AE25" si="23">AE24/AE22</f>
        <v>0.15584415584415584</v>
      </c>
      <c r="AF25" s="294"/>
      <c r="AH25" s="107" t="s">
        <v>177</v>
      </c>
      <c r="AI25" s="108">
        <v>3</v>
      </c>
    </row>
    <row r="26" spans="24:35" ht="27.75" customHeight="1">
      <c r="X26" s="171" t="s">
        <v>250</v>
      </c>
      <c r="Y26" s="116" t="s">
        <v>242</v>
      </c>
      <c r="Z26" s="158">
        <v>18550</v>
      </c>
      <c r="AA26" s="159">
        <v>14890</v>
      </c>
      <c r="AB26" s="159">
        <v>13350</v>
      </c>
      <c r="AC26" s="159">
        <v>11130</v>
      </c>
      <c r="AD26" s="159">
        <v>10320</v>
      </c>
      <c r="AE26" s="160">
        <v>10630</v>
      </c>
      <c r="AF26" s="291"/>
      <c r="AH26" s="99" t="s">
        <v>178</v>
      </c>
      <c r="AI26" s="100">
        <v>3</v>
      </c>
    </row>
    <row r="27" spans="24:35" ht="27.75" customHeight="1">
      <c r="X27" s="172" t="s">
        <v>193</v>
      </c>
      <c r="Y27" s="116" t="s">
        <v>243</v>
      </c>
      <c r="Z27" s="158">
        <v>15200</v>
      </c>
      <c r="AA27" s="159">
        <v>12150</v>
      </c>
      <c r="AB27" s="159">
        <v>10880</v>
      </c>
      <c r="AC27" s="159">
        <v>9040</v>
      </c>
      <c r="AD27" s="159">
        <v>8390</v>
      </c>
      <c r="AE27" s="160">
        <v>8640</v>
      </c>
      <c r="AF27" s="292"/>
      <c r="AH27" s="99" t="s">
        <v>179</v>
      </c>
      <c r="AI27" s="100">
        <v>2</v>
      </c>
    </row>
    <row r="28" spans="24:35" ht="27.75" customHeight="1">
      <c r="X28" s="143"/>
      <c r="Y28" s="117" t="s">
        <v>167</v>
      </c>
      <c r="Z28" s="161">
        <f>Z26-Z27</f>
        <v>3350</v>
      </c>
      <c r="AA28" s="162">
        <f t="shared" ref="AA28" si="24">AA26-AA27</f>
        <v>2740</v>
      </c>
      <c r="AB28" s="162">
        <f t="shared" ref="AB28" si="25">AB26-AB27</f>
        <v>2470</v>
      </c>
      <c r="AC28" s="162">
        <f t="shared" ref="AC28" si="26">AC26-AC27</f>
        <v>2090</v>
      </c>
      <c r="AD28" s="162">
        <f t="shared" ref="AD28" si="27">AD26-AD27</f>
        <v>1930</v>
      </c>
      <c r="AE28" s="163">
        <f t="shared" ref="AE28" si="28">AE26-AE27</f>
        <v>1990</v>
      </c>
      <c r="AF28" s="293"/>
    </row>
    <row r="29" spans="24:35" ht="27.75" customHeight="1">
      <c r="X29" s="148"/>
      <c r="Y29" s="116" t="s">
        <v>169</v>
      </c>
      <c r="Z29" s="167">
        <f>Z28/Z26</f>
        <v>0.18059299191374664</v>
      </c>
      <c r="AA29" s="168">
        <f t="shared" ref="AA29" si="29">AA28/AA26</f>
        <v>0.18401611820013433</v>
      </c>
      <c r="AB29" s="168">
        <f t="shared" ref="AB29" si="30">AB28/AB26</f>
        <v>0.1850187265917603</v>
      </c>
      <c r="AC29" s="168">
        <f t="shared" ref="AC29" si="31">AC28/AC26</f>
        <v>0.18778077268643306</v>
      </c>
      <c r="AD29" s="168">
        <f t="shared" ref="AD29" si="32">AD28/AD26</f>
        <v>0.18701550387596899</v>
      </c>
      <c r="AE29" s="169">
        <f t="shared" ref="AE29" si="33">AE28/AE26</f>
        <v>0.18720602069614301</v>
      </c>
      <c r="AF29" s="294"/>
    </row>
    <row r="30" spans="24:35" ht="18.75" customHeight="1">
      <c r="X30" s="118" t="s">
        <v>255</v>
      </c>
    </row>
    <row r="31" spans="24:35" ht="18.75" customHeight="1">
      <c r="X31" s="118" t="s">
        <v>256</v>
      </c>
    </row>
  </sheetData>
  <phoneticPr fontId="5"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B8DF1-BC91-4013-8EF1-2B47A9BA8F9D}">
  <sheetPr codeName="Sheet5">
    <tabColor rgb="FFFFC000"/>
  </sheetPr>
  <dimension ref="B2:J29"/>
  <sheetViews>
    <sheetView showGridLines="0" zoomScale="90" zoomScaleNormal="90" workbookViewId="0">
      <selection activeCell="J20" sqref="J20"/>
    </sheetView>
  </sheetViews>
  <sheetFormatPr defaultRowHeight="18.75" customHeight="1"/>
  <cols>
    <col min="1" max="2" width="3.125" style="118" customWidth="1"/>
    <col min="3" max="3" width="3.75" style="308" customWidth="1"/>
    <col min="4" max="4" width="11" style="118" customWidth="1"/>
    <col min="5" max="5" width="14.5" style="118" customWidth="1"/>
    <col min="6" max="9" width="13.25" style="118" customWidth="1"/>
    <col min="10" max="10" width="44" style="118" customWidth="1"/>
    <col min="11" max="11" width="8.75" style="118" customWidth="1"/>
    <col min="12" max="12" width="18.5" style="118" customWidth="1"/>
    <col min="13" max="13" width="15.75" style="118" customWidth="1"/>
    <col min="14" max="14" width="13" style="118" bestFit="1" customWidth="1"/>
    <col min="15" max="15" width="3.5" style="118" customWidth="1"/>
    <col min="16" max="16" width="18.5" style="118" customWidth="1"/>
    <col min="17" max="20" width="14.125" style="118" customWidth="1"/>
    <col min="21" max="22" width="13" style="118" bestFit="1" customWidth="1"/>
    <col min="23" max="23" width="9.125" style="118" bestFit="1" customWidth="1"/>
    <col min="24" max="16384" width="9" style="118"/>
  </cols>
  <sheetData>
    <row r="2" spans="2:10" ht="18.75" customHeight="1">
      <c r="B2" s="170" t="s">
        <v>200</v>
      </c>
    </row>
    <row r="3" spans="2:10" ht="17.25" customHeight="1"/>
    <row r="4" spans="2:10" ht="29.25" customHeight="1">
      <c r="C4" s="310" t="s">
        <v>197</v>
      </c>
      <c r="D4" s="311"/>
      <c r="E4" s="312"/>
      <c r="F4" s="312"/>
      <c r="G4" s="312"/>
      <c r="H4" s="310" t="s">
        <v>198</v>
      </c>
    </row>
    <row r="5" spans="2:10" ht="29.25" customHeight="1">
      <c r="D5" s="309">
        <v>4</v>
      </c>
      <c r="G5" s="118" t="str">
        <f>IF(D5&gt;50,"※ 50면을 초과하는 경우는 PO에게 문의 필요", "")</f>
        <v/>
      </c>
      <c r="H5" s="252" t="b">
        <v>0</v>
      </c>
      <c r="I5" s="253" t="b">
        <v>0</v>
      </c>
      <c r="J5" s="253" t="b">
        <v>1</v>
      </c>
    </row>
    <row r="6" spans="2:10" ht="27" customHeight="1">
      <c r="D6" s="137"/>
    </row>
    <row r="7" spans="2:10" ht="18.75" customHeight="1">
      <c r="C7" s="308" t="s">
        <v>252</v>
      </c>
      <c r="E7" s="96"/>
      <c r="F7" s="96"/>
      <c r="G7" s="96"/>
    </row>
    <row r="8" spans="2:10" ht="18.75" customHeight="1">
      <c r="I8" s="136"/>
      <c r="J8" s="136" t="s">
        <v>218</v>
      </c>
    </row>
    <row r="9" spans="2:10" ht="18.75" customHeight="1">
      <c r="D9" s="207" t="s">
        <v>205</v>
      </c>
      <c r="E9" s="208"/>
      <c r="F9" s="184" t="s">
        <v>210</v>
      </c>
      <c r="G9" s="184" t="s">
        <v>220</v>
      </c>
      <c r="H9" s="183" t="s">
        <v>222</v>
      </c>
      <c r="I9" s="207" t="s">
        <v>117</v>
      </c>
      <c r="J9" s="208"/>
    </row>
    <row r="10" spans="2:10" ht="18.75" customHeight="1">
      <c r="D10" s="187" t="s">
        <v>214</v>
      </c>
      <c r="E10" s="188"/>
      <c r="F10" s="191"/>
      <c r="G10" s="191"/>
      <c r="H10" s="192">
        <f>ROUNDDOWN(H11+H12,0)</f>
        <v>40000</v>
      </c>
      <c r="I10" s="295" t="s">
        <v>211</v>
      </c>
      <c r="J10" s="296"/>
    </row>
    <row r="11" spans="2:10" ht="18.75" customHeight="1">
      <c r="D11" s="175"/>
      <c r="E11" s="176" t="s">
        <v>206</v>
      </c>
      <c r="F11" s="189"/>
      <c r="G11" s="189"/>
      <c r="H11" s="74">
        <f>(VLOOKUP($D$5,가격테이블!$B$4:$L$54,2,0))/1000</f>
        <v>40000</v>
      </c>
      <c r="I11" s="297" t="s">
        <v>212</v>
      </c>
      <c r="J11" s="298"/>
    </row>
    <row r="12" spans="2:10" ht="18.75" customHeight="1">
      <c r="D12" s="177"/>
      <c r="E12" s="178" t="s">
        <v>208</v>
      </c>
      <c r="F12" s="190"/>
      <c r="G12" s="190"/>
      <c r="H12" s="75">
        <f>(IF(H5=TRUE,VLOOKUP($D$5,가격테이블!$B$4:$L$54,4,0),0))/1000</f>
        <v>0</v>
      </c>
      <c r="I12" s="299" t="s">
        <v>213</v>
      </c>
      <c r="J12" s="300"/>
    </row>
    <row r="13" spans="2:10" ht="18.75" customHeight="1">
      <c r="D13" s="187" t="s">
        <v>215</v>
      </c>
      <c r="E13" s="188"/>
      <c r="F13" s="187">
        <f>F14+F15+F16</f>
        <v>100</v>
      </c>
      <c r="G13" s="187">
        <f>G14+G15+G16</f>
        <v>1200</v>
      </c>
      <c r="H13" s="73">
        <f>H14+H15+H16</f>
        <v>2400</v>
      </c>
      <c r="I13" s="295" t="s">
        <v>216</v>
      </c>
      <c r="J13" s="296"/>
    </row>
    <row r="14" spans="2:10" ht="18.75" customHeight="1">
      <c r="D14" s="185"/>
      <c r="E14" s="186" t="s">
        <v>207</v>
      </c>
      <c r="F14" s="185">
        <f>ROUNDDOWN(IF(H5=TRUE,VLOOKUP($D$5,가격테이블!$B$4:$L$54,6,0),0)/1000,0)</f>
        <v>0</v>
      </c>
      <c r="G14" s="185">
        <f>F14*12</f>
        <v>0</v>
      </c>
      <c r="H14" s="76">
        <f>F14*24</f>
        <v>0</v>
      </c>
      <c r="I14" s="297" t="s">
        <v>217</v>
      </c>
      <c r="J14" s="298"/>
    </row>
    <row r="15" spans="2:10" ht="18.75" customHeight="1">
      <c r="D15" s="185"/>
      <c r="E15" s="186" t="s">
        <v>209</v>
      </c>
      <c r="F15" s="185">
        <f>ROUNDDOWN(IF(I5=TRUE,VLOOKUP($D$5,가격테이블!$B$4:$L$54,8,0),0)/1000,0)</f>
        <v>0</v>
      </c>
      <c r="G15" s="185">
        <f t="shared" ref="G15:G16" si="0">F15*12</f>
        <v>0</v>
      </c>
      <c r="H15" s="76">
        <f>F15*24</f>
        <v>0</v>
      </c>
      <c r="I15" s="297"/>
      <c r="J15" s="298"/>
    </row>
    <row r="16" spans="2:10" ht="18.75" customHeight="1">
      <c r="D16" s="185"/>
      <c r="E16" s="186" t="s">
        <v>223</v>
      </c>
      <c r="F16" s="185">
        <f>ROUNDDOWN(IF(J5=TRUE,VLOOKUP($D$5,가격테이블!$B$4:$L$54,10,0),0)/1000,0)</f>
        <v>100</v>
      </c>
      <c r="G16" s="185">
        <f t="shared" si="0"/>
        <v>1200</v>
      </c>
      <c r="H16" s="76">
        <f>F16*24</f>
        <v>2400</v>
      </c>
      <c r="I16" s="297"/>
      <c r="J16" s="298"/>
    </row>
    <row r="17" spans="3:10" ht="18.75" customHeight="1">
      <c r="D17" s="301" t="s">
        <v>221</v>
      </c>
      <c r="E17" s="302"/>
      <c r="F17" s="302"/>
      <c r="G17" s="305"/>
      <c r="H17" s="303">
        <f>ROUNDDOWN(H10+H13,0)</f>
        <v>42400</v>
      </c>
      <c r="I17" s="306" t="s">
        <v>219</v>
      </c>
      <c r="J17" s="307"/>
    </row>
    <row r="19" spans="3:10" ht="18.75" customHeight="1">
      <c r="C19" s="308" t="s">
        <v>251</v>
      </c>
    </row>
    <row r="20" spans="3:10" ht="18.75" customHeight="1">
      <c r="I20" s="136" t="s">
        <v>218</v>
      </c>
    </row>
    <row r="21" spans="3:10" ht="18.75" customHeight="1">
      <c r="D21" s="207" t="s">
        <v>205</v>
      </c>
      <c r="E21" s="208"/>
      <c r="F21" s="183" t="s">
        <v>253</v>
      </c>
      <c r="G21" s="183" t="s">
        <v>254</v>
      </c>
      <c r="H21" s="183" t="s">
        <v>195</v>
      </c>
      <c r="I21" s="183" t="s">
        <v>196</v>
      </c>
    </row>
    <row r="22" spans="3:10" ht="18.75" customHeight="1">
      <c r="D22" s="187" t="s">
        <v>214</v>
      </c>
      <c r="E22" s="188"/>
      <c r="F22" s="192">
        <f>ROUNDDOWN(F23+F24,0)</f>
        <v>40000</v>
      </c>
      <c r="G22" s="192">
        <f>ROUNDDOWN(G23+G24,0)</f>
        <v>32400</v>
      </c>
      <c r="H22" s="192">
        <f t="shared" ref="G22:I22" si="1">ROUNDDOWN(H23+H24,0)</f>
        <v>7600</v>
      </c>
      <c r="I22" s="254">
        <f>IFERROR(H22/F22,0)</f>
        <v>0.19</v>
      </c>
    </row>
    <row r="23" spans="3:10" ht="18.75" customHeight="1">
      <c r="D23" s="179"/>
      <c r="E23" s="180" t="s">
        <v>206</v>
      </c>
      <c r="F23" s="74">
        <f>H11</f>
        <v>40000</v>
      </c>
      <c r="G23" s="74">
        <f>(VLOOKUP($D$5,가격테이블!$B$4:$L$54,3,0))/1000</f>
        <v>32400</v>
      </c>
      <c r="H23" s="74">
        <f>F23-G23</f>
        <v>7600</v>
      </c>
      <c r="I23" s="255">
        <f t="shared" ref="I23:I29" si="2">IFERROR(H23/F23,0)</f>
        <v>0.19</v>
      </c>
    </row>
    <row r="24" spans="3:10" ht="18.75" customHeight="1">
      <c r="D24" s="181"/>
      <c r="E24" s="182" t="s">
        <v>208</v>
      </c>
      <c r="F24" s="75">
        <f>H12</f>
        <v>0</v>
      </c>
      <c r="G24" s="75">
        <f>(IF(H5=TRUE,VLOOKUP($D$5,가격테이블!$B$4:$L$54,5,0),0))/1000</f>
        <v>0</v>
      </c>
      <c r="H24" s="74">
        <f>F24-G24</f>
        <v>0</v>
      </c>
      <c r="I24" s="256">
        <f t="shared" si="2"/>
        <v>0</v>
      </c>
    </row>
    <row r="25" spans="3:10" ht="18.75" customHeight="1">
      <c r="D25" s="187" t="s">
        <v>215</v>
      </c>
      <c r="E25" s="188"/>
      <c r="F25" s="73">
        <f>F26+F27+F28</f>
        <v>2400</v>
      </c>
      <c r="G25" s="73">
        <f t="shared" ref="G25:I25" si="3">G26+G27+G28</f>
        <v>1920</v>
      </c>
      <c r="H25" s="73">
        <f t="shared" si="3"/>
        <v>480</v>
      </c>
      <c r="I25" s="254">
        <f t="shared" si="2"/>
        <v>0.2</v>
      </c>
    </row>
    <row r="26" spans="3:10" ht="18.75" customHeight="1">
      <c r="D26" s="185"/>
      <c r="E26" s="186" t="s">
        <v>207</v>
      </c>
      <c r="F26" s="76">
        <f>H14</f>
        <v>0</v>
      </c>
      <c r="G26" s="76">
        <f>ROUNDDOWN(IF(H5=TRUE,VLOOKUP($D$5,가격테이블!$B$4:$L$54,7,0),0)/1000,0)*24</f>
        <v>0</v>
      </c>
      <c r="H26" s="76">
        <f>F26-G26</f>
        <v>0</v>
      </c>
      <c r="I26" s="257">
        <f t="shared" si="2"/>
        <v>0</v>
      </c>
    </row>
    <row r="27" spans="3:10" ht="18.75" customHeight="1">
      <c r="D27" s="185"/>
      <c r="E27" s="186" t="s">
        <v>209</v>
      </c>
      <c r="F27" s="76">
        <f>H15</f>
        <v>0</v>
      </c>
      <c r="G27" s="76">
        <f>ROUNDDOWN(IF(I5=TRUE,VLOOKUP($D$5,가격테이블!$B$4:$L$54,9,0),0)/1000,0)*24</f>
        <v>0</v>
      </c>
      <c r="H27" s="76">
        <f t="shared" ref="H27:H28" si="4">F27-G27</f>
        <v>0</v>
      </c>
      <c r="I27" s="257">
        <f t="shared" si="2"/>
        <v>0</v>
      </c>
    </row>
    <row r="28" spans="3:10" ht="18.75" customHeight="1">
      <c r="D28" s="185"/>
      <c r="E28" s="186" t="s">
        <v>223</v>
      </c>
      <c r="F28" s="76">
        <f>H16</f>
        <v>2400</v>
      </c>
      <c r="G28" s="76">
        <f>ROUNDDOWN(IF(J5=TRUE,VLOOKUP($D$5,가격테이블!$B$4:$L$54,11,0),0)/1000,0)*24</f>
        <v>1920</v>
      </c>
      <c r="H28" s="76">
        <f t="shared" si="4"/>
        <v>480</v>
      </c>
      <c r="I28" s="257">
        <f t="shared" si="2"/>
        <v>0.2</v>
      </c>
    </row>
    <row r="29" spans="3:10" ht="18.75" customHeight="1">
      <c r="D29" s="301" t="s">
        <v>221</v>
      </c>
      <c r="E29" s="302"/>
      <c r="F29" s="303">
        <f>ROUNDDOWN(F22+F25,0)</f>
        <v>42400</v>
      </c>
      <c r="G29" s="303">
        <f t="shared" ref="G29:H29" si="5">ROUNDDOWN(G22+G25,0)</f>
        <v>34320</v>
      </c>
      <c r="H29" s="303">
        <f t="shared" si="5"/>
        <v>8080</v>
      </c>
      <c r="I29" s="304">
        <f t="shared" si="2"/>
        <v>0.19056603773584907</v>
      </c>
    </row>
  </sheetData>
  <mergeCells count="5">
    <mergeCell ref="I9:J9"/>
    <mergeCell ref="D9:E9"/>
    <mergeCell ref="D21:E21"/>
    <mergeCell ref="D17:G17"/>
    <mergeCell ref="D29:E29"/>
  </mergeCells>
  <phoneticPr fontId="5"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7" r:id="rId4" name="Check Box 5">
              <controlPr defaultSize="0" autoFill="0" autoLine="0" autoPict="0">
                <anchor moveWithCells="1">
                  <from>
                    <xdr:col>7</xdr:col>
                    <xdr:colOff>695325</xdr:colOff>
                    <xdr:row>4</xdr:row>
                    <xdr:rowOff>19050</xdr:rowOff>
                  </from>
                  <to>
                    <xdr:col>8</xdr:col>
                    <xdr:colOff>962025</xdr:colOff>
                    <xdr:row>4</xdr:row>
                    <xdr:rowOff>314325</xdr:rowOff>
                  </to>
                </anchor>
              </controlPr>
            </control>
          </mc:Choice>
        </mc:AlternateContent>
        <mc:AlternateContent xmlns:mc="http://schemas.openxmlformats.org/markup-compatibility/2006">
          <mc:Choice Requires="x14">
            <control shapeId="8198" r:id="rId5" name="Check Box 6">
              <controlPr defaultSize="0" autoFill="0" autoLine="0" autoPict="0">
                <anchor moveWithCells="1">
                  <from>
                    <xdr:col>8</xdr:col>
                    <xdr:colOff>904875</xdr:colOff>
                    <xdr:row>4</xdr:row>
                    <xdr:rowOff>19050</xdr:rowOff>
                  </from>
                  <to>
                    <xdr:col>9</xdr:col>
                    <xdr:colOff>1152525</xdr:colOff>
                    <xdr:row>4</xdr:row>
                    <xdr:rowOff>276225</xdr:rowOff>
                  </to>
                </anchor>
              </controlPr>
            </control>
          </mc:Choice>
        </mc:AlternateContent>
        <mc:AlternateContent xmlns:mc="http://schemas.openxmlformats.org/markup-compatibility/2006">
          <mc:Choice Requires="x14">
            <control shapeId="8199" r:id="rId6" name="Check Box 7">
              <controlPr defaultSize="0" autoFill="0" autoLine="0" autoPict="0">
                <anchor moveWithCells="1">
                  <from>
                    <xdr:col>9</xdr:col>
                    <xdr:colOff>1104900</xdr:colOff>
                    <xdr:row>4</xdr:row>
                    <xdr:rowOff>19050</xdr:rowOff>
                  </from>
                  <to>
                    <xdr:col>9</xdr:col>
                    <xdr:colOff>2400300</xdr:colOff>
                    <xdr:row>4</xdr:row>
                    <xdr:rowOff>276225</xdr:rowOff>
                  </to>
                </anchor>
              </controlPr>
            </control>
          </mc:Choice>
        </mc:AlternateContent>
        <mc:AlternateContent xmlns:mc="http://schemas.openxmlformats.org/markup-compatibility/2006">
          <mc:Choice Requires="x14">
            <control shapeId="8201" r:id="rId7" name="Group Box 9">
              <controlPr defaultSize="0" autoFill="0" autoPict="0">
                <anchor moveWithCells="1">
                  <from>
                    <xdr:col>7</xdr:col>
                    <xdr:colOff>285750</xdr:colOff>
                    <xdr:row>3</xdr:row>
                    <xdr:rowOff>390525</xdr:rowOff>
                  </from>
                  <to>
                    <xdr:col>9</xdr:col>
                    <xdr:colOff>2638425</xdr:colOff>
                    <xdr:row>5</xdr:row>
                    <xdr:rowOff>47625</xdr:rowOff>
                  </to>
                </anchor>
              </controlPr>
            </control>
          </mc:Choice>
        </mc:AlternateContent>
        <mc:AlternateContent xmlns:mc="http://schemas.openxmlformats.org/markup-compatibility/2006">
          <mc:Choice Requires="x14">
            <control shapeId="8214" r:id="rId8" name="Scroll Bar 22">
              <controlPr defaultSize="0" autoPict="0">
                <anchor moveWithCells="1">
                  <from>
                    <xdr:col>4</xdr:col>
                    <xdr:colOff>47625</xdr:colOff>
                    <xdr:row>4</xdr:row>
                    <xdr:rowOff>0</xdr:rowOff>
                  </from>
                  <to>
                    <xdr:col>5</xdr:col>
                    <xdr:colOff>219075</xdr:colOff>
                    <xdr:row>4</xdr:row>
                    <xdr:rowOff>257175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7621E-C058-415B-A615-D5C95410A4B9}">
  <sheetPr codeName="Sheet7">
    <tabColor theme="1"/>
  </sheetPr>
  <dimension ref="A1"/>
  <sheetViews>
    <sheetView workbookViewId="0">
      <selection activeCell="E36" sqref="E36"/>
    </sheetView>
  </sheetViews>
  <sheetFormatPr defaultRowHeight="14.25"/>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FA02D-FCB3-4C35-B596-A6D0D682C326}">
  <sheetPr codeName="Sheet6">
    <pageSetUpPr fitToPage="1"/>
  </sheetPr>
  <dimension ref="B2:AC54"/>
  <sheetViews>
    <sheetView zoomScale="70" zoomScaleNormal="70" workbookViewId="0">
      <pane xSplit="2" ySplit="4" topLeftCell="I22" activePane="bottomRight" state="frozen"/>
      <selection pane="topRight" activeCell="C1" sqref="C1"/>
      <selection pane="bottomLeft" activeCell="A7" sqref="A7"/>
      <selection pane="bottomRight" activeCell="Q54" sqref="Q35:Q54"/>
    </sheetView>
  </sheetViews>
  <sheetFormatPr defaultRowHeight="16.5"/>
  <cols>
    <col min="1" max="1" width="4.25" style="95" customWidth="1"/>
    <col min="2" max="2" width="9" style="95"/>
    <col min="3" max="22" width="15.75" style="95" customWidth="1"/>
    <col min="23" max="23" width="9" style="95"/>
    <col min="24" max="30" width="15.75" style="95" customWidth="1"/>
    <col min="31" max="16384" width="9" style="95"/>
  </cols>
  <sheetData>
    <row r="2" spans="2:29">
      <c r="B2" s="95" t="s">
        <v>147</v>
      </c>
    </row>
    <row r="3" spans="2:29">
      <c r="B3" s="129"/>
      <c r="C3" s="196" t="s">
        <v>180</v>
      </c>
      <c r="D3" s="196"/>
      <c r="E3" s="195" t="s">
        <v>146</v>
      </c>
      <c r="F3" s="196"/>
      <c r="G3" s="196"/>
      <c r="H3" s="197"/>
      <c r="I3" s="196" t="s">
        <v>145</v>
      </c>
      <c r="J3" s="196"/>
      <c r="K3" s="195" t="s">
        <v>183</v>
      </c>
      <c r="L3" s="197"/>
      <c r="M3" s="195" t="s">
        <v>227</v>
      </c>
      <c r="N3" s="196"/>
      <c r="O3" s="196"/>
      <c r="P3" s="197"/>
      <c r="Q3" s="196" t="s">
        <v>228</v>
      </c>
      <c r="R3" s="196"/>
      <c r="S3" s="196"/>
      <c r="T3" s="196"/>
      <c r="U3" s="195" t="s">
        <v>237</v>
      </c>
      <c r="V3" s="197"/>
      <c r="W3" s="195" t="s">
        <v>192</v>
      </c>
      <c r="X3" s="196"/>
      <c r="Y3" s="196"/>
      <c r="Z3" s="196"/>
      <c r="AA3" s="196"/>
      <c r="AB3" s="196"/>
      <c r="AC3" s="197"/>
    </row>
    <row r="4" spans="2:29" s="263" customFormat="1">
      <c r="B4" s="260" t="s">
        <v>78</v>
      </c>
      <c r="C4" s="261" t="s">
        <v>181</v>
      </c>
      <c r="D4" s="261" t="s">
        <v>182</v>
      </c>
      <c r="E4" s="260" t="s">
        <v>181</v>
      </c>
      <c r="F4" s="261" t="s">
        <v>182</v>
      </c>
      <c r="G4" s="261" t="s">
        <v>148</v>
      </c>
      <c r="H4" s="262" t="s">
        <v>149</v>
      </c>
      <c r="I4" s="261" t="s">
        <v>148</v>
      </c>
      <c r="J4" s="261" t="s">
        <v>149</v>
      </c>
      <c r="K4" s="260" t="s">
        <v>148</v>
      </c>
      <c r="L4" s="262" t="s">
        <v>149</v>
      </c>
      <c r="M4" s="260" t="s">
        <v>231</v>
      </c>
      <c r="N4" s="261" t="s">
        <v>232</v>
      </c>
      <c r="O4" s="261" t="s">
        <v>224</v>
      </c>
      <c r="P4" s="262" t="s">
        <v>225</v>
      </c>
      <c r="Q4" s="261" t="s">
        <v>230</v>
      </c>
      <c r="R4" s="261" t="s">
        <v>229</v>
      </c>
      <c r="S4" s="261" t="s">
        <v>224</v>
      </c>
      <c r="T4" s="261" t="s">
        <v>225</v>
      </c>
      <c r="U4" s="260" t="s">
        <v>240</v>
      </c>
      <c r="V4" s="262" t="s">
        <v>241</v>
      </c>
      <c r="W4" s="261" t="s">
        <v>78</v>
      </c>
      <c r="X4" s="261" t="s">
        <v>233</v>
      </c>
      <c r="Y4" s="261" t="s">
        <v>234</v>
      </c>
      <c r="Z4" s="260" t="s">
        <v>235</v>
      </c>
      <c r="AA4" s="262" t="s">
        <v>236</v>
      </c>
      <c r="AB4" s="260" t="s">
        <v>239</v>
      </c>
      <c r="AC4" s="262" t="s">
        <v>238</v>
      </c>
    </row>
    <row r="5" spans="2:29">
      <c r="B5" s="132">
        <v>1</v>
      </c>
      <c r="C5" s="105">
        <v>18600000</v>
      </c>
      <c r="D5" s="105">
        <v>15200000</v>
      </c>
      <c r="E5" s="104">
        <v>3541200</v>
      </c>
      <c r="F5" s="105">
        <f t="shared" ref="F5:F36" si="0">E5/1.2</f>
        <v>2951000</v>
      </c>
      <c r="G5" s="105">
        <f>18400+((B5-1)*4700)</f>
        <v>18400</v>
      </c>
      <c r="H5" s="106">
        <f>ROUND(G5/1.2,-2)</f>
        <v>15300</v>
      </c>
      <c r="I5" s="105">
        <f>IF(B5 &lt;= 12, 200000, ROUNDUP(B5/3,0) * 50000)</f>
        <v>200000</v>
      </c>
      <c r="J5" s="105">
        <f>IF(B5 &lt;= 12, (35200+6500)*4, ROUNDUP(B5/3,0) * (35200+6500))</f>
        <v>166800</v>
      </c>
      <c r="K5" s="104">
        <f>IF(B5 &lt;= 12, 100000, ROUNDUP(B5/3,0) * 30000)</f>
        <v>100000</v>
      </c>
      <c r="L5" s="106">
        <f>IF(B5 &lt;= 12, 80000, ROUNDUP(B5/3,0) * 26000)</f>
        <v>80000</v>
      </c>
      <c r="M5" s="104">
        <f>C5+E5</f>
        <v>22141200</v>
      </c>
      <c r="N5" s="105">
        <f>D5+F5</f>
        <v>18151000</v>
      </c>
      <c r="O5" s="105">
        <f>M5-N5</f>
        <v>3990200</v>
      </c>
      <c r="P5" s="266">
        <f>O5/M5</f>
        <v>0.18021606778313731</v>
      </c>
      <c r="Q5" s="105">
        <f>(G5+I5+K5)*24</f>
        <v>7641600</v>
      </c>
      <c r="R5" s="105">
        <f>(H5+J5+L5)*24</f>
        <v>6290400</v>
      </c>
      <c r="S5" s="105">
        <f>Q5-R5</f>
        <v>1351200</v>
      </c>
      <c r="T5" s="133">
        <f>S5/Q5</f>
        <v>0.176821608040201</v>
      </c>
      <c r="U5" s="127">
        <f>M5+Q5</f>
        <v>29782800</v>
      </c>
      <c r="V5" s="281">
        <f>N5+R5</f>
        <v>24441400</v>
      </c>
      <c r="W5" s="112">
        <v>1</v>
      </c>
      <c r="X5" s="277">
        <f>M5/$W$5</f>
        <v>22141200</v>
      </c>
      <c r="Y5" s="277">
        <f>N5/$W$5</f>
        <v>18151000</v>
      </c>
      <c r="Z5" s="127">
        <f>Q5/$W$5</f>
        <v>7641600</v>
      </c>
      <c r="AA5" s="281">
        <f>R5/$W$5</f>
        <v>6290400</v>
      </c>
      <c r="AB5" s="127">
        <f>U5/W5</f>
        <v>29782800</v>
      </c>
      <c r="AC5" s="281">
        <f>V5/W5</f>
        <v>24441400</v>
      </c>
    </row>
    <row r="6" spans="2:29">
      <c r="B6" s="264">
        <v>2</v>
      </c>
      <c r="C6" s="267">
        <v>25500000</v>
      </c>
      <c r="D6" s="267">
        <v>20800000</v>
      </c>
      <c r="E6" s="268">
        <v>3863200</v>
      </c>
      <c r="F6" s="267">
        <f t="shared" si="0"/>
        <v>3219333.3333333335</v>
      </c>
      <c r="G6" s="267">
        <f>18400+((B6-1)*4700)</f>
        <v>23100</v>
      </c>
      <c r="H6" s="269">
        <f t="shared" ref="H6:H54" si="1">ROUND(G6/1.2,-2)</f>
        <v>19300</v>
      </c>
      <c r="I6" s="267">
        <f>IF(B6 &lt;= 12, 200000, ROUNDUP(B6/3,0) * 50000)</f>
        <v>200000</v>
      </c>
      <c r="J6" s="267">
        <f>IF(B6 &lt;= 12, (35200+6500)*4, ROUNDUP(B6/3,0) * (35200+6500))</f>
        <v>166800</v>
      </c>
      <c r="K6" s="268">
        <f>IF(B6 &lt;= 12, 100000, ROUNDUP(B6/3,0) * 30000)</f>
        <v>100000</v>
      </c>
      <c r="L6" s="269">
        <f>IF(B6 &lt;= 12, 80000, ROUNDUP(B6/3,0) * 26000)</f>
        <v>80000</v>
      </c>
      <c r="M6" s="268">
        <f t="shared" ref="M6:M54" si="2">C6+E6</f>
        <v>29363200</v>
      </c>
      <c r="N6" s="267">
        <f t="shared" ref="N6:N54" si="3">D6+F6</f>
        <v>24019333.333333332</v>
      </c>
      <c r="O6" s="267">
        <f t="shared" ref="O6:O54" si="4">M6-N6</f>
        <v>5343866.6666666679</v>
      </c>
      <c r="P6" s="270">
        <f t="shared" ref="P6:P54" si="5">O6/M6</f>
        <v>0.18199197181052024</v>
      </c>
      <c r="Q6" s="267">
        <f t="shared" ref="Q6:Q54" si="6">(G6+I6+K6)*24</f>
        <v>7754400</v>
      </c>
      <c r="R6" s="267">
        <f t="shared" ref="R6:R54" si="7">(H6+J6+L6)*24</f>
        <v>6386400</v>
      </c>
      <c r="S6" s="267">
        <f t="shared" ref="S6:S54" si="8">Q6-R6</f>
        <v>1368000</v>
      </c>
      <c r="T6" s="271">
        <f t="shared" ref="T6:T54" si="9">S6/Q6</f>
        <v>0.17641597028783659</v>
      </c>
      <c r="U6" s="282">
        <f t="shared" ref="U6:U54" si="10">M6+Q6</f>
        <v>37117600</v>
      </c>
      <c r="V6" s="283">
        <f t="shared" ref="V6:V54" si="11">N6+R6</f>
        <v>30405733.333333332</v>
      </c>
      <c r="W6" s="113">
        <v>2</v>
      </c>
      <c r="X6" s="278">
        <f>M6/$W$6</f>
        <v>14681600</v>
      </c>
      <c r="Y6" s="278">
        <f>N6/$W$6</f>
        <v>12009666.666666666</v>
      </c>
      <c r="Z6" s="127">
        <f>Q6/$W$6</f>
        <v>3877200</v>
      </c>
      <c r="AA6" s="281">
        <f>R6/$W$6</f>
        <v>3193200</v>
      </c>
      <c r="AB6" s="282">
        <f t="shared" ref="AB6:AC9" si="12">U6/W6</f>
        <v>18558800</v>
      </c>
      <c r="AC6" s="283">
        <f t="shared" ref="AC6:AC8" si="13">V6/W6</f>
        <v>15202866.666666666</v>
      </c>
    </row>
    <row r="7" spans="2:29">
      <c r="B7" s="264">
        <v>3</v>
      </c>
      <c r="C7" s="267">
        <v>32400000</v>
      </c>
      <c r="D7" s="267">
        <v>26300000</v>
      </c>
      <c r="E7" s="268">
        <v>4406400</v>
      </c>
      <c r="F7" s="267">
        <f t="shared" si="0"/>
        <v>3672000</v>
      </c>
      <c r="G7" s="267">
        <f>18400+((B7-1)*4700)</f>
        <v>27800</v>
      </c>
      <c r="H7" s="269">
        <f t="shared" si="1"/>
        <v>23200</v>
      </c>
      <c r="I7" s="267">
        <f>IF(B7 &lt;= 12, 200000, ROUNDUP(B7/3,0) * 50000)</f>
        <v>200000</v>
      </c>
      <c r="J7" s="267">
        <f>IF(B7 &lt;= 12, (35200+6500)*4, ROUNDUP(B7/3,0) * (35200+6500))</f>
        <v>166800</v>
      </c>
      <c r="K7" s="268">
        <f>IF(B7 &lt;= 12, 100000, ROUNDUP(B7/3,0) * 30000)</f>
        <v>100000</v>
      </c>
      <c r="L7" s="269">
        <f>IF(B7 &lt;= 12, 80000, ROUNDUP(B7/3,0) * 26000)</f>
        <v>80000</v>
      </c>
      <c r="M7" s="268">
        <f t="shared" si="2"/>
        <v>36806400</v>
      </c>
      <c r="N7" s="267">
        <f t="shared" si="3"/>
        <v>29972000</v>
      </c>
      <c r="O7" s="267">
        <f t="shared" si="4"/>
        <v>6834400</v>
      </c>
      <c r="P7" s="270">
        <f t="shared" si="5"/>
        <v>0.18568509824378368</v>
      </c>
      <c r="Q7" s="267">
        <f t="shared" si="6"/>
        <v>7867200</v>
      </c>
      <c r="R7" s="267">
        <f t="shared" si="7"/>
        <v>6480000</v>
      </c>
      <c r="S7" s="267">
        <f t="shared" si="8"/>
        <v>1387200</v>
      </c>
      <c r="T7" s="271">
        <f t="shared" si="9"/>
        <v>0.17632702867602196</v>
      </c>
      <c r="U7" s="282">
        <f t="shared" si="10"/>
        <v>44673600</v>
      </c>
      <c r="V7" s="283">
        <f t="shared" si="11"/>
        <v>36452000</v>
      </c>
      <c r="W7" s="113">
        <v>3</v>
      </c>
      <c r="X7" s="278">
        <f>M7/$W$7</f>
        <v>12268800</v>
      </c>
      <c r="Y7" s="278">
        <f>N7/$W$7</f>
        <v>9990666.666666666</v>
      </c>
      <c r="Z7" s="127">
        <f>Q7/$W$7</f>
        <v>2622400</v>
      </c>
      <c r="AA7" s="281">
        <f>R7/$W$7</f>
        <v>2160000</v>
      </c>
      <c r="AB7" s="282">
        <f t="shared" si="12"/>
        <v>14891200</v>
      </c>
      <c r="AC7" s="283">
        <f t="shared" si="13"/>
        <v>12150666.666666666</v>
      </c>
    </row>
    <row r="8" spans="2:29">
      <c r="B8" s="264">
        <v>4</v>
      </c>
      <c r="C8" s="267">
        <v>40000000</v>
      </c>
      <c r="D8" s="267">
        <v>32400000</v>
      </c>
      <c r="E8" s="268">
        <v>5456400</v>
      </c>
      <c r="F8" s="267">
        <f t="shared" si="0"/>
        <v>4547000</v>
      </c>
      <c r="G8" s="267">
        <f>18400+((B8-1)*4700)</f>
        <v>32500</v>
      </c>
      <c r="H8" s="269">
        <f t="shared" si="1"/>
        <v>27100</v>
      </c>
      <c r="I8" s="267">
        <f>IF(B8 &lt;= 12, 200000, ROUNDUP(B8/3,0) * 50000)</f>
        <v>200000</v>
      </c>
      <c r="J8" s="267">
        <f>IF(B8 &lt;= 12, (35200+6500)*4, ROUNDUP(B8/3,0) * (35200+6500))</f>
        <v>166800</v>
      </c>
      <c r="K8" s="268">
        <f>IF(B8 &lt;= 12, 100000, ROUNDUP(B8/3,0) * 30000)</f>
        <v>100000</v>
      </c>
      <c r="L8" s="269">
        <f>IF(B8 &lt;= 12, 80000, ROUNDUP(B8/3,0) * 26000)</f>
        <v>80000</v>
      </c>
      <c r="M8" s="268">
        <f t="shared" si="2"/>
        <v>45456400</v>
      </c>
      <c r="N8" s="267">
        <f t="shared" si="3"/>
        <v>36947000</v>
      </c>
      <c r="O8" s="267">
        <f t="shared" si="4"/>
        <v>8509400</v>
      </c>
      <c r="P8" s="270">
        <f t="shared" si="5"/>
        <v>0.18719916227417921</v>
      </c>
      <c r="Q8" s="267">
        <f t="shared" si="6"/>
        <v>7980000</v>
      </c>
      <c r="R8" s="267">
        <f t="shared" si="7"/>
        <v>6573600</v>
      </c>
      <c r="S8" s="267">
        <f t="shared" si="8"/>
        <v>1406400</v>
      </c>
      <c r="T8" s="271">
        <f t="shared" si="9"/>
        <v>0.17624060150375939</v>
      </c>
      <c r="U8" s="282">
        <f t="shared" si="10"/>
        <v>53436400</v>
      </c>
      <c r="V8" s="283">
        <f t="shared" si="11"/>
        <v>43520600</v>
      </c>
      <c r="W8" s="113">
        <v>4</v>
      </c>
      <c r="X8" s="278">
        <f>M8/$W$8</f>
        <v>11364100</v>
      </c>
      <c r="Y8" s="278">
        <f>N8/$W$8</f>
        <v>9236750</v>
      </c>
      <c r="Z8" s="127">
        <f>Q8/$W$8</f>
        <v>1995000</v>
      </c>
      <c r="AA8" s="281">
        <f>R8/$W$8</f>
        <v>1643400</v>
      </c>
      <c r="AB8" s="282">
        <f t="shared" si="12"/>
        <v>13359100</v>
      </c>
      <c r="AC8" s="283">
        <f t="shared" si="13"/>
        <v>10880150</v>
      </c>
    </row>
    <row r="9" spans="2:29">
      <c r="B9" s="130">
        <v>5</v>
      </c>
      <c r="C9" s="102">
        <v>46900000</v>
      </c>
      <c r="D9" s="102">
        <v>38000000</v>
      </c>
      <c r="E9" s="101">
        <v>6946800</v>
      </c>
      <c r="F9" s="102">
        <f t="shared" si="0"/>
        <v>5789000</v>
      </c>
      <c r="G9" s="102">
        <f>18400+((B9-1)*4700)</f>
        <v>37200</v>
      </c>
      <c r="H9" s="103">
        <f t="shared" si="1"/>
        <v>31000</v>
      </c>
      <c r="I9" s="102">
        <f>IF(B9 &lt;= 12, 200000, ROUNDUP(B9/3,0) * 50000)</f>
        <v>200000</v>
      </c>
      <c r="J9" s="102">
        <f>IF(B9 &lt;= 12, (35200+6500)*4, ROUNDUP(B9/3,0) * (35200+6500))</f>
        <v>166800</v>
      </c>
      <c r="K9" s="101">
        <f>IF(B9 &lt;= 12, 100000, ROUNDUP(B9/3,0) * 30000)</f>
        <v>100000</v>
      </c>
      <c r="L9" s="103">
        <f>IF(B9 &lt;= 12, 80000, ROUNDUP(B9/3,0) * 26000)</f>
        <v>80000</v>
      </c>
      <c r="M9" s="101">
        <f t="shared" si="2"/>
        <v>53846800</v>
      </c>
      <c r="N9" s="102">
        <f t="shared" si="3"/>
        <v>43789000</v>
      </c>
      <c r="O9" s="102">
        <f t="shared" si="4"/>
        <v>10057800</v>
      </c>
      <c r="P9" s="265">
        <f t="shared" si="5"/>
        <v>0.18678547286003996</v>
      </c>
      <c r="Q9" s="102">
        <f t="shared" si="6"/>
        <v>8092800</v>
      </c>
      <c r="R9" s="102">
        <f t="shared" si="7"/>
        <v>6667200</v>
      </c>
      <c r="S9" s="102">
        <f t="shared" si="8"/>
        <v>1425600</v>
      </c>
      <c r="T9" s="131">
        <f t="shared" si="9"/>
        <v>0.17615658362989323</v>
      </c>
      <c r="U9" s="126">
        <f t="shared" si="10"/>
        <v>61939600</v>
      </c>
      <c r="V9" s="284">
        <f t="shared" si="11"/>
        <v>50456200</v>
      </c>
      <c r="W9" s="122">
        <v>5</v>
      </c>
      <c r="X9" s="279">
        <f>SUM(M9:M14)/SUM($W$9:$W$14)</f>
        <v>10023342.222222222</v>
      </c>
      <c r="Y9" s="279">
        <f t="shared" ref="Y9:AC9" si="14">SUM(N9:N14)/SUM($W$9:$W$14)</f>
        <v>8128711.111111111</v>
      </c>
      <c r="Z9" s="285">
        <f>SUM(Q9:Q14)/SUM($W$9:$W$14)</f>
        <v>1116640</v>
      </c>
      <c r="AA9" s="286">
        <f>SUM(R9:R14)/SUM($W$9:$W$14)</f>
        <v>920320</v>
      </c>
      <c r="AB9" s="126">
        <f>SUM(U9:U14)/SUM($W$9:$W$14)</f>
        <v>11139982.222222222</v>
      </c>
      <c r="AC9" s="284">
        <f>SUM(V9:V14)/SUM($W$9:$W$14)</f>
        <v>9049031.1111111119</v>
      </c>
    </row>
    <row r="10" spans="2:29">
      <c r="B10" s="130">
        <v>6</v>
      </c>
      <c r="C10" s="102">
        <v>53800000</v>
      </c>
      <c r="D10" s="102">
        <v>43500000</v>
      </c>
      <c r="E10" s="101">
        <v>7380000</v>
      </c>
      <c r="F10" s="102">
        <f t="shared" si="0"/>
        <v>6150000</v>
      </c>
      <c r="G10" s="102">
        <f>18400+((B10-1)*4700)</f>
        <v>41900</v>
      </c>
      <c r="H10" s="103">
        <f t="shared" si="1"/>
        <v>34900</v>
      </c>
      <c r="I10" s="102">
        <f>IF(B10 &lt;= 12, 200000, ROUNDUP(B10/3,0) * 50000)</f>
        <v>200000</v>
      </c>
      <c r="J10" s="102">
        <f>IF(B10 &lt;= 12, (35200+6500)*4, ROUNDUP(B10/3,0) * (35200+6500))</f>
        <v>166800</v>
      </c>
      <c r="K10" s="101">
        <f>IF(B10 &lt;= 12, 100000, ROUNDUP(B10/3,0) * 30000)</f>
        <v>100000</v>
      </c>
      <c r="L10" s="103">
        <f>IF(B10 &lt;= 12, 80000, ROUNDUP(B10/3,0) * 26000)</f>
        <v>80000</v>
      </c>
      <c r="M10" s="101">
        <f t="shared" si="2"/>
        <v>61180000</v>
      </c>
      <c r="N10" s="102">
        <f t="shared" si="3"/>
        <v>49650000</v>
      </c>
      <c r="O10" s="102">
        <f t="shared" si="4"/>
        <v>11530000</v>
      </c>
      <c r="P10" s="265">
        <f t="shared" si="5"/>
        <v>0.18846028113762667</v>
      </c>
      <c r="Q10" s="102">
        <f t="shared" si="6"/>
        <v>8205600</v>
      </c>
      <c r="R10" s="102">
        <f t="shared" si="7"/>
        <v>6760800</v>
      </c>
      <c r="S10" s="102">
        <f t="shared" si="8"/>
        <v>1444800</v>
      </c>
      <c r="T10" s="131">
        <f t="shared" si="9"/>
        <v>0.17607487569464755</v>
      </c>
      <c r="U10" s="126">
        <f t="shared" si="10"/>
        <v>69385600</v>
      </c>
      <c r="V10" s="284">
        <f t="shared" si="11"/>
        <v>56410800</v>
      </c>
      <c r="W10" s="122">
        <v>6</v>
      </c>
      <c r="X10" s="279"/>
      <c r="Y10" s="279"/>
      <c r="Z10" s="126"/>
      <c r="AA10" s="284"/>
      <c r="AB10" s="126"/>
      <c r="AC10" s="284"/>
    </row>
    <row r="11" spans="2:29">
      <c r="B11" s="130">
        <v>7</v>
      </c>
      <c r="C11" s="102">
        <v>61400000</v>
      </c>
      <c r="D11" s="102">
        <v>49600000</v>
      </c>
      <c r="E11" s="101">
        <v>8430000</v>
      </c>
      <c r="F11" s="102">
        <f t="shared" si="0"/>
        <v>7025000</v>
      </c>
      <c r="G11" s="102">
        <f>18400+((B11-1)*4700)</f>
        <v>46600</v>
      </c>
      <c r="H11" s="103">
        <f t="shared" si="1"/>
        <v>38800</v>
      </c>
      <c r="I11" s="102">
        <f>IF(B11 &lt;= 12, 200000, ROUNDUP(B11/3,0) * 50000)</f>
        <v>200000</v>
      </c>
      <c r="J11" s="102">
        <f>IF(B11 &lt;= 12, (35200+6500)*4, ROUNDUP(B11/3,0) * (35200+6500))</f>
        <v>166800</v>
      </c>
      <c r="K11" s="101">
        <f>IF(B11 &lt;= 12, 100000, ROUNDUP(B11/3,0) * 30000)</f>
        <v>100000</v>
      </c>
      <c r="L11" s="103">
        <f>IF(B11 &lt;= 12, 80000, ROUNDUP(B11/3,0) * 26000)</f>
        <v>80000</v>
      </c>
      <c r="M11" s="101">
        <f t="shared" si="2"/>
        <v>69830000</v>
      </c>
      <c r="N11" s="102">
        <f t="shared" si="3"/>
        <v>56625000</v>
      </c>
      <c r="O11" s="102">
        <f t="shared" si="4"/>
        <v>13205000</v>
      </c>
      <c r="P11" s="265">
        <f t="shared" si="5"/>
        <v>0.18910210511241587</v>
      </c>
      <c r="Q11" s="102">
        <f t="shared" si="6"/>
        <v>8318400</v>
      </c>
      <c r="R11" s="102">
        <f t="shared" si="7"/>
        <v>6854400</v>
      </c>
      <c r="S11" s="102">
        <f t="shared" si="8"/>
        <v>1464000</v>
      </c>
      <c r="T11" s="131">
        <f t="shared" si="9"/>
        <v>0.17599538372763993</v>
      </c>
      <c r="U11" s="126">
        <f t="shared" si="10"/>
        <v>78148400</v>
      </c>
      <c r="V11" s="284">
        <f t="shared" si="11"/>
        <v>63479400</v>
      </c>
      <c r="W11" s="122">
        <v>7</v>
      </c>
      <c r="X11" s="279"/>
      <c r="Y11" s="279"/>
      <c r="Z11" s="126"/>
      <c r="AA11" s="284"/>
      <c r="AB11" s="126"/>
      <c r="AC11" s="284"/>
    </row>
    <row r="12" spans="2:29">
      <c r="B12" s="130">
        <v>8</v>
      </c>
      <c r="C12" s="102">
        <v>68300000</v>
      </c>
      <c r="D12" s="102">
        <v>55100000</v>
      </c>
      <c r="E12" s="101">
        <v>8862000</v>
      </c>
      <c r="F12" s="102">
        <f t="shared" si="0"/>
        <v>7385000</v>
      </c>
      <c r="G12" s="102">
        <f>18400+((B12-1)*4700)</f>
        <v>51300</v>
      </c>
      <c r="H12" s="103">
        <f t="shared" si="1"/>
        <v>42800</v>
      </c>
      <c r="I12" s="102">
        <f>IF(B12 &lt;= 12, 200000, ROUNDUP(B12/3,0) * 50000)</f>
        <v>200000</v>
      </c>
      <c r="J12" s="102">
        <f>IF(B12 &lt;= 12, (35200+6500)*4, ROUNDUP(B12/3,0) * (35200+6500))</f>
        <v>166800</v>
      </c>
      <c r="K12" s="101">
        <f>IF(B12 &lt;= 12, 100000, ROUNDUP(B12/3,0) * 30000)</f>
        <v>100000</v>
      </c>
      <c r="L12" s="103">
        <f>IF(B12 &lt;= 12, 80000, ROUNDUP(B12/3,0) * 26000)</f>
        <v>80000</v>
      </c>
      <c r="M12" s="101">
        <f t="shared" si="2"/>
        <v>77162000</v>
      </c>
      <c r="N12" s="102">
        <f t="shared" si="3"/>
        <v>62485000</v>
      </c>
      <c r="O12" s="102">
        <f t="shared" si="4"/>
        <v>14677000</v>
      </c>
      <c r="P12" s="265">
        <f t="shared" si="5"/>
        <v>0.19021020709675748</v>
      </c>
      <c r="Q12" s="102">
        <f t="shared" si="6"/>
        <v>8431200</v>
      </c>
      <c r="R12" s="102">
        <f t="shared" si="7"/>
        <v>6950400</v>
      </c>
      <c r="S12" s="102">
        <f t="shared" si="8"/>
        <v>1480800</v>
      </c>
      <c r="T12" s="131">
        <f t="shared" si="9"/>
        <v>0.17563336179903216</v>
      </c>
      <c r="U12" s="126">
        <f t="shared" si="10"/>
        <v>85593200</v>
      </c>
      <c r="V12" s="284">
        <f t="shared" si="11"/>
        <v>69435400</v>
      </c>
      <c r="W12" s="122">
        <v>8</v>
      </c>
      <c r="X12" s="279"/>
      <c r="Y12" s="279"/>
      <c r="Z12" s="126"/>
      <c r="AA12" s="284"/>
      <c r="AB12" s="126"/>
      <c r="AC12" s="284"/>
    </row>
    <row r="13" spans="2:29">
      <c r="B13" s="130">
        <v>9</v>
      </c>
      <c r="C13" s="102">
        <v>79500000</v>
      </c>
      <c r="D13" s="102">
        <v>64200000</v>
      </c>
      <c r="E13" s="101">
        <v>9295200</v>
      </c>
      <c r="F13" s="102">
        <f t="shared" si="0"/>
        <v>7746000</v>
      </c>
      <c r="G13" s="102">
        <f>18400+((B13-1)*4700)</f>
        <v>56000</v>
      </c>
      <c r="H13" s="103">
        <f t="shared" si="1"/>
        <v>46700</v>
      </c>
      <c r="I13" s="102">
        <f>IF(B13 &lt;= 12, 200000, ROUNDUP(B13/3,0) * 50000)</f>
        <v>200000</v>
      </c>
      <c r="J13" s="102">
        <f>IF(B13 &lt;= 12, (35200+6500)*4, ROUNDUP(B13/3,0) * (35200+6500))</f>
        <v>166800</v>
      </c>
      <c r="K13" s="101">
        <f>IF(B13 &lt;= 12, 100000, ROUNDUP(B13/3,0) * 30000)</f>
        <v>100000</v>
      </c>
      <c r="L13" s="103">
        <f>IF(B13 &lt;= 12, 80000, ROUNDUP(B13/3,0) * 26000)</f>
        <v>80000</v>
      </c>
      <c r="M13" s="101">
        <f t="shared" si="2"/>
        <v>88795200</v>
      </c>
      <c r="N13" s="102">
        <f t="shared" si="3"/>
        <v>71946000</v>
      </c>
      <c r="O13" s="102">
        <f t="shared" si="4"/>
        <v>16849200</v>
      </c>
      <c r="P13" s="265">
        <f t="shared" si="5"/>
        <v>0.18975350018919943</v>
      </c>
      <c r="Q13" s="102">
        <f t="shared" si="6"/>
        <v>8544000</v>
      </c>
      <c r="R13" s="102">
        <f t="shared" si="7"/>
        <v>7044000</v>
      </c>
      <c r="S13" s="102">
        <f t="shared" si="8"/>
        <v>1500000</v>
      </c>
      <c r="T13" s="131">
        <f t="shared" si="9"/>
        <v>0.175561797752809</v>
      </c>
      <c r="U13" s="126">
        <f t="shared" si="10"/>
        <v>97339200</v>
      </c>
      <c r="V13" s="284">
        <f t="shared" si="11"/>
        <v>78990000</v>
      </c>
      <c r="W13" s="122">
        <v>9</v>
      </c>
      <c r="X13" s="279"/>
      <c r="Y13" s="279"/>
      <c r="Z13" s="126"/>
      <c r="AA13" s="284"/>
      <c r="AB13" s="126"/>
      <c r="AC13" s="284"/>
    </row>
    <row r="14" spans="2:29">
      <c r="B14" s="130">
        <v>10</v>
      </c>
      <c r="C14" s="102">
        <v>87400000</v>
      </c>
      <c r="D14" s="102">
        <v>70600000</v>
      </c>
      <c r="E14" s="101">
        <f>E5+$E$13</f>
        <v>12836400</v>
      </c>
      <c r="F14" s="102">
        <f t="shared" si="0"/>
        <v>10697000</v>
      </c>
      <c r="G14" s="102">
        <f>18400+((B14-1)*4700)</f>
        <v>60700</v>
      </c>
      <c r="H14" s="103">
        <f t="shared" si="1"/>
        <v>50600</v>
      </c>
      <c r="I14" s="102">
        <f>IF(B14 &lt;= 12, 200000, ROUNDUP(B14/3,0) * 50000)</f>
        <v>200000</v>
      </c>
      <c r="J14" s="102">
        <f>IF(B14 &lt;= 12, (35200+6500)*4, ROUNDUP(B14/3,0) * (35200+6500))</f>
        <v>166800</v>
      </c>
      <c r="K14" s="101">
        <f>IF(B14 &lt;= 12, 100000, ROUNDUP(B14/3,0) * 30000)</f>
        <v>100000</v>
      </c>
      <c r="L14" s="103">
        <f>IF(B14 &lt;= 12, 80000, ROUNDUP(B14/3,0) * 26000)</f>
        <v>80000</v>
      </c>
      <c r="M14" s="101">
        <f t="shared" si="2"/>
        <v>100236400</v>
      </c>
      <c r="N14" s="102">
        <f t="shared" si="3"/>
        <v>81297000</v>
      </c>
      <c r="O14" s="102">
        <f t="shared" si="4"/>
        <v>18939400</v>
      </c>
      <c r="P14" s="265">
        <f t="shared" si="5"/>
        <v>0.18894732851538962</v>
      </c>
      <c r="Q14" s="102">
        <f t="shared" si="6"/>
        <v>8656800</v>
      </c>
      <c r="R14" s="102">
        <f t="shared" si="7"/>
        <v>7137600</v>
      </c>
      <c r="S14" s="102">
        <f t="shared" si="8"/>
        <v>1519200</v>
      </c>
      <c r="T14" s="131">
        <f t="shared" si="9"/>
        <v>0.1754920986969781</v>
      </c>
      <c r="U14" s="126">
        <f t="shared" si="10"/>
        <v>108893200</v>
      </c>
      <c r="V14" s="284">
        <f t="shared" si="11"/>
        <v>88434600</v>
      </c>
      <c r="W14" s="122">
        <v>10</v>
      </c>
      <c r="X14" s="279"/>
      <c r="Y14" s="279"/>
      <c r="Z14" s="126"/>
      <c r="AA14" s="284"/>
      <c r="AB14" s="126"/>
      <c r="AC14" s="284"/>
    </row>
    <row r="15" spans="2:29">
      <c r="B15" s="129">
        <v>11</v>
      </c>
      <c r="C15" s="272">
        <v>94500000</v>
      </c>
      <c r="D15" s="272">
        <v>76300000</v>
      </c>
      <c r="E15" s="273">
        <f t="shared" ref="E15:E54" si="15">E6+$E$13</f>
        <v>13158400</v>
      </c>
      <c r="F15" s="272">
        <f t="shared" si="0"/>
        <v>10965333.333333334</v>
      </c>
      <c r="G15" s="272">
        <f>18400+((B15-1)*4700)</f>
        <v>65400</v>
      </c>
      <c r="H15" s="274">
        <f t="shared" si="1"/>
        <v>54500</v>
      </c>
      <c r="I15" s="272">
        <f>IF(B15 &lt;= 12, 200000, ROUNDUP(B15/3,0) * 50000)</f>
        <v>200000</v>
      </c>
      <c r="J15" s="272">
        <f>IF(B15 &lt;= 12, (35200+6500)*4, ROUNDUP(B15/3,0) * (35200+6500))</f>
        <v>166800</v>
      </c>
      <c r="K15" s="273">
        <f>IF(B15 &lt;= 12, 100000, ROUNDUP(B15/3,0) * 30000)</f>
        <v>100000</v>
      </c>
      <c r="L15" s="274">
        <f>IF(B15 &lt;= 12, 80000, ROUNDUP(B15/3,0) * 26000)</f>
        <v>80000</v>
      </c>
      <c r="M15" s="273">
        <f t="shared" si="2"/>
        <v>107658400</v>
      </c>
      <c r="N15" s="272">
        <f t="shared" si="3"/>
        <v>87265333.333333328</v>
      </c>
      <c r="O15" s="272">
        <f t="shared" si="4"/>
        <v>20393066.666666672</v>
      </c>
      <c r="P15" s="275">
        <f t="shared" si="5"/>
        <v>0.18942383192269877</v>
      </c>
      <c r="Q15" s="272">
        <f t="shared" si="6"/>
        <v>8769600</v>
      </c>
      <c r="R15" s="272">
        <f t="shared" si="7"/>
        <v>7231200</v>
      </c>
      <c r="S15" s="272">
        <f t="shared" si="8"/>
        <v>1538400</v>
      </c>
      <c r="T15" s="276">
        <f t="shared" si="9"/>
        <v>0.17542419266557197</v>
      </c>
      <c r="U15" s="285">
        <f t="shared" si="10"/>
        <v>116428000</v>
      </c>
      <c r="V15" s="286">
        <f t="shared" si="11"/>
        <v>94496533.333333328</v>
      </c>
      <c r="W15" s="134">
        <v>11</v>
      </c>
      <c r="X15" s="280">
        <f>SUM(M15:M34)/SUM($W$15:$W$34)</f>
        <v>9533082.9268292692</v>
      </c>
      <c r="Y15" s="280">
        <f>SUM(N15:N34)/SUM($W$15:$W$34)</f>
        <v>7719195.1219512196</v>
      </c>
      <c r="Z15" s="285">
        <f>SUM(Q15:Q34)/SUM($W$15:$W$34)</f>
        <v>796156.09756097558</v>
      </c>
      <c r="AA15" s="286">
        <f>SUM(R15:R34)/SUM($W$15:$W$34)</f>
        <v>671262.43902439019</v>
      </c>
      <c r="AB15" s="285">
        <f>SUM(U15:U34)/SUM($W$15:$W$34)</f>
        <v>10329239.024390243</v>
      </c>
      <c r="AC15" s="286">
        <f>SUM(V15:V34)/SUM($W$15:$W$34)</f>
        <v>8390457.5609756093</v>
      </c>
    </row>
    <row r="16" spans="2:29">
      <c r="B16" s="130">
        <v>12</v>
      </c>
      <c r="C16" s="102">
        <v>101700000</v>
      </c>
      <c r="D16" s="102">
        <v>82100000</v>
      </c>
      <c r="E16" s="101">
        <f t="shared" si="15"/>
        <v>13701600</v>
      </c>
      <c r="F16" s="102">
        <f t="shared" si="0"/>
        <v>11418000</v>
      </c>
      <c r="G16" s="102">
        <f>18400+((B16-1)*4700)</f>
        <v>70100</v>
      </c>
      <c r="H16" s="103">
        <f t="shared" si="1"/>
        <v>58400</v>
      </c>
      <c r="I16" s="102">
        <f>IF(B16 &lt;= 12, 200000, ROUNDUP(B16/3,0) * 50000)</f>
        <v>200000</v>
      </c>
      <c r="J16" s="102">
        <f>IF(B16 &lt;= 12, (35200+6500)*4, ROUNDUP(B16/3,0) * (35200+6500))</f>
        <v>166800</v>
      </c>
      <c r="K16" s="101">
        <f>IF(B16 &lt;= 12, 100000, ROUNDUP(B16/3,0) * 30000)</f>
        <v>100000</v>
      </c>
      <c r="L16" s="103">
        <f>IF(B16 &lt;= 12, 80000, ROUNDUP(B16/3,0) * 26000)</f>
        <v>80000</v>
      </c>
      <c r="M16" s="101">
        <f t="shared" si="2"/>
        <v>115401600</v>
      </c>
      <c r="N16" s="102">
        <f t="shared" si="3"/>
        <v>93518000</v>
      </c>
      <c r="O16" s="102">
        <f t="shared" si="4"/>
        <v>21883600</v>
      </c>
      <c r="P16" s="265">
        <f t="shared" si="5"/>
        <v>0.18962995313756481</v>
      </c>
      <c r="Q16" s="102">
        <f t="shared" si="6"/>
        <v>8882400</v>
      </c>
      <c r="R16" s="102">
        <f t="shared" si="7"/>
        <v>7324800</v>
      </c>
      <c r="S16" s="102">
        <f t="shared" si="8"/>
        <v>1557600</v>
      </c>
      <c r="T16" s="131">
        <f t="shared" si="9"/>
        <v>0.17535801134828424</v>
      </c>
      <c r="U16" s="126">
        <f t="shared" si="10"/>
        <v>124284000</v>
      </c>
      <c r="V16" s="284">
        <f t="shared" si="11"/>
        <v>100842800</v>
      </c>
      <c r="W16" s="122">
        <v>12</v>
      </c>
      <c r="X16" s="279"/>
      <c r="Y16" s="279"/>
      <c r="Z16" s="126"/>
      <c r="AA16" s="284"/>
      <c r="AB16" s="126"/>
      <c r="AC16" s="284"/>
    </row>
    <row r="17" spans="2:29">
      <c r="B17" s="130">
        <v>13</v>
      </c>
      <c r="C17" s="102">
        <v>109600000</v>
      </c>
      <c r="D17" s="102">
        <v>88400000</v>
      </c>
      <c r="E17" s="101">
        <f t="shared" si="15"/>
        <v>14751600</v>
      </c>
      <c r="F17" s="102">
        <f t="shared" si="0"/>
        <v>12293000</v>
      </c>
      <c r="G17" s="102">
        <f>18400+((B17-1)*4700)</f>
        <v>74800</v>
      </c>
      <c r="H17" s="103">
        <f t="shared" si="1"/>
        <v>62300</v>
      </c>
      <c r="I17" s="102">
        <f>IF(B17 &lt;= 12, 200000, ROUNDUP(B17/3,0) * 50000)</f>
        <v>250000</v>
      </c>
      <c r="J17" s="102">
        <f>IF(B17 &lt;= 12, (35200+6500)*4, ROUNDUP(B17/3,0) * (35200+6500))</f>
        <v>208500</v>
      </c>
      <c r="K17" s="101">
        <f>IF(B17 &lt;= 12, 100000, ROUNDUP(B17/3,0) * 30000)</f>
        <v>150000</v>
      </c>
      <c r="L17" s="103">
        <f>IF(B17 &lt;= 12, 80000, ROUNDUP(B17/3,0) * 26000)</f>
        <v>130000</v>
      </c>
      <c r="M17" s="101">
        <f t="shared" si="2"/>
        <v>124351600</v>
      </c>
      <c r="N17" s="102">
        <f t="shared" si="3"/>
        <v>100693000</v>
      </c>
      <c r="O17" s="102">
        <f t="shared" si="4"/>
        <v>23658600</v>
      </c>
      <c r="P17" s="265">
        <f t="shared" si="5"/>
        <v>0.19025569433766834</v>
      </c>
      <c r="Q17" s="102">
        <f t="shared" si="6"/>
        <v>11395200</v>
      </c>
      <c r="R17" s="102">
        <f t="shared" si="7"/>
        <v>9619200</v>
      </c>
      <c r="S17" s="102">
        <f t="shared" si="8"/>
        <v>1776000</v>
      </c>
      <c r="T17" s="131">
        <f t="shared" si="9"/>
        <v>0.15585509688289806</v>
      </c>
      <c r="U17" s="126">
        <f t="shared" si="10"/>
        <v>135746800</v>
      </c>
      <c r="V17" s="284">
        <f t="shared" si="11"/>
        <v>110312200</v>
      </c>
      <c r="W17" s="122">
        <v>13</v>
      </c>
      <c r="X17" s="279"/>
      <c r="Y17" s="279"/>
      <c r="Z17" s="126"/>
      <c r="AA17" s="284"/>
      <c r="AB17" s="126"/>
      <c r="AC17" s="284"/>
    </row>
    <row r="18" spans="2:29">
      <c r="B18" s="130">
        <v>14</v>
      </c>
      <c r="C18" s="102">
        <v>116700000</v>
      </c>
      <c r="D18" s="102">
        <v>94100000</v>
      </c>
      <c r="E18" s="101">
        <f t="shared" si="15"/>
        <v>16242000</v>
      </c>
      <c r="F18" s="102">
        <f t="shared" si="0"/>
        <v>13535000</v>
      </c>
      <c r="G18" s="102">
        <f>18400+((B18-1)*4700)</f>
        <v>79500</v>
      </c>
      <c r="H18" s="103">
        <f t="shared" si="1"/>
        <v>66300</v>
      </c>
      <c r="I18" s="102">
        <f>IF(B18 &lt;= 12, 200000, ROUNDUP(B18/3,0) * 50000)</f>
        <v>250000</v>
      </c>
      <c r="J18" s="102">
        <f>IF(B18 &lt;= 12, (35200+6500)*4, ROUNDUP(B18/3,0) * (35200+6500))</f>
        <v>208500</v>
      </c>
      <c r="K18" s="101">
        <f>IF(B18 &lt;= 12, 100000, ROUNDUP(B18/3,0) * 30000)</f>
        <v>150000</v>
      </c>
      <c r="L18" s="103">
        <f>IF(B18 &lt;= 12, 80000, ROUNDUP(B18/3,0) * 26000)</f>
        <v>130000</v>
      </c>
      <c r="M18" s="101">
        <f t="shared" si="2"/>
        <v>132942000</v>
      </c>
      <c r="N18" s="102">
        <f t="shared" si="3"/>
        <v>107635000</v>
      </c>
      <c r="O18" s="102">
        <f t="shared" si="4"/>
        <v>25307000</v>
      </c>
      <c r="P18" s="265">
        <f t="shared" si="5"/>
        <v>0.19036121015179552</v>
      </c>
      <c r="Q18" s="102">
        <f t="shared" si="6"/>
        <v>11508000</v>
      </c>
      <c r="R18" s="102">
        <f t="shared" si="7"/>
        <v>9715200</v>
      </c>
      <c r="S18" s="102">
        <f t="shared" si="8"/>
        <v>1792800</v>
      </c>
      <c r="T18" s="131">
        <f t="shared" si="9"/>
        <v>0.15578727841501563</v>
      </c>
      <c r="U18" s="126">
        <f t="shared" si="10"/>
        <v>144450000</v>
      </c>
      <c r="V18" s="284">
        <f t="shared" si="11"/>
        <v>117350200</v>
      </c>
      <c r="W18" s="122">
        <v>14</v>
      </c>
      <c r="X18" s="279"/>
      <c r="Y18" s="279"/>
      <c r="Z18" s="126"/>
      <c r="AA18" s="284"/>
      <c r="AB18" s="126"/>
      <c r="AC18" s="284"/>
    </row>
    <row r="19" spans="2:29">
      <c r="B19" s="130">
        <v>15</v>
      </c>
      <c r="C19" s="102">
        <v>123900000</v>
      </c>
      <c r="D19" s="102">
        <v>99900000</v>
      </c>
      <c r="E19" s="101">
        <f t="shared" si="15"/>
        <v>16675200</v>
      </c>
      <c r="F19" s="102">
        <f t="shared" si="0"/>
        <v>13896000</v>
      </c>
      <c r="G19" s="102">
        <f>18400+((B19-1)*4700)</f>
        <v>84200</v>
      </c>
      <c r="H19" s="103">
        <f t="shared" si="1"/>
        <v>70200</v>
      </c>
      <c r="I19" s="102">
        <f>IF(B19 &lt;= 12, 200000, ROUNDUP(B19/3,0) * 50000)</f>
        <v>250000</v>
      </c>
      <c r="J19" s="102">
        <f>IF(B19 &lt;= 12, (35200+6500)*4, ROUNDUP(B19/3,0) * (35200+6500))</f>
        <v>208500</v>
      </c>
      <c r="K19" s="101">
        <f>IF(B19 &lt;= 12, 100000, ROUNDUP(B19/3,0) * 30000)</f>
        <v>150000</v>
      </c>
      <c r="L19" s="103">
        <f>IF(B19 &lt;= 12, 80000, ROUNDUP(B19/3,0) * 26000)</f>
        <v>130000</v>
      </c>
      <c r="M19" s="101">
        <f t="shared" si="2"/>
        <v>140575200</v>
      </c>
      <c r="N19" s="102">
        <f t="shared" si="3"/>
        <v>113796000</v>
      </c>
      <c r="O19" s="102">
        <f t="shared" si="4"/>
        <v>26779200</v>
      </c>
      <c r="P19" s="265">
        <f t="shared" si="5"/>
        <v>0.19049732812046505</v>
      </c>
      <c r="Q19" s="102">
        <f t="shared" si="6"/>
        <v>11620800</v>
      </c>
      <c r="R19" s="102">
        <f t="shared" si="7"/>
        <v>9808800</v>
      </c>
      <c r="S19" s="102">
        <f t="shared" si="8"/>
        <v>1812000</v>
      </c>
      <c r="T19" s="131">
        <f t="shared" si="9"/>
        <v>0.15592730276745145</v>
      </c>
      <c r="U19" s="126">
        <f t="shared" si="10"/>
        <v>152196000</v>
      </c>
      <c r="V19" s="284">
        <f t="shared" si="11"/>
        <v>123604800</v>
      </c>
      <c r="W19" s="122">
        <v>15</v>
      </c>
      <c r="X19" s="279"/>
      <c r="Y19" s="279"/>
      <c r="Z19" s="126"/>
      <c r="AA19" s="284"/>
      <c r="AB19" s="126"/>
      <c r="AC19" s="284"/>
    </row>
    <row r="20" spans="2:29">
      <c r="B20" s="130">
        <v>16</v>
      </c>
      <c r="C20" s="102">
        <v>131700000</v>
      </c>
      <c r="D20" s="102">
        <v>106200000</v>
      </c>
      <c r="E20" s="101">
        <f t="shared" si="15"/>
        <v>17725200</v>
      </c>
      <c r="F20" s="102">
        <f t="shared" si="0"/>
        <v>14771000</v>
      </c>
      <c r="G20" s="102">
        <f>18400+((B20-1)*4700)</f>
        <v>88900</v>
      </c>
      <c r="H20" s="103">
        <f t="shared" si="1"/>
        <v>74100</v>
      </c>
      <c r="I20" s="102">
        <f>IF(B20 &lt;= 12, 200000, ROUNDUP(B20/3,0) * 50000)</f>
        <v>300000</v>
      </c>
      <c r="J20" s="102">
        <f>IF(B20 &lt;= 12, (35200+6500)*4, ROUNDUP(B20/3,0) * (35200+6500))</f>
        <v>250200</v>
      </c>
      <c r="K20" s="101">
        <f>IF(B20 &lt;= 12, 100000, ROUNDUP(B20/3,0) * 30000)</f>
        <v>180000</v>
      </c>
      <c r="L20" s="103">
        <f>IF(B20 &lt;= 12, 80000, ROUNDUP(B20/3,0) * 26000)</f>
        <v>156000</v>
      </c>
      <c r="M20" s="101">
        <f t="shared" si="2"/>
        <v>149425200</v>
      </c>
      <c r="N20" s="102">
        <f t="shared" si="3"/>
        <v>120971000</v>
      </c>
      <c r="O20" s="102">
        <f t="shared" si="4"/>
        <v>28454200</v>
      </c>
      <c r="P20" s="265">
        <f t="shared" si="5"/>
        <v>0.19042437286347952</v>
      </c>
      <c r="Q20" s="102">
        <f t="shared" si="6"/>
        <v>13653600</v>
      </c>
      <c r="R20" s="102">
        <f t="shared" si="7"/>
        <v>11527200</v>
      </c>
      <c r="S20" s="102">
        <f t="shared" si="8"/>
        <v>2126400</v>
      </c>
      <c r="T20" s="131">
        <f t="shared" si="9"/>
        <v>0.15573914571981015</v>
      </c>
      <c r="U20" s="126">
        <f t="shared" si="10"/>
        <v>163078800</v>
      </c>
      <c r="V20" s="284">
        <f t="shared" si="11"/>
        <v>132498200</v>
      </c>
      <c r="W20" s="122">
        <v>16</v>
      </c>
      <c r="X20" s="279"/>
      <c r="Y20" s="279"/>
      <c r="Z20" s="126"/>
      <c r="AA20" s="284"/>
      <c r="AB20" s="126"/>
      <c r="AC20" s="284"/>
    </row>
    <row r="21" spans="2:29">
      <c r="B21" s="130">
        <v>17</v>
      </c>
      <c r="C21" s="102">
        <v>145200000</v>
      </c>
      <c r="D21" s="102">
        <v>117100000</v>
      </c>
      <c r="E21" s="101">
        <f t="shared" si="15"/>
        <v>18157200</v>
      </c>
      <c r="F21" s="102">
        <f t="shared" si="0"/>
        <v>15131000</v>
      </c>
      <c r="G21" s="102">
        <f>18400+((B21-1)*4700)</f>
        <v>93600</v>
      </c>
      <c r="H21" s="103">
        <f t="shared" si="1"/>
        <v>78000</v>
      </c>
      <c r="I21" s="102">
        <f>IF(B21 &lt;= 12, 200000, ROUNDUP(B21/3,0) * 50000)</f>
        <v>300000</v>
      </c>
      <c r="J21" s="102">
        <f>IF(B21 &lt;= 12, (35200+6500)*4, ROUNDUP(B21/3,0) * (35200+6500))</f>
        <v>250200</v>
      </c>
      <c r="K21" s="101">
        <f>IF(B21 &lt;= 12, 100000, ROUNDUP(B21/3,0) * 30000)</f>
        <v>180000</v>
      </c>
      <c r="L21" s="103">
        <f>IF(B21 &lt;= 12, 80000, ROUNDUP(B21/3,0) * 26000)</f>
        <v>156000</v>
      </c>
      <c r="M21" s="101">
        <f t="shared" si="2"/>
        <v>163357200</v>
      </c>
      <c r="N21" s="102">
        <f t="shared" si="3"/>
        <v>132231000</v>
      </c>
      <c r="O21" s="102">
        <f t="shared" si="4"/>
        <v>31126200</v>
      </c>
      <c r="P21" s="265">
        <f t="shared" si="5"/>
        <v>0.19054072915059758</v>
      </c>
      <c r="Q21" s="102">
        <f t="shared" si="6"/>
        <v>13766400</v>
      </c>
      <c r="R21" s="102">
        <f t="shared" si="7"/>
        <v>11620800</v>
      </c>
      <c r="S21" s="102">
        <f t="shared" si="8"/>
        <v>2145600</v>
      </c>
      <c r="T21" s="131">
        <f t="shared" si="9"/>
        <v>0.15585774058577406</v>
      </c>
      <c r="U21" s="126">
        <f t="shared" si="10"/>
        <v>177123600</v>
      </c>
      <c r="V21" s="284">
        <f t="shared" si="11"/>
        <v>143851800</v>
      </c>
      <c r="W21" s="122">
        <v>17</v>
      </c>
      <c r="X21" s="279"/>
      <c r="Y21" s="279"/>
      <c r="Z21" s="126"/>
      <c r="AA21" s="284"/>
      <c r="AB21" s="126"/>
      <c r="AC21" s="284"/>
    </row>
    <row r="22" spans="2:29">
      <c r="B22" s="130">
        <v>18</v>
      </c>
      <c r="C22" s="102">
        <v>152600000</v>
      </c>
      <c r="D22" s="102">
        <v>123100000</v>
      </c>
      <c r="E22" s="101">
        <f t="shared" si="15"/>
        <v>18590400</v>
      </c>
      <c r="F22" s="102">
        <f t="shared" si="0"/>
        <v>15492000</v>
      </c>
      <c r="G22" s="102">
        <f>18400+((B22-1)*4700)</f>
        <v>98300</v>
      </c>
      <c r="H22" s="103">
        <f t="shared" si="1"/>
        <v>81900</v>
      </c>
      <c r="I22" s="102">
        <f>IF(B22 &lt;= 12, 200000, ROUNDUP(B22/3,0) * 50000)</f>
        <v>300000</v>
      </c>
      <c r="J22" s="102">
        <f>IF(B22 &lt;= 12, (35200+6500)*4, ROUNDUP(B22/3,0) * (35200+6500))</f>
        <v>250200</v>
      </c>
      <c r="K22" s="101">
        <f>IF(B22 &lt;= 12, 100000, ROUNDUP(B22/3,0) * 30000)</f>
        <v>180000</v>
      </c>
      <c r="L22" s="103">
        <f>IF(B22 &lt;= 12, 80000, ROUNDUP(B22/3,0) * 26000)</f>
        <v>156000</v>
      </c>
      <c r="M22" s="101">
        <f t="shared" si="2"/>
        <v>171190400</v>
      </c>
      <c r="N22" s="102">
        <f t="shared" si="3"/>
        <v>138592000</v>
      </c>
      <c r="O22" s="102">
        <f t="shared" si="4"/>
        <v>32598400</v>
      </c>
      <c r="P22" s="265">
        <f t="shared" si="5"/>
        <v>0.19042189281641961</v>
      </c>
      <c r="Q22" s="102">
        <f t="shared" si="6"/>
        <v>13879200</v>
      </c>
      <c r="R22" s="102">
        <f t="shared" si="7"/>
        <v>11714400</v>
      </c>
      <c r="S22" s="102">
        <f t="shared" si="8"/>
        <v>2164800</v>
      </c>
      <c r="T22" s="131">
        <f t="shared" si="9"/>
        <v>0.15597440774684421</v>
      </c>
      <c r="U22" s="126">
        <f t="shared" si="10"/>
        <v>185069600</v>
      </c>
      <c r="V22" s="284">
        <f t="shared" si="11"/>
        <v>150306400</v>
      </c>
      <c r="W22" s="122">
        <v>18</v>
      </c>
      <c r="X22" s="279"/>
      <c r="Y22" s="279"/>
      <c r="Z22" s="126"/>
      <c r="AA22" s="284"/>
      <c r="AB22" s="126"/>
      <c r="AC22" s="284"/>
    </row>
    <row r="23" spans="2:29">
      <c r="B23" s="130">
        <v>19</v>
      </c>
      <c r="C23" s="102">
        <v>160700000</v>
      </c>
      <c r="D23" s="102">
        <v>129600000</v>
      </c>
      <c r="E23" s="101">
        <f t="shared" si="15"/>
        <v>22131600</v>
      </c>
      <c r="F23" s="102">
        <f t="shared" si="0"/>
        <v>18443000</v>
      </c>
      <c r="G23" s="102">
        <f>18400+((B23-1)*4700)</f>
        <v>103000</v>
      </c>
      <c r="H23" s="103">
        <f t="shared" si="1"/>
        <v>85800</v>
      </c>
      <c r="I23" s="102">
        <f>IF(B23 &lt;= 12, 200000, ROUNDUP(B23/3,0) * 50000)</f>
        <v>350000</v>
      </c>
      <c r="J23" s="102">
        <f>IF(B23 &lt;= 12, (35200+6500)*4, ROUNDUP(B23/3,0) * (35200+6500))</f>
        <v>291900</v>
      </c>
      <c r="K23" s="101">
        <f>IF(B23 &lt;= 12, 100000, ROUNDUP(B23/3,0) * 30000)</f>
        <v>210000</v>
      </c>
      <c r="L23" s="103">
        <f>IF(B23 &lt;= 12, 80000, ROUNDUP(B23/3,0) * 26000)</f>
        <v>182000</v>
      </c>
      <c r="M23" s="101">
        <f t="shared" si="2"/>
        <v>182831600</v>
      </c>
      <c r="N23" s="102">
        <f t="shared" si="3"/>
        <v>148043000</v>
      </c>
      <c r="O23" s="102">
        <f t="shared" si="4"/>
        <v>34788600</v>
      </c>
      <c r="P23" s="265">
        <f t="shared" si="5"/>
        <v>0.19027673553149455</v>
      </c>
      <c r="Q23" s="102">
        <f t="shared" si="6"/>
        <v>15912000</v>
      </c>
      <c r="R23" s="102">
        <f t="shared" si="7"/>
        <v>13432800</v>
      </c>
      <c r="S23" s="102">
        <f t="shared" si="8"/>
        <v>2479200</v>
      </c>
      <c r="T23" s="131">
        <f t="shared" si="9"/>
        <v>0.15580693815987934</v>
      </c>
      <c r="U23" s="126">
        <f t="shared" si="10"/>
        <v>198743600</v>
      </c>
      <c r="V23" s="284">
        <f t="shared" si="11"/>
        <v>161475800</v>
      </c>
      <c r="W23" s="122">
        <v>19</v>
      </c>
      <c r="X23" s="279"/>
      <c r="Y23" s="279"/>
      <c r="Z23" s="126"/>
      <c r="AA23" s="284"/>
      <c r="AB23" s="126"/>
      <c r="AC23" s="284"/>
    </row>
    <row r="24" spans="2:29">
      <c r="B24" s="130">
        <v>20</v>
      </c>
      <c r="C24" s="102">
        <v>168100000</v>
      </c>
      <c r="D24" s="102">
        <v>135600000</v>
      </c>
      <c r="E24" s="101">
        <f t="shared" si="15"/>
        <v>22453600</v>
      </c>
      <c r="F24" s="102">
        <f t="shared" si="0"/>
        <v>18711333.333333336</v>
      </c>
      <c r="G24" s="102">
        <f>18400+((B24-1)*4700)</f>
        <v>107700</v>
      </c>
      <c r="H24" s="103">
        <f t="shared" si="1"/>
        <v>89800</v>
      </c>
      <c r="I24" s="102">
        <f>IF(B24 &lt;= 12, 200000, ROUNDUP(B24/3,0) * 50000)</f>
        <v>350000</v>
      </c>
      <c r="J24" s="102">
        <f>IF(B24 &lt;= 12, (35200+6500)*4, ROUNDUP(B24/3,0) * (35200+6500))</f>
        <v>291900</v>
      </c>
      <c r="K24" s="101">
        <f>IF(B24 &lt;= 12, 100000, ROUNDUP(B24/3,0) * 30000)</f>
        <v>210000</v>
      </c>
      <c r="L24" s="103">
        <f>IF(B24 &lt;= 12, 80000, ROUNDUP(B24/3,0) * 26000)</f>
        <v>182000</v>
      </c>
      <c r="M24" s="101">
        <f t="shared" si="2"/>
        <v>190553600</v>
      </c>
      <c r="N24" s="102">
        <f t="shared" si="3"/>
        <v>154311333.33333334</v>
      </c>
      <c r="O24" s="102">
        <f t="shared" si="4"/>
        <v>36242266.666666657</v>
      </c>
      <c r="P24" s="265">
        <f t="shared" si="5"/>
        <v>0.19019460491256349</v>
      </c>
      <c r="Q24" s="102">
        <f t="shared" si="6"/>
        <v>16024800</v>
      </c>
      <c r="R24" s="102">
        <f t="shared" si="7"/>
        <v>13528800</v>
      </c>
      <c r="S24" s="102">
        <f t="shared" si="8"/>
        <v>2496000</v>
      </c>
      <c r="T24" s="131">
        <f t="shared" si="9"/>
        <v>0.15575857420997455</v>
      </c>
      <c r="U24" s="126">
        <f t="shared" si="10"/>
        <v>206578400</v>
      </c>
      <c r="V24" s="284">
        <f t="shared" si="11"/>
        <v>167840133.33333334</v>
      </c>
      <c r="W24" s="122">
        <v>20</v>
      </c>
      <c r="X24" s="279"/>
      <c r="Y24" s="279"/>
      <c r="Z24" s="126"/>
      <c r="AA24" s="284"/>
      <c r="AB24" s="126"/>
      <c r="AC24" s="284"/>
    </row>
    <row r="25" spans="2:29">
      <c r="B25" s="130">
        <v>21</v>
      </c>
      <c r="C25" s="102">
        <v>175500000</v>
      </c>
      <c r="D25" s="102">
        <v>141500000</v>
      </c>
      <c r="E25" s="101">
        <f t="shared" si="15"/>
        <v>22996800</v>
      </c>
      <c r="F25" s="102">
        <f t="shared" si="0"/>
        <v>19164000</v>
      </c>
      <c r="G25" s="102">
        <f>18400+((B25-1)*4700)</f>
        <v>112400</v>
      </c>
      <c r="H25" s="103">
        <f t="shared" si="1"/>
        <v>93700</v>
      </c>
      <c r="I25" s="102">
        <f>IF(B25 &lt;= 12, 200000, ROUNDUP(B25/3,0) * 50000)</f>
        <v>350000</v>
      </c>
      <c r="J25" s="102">
        <f>IF(B25 &lt;= 12, (35200+6500)*4, ROUNDUP(B25/3,0) * (35200+6500))</f>
        <v>291900</v>
      </c>
      <c r="K25" s="101">
        <f>IF(B25 &lt;= 12, 100000, ROUNDUP(B25/3,0) * 30000)</f>
        <v>210000</v>
      </c>
      <c r="L25" s="103">
        <f>IF(B25 &lt;= 12, 80000, ROUNDUP(B25/3,0) * 26000)</f>
        <v>182000</v>
      </c>
      <c r="M25" s="101">
        <f t="shared" si="2"/>
        <v>198496800</v>
      </c>
      <c r="N25" s="102">
        <f t="shared" si="3"/>
        <v>160664000</v>
      </c>
      <c r="O25" s="102">
        <f t="shared" si="4"/>
        <v>37832800</v>
      </c>
      <c r="P25" s="265">
        <f t="shared" si="5"/>
        <v>0.19059652347040354</v>
      </c>
      <c r="Q25" s="102">
        <f t="shared" si="6"/>
        <v>16137600</v>
      </c>
      <c r="R25" s="102">
        <f t="shared" si="7"/>
        <v>13622400</v>
      </c>
      <c r="S25" s="102">
        <f t="shared" si="8"/>
        <v>2515200</v>
      </c>
      <c r="T25" s="131">
        <f t="shared" si="9"/>
        <v>0.15585960737656157</v>
      </c>
      <c r="U25" s="126">
        <f t="shared" si="10"/>
        <v>214634400</v>
      </c>
      <c r="V25" s="284">
        <f t="shared" si="11"/>
        <v>174286400</v>
      </c>
      <c r="W25" s="122">
        <v>21</v>
      </c>
      <c r="X25" s="279"/>
      <c r="Y25" s="279"/>
      <c r="Z25" s="126"/>
      <c r="AA25" s="284"/>
      <c r="AB25" s="126"/>
      <c r="AC25" s="284"/>
    </row>
    <row r="26" spans="2:29">
      <c r="B26" s="130">
        <v>22</v>
      </c>
      <c r="C26" s="102">
        <v>183600000</v>
      </c>
      <c r="D26" s="102">
        <v>148100000</v>
      </c>
      <c r="E26" s="101">
        <f t="shared" si="15"/>
        <v>24046800</v>
      </c>
      <c r="F26" s="102">
        <f t="shared" si="0"/>
        <v>20039000</v>
      </c>
      <c r="G26" s="102">
        <f>18400+((B26-1)*4700)</f>
        <v>117100</v>
      </c>
      <c r="H26" s="103">
        <f t="shared" si="1"/>
        <v>97600</v>
      </c>
      <c r="I26" s="102">
        <f>IF(B26 &lt;= 12, 200000, ROUNDUP(B26/3,0) * 50000)</f>
        <v>400000</v>
      </c>
      <c r="J26" s="102">
        <f>IF(B26 &lt;= 12, (35200+6500)*4, ROUNDUP(B26/3,0) * (35200+6500))</f>
        <v>333600</v>
      </c>
      <c r="K26" s="101">
        <f>IF(B26 &lt;= 12, 100000, ROUNDUP(B26/3,0) * 30000)</f>
        <v>240000</v>
      </c>
      <c r="L26" s="103">
        <f>IF(B26 &lt;= 12, 80000, ROUNDUP(B26/3,0) * 26000)</f>
        <v>208000</v>
      </c>
      <c r="M26" s="101">
        <f t="shared" si="2"/>
        <v>207646800</v>
      </c>
      <c r="N26" s="102">
        <f t="shared" si="3"/>
        <v>168139000</v>
      </c>
      <c r="O26" s="102">
        <f t="shared" si="4"/>
        <v>39507800</v>
      </c>
      <c r="P26" s="265">
        <f t="shared" si="5"/>
        <v>0.19026442979135724</v>
      </c>
      <c r="Q26" s="102">
        <f t="shared" si="6"/>
        <v>18170400</v>
      </c>
      <c r="R26" s="102">
        <f t="shared" si="7"/>
        <v>15340800</v>
      </c>
      <c r="S26" s="102">
        <f t="shared" si="8"/>
        <v>2829600</v>
      </c>
      <c r="T26" s="131">
        <f t="shared" si="9"/>
        <v>0.15572579579976226</v>
      </c>
      <c r="U26" s="126">
        <f t="shared" si="10"/>
        <v>225817200</v>
      </c>
      <c r="V26" s="284">
        <f t="shared" si="11"/>
        <v>183479800</v>
      </c>
      <c r="W26" s="122">
        <v>22</v>
      </c>
      <c r="X26" s="279"/>
      <c r="Y26" s="279"/>
      <c r="Z26" s="126"/>
      <c r="AA26" s="284"/>
      <c r="AB26" s="126"/>
      <c r="AC26" s="284"/>
    </row>
    <row r="27" spans="2:29">
      <c r="B27" s="130">
        <v>23</v>
      </c>
      <c r="C27" s="102">
        <v>191000000</v>
      </c>
      <c r="D27" s="102">
        <v>154000000</v>
      </c>
      <c r="E27" s="101">
        <f t="shared" si="15"/>
        <v>25537200</v>
      </c>
      <c r="F27" s="102">
        <f t="shared" si="0"/>
        <v>21281000</v>
      </c>
      <c r="G27" s="102">
        <f>18400+((B27-1)*4700)</f>
        <v>121800</v>
      </c>
      <c r="H27" s="103">
        <f t="shared" si="1"/>
        <v>101500</v>
      </c>
      <c r="I27" s="102">
        <f>IF(B27 &lt;= 12, 200000, ROUNDUP(B27/3,0) * 50000)</f>
        <v>400000</v>
      </c>
      <c r="J27" s="102">
        <f>IF(B27 &lt;= 12, (35200+6500)*4, ROUNDUP(B27/3,0) * (35200+6500))</f>
        <v>333600</v>
      </c>
      <c r="K27" s="101">
        <f>IF(B27 &lt;= 12, 100000, ROUNDUP(B27/3,0) * 30000)</f>
        <v>240000</v>
      </c>
      <c r="L27" s="103">
        <f>IF(B27 &lt;= 12, 80000, ROUNDUP(B27/3,0) * 26000)</f>
        <v>208000</v>
      </c>
      <c r="M27" s="101">
        <f t="shared" si="2"/>
        <v>216537200</v>
      </c>
      <c r="N27" s="102">
        <f t="shared" si="3"/>
        <v>175281000</v>
      </c>
      <c r="O27" s="102">
        <f t="shared" si="4"/>
        <v>41256200</v>
      </c>
      <c r="P27" s="265">
        <f t="shared" si="5"/>
        <v>0.19052707802631602</v>
      </c>
      <c r="Q27" s="102">
        <f t="shared" si="6"/>
        <v>18283200</v>
      </c>
      <c r="R27" s="102">
        <f t="shared" si="7"/>
        <v>15434400</v>
      </c>
      <c r="S27" s="102">
        <f t="shared" si="8"/>
        <v>2848800</v>
      </c>
      <c r="T27" s="131">
        <f t="shared" si="9"/>
        <v>0.15581517458650565</v>
      </c>
      <c r="U27" s="126">
        <f t="shared" si="10"/>
        <v>234820400</v>
      </c>
      <c r="V27" s="284">
        <f t="shared" si="11"/>
        <v>190715400</v>
      </c>
      <c r="W27" s="122">
        <v>23</v>
      </c>
      <c r="X27" s="279"/>
      <c r="Y27" s="279"/>
      <c r="Z27" s="126"/>
      <c r="AA27" s="284"/>
      <c r="AB27" s="126"/>
      <c r="AC27" s="284"/>
    </row>
    <row r="28" spans="2:29">
      <c r="B28" s="130">
        <v>24</v>
      </c>
      <c r="C28" s="102">
        <v>198400000</v>
      </c>
      <c r="D28" s="102">
        <v>159900000</v>
      </c>
      <c r="E28" s="101">
        <f t="shared" si="15"/>
        <v>25970400</v>
      </c>
      <c r="F28" s="102">
        <f t="shared" si="0"/>
        <v>21642000</v>
      </c>
      <c r="G28" s="102">
        <f>18400+((B28-1)*4700)</f>
        <v>126500</v>
      </c>
      <c r="H28" s="103">
        <f t="shared" si="1"/>
        <v>105400</v>
      </c>
      <c r="I28" s="102">
        <f>IF(B28 &lt;= 12, 200000, ROUNDUP(B28/3,0) * 50000)</f>
        <v>400000</v>
      </c>
      <c r="J28" s="102">
        <f>IF(B28 &lt;= 12, (35200+6500)*4, ROUNDUP(B28/3,0) * (35200+6500))</f>
        <v>333600</v>
      </c>
      <c r="K28" s="101">
        <f>IF(B28 &lt;= 12, 100000, ROUNDUP(B28/3,0) * 30000)</f>
        <v>240000</v>
      </c>
      <c r="L28" s="103">
        <f>IF(B28 &lt;= 12, 80000, ROUNDUP(B28/3,0) * 26000)</f>
        <v>208000</v>
      </c>
      <c r="M28" s="101">
        <f t="shared" si="2"/>
        <v>224370400</v>
      </c>
      <c r="N28" s="102">
        <f t="shared" si="3"/>
        <v>181542000</v>
      </c>
      <c r="O28" s="102">
        <f t="shared" si="4"/>
        <v>42828400</v>
      </c>
      <c r="P28" s="265">
        <f t="shared" si="5"/>
        <v>0.19088257631131378</v>
      </c>
      <c r="Q28" s="102">
        <f t="shared" si="6"/>
        <v>18396000</v>
      </c>
      <c r="R28" s="102">
        <f t="shared" si="7"/>
        <v>15528000</v>
      </c>
      <c r="S28" s="102">
        <f t="shared" si="8"/>
        <v>2868000</v>
      </c>
      <c r="T28" s="131">
        <f t="shared" si="9"/>
        <v>0.15590345727332028</v>
      </c>
      <c r="U28" s="126">
        <f t="shared" si="10"/>
        <v>242766400</v>
      </c>
      <c r="V28" s="284">
        <f t="shared" si="11"/>
        <v>197070000</v>
      </c>
      <c r="W28" s="122">
        <v>24</v>
      </c>
      <c r="X28" s="279"/>
      <c r="Y28" s="279"/>
      <c r="Z28" s="126"/>
      <c r="AA28" s="284"/>
      <c r="AB28" s="126"/>
      <c r="AC28" s="284"/>
    </row>
    <row r="29" spans="2:29">
      <c r="B29" s="130">
        <v>25</v>
      </c>
      <c r="C29" s="102">
        <v>214800000</v>
      </c>
      <c r="D29" s="102">
        <v>173300000</v>
      </c>
      <c r="E29" s="101">
        <f t="shared" si="15"/>
        <v>27020400</v>
      </c>
      <c r="F29" s="102">
        <f t="shared" si="0"/>
        <v>22517000</v>
      </c>
      <c r="G29" s="102">
        <f>18400+((B29-1)*4700)</f>
        <v>131200</v>
      </c>
      <c r="H29" s="103">
        <f t="shared" si="1"/>
        <v>109300</v>
      </c>
      <c r="I29" s="102">
        <f>IF(B29 &lt;= 12, 200000, ROUNDUP(B29/3,0) * 50000)</f>
        <v>450000</v>
      </c>
      <c r="J29" s="102">
        <f>IF(B29 &lt;= 12, (35200+6500)*4, ROUNDUP(B29/3,0) * (35200+6500))</f>
        <v>375300</v>
      </c>
      <c r="K29" s="101">
        <f>IF(B29 &lt;= 12, 100000, ROUNDUP(B29/3,0) * 30000)</f>
        <v>270000</v>
      </c>
      <c r="L29" s="103">
        <f>IF(B29 &lt;= 12, 80000, ROUNDUP(B29/3,0) * 26000)</f>
        <v>234000</v>
      </c>
      <c r="M29" s="101">
        <f t="shared" si="2"/>
        <v>241820400</v>
      </c>
      <c r="N29" s="102">
        <f t="shared" si="3"/>
        <v>195817000</v>
      </c>
      <c r="O29" s="102">
        <f t="shared" si="4"/>
        <v>46003400</v>
      </c>
      <c r="P29" s="265">
        <f t="shared" si="5"/>
        <v>0.19023787902095934</v>
      </c>
      <c r="Q29" s="102">
        <f t="shared" si="6"/>
        <v>20428800</v>
      </c>
      <c r="R29" s="102">
        <f t="shared" si="7"/>
        <v>17246400</v>
      </c>
      <c r="S29" s="102">
        <f t="shared" si="8"/>
        <v>3182400</v>
      </c>
      <c r="T29" s="131">
        <f t="shared" si="9"/>
        <v>0.15578007518796994</v>
      </c>
      <c r="U29" s="126">
        <f t="shared" si="10"/>
        <v>262249200</v>
      </c>
      <c r="V29" s="284">
        <f t="shared" si="11"/>
        <v>213063400</v>
      </c>
      <c r="W29" s="122">
        <v>25</v>
      </c>
      <c r="X29" s="279"/>
      <c r="Y29" s="279"/>
      <c r="Z29" s="126"/>
      <c r="AA29" s="284"/>
      <c r="AB29" s="126"/>
      <c r="AC29" s="284"/>
    </row>
    <row r="30" spans="2:29">
      <c r="B30" s="130">
        <v>26</v>
      </c>
      <c r="C30" s="102">
        <v>222400000</v>
      </c>
      <c r="D30" s="102">
        <v>179500000</v>
      </c>
      <c r="E30" s="101">
        <f t="shared" si="15"/>
        <v>27452400</v>
      </c>
      <c r="F30" s="102">
        <f t="shared" si="0"/>
        <v>22877000</v>
      </c>
      <c r="G30" s="102">
        <f>18400+((B30-1)*4700)</f>
        <v>135900</v>
      </c>
      <c r="H30" s="103">
        <f t="shared" si="1"/>
        <v>113300</v>
      </c>
      <c r="I30" s="102">
        <f>IF(B30 &lt;= 12, 200000, ROUNDUP(B30/3,0) * 50000)</f>
        <v>450000</v>
      </c>
      <c r="J30" s="102">
        <f>IF(B30 &lt;= 12, (35200+6500)*4, ROUNDUP(B30/3,0) * (35200+6500))</f>
        <v>375300</v>
      </c>
      <c r="K30" s="101">
        <f>IF(B30 &lt;= 12, 100000, ROUNDUP(B30/3,0) * 30000)</f>
        <v>270000</v>
      </c>
      <c r="L30" s="103">
        <f>IF(B30 &lt;= 12, 80000, ROUNDUP(B30/3,0) * 26000)</f>
        <v>234000</v>
      </c>
      <c r="M30" s="101">
        <f t="shared" si="2"/>
        <v>249852400</v>
      </c>
      <c r="N30" s="102">
        <f t="shared" si="3"/>
        <v>202377000</v>
      </c>
      <c r="O30" s="102">
        <f t="shared" si="4"/>
        <v>47475400</v>
      </c>
      <c r="P30" s="265">
        <f t="shared" si="5"/>
        <v>0.19001378413815517</v>
      </c>
      <c r="Q30" s="102">
        <f t="shared" si="6"/>
        <v>20541600</v>
      </c>
      <c r="R30" s="102">
        <f t="shared" si="7"/>
        <v>17342400</v>
      </c>
      <c r="S30" s="102">
        <f t="shared" si="8"/>
        <v>3199200</v>
      </c>
      <c r="T30" s="131">
        <f t="shared" si="9"/>
        <v>0.15574249328192546</v>
      </c>
      <c r="U30" s="126">
        <f t="shared" si="10"/>
        <v>270394000</v>
      </c>
      <c r="V30" s="284">
        <f t="shared" si="11"/>
        <v>219719400</v>
      </c>
      <c r="W30" s="122">
        <v>26</v>
      </c>
      <c r="X30" s="279"/>
      <c r="Y30" s="279"/>
      <c r="Z30" s="126"/>
      <c r="AA30" s="284"/>
      <c r="AB30" s="126"/>
      <c r="AC30" s="284"/>
    </row>
    <row r="31" spans="2:29">
      <c r="B31" s="130">
        <v>27</v>
      </c>
      <c r="C31" s="102">
        <v>230000000</v>
      </c>
      <c r="D31" s="102">
        <v>185600000</v>
      </c>
      <c r="E31" s="101">
        <f t="shared" si="15"/>
        <v>27885600</v>
      </c>
      <c r="F31" s="102">
        <f t="shared" si="0"/>
        <v>23238000</v>
      </c>
      <c r="G31" s="102">
        <f>18400+((B31-1)*4700)</f>
        <v>140600</v>
      </c>
      <c r="H31" s="103">
        <f t="shared" si="1"/>
        <v>117200</v>
      </c>
      <c r="I31" s="102">
        <f>IF(B31 &lt;= 12, 200000, ROUNDUP(B31/3,0) * 50000)</f>
        <v>450000</v>
      </c>
      <c r="J31" s="102">
        <f>IF(B31 &lt;= 12, (35200+6500)*4, ROUNDUP(B31/3,0) * (35200+6500))</f>
        <v>375300</v>
      </c>
      <c r="K31" s="101">
        <f>IF(B31 &lt;= 12, 100000, ROUNDUP(B31/3,0) * 30000)</f>
        <v>270000</v>
      </c>
      <c r="L31" s="103">
        <f>IF(B31 &lt;= 12, 80000, ROUNDUP(B31/3,0) * 26000)</f>
        <v>234000</v>
      </c>
      <c r="M31" s="101">
        <f t="shared" si="2"/>
        <v>257885600</v>
      </c>
      <c r="N31" s="102">
        <f t="shared" si="3"/>
        <v>208838000</v>
      </c>
      <c r="O31" s="102">
        <f t="shared" si="4"/>
        <v>49047600</v>
      </c>
      <c r="P31" s="265">
        <f t="shared" si="5"/>
        <v>0.19019130963496991</v>
      </c>
      <c r="Q31" s="102">
        <f t="shared" si="6"/>
        <v>20654400</v>
      </c>
      <c r="R31" s="102">
        <f t="shared" si="7"/>
        <v>17436000</v>
      </c>
      <c r="S31" s="102">
        <f t="shared" si="8"/>
        <v>3218400</v>
      </c>
      <c r="T31" s="131">
        <f t="shared" si="9"/>
        <v>0.15582151986985823</v>
      </c>
      <c r="U31" s="126">
        <f t="shared" si="10"/>
        <v>278540000</v>
      </c>
      <c r="V31" s="284">
        <f t="shared" si="11"/>
        <v>226274000</v>
      </c>
      <c r="W31" s="122">
        <v>27</v>
      </c>
      <c r="X31" s="279"/>
      <c r="Y31" s="279"/>
      <c r="Z31" s="126"/>
      <c r="AA31" s="284"/>
      <c r="AB31" s="126"/>
      <c r="AC31" s="284"/>
    </row>
    <row r="32" spans="2:29">
      <c r="B32" s="130">
        <v>28</v>
      </c>
      <c r="C32" s="102">
        <v>238400000</v>
      </c>
      <c r="D32" s="102">
        <v>192400000</v>
      </c>
      <c r="E32" s="101">
        <f t="shared" si="15"/>
        <v>31426800</v>
      </c>
      <c r="F32" s="102">
        <f t="shared" si="0"/>
        <v>26189000</v>
      </c>
      <c r="G32" s="102">
        <f>18400+((B32-1)*4700)</f>
        <v>145300</v>
      </c>
      <c r="H32" s="103">
        <f t="shared" si="1"/>
        <v>121100</v>
      </c>
      <c r="I32" s="102">
        <f>IF(B32 &lt;= 12, 200000, ROUNDUP(B32/3,0) * 50000)</f>
        <v>500000</v>
      </c>
      <c r="J32" s="102">
        <f>IF(B32 &lt;= 12, (35200+6500)*4, ROUNDUP(B32/3,0) * (35200+6500))</f>
        <v>417000</v>
      </c>
      <c r="K32" s="101">
        <f>IF(B32 &lt;= 12, 100000, ROUNDUP(B32/3,0) * 30000)</f>
        <v>300000</v>
      </c>
      <c r="L32" s="103">
        <f>IF(B32 &lt;= 12, 80000, ROUNDUP(B32/3,0) * 26000)</f>
        <v>260000</v>
      </c>
      <c r="M32" s="101">
        <f t="shared" si="2"/>
        <v>269826800</v>
      </c>
      <c r="N32" s="102">
        <f t="shared" si="3"/>
        <v>218589000</v>
      </c>
      <c r="O32" s="102">
        <f t="shared" si="4"/>
        <v>51237800</v>
      </c>
      <c r="P32" s="265">
        <f t="shared" si="5"/>
        <v>0.18989144147282627</v>
      </c>
      <c r="Q32" s="102">
        <f t="shared" si="6"/>
        <v>22687200</v>
      </c>
      <c r="R32" s="102">
        <f t="shared" si="7"/>
        <v>19154400</v>
      </c>
      <c r="S32" s="102">
        <f t="shared" si="8"/>
        <v>3532800</v>
      </c>
      <c r="T32" s="131">
        <f t="shared" si="9"/>
        <v>0.15571776155717762</v>
      </c>
      <c r="U32" s="126">
        <f t="shared" si="10"/>
        <v>292514000</v>
      </c>
      <c r="V32" s="284">
        <f t="shared" si="11"/>
        <v>237743400</v>
      </c>
      <c r="W32" s="122">
        <v>28</v>
      </c>
      <c r="X32" s="279"/>
      <c r="Y32" s="279"/>
      <c r="Z32" s="126"/>
      <c r="AA32" s="284"/>
      <c r="AB32" s="126"/>
      <c r="AC32" s="284"/>
    </row>
    <row r="33" spans="2:29">
      <c r="B33" s="130">
        <v>29</v>
      </c>
      <c r="C33" s="102">
        <v>246100000</v>
      </c>
      <c r="D33" s="102">
        <v>198500000</v>
      </c>
      <c r="E33" s="101">
        <f t="shared" si="15"/>
        <v>31748800</v>
      </c>
      <c r="F33" s="102">
        <f t="shared" si="0"/>
        <v>26457333.333333336</v>
      </c>
      <c r="G33" s="102">
        <f>18400+((B33-1)*4700)</f>
        <v>150000</v>
      </c>
      <c r="H33" s="103">
        <f t="shared" si="1"/>
        <v>125000</v>
      </c>
      <c r="I33" s="102">
        <f>IF(B33 &lt;= 12, 200000, ROUNDUP(B33/3,0) * 50000)</f>
        <v>500000</v>
      </c>
      <c r="J33" s="102">
        <f>IF(B33 &lt;= 12, (35200+6500)*4, ROUNDUP(B33/3,0) * (35200+6500))</f>
        <v>417000</v>
      </c>
      <c r="K33" s="101">
        <f>IF(B33 &lt;= 12, 100000, ROUNDUP(B33/3,0) * 30000)</f>
        <v>300000</v>
      </c>
      <c r="L33" s="103">
        <f>IF(B33 &lt;= 12, 80000, ROUNDUP(B33/3,0) * 26000)</f>
        <v>260000</v>
      </c>
      <c r="M33" s="101">
        <f t="shared" si="2"/>
        <v>277848800</v>
      </c>
      <c r="N33" s="102">
        <f t="shared" si="3"/>
        <v>224957333.33333334</v>
      </c>
      <c r="O33" s="102">
        <f t="shared" si="4"/>
        <v>52891466.666666657</v>
      </c>
      <c r="P33" s="265">
        <f t="shared" si="5"/>
        <v>0.19036060859959322</v>
      </c>
      <c r="Q33" s="102">
        <f t="shared" si="6"/>
        <v>22800000</v>
      </c>
      <c r="R33" s="102">
        <f t="shared" si="7"/>
        <v>19248000</v>
      </c>
      <c r="S33" s="102">
        <f t="shared" si="8"/>
        <v>3552000</v>
      </c>
      <c r="T33" s="131">
        <f t="shared" si="9"/>
        <v>0.15578947368421053</v>
      </c>
      <c r="U33" s="126">
        <f t="shared" si="10"/>
        <v>300648800</v>
      </c>
      <c r="V33" s="284">
        <f t="shared" si="11"/>
        <v>244205333.33333334</v>
      </c>
      <c r="W33" s="122">
        <v>29</v>
      </c>
      <c r="X33" s="279"/>
      <c r="Y33" s="279"/>
      <c r="Z33" s="126"/>
      <c r="AA33" s="284"/>
      <c r="AB33" s="126"/>
      <c r="AC33" s="284"/>
    </row>
    <row r="34" spans="2:29">
      <c r="B34" s="132">
        <v>30</v>
      </c>
      <c r="C34" s="105">
        <v>253700000</v>
      </c>
      <c r="D34" s="105">
        <v>204700000</v>
      </c>
      <c r="E34" s="104">
        <f t="shared" si="15"/>
        <v>32292000</v>
      </c>
      <c r="F34" s="105">
        <f t="shared" si="0"/>
        <v>26910000</v>
      </c>
      <c r="G34" s="105">
        <f>18400+((B34-1)*4700)</f>
        <v>154700</v>
      </c>
      <c r="H34" s="106">
        <f t="shared" si="1"/>
        <v>128900</v>
      </c>
      <c r="I34" s="105">
        <f>IF(B34 &lt;= 12, 200000, ROUNDUP(B34/3,0) * 50000)</f>
        <v>500000</v>
      </c>
      <c r="J34" s="105">
        <f>IF(B34 &lt;= 12, (35200+6500)*4, ROUNDUP(B34/3,0) * (35200+6500))</f>
        <v>417000</v>
      </c>
      <c r="K34" s="104">
        <f>IF(B34 &lt;= 12, 100000, ROUNDUP(B34/3,0) * 30000)</f>
        <v>300000</v>
      </c>
      <c r="L34" s="106">
        <f>IF(B34 &lt;= 12, 80000, ROUNDUP(B34/3,0) * 26000)</f>
        <v>260000</v>
      </c>
      <c r="M34" s="104">
        <f t="shared" si="2"/>
        <v>285992000</v>
      </c>
      <c r="N34" s="105">
        <f t="shared" si="3"/>
        <v>231610000</v>
      </c>
      <c r="O34" s="105">
        <f t="shared" si="4"/>
        <v>54382000</v>
      </c>
      <c r="P34" s="266">
        <f t="shared" si="5"/>
        <v>0.19015217208872975</v>
      </c>
      <c r="Q34" s="105">
        <f t="shared" si="6"/>
        <v>22912800</v>
      </c>
      <c r="R34" s="105">
        <f t="shared" si="7"/>
        <v>19341600</v>
      </c>
      <c r="S34" s="105">
        <f t="shared" si="8"/>
        <v>3571200</v>
      </c>
      <c r="T34" s="133">
        <f t="shared" si="9"/>
        <v>0.15586047973185294</v>
      </c>
      <c r="U34" s="127">
        <f t="shared" si="10"/>
        <v>308904800</v>
      </c>
      <c r="V34" s="281">
        <f t="shared" si="11"/>
        <v>250951600</v>
      </c>
      <c r="W34" s="112">
        <v>30</v>
      </c>
      <c r="X34" s="277"/>
      <c r="Y34" s="277"/>
      <c r="Z34" s="127"/>
      <c r="AA34" s="281"/>
      <c r="AB34" s="127"/>
      <c r="AC34" s="281"/>
    </row>
    <row r="35" spans="2:29">
      <c r="B35" s="129">
        <v>31</v>
      </c>
      <c r="C35" s="272">
        <v>262100000</v>
      </c>
      <c r="D35" s="272">
        <v>211400000</v>
      </c>
      <c r="E35" s="273">
        <f t="shared" si="15"/>
        <v>33342000</v>
      </c>
      <c r="F35" s="272">
        <f t="shared" si="0"/>
        <v>27785000</v>
      </c>
      <c r="G35" s="272">
        <f>18400+((B35-1)*4700)</f>
        <v>159400</v>
      </c>
      <c r="H35" s="274">
        <f t="shared" si="1"/>
        <v>132800</v>
      </c>
      <c r="I35" s="272">
        <f>IF(B35 &lt;= 12, 200000, ROUNDUP(B35/3,0) * 50000)</f>
        <v>550000</v>
      </c>
      <c r="J35" s="272">
        <f>IF(B35 &lt;= 12, (35200+6500)*4, ROUNDUP(B35/3,0) * (35200+6500))</f>
        <v>458700</v>
      </c>
      <c r="K35" s="273">
        <f>IF(B35 &lt;= 12, 100000, ROUNDUP(B35/3,0) * 30000)</f>
        <v>330000</v>
      </c>
      <c r="L35" s="274">
        <f>IF(B35 &lt;= 12, 80000, ROUNDUP(B35/3,0) * 26000)</f>
        <v>286000</v>
      </c>
      <c r="M35" s="273">
        <f t="shared" si="2"/>
        <v>295442000</v>
      </c>
      <c r="N35" s="272">
        <f t="shared" si="3"/>
        <v>239185000</v>
      </c>
      <c r="O35" s="272">
        <f t="shared" si="4"/>
        <v>56257000</v>
      </c>
      <c r="P35" s="275">
        <f t="shared" si="5"/>
        <v>0.19041639306530556</v>
      </c>
      <c r="Q35" s="272">
        <f t="shared" si="6"/>
        <v>24945600</v>
      </c>
      <c r="R35" s="272">
        <f t="shared" si="7"/>
        <v>21060000</v>
      </c>
      <c r="S35" s="272">
        <f t="shared" si="8"/>
        <v>3885600</v>
      </c>
      <c r="T35" s="276">
        <f t="shared" si="9"/>
        <v>0.15576294015778333</v>
      </c>
      <c r="U35" s="285">
        <f t="shared" si="10"/>
        <v>320387600</v>
      </c>
      <c r="V35" s="286">
        <f t="shared" si="11"/>
        <v>260245000</v>
      </c>
      <c r="W35" s="134">
        <v>31</v>
      </c>
      <c r="X35" s="280">
        <f>SUM(M35:M54)/SUM($W$35:$W$54)</f>
        <v>9854057.2839506175</v>
      </c>
      <c r="Y35" s="280">
        <f>SUM(N35:N54)/SUM($W$35:$W$54)</f>
        <v>7986467.4897119347</v>
      </c>
      <c r="Z35" s="285">
        <f>SUM(Q35:Q54)/SUM($W$35:$W$54)</f>
        <v>777511.11111111112</v>
      </c>
      <c r="AA35" s="286">
        <f>SUM(R35:R54)/SUM($W$35:$W$54)</f>
        <v>656411.8518518518</v>
      </c>
      <c r="AB35" s="285">
        <f>SUM(U35:U54)/SUM($W$35:$W$54)</f>
        <v>10631568.395061728</v>
      </c>
      <c r="AC35" s="286">
        <f>SUM(V35:V54)/SUM($W$35:$W$54)</f>
        <v>8642879.3415637873</v>
      </c>
    </row>
    <row r="36" spans="2:29">
      <c r="B36" s="130">
        <v>32</v>
      </c>
      <c r="C36" s="102">
        <v>269700000</v>
      </c>
      <c r="D36" s="102">
        <v>217600000</v>
      </c>
      <c r="E36" s="101">
        <f t="shared" si="15"/>
        <v>34832400</v>
      </c>
      <c r="F36" s="102">
        <f t="shared" si="0"/>
        <v>29027000</v>
      </c>
      <c r="G36" s="102">
        <f>18400+((B36-1)*4700)</f>
        <v>164100</v>
      </c>
      <c r="H36" s="103">
        <f t="shared" si="1"/>
        <v>136800</v>
      </c>
      <c r="I36" s="102">
        <f>IF(B36 &lt;= 12, 200000, ROUNDUP(B36/3,0) * 50000)</f>
        <v>550000</v>
      </c>
      <c r="J36" s="102">
        <f>IF(B36 &lt;= 12, (35200+6500)*4, ROUNDUP(B36/3,0) * (35200+6500))</f>
        <v>458700</v>
      </c>
      <c r="K36" s="101">
        <f>IF(B36 &lt;= 12, 100000, ROUNDUP(B36/3,0) * 30000)</f>
        <v>330000</v>
      </c>
      <c r="L36" s="103">
        <f>IF(B36 &lt;= 12, 80000, ROUNDUP(B36/3,0) * 26000)</f>
        <v>286000</v>
      </c>
      <c r="M36" s="101">
        <f t="shared" si="2"/>
        <v>304532400</v>
      </c>
      <c r="N36" s="102">
        <f t="shared" si="3"/>
        <v>246627000</v>
      </c>
      <c r="O36" s="102">
        <f t="shared" si="4"/>
        <v>57905400</v>
      </c>
      <c r="P36" s="265">
        <f t="shared" si="5"/>
        <v>0.1901452850337107</v>
      </c>
      <c r="Q36" s="102">
        <f t="shared" si="6"/>
        <v>25058400</v>
      </c>
      <c r="R36" s="102">
        <f t="shared" si="7"/>
        <v>21156000</v>
      </c>
      <c r="S36" s="102">
        <f t="shared" si="8"/>
        <v>3902400</v>
      </c>
      <c r="T36" s="131">
        <f t="shared" si="9"/>
        <v>0.15573220955847142</v>
      </c>
      <c r="U36" s="126">
        <f t="shared" si="10"/>
        <v>329590800</v>
      </c>
      <c r="V36" s="284">
        <f t="shared" si="11"/>
        <v>267783000</v>
      </c>
      <c r="W36" s="122">
        <v>32</v>
      </c>
      <c r="X36" s="123"/>
      <c r="Y36" s="124"/>
      <c r="Z36" s="289"/>
      <c r="AA36" s="125"/>
      <c r="AB36" s="289"/>
      <c r="AC36" s="125"/>
    </row>
    <row r="37" spans="2:29">
      <c r="B37" s="130">
        <v>33</v>
      </c>
      <c r="C37" s="102">
        <v>287600000</v>
      </c>
      <c r="D37" s="102">
        <v>232200000</v>
      </c>
      <c r="E37" s="101">
        <f t="shared" si="15"/>
        <v>35265600</v>
      </c>
      <c r="F37" s="102">
        <f t="shared" ref="F37:F54" si="16">E37/1.2</f>
        <v>29388000</v>
      </c>
      <c r="G37" s="102">
        <f>18400+((B37-1)*4700)</f>
        <v>168800</v>
      </c>
      <c r="H37" s="103">
        <f t="shared" si="1"/>
        <v>140700</v>
      </c>
      <c r="I37" s="102">
        <f>IF(B37 &lt;= 12, 200000, ROUNDUP(B37/3,0) * 50000)</f>
        <v>550000</v>
      </c>
      <c r="J37" s="102">
        <f>IF(B37 &lt;= 12, (35200+6500)*4, ROUNDUP(B37/3,0) * (35200+6500))</f>
        <v>458700</v>
      </c>
      <c r="K37" s="101">
        <f>IF(B37 &lt;= 12, 100000, ROUNDUP(B37/3,0) * 30000)</f>
        <v>330000</v>
      </c>
      <c r="L37" s="103">
        <f>IF(B37 &lt;= 12, 80000, ROUNDUP(B37/3,0) * 26000)</f>
        <v>286000</v>
      </c>
      <c r="M37" s="101">
        <f t="shared" si="2"/>
        <v>322865600</v>
      </c>
      <c r="N37" s="102">
        <f t="shared" si="3"/>
        <v>261588000</v>
      </c>
      <c r="O37" s="102">
        <f t="shared" si="4"/>
        <v>61277600</v>
      </c>
      <c r="P37" s="265">
        <f t="shared" si="5"/>
        <v>0.18979290453984568</v>
      </c>
      <c r="Q37" s="102">
        <f t="shared" si="6"/>
        <v>25171200</v>
      </c>
      <c r="R37" s="102">
        <f t="shared" si="7"/>
        <v>21249600</v>
      </c>
      <c r="S37" s="102">
        <f t="shared" si="8"/>
        <v>3921600</v>
      </c>
      <c r="T37" s="131">
        <f t="shared" si="9"/>
        <v>0.15579710144927536</v>
      </c>
      <c r="U37" s="126">
        <f t="shared" si="10"/>
        <v>348036800</v>
      </c>
      <c r="V37" s="284">
        <f t="shared" si="11"/>
        <v>282837600</v>
      </c>
      <c r="W37" s="122">
        <v>33</v>
      </c>
      <c r="X37" s="124"/>
      <c r="Y37" s="124"/>
      <c r="Z37" s="287"/>
      <c r="AA37" s="125"/>
      <c r="AB37" s="287"/>
      <c r="AC37" s="125"/>
    </row>
    <row r="38" spans="2:29">
      <c r="B38" s="130">
        <v>34</v>
      </c>
      <c r="C38" s="102">
        <v>296200000</v>
      </c>
      <c r="D38" s="102">
        <v>239200000</v>
      </c>
      <c r="E38" s="101">
        <f t="shared" si="15"/>
        <v>36315600</v>
      </c>
      <c r="F38" s="102">
        <f t="shared" si="16"/>
        <v>30263000</v>
      </c>
      <c r="G38" s="102">
        <f>18400+((B38-1)*4700)</f>
        <v>173500</v>
      </c>
      <c r="H38" s="103">
        <f t="shared" si="1"/>
        <v>144600</v>
      </c>
      <c r="I38" s="102">
        <f>IF(B38 &lt;= 12, 200000, ROUNDUP(B38/3,0) * 50000)</f>
        <v>600000</v>
      </c>
      <c r="J38" s="102">
        <f>IF(B38 &lt;= 12, (35200+6500)*4, ROUNDUP(B38/3,0) * (35200+6500))</f>
        <v>500400</v>
      </c>
      <c r="K38" s="101">
        <f>IF(B38 &lt;= 12, 100000, ROUNDUP(B38/3,0) * 30000)</f>
        <v>360000</v>
      </c>
      <c r="L38" s="103">
        <f>IF(B38 &lt;= 12, 80000, ROUNDUP(B38/3,0) * 26000)</f>
        <v>312000</v>
      </c>
      <c r="M38" s="101">
        <f t="shared" si="2"/>
        <v>332515600</v>
      </c>
      <c r="N38" s="102">
        <f t="shared" si="3"/>
        <v>269463000</v>
      </c>
      <c r="O38" s="102">
        <f t="shared" si="4"/>
        <v>63052600</v>
      </c>
      <c r="P38" s="265">
        <f t="shared" si="5"/>
        <v>0.18962298310214618</v>
      </c>
      <c r="Q38" s="102">
        <f t="shared" si="6"/>
        <v>27204000</v>
      </c>
      <c r="R38" s="102">
        <f t="shared" si="7"/>
        <v>22968000</v>
      </c>
      <c r="S38" s="102">
        <f t="shared" si="8"/>
        <v>4236000</v>
      </c>
      <c r="T38" s="131">
        <f t="shared" si="9"/>
        <v>0.1557123952359947</v>
      </c>
      <c r="U38" s="126">
        <f t="shared" si="10"/>
        <v>359719600</v>
      </c>
      <c r="V38" s="284">
        <f t="shared" si="11"/>
        <v>292431000</v>
      </c>
      <c r="W38" s="122">
        <v>34</v>
      </c>
      <c r="X38" s="124"/>
      <c r="Y38" s="124"/>
      <c r="Z38" s="287"/>
      <c r="AA38" s="125"/>
      <c r="AB38" s="287"/>
      <c r="AC38" s="125"/>
    </row>
    <row r="39" spans="2:29">
      <c r="B39" s="130">
        <v>35</v>
      </c>
      <c r="C39" s="102">
        <v>304100000</v>
      </c>
      <c r="D39" s="102">
        <v>245500000</v>
      </c>
      <c r="E39" s="101">
        <f t="shared" si="15"/>
        <v>36747600</v>
      </c>
      <c r="F39" s="102">
        <f t="shared" si="16"/>
        <v>30623000</v>
      </c>
      <c r="G39" s="102">
        <f>18400+((B39-1)*4700)</f>
        <v>178200</v>
      </c>
      <c r="H39" s="103">
        <f t="shared" si="1"/>
        <v>148500</v>
      </c>
      <c r="I39" s="102">
        <f>IF(B39 &lt;= 12, 200000, ROUNDUP(B39/3,0) * 50000)</f>
        <v>600000</v>
      </c>
      <c r="J39" s="102">
        <f>IF(B39 &lt;= 12, (35200+6500)*4, ROUNDUP(B39/3,0) * (35200+6500))</f>
        <v>500400</v>
      </c>
      <c r="K39" s="101">
        <f>IF(B39 &lt;= 12, 100000, ROUNDUP(B39/3,0) * 30000)</f>
        <v>360000</v>
      </c>
      <c r="L39" s="103">
        <f>IF(B39 &lt;= 12, 80000, ROUNDUP(B39/3,0) * 26000)</f>
        <v>312000</v>
      </c>
      <c r="M39" s="101">
        <f t="shared" si="2"/>
        <v>340847600</v>
      </c>
      <c r="N39" s="102">
        <f t="shared" si="3"/>
        <v>276123000</v>
      </c>
      <c r="O39" s="102">
        <f t="shared" si="4"/>
        <v>64724600</v>
      </c>
      <c r="P39" s="265">
        <f t="shared" si="5"/>
        <v>0.18989307831417912</v>
      </c>
      <c r="Q39" s="102">
        <f t="shared" si="6"/>
        <v>27316800</v>
      </c>
      <c r="R39" s="102">
        <f t="shared" si="7"/>
        <v>23061600</v>
      </c>
      <c r="S39" s="102">
        <f t="shared" si="8"/>
        <v>4255200</v>
      </c>
      <c r="T39" s="131">
        <f t="shared" si="9"/>
        <v>0.15577227200843438</v>
      </c>
      <c r="U39" s="126">
        <f t="shared" si="10"/>
        <v>368164400</v>
      </c>
      <c r="V39" s="284">
        <f t="shared" si="11"/>
        <v>299184600</v>
      </c>
      <c r="W39" s="122">
        <v>35</v>
      </c>
      <c r="X39" s="124"/>
      <c r="Y39" s="124"/>
      <c r="Z39" s="287"/>
      <c r="AA39" s="125"/>
      <c r="AB39" s="287"/>
      <c r="AC39" s="125"/>
    </row>
    <row r="40" spans="2:29">
      <c r="B40" s="130">
        <v>36</v>
      </c>
      <c r="C40" s="102">
        <v>312000000</v>
      </c>
      <c r="D40" s="102">
        <v>251900000</v>
      </c>
      <c r="E40" s="101">
        <f t="shared" si="15"/>
        <v>37180800</v>
      </c>
      <c r="F40" s="102">
        <f t="shared" si="16"/>
        <v>30984000</v>
      </c>
      <c r="G40" s="102">
        <f>18400+((B40-1)*4700)</f>
        <v>182900</v>
      </c>
      <c r="H40" s="103">
        <f t="shared" si="1"/>
        <v>152400</v>
      </c>
      <c r="I40" s="102">
        <f>IF(B40 &lt;= 12, 200000, ROUNDUP(B40/3,0) * 50000)</f>
        <v>600000</v>
      </c>
      <c r="J40" s="102">
        <f>IF(B40 &lt;= 12, (35200+6500)*4, ROUNDUP(B40/3,0) * (35200+6500))</f>
        <v>500400</v>
      </c>
      <c r="K40" s="101">
        <f>IF(B40 &lt;= 12, 100000, ROUNDUP(B40/3,0) * 30000)</f>
        <v>360000</v>
      </c>
      <c r="L40" s="103">
        <f>IF(B40 &lt;= 12, 80000, ROUNDUP(B40/3,0) * 26000)</f>
        <v>312000</v>
      </c>
      <c r="M40" s="101">
        <f t="shared" si="2"/>
        <v>349180800</v>
      </c>
      <c r="N40" s="102">
        <f t="shared" si="3"/>
        <v>282884000</v>
      </c>
      <c r="O40" s="102">
        <f t="shared" si="4"/>
        <v>66296800</v>
      </c>
      <c r="P40" s="265">
        <f t="shared" si="5"/>
        <v>0.18986381840009531</v>
      </c>
      <c r="Q40" s="102">
        <f t="shared" si="6"/>
        <v>27429600</v>
      </c>
      <c r="R40" s="102">
        <f t="shared" si="7"/>
        <v>23155200</v>
      </c>
      <c r="S40" s="102">
        <f t="shared" si="8"/>
        <v>4274400</v>
      </c>
      <c r="T40" s="131">
        <f t="shared" si="9"/>
        <v>0.15583165631288826</v>
      </c>
      <c r="U40" s="126">
        <f t="shared" si="10"/>
        <v>376610400</v>
      </c>
      <c r="V40" s="284">
        <f t="shared" si="11"/>
        <v>306039200</v>
      </c>
      <c r="W40" s="122">
        <v>36</v>
      </c>
      <c r="X40" s="124"/>
      <c r="Y40" s="124"/>
      <c r="Z40" s="287"/>
      <c r="AA40" s="125"/>
      <c r="AB40" s="287"/>
      <c r="AC40" s="125"/>
    </row>
    <row r="41" spans="2:29">
      <c r="B41" s="130">
        <v>37</v>
      </c>
      <c r="C41" s="102">
        <v>320600000</v>
      </c>
      <c r="D41" s="102">
        <v>258800000</v>
      </c>
      <c r="E41" s="101">
        <f t="shared" si="15"/>
        <v>40722000</v>
      </c>
      <c r="F41" s="102">
        <f t="shared" si="16"/>
        <v>33935000</v>
      </c>
      <c r="G41" s="102">
        <f>18400+((B41-1)*4700)</f>
        <v>187600</v>
      </c>
      <c r="H41" s="103">
        <f t="shared" si="1"/>
        <v>156300</v>
      </c>
      <c r="I41" s="102">
        <f>IF(B41 &lt;= 12, 200000, ROUNDUP(B41/3,0) * 50000)</f>
        <v>650000</v>
      </c>
      <c r="J41" s="102">
        <f>IF(B41 &lt;= 12, (35200+6500)*4, ROUNDUP(B41/3,0) * (35200+6500))</f>
        <v>542100</v>
      </c>
      <c r="K41" s="101">
        <f>IF(B41 &lt;= 12, 100000, ROUNDUP(B41/3,0) * 30000)</f>
        <v>390000</v>
      </c>
      <c r="L41" s="103">
        <f>IF(B41 &lt;= 12, 80000, ROUNDUP(B41/3,0) * 26000)</f>
        <v>338000</v>
      </c>
      <c r="M41" s="101">
        <f t="shared" si="2"/>
        <v>361322000</v>
      </c>
      <c r="N41" s="102">
        <f t="shared" si="3"/>
        <v>292735000</v>
      </c>
      <c r="O41" s="102">
        <f t="shared" si="4"/>
        <v>68587000</v>
      </c>
      <c r="P41" s="265">
        <f t="shared" si="5"/>
        <v>0.18982237450252129</v>
      </c>
      <c r="Q41" s="102">
        <f t="shared" si="6"/>
        <v>29462400</v>
      </c>
      <c r="R41" s="102">
        <f t="shared" si="7"/>
        <v>24873600</v>
      </c>
      <c r="S41" s="102">
        <f t="shared" si="8"/>
        <v>4588800</v>
      </c>
      <c r="T41" s="131">
        <f t="shared" si="9"/>
        <v>0.15575105897686542</v>
      </c>
      <c r="U41" s="126">
        <f t="shared" si="10"/>
        <v>390784400</v>
      </c>
      <c r="V41" s="284">
        <f t="shared" si="11"/>
        <v>317608600</v>
      </c>
      <c r="W41" s="122">
        <v>37</v>
      </c>
      <c r="X41" s="124"/>
      <c r="Y41" s="124"/>
      <c r="Z41" s="287"/>
      <c r="AA41" s="125"/>
      <c r="AB41" s="287"/>
      <c r="AC41" s="125"/>
    </row>
    <row r="42" spans="2:29">
      <c r="B42" s="130">
        <v>38</v>
      </c>
      <c r="C42" s="102">
        <v>328500000</v>
      </c>
      <c r="D42" s="102">
        <v>265200000</v>
      </c>
      <c r="E42" s="101">
        <f t="shared" si="15"/>
        <v>41044000</v>
      </c>
      <c r="F42" s="102">
        <f t="shared" si="16"/>
        <v>34203333.333333336</v>
      </c>
      <c r="G42" s="102">
        <f>18400+((B42-1)*4700)</f>
        <v>192300</v>
      </c>
      <c r="H42" s="103">
        <f t="shared" si="1"/>
        <v>160300</v>
      </c>
      <c r="I42" s="102">
        <f>IF(B42 &lt;= 12, 200000, ROUNDUP(B42/3,0) * 50000)</f>
        <v>650000</v>
      </c>
      <c r="J42" s="102">
        <f>IF(B42 &lt;= 12, (35200+6500)*4, ROUNDUP(B42/3,0) * (35200+6500))</f>
        <v>542100</v>
      </c>
      <c r="K42" s="101">
        <f>IF(B42 &lt;= 12, 100000, ROUNDUP(B42/3,0) * 30000)</f>
        <v>390000</v>
      </c>
      <c r="L42" s="103">
        <f>IF(B42 &lt;= 12, 80000, ROUNDUP(B42/3,0) * 26000)</f>
        <v>338000</v>
      </c>
      <c r="M42" s="101">
        <f t="shared" si="2"/>
        <v>369544000</v>
      </c>
      <c r="N42" s="102">
        <f t="shared" si="3"/>
        <v>299403333.33333331</v>
      </c>
      <c r="O42" s="102">
        <f t="shared" si="4"/>
        <v>70140666.666666687</v>
      </c>
      <c r="P42" s="265">
        <f t="shared" si="5"/>
        <v>0.18980328909863695</v>
      </c>
      <c r="Q42" s="102">
        <f t="shared" si="6"/>
        <v>29575200</v>
      </c>
      <c r="R42" s="102">
        <f t="shared" si="7"/>
        <v>24969600</v>
      </c>
      <c r="S42" s="102">
        <f t="shared" si="8"/>
        <v>4605600</v>
      </c>
      <c r="T42" s="131">
        <f t="shared" si="9"/>
        <v>0.15572506694798344</v>
      </c>
      <c r="U42" s="126">
        <f t="shared" si="10"/>
        <v>399119200</v>
      </c>
      <c r="V42" s="284">
        <f t="shared" si="11"/>
        <v>324372933.33333331</v>
      </c>
      <c r="W42" s="122">
        <v>38</v>
      </c>
      <c r="X42" s="124"/>
      <c r="Y42" s="124"/>
      <c r="Z42" s="287"/>
      <c r="AA42" s="125"/>
      <c r="AB42" s="287"/>
      <c r="AC42" s="125"/>
    </row>
    <row r="43" spans="2:29">
      <c r="B43" s="130">
        <v>39</v>
      </c>
      <c r="C43" s="102">
        <v>336400000</v>
      </c>
      <c r="D43" s="102">
        <v>271500000</v>
      </c>
      <c r="E43" s="101">
        <f t="shared" si="15"/>
        <v>41587200</v>
      </c>
      <c r="F43" s="102">
        <f t="shared" si="16"/>
        <v>34656000</v>
      </c>
      <c r="G43" s="102">
        <f>18400+((B43-1)*4700)</f>
        <v>197000</v>
      </c>
      <c r="H43" s="103">
        <f t="shared" si="1"/>
        <v>164200</v>
      </c>
      <c r="I43" s="102">
        <f>IF(B43 &lt;= 12, 200000, ROUNDUP(B43/3,0) * 50000)</f>
        <v>650000</v>
      </c>
      <c r="J43" s="102">
        <f>IF(B43 &lt;= 12, (35200+6500)*4, ROUNDUP(B43/3,0) * (35200+6500))</f>
        <v>542100</v>
      </c>
      <c r="K43" s="101">
        <f>IF(B43 &lt;= 12, 100000, ROUNDUP(B43/3,0) * 30000)</f>
        <v>390000</v>
      </c>
      <c r="L43" s="103">
        <f>IF(B43 &lt;= 12, 80000, ROUNDUP(B43/3,0) * 26000)</f>
        <v>338000</v>
      </c>
      <c r="M43" s="101">
        <f t="shared" si="2"/>
        <v>377987200</v>
      </c>
      <c r="N43" s="102">
        <f t="shared" si="3"/>
        <v>306156000</v>
      </c>
      <c r="O43" s="102">
        <f t="shared" si="4"/>
        <v>71831200</v>
      </c>
      <c r="P43" s="265">
        <f t="shared" si="5"/>
        <v>0.19003606471330245</v>
      </c>
      <c r="Q43" s="102">
        <f t="shared" si="6"/>
        <v>29688000</v>
      </c>
      <c r="R43" s="102">
        <f t="shared" si="7"/>
        <v>25063200</v>
      </c>
      <c r="S43" s="102">
        <f t="shared" si="8"/>
        <v>4624800</v>
      </c>
      <c r="T43" s="131">
        <f t="shared" si="9"/>
        <v>0.15578011317704124</v>
      </c>
      <c r="U43" s="126">
        <f t="shared" si="10"/>
        <v>407675200</v>
      </c>
      <c r="V43" s="284">
        <f t="shared" si="11"/>
        <v>331219200</v>
      </c>
      <c r="W43" s="122">
        <v>39</v>
      </c>
      <c r="X43" s="124"/>
      <c r="Y43" s="124"/>
      <c r="Z43" s="287"/>
      <c r="AA43" s="125"/>
      <c r="AB43" s="287"/>
      <c r="AC43" s="125"/>
    </row>
    <row r="44" spans="2:29">
      <c r="B44" s="130">
        <v>40</v>
      </c>
      <c r="C44" s="102">
        <v>345000000</v>
      </c>
      <c r="D44" s="102">
        <v>278500000</v>
      </c>
      <c r="E44" s="101">
        <f t="shared" si="15"/>
        <v>42637200</v>
      </c>
      <c r="F44" s="102">
        <f t="shared" si="16"/>
        <v>35531000</v>
      </c>
      <c r="G44" s="102">
        <f>18400+((B44-1)*4700)</f>
        <v>201700</v>
      </c>
      <c r="H44" s="103">
        <f t="shared" si="1"/>
        <v>168100</v>
      </c>
      <c r="I44" s="102">
        <f>IF(B44 &lt;= 12, 200000, ROUNDUP(B44/3,0) * 50000)</f>
        <v>700000</v>
      </c>
      <c r="J44" s="102">
        <f>IF(B44 &lt;= 12, (35200+6500)*4, ROUNDUP(B44/3,0) * (35200+6500))</f>
        <v>583800</v>
      </c>
      <c r="K44" s="101">
        <f>IF(B44 &lt;= 12, 100000, ROUNDUP(B44/3,0) * 30000)</f>
        <v>420000</v>
      </c>
      <c r="L44" s="103">
        <f>IF(B44 &lt;= 12, 80000, ROUNDUP(B44/3,0) * 26000)</f>
        <v>364000</v>
      </c>
      <c r="M44" s="101">
        <f t="shared" si="2"/>
        <v>387637200</v>
      </c>
      <c r="N44" s="102">
        <f t="shared" si="3"/>
        <v>314031000</v>
      </c>
      <c r="O44" s="102">
        <f t="shared" si="4"/>
        <v>73606200</v>
      </c>
      <c r="P44" s="265">
        <f t="shared" si="5"/>
        <v>0.18988425259495217</v>
      </c>
      <c r="Q44" s="102">
        <f t="shared" si="6"/>
        <v>31720800</v>
      </c>
      <c r="R44" s="102">
        <f t="shared" si="7"/>
        <v>26781600</v>
      </c>
      <c r="S44" s="102">
        <f t="shared" si="8"/>
        <v>4939200</v>
      </c>
      <c r="T44" s="131">
        <f t="shared" si="9"/>
        <v>0.15570855716123175</v>
      </c>
      <c r="U44" s="126">
        <f t="shared" si="10"/>
        <v>419358000</v>
      </c>
      <c r="V44" s="284">
        <f t="shared" si="11"/>
        <v>340812600</v>
      </c>
      <c r="W44" s="122">
        <v>40</v>
      </c>
      <c r="X44" s="124"/>
      <c r="Y44" s="124"/>
      <c r="Z44" s="287"/>
      <c r="AA44" s="125"/>
      <c r="AB44" s="287"/>
      <c r="AC44" s="125"/>
    </row>
    <row r="45" spans="2:29">
      <c r="B45" s="130">
        <v>41</v>
      </c>
      <c r="C45" s="102">
        <v>365100000</v>
      </c>
      <c r="D45" s="102">
        <v>295000000</v>
      </c>
      <c r="E45" s="101">
        <f t="shared" si="15"/>
        <v>44127600</v>
      </c>
      <c r="F45" s="102">
        <f t="shared" si="16"/>
        <v>36773000</v>
      </c>
      <c r="G45" s="102">
        <f>18400+((B45-1)*4700)</f>
        <v>206400</v>
      </c>
      <c r="H45" s="103">
        <f t="shared" si="1"/>
        <v>172000</v>
      </c>
      <c r="I45" s="102">
        <f>IF(B45 &lt;= 12, 200000, ROUNDUP(B45/3,0) * 50000)</f>
        <v>700000</v>
      </c>
      <c r="J45" s="102">
        <f>IF(B45 &lt;= 12, (35200+6500)*4, ROUNDUP(B45/3,0) * (35200+6500))</f>
        <v>583800</v>
      </c>
      <c r="K45" s="101">
        <f>IF(B45 &lt;= 12, 100000, ROUNDUP(B45/3,0) * 30000)</f>
        <v>420000</v>
      </c>
      <c r="L45" s="103">
        <f>IF(B45 &lt;= 12, 80000, ROUNDUP(B45/3,0) * 26000)</f>
        <v>364000</v>
      </c>
      <c r="M45" s="101">
        <f t="shared" si="2"/>
        <v>409227600</v>
      </c>
      <c r="N45" s="102">
        <f t="shared" si="3"/>
        <v>331773000</v>
      </c>
      <c r="O45" s="102">
        <f t="shared" si="4"/>
        <v>77454600</v>
      </c>
      <c r="P45" s="265">
        <f t="shared" si="5"/>
        <v>0.18927022517542805</v>
      </c>
      <c r="Q45" s="102">
        <f t="shared" si="6"/>
        <v>31833600</v>
      </c>
      <c r="R45" s="102">
        <f t="shared" si="7"/>
        <v>26875200</v>
      </c>
      <c r="S45" s="102">
        <f t="shared" si="8"/>
        <v>4958400</v>
      </c>
      <c r="T45" s="131">
        <f t="shared" si="9"/>
        <v>0.15575995174909529</v>
      </c>
      <c r="U45" s="126">
        <f t="shared" si="10"/>
        <v>441061200</v>
      </c>
      <c r="V45" s="284">
        <f t="shared" si="11"/>
        <v>358648200</v>
      </c>
      <c r="W45" s="122">
        <v>41</v>
      </c>
      <c r="X45" s="124"/>
      <c r="Y45" s="124"/>
      <c r="Z45" s="287"/>
      <c r="AA45" s="125"/>
      <c r="AB45" s="287"/>
      <c r="AC45" s="125"/>
    </row>
    <row r="46" spans="2:29">
      <c r="B46" s="130">
        <v>42</v>
      </c>
      <c r="C46" s="102">
        <v>373200000</v>
      </c>
      <c r="D46" s="102">
        <v>301600000</v>
      </c>
      <c r="E46" s="101">
        <f t="shared" si="15"/>
        <v>44560800</v>
      </c>
      <c r="F46" s="102">
        <f t="shared" si="16"/>
        <v>37134000</v>
      </c>
      <c r="G46" s="102">
        <f>18400+((B46-1)*4700)</f>
        <v>211100</v>
      </c>
      <c r="H46" s="103">
        <f t="shared" si="1"/>
        <v>175900</v>
      </c>
      <c r="I46" s="102">
        <f>IF(B46 &lt;= 12, 200000, ROUNDUP(B46/3,0) * 50000)</f>
        <v>700000</v>
      </c>
      <c r="J46" s="102">
        <f>IF(B46 &lt;= 12, (35200+6500)*4, ROUNDUP(B46/3,0) * (35200+6500))</f>
        <v>583800</v>
      </c>
      <c r="K46" s="101">
        <f>IF(B46 &lt;= 12, 100000, ROUNDUP(B46/3,0) * 30000)</f>
        <v>420000</v>
      </c>
      <c r="L46" s="103">
        <f>IF(B46 &lt;= 12, 80000, ROUNDUP(B46/3,0) * 26000)</f>
        <v>364000</v>
      </c>
      <c r="M46" s="101">
        <f t="shared" si="2"/>
        <v>417760800</v>
      </c>
      <c r="N46" s="102">
        <f t="shared" si="3"/>
        <v>338734000</v>
      </c>
      <c r="O46" s="102">
        <f t="shared" si="4"/>
        <v>79026800</v>
      </c>
      <c r="P46" s="265">
        <f t="shared" si="5"/>
        <v>0.18916758106552842</v>
      </c>
      <c r="Q46" s="102">
        <f t="shared" si="6"/>
        <v>31946400</v>
      </c>
      <c r="R46" s="102">
        <f t="shared" si="7"/>
        <v>26968800</v>
      </c>
      <c r="S46" s="102">
        <f t="shared" si="8"/>
        <v>4977600</v>
      </c>
      <c r="T46" s="131">
        <f t="shared" si="9"/>
        <v>0.15581098339719029</v>
      </c>
      <c r="U46" s="126">
        <f t="shared" si="10"/>
        <v>449707200</v>
      </c>
      <c r="V46" s="284">
        <f t="shared" si="11"/>
        <v>365702800</v>
      </c>
      <c r="W46" s="122">
        <v>42</v>
      </c>
      <c r="X46" s="124"/>
      <c r="Y46" s="124"/>
      <c r="Z46" s="287"/>
      <c r="AA46" s="125"/>
      <c r="AB46" s="287"/>
      <c r="AC46" s="125"/>
    </row>
    <row r="47" spans="2:29">
      <c r="B47" s="130">
        <v>43</v>
      </c>
      <c r="C47" s="102">
        <v>382100000</v>
      </c>
      <c r="D47" s="102">
        <v>308700000</v>
      </c>
      <c r="E47" s="101">
        <f t="shared" si="15"/>
        <v>45610800</v>
      </c>
      <c r="F47" s="102">
        <f t="shared" si="16"/>
        <v>38009000</v>
      </c>
      <c r="G47" s="102">
        <f>18400+((B47-1)*4700)</f>
        <v>215800</v>
      </c>
      <c r="H47" s="103">
        <f t="shared" si="1"/>
        <v>179800</v>
      </c>
      <c r="I47" s="102">
        <f>IF(B47 &lt;= 12, 200000, ROUNDUP(B47/3,0) * 50000)</f>
        <v>750000</v>
      </c>
      <c r="J47" s="102">
        <f>IF(B47 &lt;= 12, (35200+6500)*4, ROUNDUP(B47/3,0) * (35200+6500))</f>
        <v>625500</v>
      </c>
      <c r="K47" s="101">
        <f>IF(B47 &lt;= 12, 100000, ROUNDUP(B47/3,0) * 30000)</f>
        <v>450000</v>
      </c>
      <c r="L47" s="103">
        <f>IF(B47 &lt;= 12, 80000, ROUNDUP(B47/3,0) * 26000)</f>
        <v>390000</v>
      </c>
      <c r="M47" s="101">
        <f t="shared" si="2"/>
        <v>427710800</v>
      </c>
      <c r="N47" s="102">
        <f t="shared" si="3"/>
        <v>346709000</v>
      </c>
      <c r="O47" s="102">
        <f t="shared" si="4"/>
        <v>81001800</v>
      </c>
      <c r="P47" s="265">
        <f t="shared" si="5"/>
        <v>0.18938450934603476</v>
      </c>
      <c r="Q47" s="102">
        <f t="shared" si="6"/>
        <v>33979200</v>
      </c>
      <c r="R47" s="102">
        <f t="shared" si="7"/>
        <v>28687200</v>
      </c>
      <c r="S47" s="102">
        <f t="shared" si="8"/>
        <v>5292000</v>
      </c>
      <c r="T47" s="131">
        <f t="shared" si="9"/>
        <v>0.15574233648820454</v>
      </c>
      <c r="U47" s="126">
        <f t="shared" si="10"/>
        <v>461690000</v>
      </c>
      <c r="V47" s="284">
        <f t="shared" si="11"/>
        <v>375396200</v>
      </c>
      <c r="W47" s="122">
        <v>43</v>
      </c>
      <c r="X47" s="124"/>
      <c r="Y47" s="124"/>
      <c r="Z47" s="287"/>
      <c r="AA47" s="125"/>
      <c r="AB47" s="287"/>
      <c r="AC47" s="125"/>
    </row>
    <row r="48" spans="2:29">
      <c r="B48" s="130">
        <v>44</v>
      </c>
      <c r="C48" s="102">
        <v>390200000</v>
      </c>
      <c r="D48" s="102">
        <v>315300000</v>
      </c>
      <c r="E48" s="101">
        <f t="shared" si="15"/>
        <v>46042800</v>
      </c>
      <c r="F48" s="102">
        <f t="shared" si="16"/>
        <v>38369000</v>
      </c>
      <c r="G48" s="102">
        <f>18400+((B48-1)*4700)</f>
        <v>220500</v>
      </c>
      <c r="H48" s="103">
        <f t="shared" si="1"/>
        <v>183800</v>
      </c>
      <c r="I48" s="102">
        <f>IF(B48 &lt;= 12, 200000, ROUNDUP(B48/3,0) * 50000)</f>
        <v>750000</v>
      </c>
      <c r="J48" s="102">
        <f>IF(B48 &lt;= 12, (35200+6500)*4, ROUNDUP(B48/3,0) * (35200+6500))</f>
        <v>625500</v>
      </c>
      <c r="K48" s="101">
        <f>IF(B48 &lt;= 12, 100000, ROUNDUP(B48/3,0) * 30000)</f>
        <v>450000</v>
      </c>
      <c r="L48" s="103">
        <f>IF(B48 &lt;= 12, 80000, ROUNDUP(B48/3,0) * 26000)</f>
        <v>390000</v>
      </c>
      <c r="M48" s="101">
        <f t="shared" si="2"/>
        <v>436242800</v>
      </c>
      <c r="N48" s="102">
        <f t="shared" si="3"/>
        <v>353669000</v>
      </c>
      <c r="O48" s="102">
        <f t="shared" si="4"/>
        <v>82573800</v>
      </c>
      <c r="P48" s="265">
        <f t="shared" si="5"/>
        <v>0.18928404090566078</v>
      </c>
      <c r="Q48" s="102">
        <f t="shared" si="6"/>
        <v>34092000</v>
      </c>
      <c r="R48" s="102">
        <f t="shared" si="7"/>
        <v>28783200</v>
      </c>
      <c r="S48" s="102">
        <f t="shared" si="8"/>
        <v>5308800</v>
      </c>
      <c r="T48" s="131">
        <f t="shared" si="9"/>
        <v>0.1557198169658571</v>
      </c>
      <c r="U48" s="126">
        <f t="shared" si="10"/>
        <v>470334800</v>
      </c>
      <c r="V48" s="284">
        <f t="shared" si="11"/>
        <v>382452200</v>
      </c>
      <c r="W48" s="122">
        <v>44</v>
      </c>
      <c r="X48" s="124"/>
      <c r="Y48" s="124"/>
      <c r="Z48" s="287"/>
      <c r="AA48" s="125"/>
      <c r="AB48" s="287"/>
      <c r="AC48" s="125"/>
    </row>
    <row r="49" spans="2:29">
      <c r="B49" s="130">
        <v>45</v>
      </c>
      <c r="C49" s="102">
        <v>398400000</v>
      </c>
      <c r="D49" s="102">
        <v>321800000</v>
      </c>
      <c r="E49" s="101">
        <f t="shared" si="15"/>
        <v>46476000</v>
      </c>
      <c r="F49" s="102">
        <f t="shared" si="16"/>
        <v>38730000</v>
      </c>
      <c r="G49" s="102">
        <f>18400+((B49-1)*4700)</f>
        <v>225200</v>
      </c>
      <c r="H49" s="103">
        <f t="shared" si="1"/>
        <v>187700</v>
      </c>
      <c r="I49" s="102">
        <f>IF(B49 &lt;= 12, 200000, ROUNDUP(B49/3,0) * 50000)</f>
        <v>750000</v>
      </c>
      <c r="J49" s="102">
        <f>IF(B49 &lt;= 12, (35200+6500)*4, ROUNDUP(B49/3,0) * (35200+6500))</f>
        <v>625500</v>
      </c>
      <c r="K49" s="101">
        <f>IF(B49 &lt;= 12, 100000, ROUNDUP(B49/3,0) * 30000)</f>
        <v>450000</v>
      </c>
      <c r="L49" s="103">
        <f>IF(B49 &lt;= 12, 80000, ROUNDUP(B49/3,0) * 26000)</f>
        <v>390000</v>
      </c>
      <c r="M49" s="101">
        <f t="shared" si="2"/>
        <v>444876000</v>
      </c>
      <c r="N49" s="102">
        <f t="shared" si="3"/>
        <v>360530000</v>
      </c>
      <c r="O49" s="102">
        <f t="shared" si="4"/>
        <v>84346000</v>
      </c>
      <c r="P49" s="265">
        <f t="shared" si="5"/>
        <v>0.1895944038338773</v>
      </c>
      <c r="Q49" s="102">
        <f t="shared" si="6"/>
        <v>34204800</v>
      </c>
      <c r="R49" s="102">
        <f t="shared" si="7"/>
        <v>28876800</v>
      </c>
      <c r="S49" s="102">
        <f t="shared" si="8"/>
        <v>5328000</v>
      </c>
      <c r="T49" s="131">
        <f t="shared" si="9"/>
        <v>0.15576761156328936</v>
      </c>
      <c r="U49" s="126">
        <f t="shared" si="10"/>
        <v>479080800</v>
      </c>
      <c r="V49" s="284">
        <f t="shared" si="11"/>
        <v>389406800</v>
      </c>
      <c r="W49" s="122">
        <v>45</v>
      </c>
      <c r="X49" s="124"/>
      <c r="Y49" s="124"/>
      <c r="Z49" s="287"/>
      <c r="AA49" s="125"/>
      <c r="AB49" s="287"/>
      <c r="AC49" s="125"/>
    </row>
    <row r="50" spans="2:29">
      <c r="B50" s="130">
        <v>46</v>
      </c>
      <c r="C50" s="102">
        <v>407200000</v>
      </c>
      <c r="D50" s="102">
        <v>329000000</v>
      </c>
      <c r="E50" s="101">
        <f t="shared" si="15"/>
        <v>50017200</v>
      </c>
      <c r="F50" s="102">
        <f t="shared" si="16"/>
        <v>41681000</v>
      </c>
      <c r="G50" s="102">
        <f>18400+((B50-1)*4700)</f>
        <v>229900</v>
      </c>
      <c r="H50" s="103">
        <f t="shared" si="1"/>
        <v>191600</v>
      </c>
      <c r="I50" s="102">
        <f>IF(B50 &lt;= 12, 200000, ROUNDUP(B50/3,0) * 50000)</f>
        <v>800000</v>
      </c>
      <c r="J50" s="102">
        <f>IF(B50 &lt;= 12, (35200+6500)*4, ROUNDUP(B50/3,0) * (35200+6500))</f>
        <v>667200</v>
      </c>
      <c r="K50" s="101">
        <f>IF(B50 &lt;= 12, 100000, ROUNDUP(B50/3,0) * 30000)</f>
        <v>480000</v>
      </c>
      <c r="L50" s="103">
        <f>IF(B50 &lt;= 12, 80000, ROUNDUP(B50/3,0) * 26000)</f>
        <v>416000</v>
      </c>
      <c r="M50" s="101">
        <f t="shared" si="2"/>
        <v>457217200</v>
      </c>
      <c r="N50" s="102">
        <f t="shared" si="3"/>
        <v>370681000</v>
      </c>
      <c r="O50" s="102">
        <f t="shared" si="4"/>
        <v>86536200</v>
      </c>
      <c r="P50" s="265">
        <f t="shared" si="5"/>
        <v>0.1892671579284419</v>
      </c>
      <c r="Q50" s="102">
        <f t="shared" si="6"/>
        <v>36237600</v>
      </c>
      <c r="R50" s="102">
        <f t="shared" si="7"/>
        <v>30595200</v>
      </c>
      <c r="S50" s="102">
        <f t="shared" si="8"/>
        <v>5642400</v>
      </c>
      <c r="T50" s="131">
        <f t="shared" si="9"/>
        <v>0.15570567587257433</v>
      </c>
      <c r="U50" s="126">
        <f t="shared" si="10"/>
        <v>493454800</v>
      </c>
      <c r="V50" s="284">
        <f t="shared" si="11"/>
        <v>401276200</v>
      </c>
      <c r="W50" s="122">
        <v>46</v>
      </c>
      <c r="X50" s="124"/>
      <c r="Y50" s="124"/>
      <c r="Z50" s="287"/>
      <c r="AA50" s="125"/>
      <c r="AB50" s="287"/>
      <c r="AC50" s="125"/>
    </row>
    <row r="51" spans="2:29">
      <c r="B51" s="130">
        <v>47</v>
      </c>
      <c r="C51" s="102">
        <v>415400000</v>
      </c>
      <c r="D51" s="102">
        <v>335600000</v>
      </c>
      <c r="E51" s="101">
        <f t="shared" si="15"/>
        <v>50339200</v>
      </c>
      <c r="F51" s="102">
        <f t="shared" si="16"/>
        <v>41949333.333333336</v>
      </c>
      <c r="G51" s="102">
        <f>18400+((B51-1)*4700)</f>
        <v>234600</v>
      </c>
      <c r="H51" s="103">
        <f t="shared" si="1"/>
        <v>195500</v>
      </c>
      <c r="I51" s="102">
        <f>IF(B51 &lt;= 12, 200000, ROUNDUP(B51/3,0) * 50000)</f>
        <v>800000</v>
      </c>
      <c r="J51" s="102">
        <f>IF(B51 &lt;= 12, (35200+6500)*4, ROUNDUP(B51/3,0) * (35200+6500))</f>
        <v>667200</v>
      </c>
      <c r="K51" s="101">
        <f>IF(B51 &lt;= 12, 100000, ROUNDUP(B51/3,0) * 30000)</f>
        <v>480000</v>
      </c>
      <c r="L51" s="103">
        <f>IF(B51 &lt;= 12, 80000, ROUNDUP(B51/3,0) * 26000)</f>
        <v>416000</v>
      </c>
      <c r="M51" s="101">
        <f t="shared" si="2"/>
        <v>465739200</v>
      </c>
      <c r="N51" s="102">
        <f t="shared" si="3"/>
        <v>377549333.33333331</v>
      </c>
      <c r="O51" s="102">
        <f t="shared" si="4"/>
        <v>88189866.666666687</v>
      </c>
      <c r="P51" s="265">
        <f t="shared" si="5"/>
        <v>0.18935461448524557</v>
      </c>
      <c r="Q51" s="102">
        <f t="shared" si="6"/>
        <v>36350400</v>
      </c>
      <c r="R51" s="102">
        <f t="shared" si="7"/>
        <v>30688800</v>
      </c>
      <c r="S51" s="102">
        <f t="shared" si="8"/>
        <v>5661600</v>
      </c>
      <c r="T51" s="131">
        <f t="shared" si="9"/>
        <v>0.15575069325234386</v>
      </c>
      <c r="U51" s="126">
        <f t="shared" si="10"/>
        <v>502089600</v>
      </c>
      <c r="V51" s="284">
        <f t="shared" si="11"/>
        <v>408238133.33333331</v>
      </c>
      <c r="W51" s="122">
        <v>47</v>
      </c>
      <c r="X51" s="124"/>
      <c r="Y51" s="124"/>
      <c r="Z51" s="287"/>
      <c r="AA51" s="125"/>
      <c r="AB51" s="287"/>
      <c r="AC51" s="125"/>
    </row>
    <row r="52" spans="2:29">
      <c r="B52" s="130">
        <v>48</v>
      </c>
      <c r="C52" s="102">
        <v>423500000</v>
      </c>
      <c r="D52" s="102">
        <v>342100000</v>
      </c>
      <c r="E52" s="101">
        <f t="shared" si="15"/>
        <v>50882400</v>
      </c>
      <c r="F52" s="102">
        <f t="shared" si="16"/>
        <v>42402000</v>
      </c>
      <c r="G52" s="102">
        <f>18400+((B52-1)*4700)</f>
        <v>239300</v>
      </c>
      <c r="H52" s="103">
        <f t="shared" si="1"/>
        <v>199400</v>
      </c>
      <c r="I52" s="102">
        <f>IF(B52 &lt;= 12, 200000, ROUNDUP(B52/3,0) * 50000)</f>
        <v>800000</v>
      </c>
      <c r="J52" s="102">
        <f>IF(B52 &lt;= 12, (35200+6500)*4, ROUNDUP(B52/3,0) * (35200+6500))</f>
        <v>667200</v>
      </c>
      <c r="K52" s="101">
        <f>IF(B52 &lt;= 12, 100000, ROUNDUP(B52/3,0) * 30000)</f>
        <v>480000</v>
      </c>
      <c r="L52" s="103">
        <f>IF(B52 &lt;= 12, 80000, ROUNDUP(B52/3,0) * 26000)</f>
        <v>416000</v>
      </c>
      <c r="M52" s="101">
        <f t="shared" si="2"/>
        <v>474382400</v>
      </c>
      <c r="N52" s="102">
        <f t="shared" si="3"/>
        <v>384502000</v>
      </c>
      <c r="O52" s="102">
        <f t="shared" si="4"/>
        <v>89880400</v>
      </c>
      <c r="P52" s="265">
        <f t="shared" si="5"/>
        <v>0.18946824334123694</v>
      </c>
      <c r="Q52" s="102">
        <f t="shared" si="6"/>
        <v>36463200</v>
      </c>
      <c r="R52" s="102">
        <f t="shared" si="7"/>
        <v>30782400</v>
      </c>
      <c r="S52" s="102">
        <f t="shared" si="8"/>
        <v>5680800</v>
      </c>
      <c r="T52" s="131">
        <f t="shared" si="9"/>
        <v>0.15579543210689134</v>
      </c>
      <c r="U52" s="126">
        <f t="shared" si="10"/>
        <v>510845600</v>
      </c>
      <c r="V52" s="284">
        <f t="shared" si="11"/>
        <v>415284400</v>
      </c>
      <c r="W52" s="122">
        <v>48</v>
      </c>
      <c r="X52" s="124"/>
      <c r="Y52" s="124"/>
      <c r="Z52" s="287"/>
      <c r="AA52" s="125"/>
      <c r="AB52" s="287"/>
      <c r="AC52" s="125"/>
    </row>
    <row r="53" spans="2:29">
      <c r="B53" s="130">
        <v>49</v>
      </c>
      <c r="C53" s="102">
        <v>446500000</v>
      </c>
      <c r="D53" s="102">
        <v>361100000</v>
      </c>
      <c r="E53" s="101">
        <f t="shared" si="15"/>
        <v>51932400</v>
      </c>
      <c r="F53" s="102">
        <f t="shared" si="16"/>
        <v>43277000</v>
      </c>
      <c r="G53" s="102">
        <f>18400+((B53-1)*4700)</f>
        <v>244000</v>
      </c>
      <c r="H53" s="103">
        <f t="shared" si="1"/>
        <v>203300</v>
      </c>
      <c r="I53" s="102">
        <f>IF(B53 &lt;= 12, 200000, ROUNDUP(B53/3,0) * 50000)</f>
        <v>850000</v>
      </c>
      <c r="J53" s="102">
        <f>IF(B53 &lt;= 12, (35200+6500)*4, ROUNDUP(B53/3,0) * (35200+6500))</f>
        <v>708900</v>
      </c>
      <c r="K53" s="101">
        <f>IF(B53 &lt;= 12, 100000, ROUNDUP(B53/3,0) * 30000)</f>
        <v>510000</v>
      </c>
      <c r="L53" s="103">
        <f>IF(B53 &lt;= 12, 80000, ROUNDUP(B53/3,0) * 26000)</f>
        <v>442000</v>
      </c>
      <c r="M53" s="101">
        <f t="shared" si="2"/>
        <v>498432400</v>
      </c>
      <c r="N53" s="102">
        <f t="shared" si="3"/>
        <v>404377000</v>
      </c>
      <c r="O53" s="102">
        <f t="shared" si="4"/>
        <v>94055400</v>
      </c>
      <c r="P53" s="265">
        <f t="shared" si="5"/>
        <v>0.18870241982664049</v>
      </c>
      <c r="Q53" s="102">
        <f t="shared" si="6"/>
        <v>38496000</v>
      </c>
      <c r="R53" s="102">
        <f t="shared" si="7"/>
        <v>32500800</v>
      </c>
      <c r="S53" s="102">
        <f t="shared" si="8"/>
        <v>5995200</v>
      </c>
      <c r="T53" s="131">
        <f t="shared" si="9"/>
        <v>0.15573566084788029</v>
      </c>
      <c r="U53" s="126">
        <f t="shared" si="10"/>
        <v>536928400</v>
      </c>
      <c r="V53" s="284">
        <f t="shared" si="11"/>
        <v>436877800</v>
      </c>
      <c r="W53" s="122">
        <v>49</v>
      </c>
      <c r="X53" s="124"/>
      <c r="Y53" s="124"/>
      <c r="Z53" s="287"/>
      <c r="AA53" s="125"/>
      <c r="AB53" s="287"/>
      <c r="AC53" s="125"/>
    </row>
    <row r="54" spans="2:29">
      <c r="B54" s="132">
        <v>50</v>
      </c>
      <c r="C54" s="174">
        <v>454900000</v>
      </c>
      <c r="D54" s="174">
        <v>367800000</v>
      </c>
      <c r="E54" s="104">
        <f t="shared" si="15"/>
        <v>53422800</v>
      </c>
      <c r="F54" s="105">
        <f t="shared" si="16"/>
        <v>44519000</v>
      </c>
      <c r="G54" s="105">
        <f>18400+((B54-1)*4700)</f>
        <v>248700</v>
      </c>
      <c r="H54" s="106">
        <f t="shared" si="1"/>
        <v>207300</v>
      </c>
      <c r="I54" s="105">
        <f>IF(B54 &lt;= 12, 200000, ROUNDUP(B54/3,0) * 50000)</f>
        <v>850000</v>
      </c>
      <c r="J54" s="105">
        <f>IF(B54 &lt;= 12, (35200+6500)*4, ROUNDUP(B54/3,0) * (35200+6500))</f>
        <v>708900</v>
      </c>
      <c r="K54" s="104">
        <f>IF(B54 &lt;= 12, 100000, ROUNDUP(B54/3,0) * 30000)</f>
        <v>510000</v>
      </c>
      <c r="L54" s="106">
        <f>IF(B54 &lt;= 12, 80000, ROUNDUP(B54/3,0) * 26000)</f>
        <v>442000</v>
      </c>
      <c r="M54" s="104">
        <f t="shared" si="2"/>
        <v>508322800</v>
      </c>
      <c r="N54" s="105">
        <f t="shared" si="3"/>
        <v>412319000</v>
      </c>
      <c r="O54" s="105">
        <f t="shared" si="4"/>
        <v>96003800</v>
      </c>
      <c r="P54" s="266">
        <f t="shared" si="5"/>
        <v>0.18886384793284897</v>
      </c>
      <c r="Q54" s="105">
        <f t="shared" si="6"/>
        <v>38608800</v>
      </c>
      <c r="R54" s="105">
        <f t="shared" si="7"/>
        <v>32596800</v>
      </c>
      <c r="S54" s="105">
        <f t="shared" si="8"/>
        <v>6012000</v>
      </c>
      <c r="T54" s="133">
        <f t="shared" si="9"/>
        <v>0.15571579536271524</v>
      </c>
      <c r="U54" s="127">
        <f t="shared" si="10"/>
        <v>546931600</v>
      </c>
      <c r="V54" s="281">
        <f t="shared" si="11"/>
        <v>444915800</v>
      </c>
      <c r="W54" s="112">
        <v>50</v>
      </c>
      <c r="X54" s="121"/>
      <c r="Y54" s="121"/>
      <c r="Z54" s="288"/>
      <c r="AA54" s="128"/>
      <c r="AB54" s="288"/>
      <c r="AC54" s="128"/>
    </row>
  </sheetData>
  <autoFilter ref="B4:AC54" xr:uid="{C34D4CEC-2031-4484-BE45-CB589E7C914F}"/>
  <mergeCells count="8">
    <mergeCell ref="C3:D3"/>
    <mergeCell ref="E3:H3"/>
    <mergeCell ref="I3:J3"/>
    <mergeCell ref="K3:L3"/>
    <mergeCell ref="M3:P3"/>
    <mergeCell ref="Q3:T3"/>
    <mergeCell ref="U3:V3"/>
    <mergeCell ref="W3:AC3"/>
  </mergeCells>
  <phoneticPr fontId="5" type="noConversion"/>
  <pageMargins left="0.7" right="0.7" top="0.75" bottom="0.75" header="0.3" footer="0.3"/>
  <pageSetup paperSize="9" scale="2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A9B20-33C3-426C-A4AF-3FBA444E379F}">
  <sheetPr codeName="Sheet2">
    <pageSetUpPr fitToPage="1"/>
  </sheetPr>
  <dimension ref="A1:T29"/>
  <sheetViews>
    <sheetView showGridLines="0" topLeftCell="B1" zoomScale="90" zoomScaleNormal="90" zoomScaleSheetLayoutView="115" workbookViewId="0">
      <selection activeCell="J6" sqref="J6"/>
    </sheetView>
  </sheetViews>
  <sheetFormatPr defaultColWidth="9.125" defaultRowHeight="15"/>
  <cols>
    <col min="1" max="1" width="10.625" style="50" customWidth="1"/>
    <col min="2" max="2" width="16.75" style="50" customWidth="1"/>
    <col min="3" max="4" width="12.625" style="50" customWidth="1"/>
    <col min="5" max="5" width="17.625" style="50" customWidth="1"/>
    <col min="6" max="6" width="16.625" style="50" customWidth="1"/>
    <col min="7" max="7" width="7.5" style="50" customWidth="1"/>
    <col min="8" max="8" width="9.5" style="50" bestFit="1" customWidth="1"/>
    <col min="9" max="12" width="9.5" style="50" customWidth="1"/>
    <col min="13" max="13" width="13.75" style="50" customWidth="1"/>
    <col min="14" max="14" width="3.75" style="50" customWidth="1"/>
    <col min="15" max="15" width="12.875" style="50" customWidth="1"/>
    <col min="16" max="20" width="17.25" style="50" customWidth="1"/>
    <col min="21" max="16384" width="9.125" style="50"/>
  </cols>
  <sheetData>
    <row r="1" spans="1:20" ht="54.75" customHeight="1">
      <c r="A1" s="225" t="s">
        <v>15</v>
      </c>
      <c r="B1" s="225"/>
      <c r="C1" s="225"/>
      <c r="D1" s="225"/>
      <c r="E1" s="225"/>
      <c r="F1" s="225"/>
      <c r="G1" s="225"/>
    </row>
    <row r="2" spans="1:20" ht="30.75" customHeight="1">
      <c r="A2" s="227"/>
      <c r="B2" s="227"/>
      <c r="C2" s="51" t="s">
        <v>90</v>
      </c>
      <c r="D2" s="52"/>
      <c r="E2" s="53" t="s">
        <v>91</v>
      </c>
      <c r="F2" s="53"/>
      <c r="G2" s="53"/>
      <c r="H2" s="54"/>
      <c r="I2" s="54"/>
      <c r="J2" s="54"/>
      <c r="K2" s="54"/>
      <c r="L2" s="54"/>
      <c r="M2" s="54"/>
      <c r="N2" s="54"/>
    </row>
    <row r="3" spans="1:20" ht="30.75" customHeight="1">
      <c r="A3" s="55" t="s">
        <v>92</v>
      </c>
      <c r="B3" s="56"/>
      <c r="C3" s="56"/>
      <c r="D3" s="52"/>
      <c r="E3" s="57" t="s">
        <v>93</v>
      </c>
      <c r="F3" s="57"/>
      <c r="G3" s="57"/>
      <c r="H3" s="54"/>
      <c r="I3" s="54"/>
      <c r="J3" s="54"/>
      <c r="K3" s="54"/>
      <c r="L3" s="54"/>
      <c r="M3" s="54"/>
      <c r="N3" s="54"/>
      <c r="O3" s="58" t="s">
        <v>94</v>
      </c>
      <c r="P3" s="58" t="s">
        <v>95</v>
      </c>
      <c r="Q3" s="58" t="s">
        <v>96</v>
      </c>
      <c r="R3" s="58" t="s">
        <v>97</v>
      </c>
      <c r="S3" s="58" t="s">
        <v>98</v>
      </c>
      <c r="T3" s="58" t="s">
        <v>99</v>
      </c>
    </row>
    <row r="4" spans="1:20" ht="30.75" customHeight="1">
      <c r="A4" s="56" t="s">
        <v>100</v>
      </c>
      <c r="B4" s="228"/>
      <c r="C4" s="228"/>
      <c r="D4" s="52"/>
      <c r="E4" s="57" t="s">
        <v>101</v>
      </c>
      <c r="F4" s="57"/>
      <c r="G4" s="57"/>
      <c r="H4" s="54"/>
      <c r="I4" s="54"/>
      <c r="J4" s="54"/>
      <c r="K4" s="54"/>
      <c r="L4" s="54"/>
      <c r="M4" s="54"/>
      <c r="N4" s="54"/>
      <c r="O4" s="58">
        <v>5</v>
      </c>
      <c r="P4" s="58">
        <v>50</v>
      </c>
      <c r="Q4" s="58">
        <v>50</v>
      </c>
      <c r="R4" s="59">
        <f>18400+((노즐공사갑지!O4-1)*4700)</f>
        <v>37200</v>
      </c>
      <c r="S4" s="60">
        <f>ROUNDUP(O4/3, 0)</f>
        <v>2</v>
      </c>
      <c r="T4" s="59">
        <f>IF(S4 &lt;= 4, 280000, 280000 + (S4 - 4) * 70000)</f>
        <v>280000</v>
      </c>
    </row>
    <row r="5" spans="1:20" ht="30.75" customHeight="1">
      <c r="A5" s="56" t="s">
        <v>102</v>
      </c>
      <c r="B5" s="61" t="s">
        <v>103</v>
      </c>
      <c r="C5" s="56"/>
      <c r="D5" s="52"/>
      <c r="E5" s="57" t="s">
        <v>118</v>
      </c>
      <c r="F5" s="57"/>
      <c r="G5" s="57"/>
      <c r="H5" s="54"/>
      <c r="I5" s="54"/>
      <c r="J5" s="54"/>
      <c r="K5" s="54"/>
      <c r="L5" s="54"/>
      <c r="M5" s="54"/>
      <c r="N5" s="54"/>
      <c r="O5" s="50" t="s">
        <v>104</v>
      </c>
      <c r="P5" s="62"/>
      <c r="Q5" s="62"/>
      <c r="R5" s="62"/>
      <c r="S5" s="62"/>
    </row>
    <row r="6" spans="1:20" ht="39" customHeight="1">
      <c r="A6" s="63"/>
      <c r="B6" s="63"/>
      <c r="C6" s="63"/>
      <c r="D6" s="64"/>
      <c r="E6" s="64"/>
      <c r="F6" s="64"/>
      <c r="G6" s="64"/>
      <c r="H6" s="64"/>
      <c r="I6" s="83"/>
      <c r="J6" s="83"/>
      <c r="K6" s="83"/>
      <c r="L6" s="83"/>
      <c r="M6" s="83"/>
      <c r="N6" s="83"/>
      <c r="R6" s="70"/>
    </row>
    <row r="7" spans="1:20" ht="15.75">
      <c r="A7" s="65" t="s">
        <v>16</v>
      </c>
      <c r="B7" s="66">
        <f>E20</f>
        <v>46900000</v>
      </c>
      <c r="C7" s="67"/>
      <c r="D7" s="67"/>
      <c r="E7" s="226"/>
      <c r="F7" s="226"/>
      <c r="G7" s="226"/>
      <c r="H7" s="68"/>
      <c r="I7" s="68"/>
      <c r="J7" s="68"/>
      <c r="K7" s="68"/>
      <c r="L7" s="68"/>
      <c r="M7" s="93" t="s">
        <v>143</v>
      </c>
      <c r="N7" s="68"/>
      <c r="S7" s="70"/>
      <c r="T7" s="94"/>
    </row>
    <row r="8" spans="1:20" ht="25.15" customHeight="1">
      <c r="A8" s="206" t="s">
        <v>115</v>
      </c>
      <c r="B8" s="206"/>
      <c r="C8" s="207" t="s">
        <v>116</v>
      </c>
      <c r="D8" s="208"/>
      <c r="E8" s="69" t="s">
        <v>17</v>
      </c>
      <c r="F8" s="206" t="s">
        <v>117</v>
      </c>
      <c r="G8" s="206"/>
      <c r="I8" s="206" t="s">
        <v>115</v>
      </c>
      <c r="J8" s="206"/>
      <c r="K8" s="207" t="s">
        <v>116</v>
      </c>
      <c r="L8" s="208"/>
      <c r="M8" s="84" t="s">
        <v>17</v>
      </c>
      <c r="S8" s="70"/>
      <c r="T8" s="94"/>
    </row>
    <row r="9" spans="1:20" ht="21" customHeight="1">
      <c r="A9" s="209" t="s">
        <v>105</v>
      </c>
      <c r="B9" s="209"/>
      <c r="C9" s="210"/>
      <c r="D9" s="211"/>
      <c r="E9" s="73">
        <f>SUM(E10:E11)</f>
        <v>43846234.415916279</v>
      </c>
      <c r="F9" s="229"/>
      <c r="G9" s="229"/>
      <c r="I9" s="209" t="s">
        <v>105</v>
      </c>
      <c r="J9" s="209"/>
      <c r="K9" s="210"/>
      <c r="L9" s="211"/>
      <c r="M9" s="73">
        <f>SUM(M10:M11)</f>
        <v>35439936.880380236</v>
      </c>
      <c r="S9" s="70"/>
      <c r="T9" s="94"/>
    </row>
    <row r="10" spans="1:20" ht="21" customHeight="1">
      <c r="A10" s="212" t="s">
        <v>106</v>
      </c>
      <c r="B10" s="213"/>
      <c r="C10" s="214"/>
      <c r="D10" s="215"/>
      <c r="E10" s="74">
        <f>노즐공사매출!G61</f>
        <v>29826211.436206669</v>
      </c>
      <c r="F10" s="230"/>
      <c r="G10" s="231"/>
      <c r="I10" s="212" t="s">
        <v>106</v>
      </c>
      <c r="J10" s="213"/>
      <c r="K10" s="214"/>
      <c r="L10" s="215"/>
      <c r="M10" s="74">
        <f>노즐공사원가!G61</f>
        <v>23698597.333288889</v>
      </c>
      <c r="S10" s="70"/>
      <c r="T10" s="94"/>
    </row>
    <row r="11" spans="1:20" ht="21" customHeight="1">
      <c r="A11" s="216" t="s">
        <v>107</v>
      </c>
      <c r="B11" s="217"/>
      <c r="C11" s="218"/>
      <c r="D11" s="219"/>
      <c r="E11" s="75">
        <f>노즐공사매출!I61</f>
        <v>14020022.979709614</v>
      </c>
      <c r="F11" s="222"/>
      <c r="G11" s="223"/>
      <c r="I11" s="216" t="s">
        <v>107</v>
      </c>
      <c r="J11" s="217"/>
      <c r="K11" s="218"/>
      <c r="L11" s="219"/>
      <c r="M11" s="75">
        <f>노즐공사원가!I61</f>
        <v>11741339.547091346</v>
      </c>
      <c r="S11" s="70"/>
      <c r="T11" s="94"/>
    </row>
    <row r="12" spans="1:20" ht="21" customHeight="1">
      <c r="A12" s="220" t="s">
        <v>108</v>
      </c>
      <c r="B12" s="220"/>
      <c r="C12" s="210"/>
      <c r="D12" s="211"/>
      <c r="E12" s="73">
        <f>SUM(E13:E18)</f>
        <v>3117683.3382713916</v>
      </c>
      <c r="F12" s="229"/>
      <c r="G12" s="229"/>
      <c r="I12" s="220" t="s">
        <v>108</v>
      </c>
      <c r="J12" s="220"/>
      <c r="K12" s="210"/>
      <c r="L12" s="211"/>
      <c r="M12" s="73">
        <f>SUM(M13:M18)</f>
        <v>2573461.9825200127</v>
      </c>
      <c r="S12" s="70"/>
      <c r="T12" s="94"/>
    </row>
    <row r="13" spans="1:20" ht="21" customHeight="1">
      <c r="A13" s="198" t="str">
        <f>노즐공사매출!B54</f>
        <v>산재보험료</v>
      </c>
      <c r="B13" s="198"/>
      <c r="C13" s="199" t="s">
        <v>109</v>
      </c>
      <c r="D13" s="200"/>
      <c r="E13" s="76">
        <f>노즐공사매출!K54</f>
        <v>499112.81807766226</v>
      </c>
      <c r="F13" s="221"/>
      <c r="G13" s="221"/>
      <c r="I13" s="198">
        <f>노즐공사매출!J54</f>
        <v>499112.81807766226</v>
      </c>
      <c r="J13" s="198"/>
      <c r="K13" s="199" t="s">
        <v>109</v>
      </c>
      <c r="L13" s="200"/>
      <c r="M13" s="76">
        <f>노즐공사원가!K54</f>
        <v>417991.68787645194</v>
      </c>
      <c r="S13" s="70"/>
      <c r="T13" s="94"/>
    </row>
    <row r="14" spans="1:20" ht="21" customHeight="1">
      <c r="A14" s="198" t="str">
        <f>노즐공사매출!B55</f>
        <v>고용보험료</v>
      </c>
      <c r="B14" s="198"/>
      <c r="C14" s="199" t="s">
        <v>64</v>
      </c>
      <c r="D14" s="200"/>
      <c r="E14" s="76">
        <f>노즐공사매출!K55</f>
        <v>141602.2320950671</v>
      </c>
      <c r="F14" s="221"/>
      <c r="G14" s="221"/>
      <c r="I14" s="198">
        <f>노즐공사매출!J55</f>
        <v>141602.2320950671</v>
      </c>
      <c r="J14" s="198"/>
      <c r="K14" s="199" t="s">
        <v>64</v>
      </c>
      <c r="L14" s="200"/>
      <c r="M14" s="76">
        <f>노즐공사원가!K55</f>
        <v>118587.52942562259</v>
      </c>
      <c r="S14" s="70"/>
      <c r="T14" s="94"/>
    </row>
    <row r="15" spans="1:20" ht="21" customHeight="1">
      <c r="A15" s="198" t="str">
        <f>노즐공사매출!B56</f>
        <v>건강보험료</v>
      </c>
      <c r="B15" s="198"/>
      <c r="C15" s="199" t="s">
        <v>110</v>
      </c>
      <c r="D15" s="200"/>
      <c r="E15" s="76">
        <f>노즐공사매출!K56</f>
        <v>497009.81463070586</v>
      </c>
      <c r="F15" s="221"/>
      <c r="G15" s="221"/>
      <c r="I15" s="198">
        <f>노즐공사매출!J56</f>
        <v>497009.81463070586</v>
      </c>
      <c r="J15" s="198"/>
      <c r="K15" s="199" t="s">
        <v>110</v>
      </c>
      <c r="L15" s="200"/>
      <c r="M15" s="76">
        <f>노즐공사원가!K56</f>
        <v>416230.48694438825</v>
      </c>
      <c r="S15" s="70"/>
      <c r="T15" s="94"/>
    </row>
    <row r="16" spans="1:20" ht="21" customHeight="1">
      <c r="A16" s="198" t="str">
        <f>노즐공사매출!B57</f>
        <v>장기요양보험료</v>
      </c>
      <c r="B16" s="198"/>
      <c r="C16" s="199" t="s">
        <v>202</v>
      </c>
      <c r="D16" s="200"/>
      <c r="E16" s="76">
        <f>노즐공사매출!K57</f>
        <v>64362.770994676408</v>
      </c>
      <c r="F16" s="221"/>
      <c r="G16" s="221"/>
      <c r="I16" s="198">
        <f>노즐공사매출!J57</f>
        <v>64362.770994676408</v>
      </c>
      <c r="J16" s="198"/>
      <c r="K16" s="199" t="s">
        <v>202</v>
      </c>
      <c r="L16" s="200"/>
      <c r="M16" s="76">
        <f>노즐공사원가!K57</f>
        <v>53901.848059298281</v>
      </c>
      <c r="S16" s="70"/>
      <c r="T16" s="94"/>
    </row>
    <row r="17" spans="1:20" ht="21" customHeight="1">
      <c r="A17" s="198" t="str">
        <f>노즐공사매출!B58</f>
        <v>연금보험료</v>
      </c>
      <c r="B17" s="198"/>
      <c r="C17" s="199" t="s">
        <v>111</v>
      </c>
      <c r="D17" s="200"/>
      <c r="E17" s="76">
        <f>노즐공사매출!K58</f>
        <v>630901.03408693266</v>
      </c>
      <c r="F17" s="221"/>
      <c r="G17" s="221"/>
      <c r="I17" s="198">
        <f>노즐공사매출!J58</f>
        <v>630901.03408693266</v>
      </c>
      <c r="J17" s="198"/>
      <c r="K17" s="199" t="s">
        <v>111</v>
      </c>
      <c r="L17" s="200"/>
      <c r="M17" s="76">
        <f>노즐공사원가!K58</f>
        <v>528360.27961911052</v>
      </c>
      <c r="S17" s="70"/>
      <c r="T17" s="94"/>
    </row>
    <row r="18" spans="1:20" ht="21" customHeight="1">
      <c r="A18" s="201" t="str">
        <f>노즐공사매출!B59</f>
        <v>안전관리비</v>
      </c>
      <c r="B18" s="201"/>
      <c r="C18" s="202" t="s">
        <v>112</v>
      </c>
      <c r="D18" s="203"/>
      <c r="E18" s="77">
        <f>노즐공사매출!K59</f>
        <v>1284694.6683863471</v>
      </c>
      <c r="F18" s="224"/>
      <c r="G18" s="224"/>
      <c r="I18" s="201">
        <f>노즐공사매출!J59</f>
        <v>1284694.6683863471</v>
      </c>
      <c r="J18" s="201"/>
      <c r="K18" s="202" t="s">
        <v>112</v>
      </c>
      <c r="L18" s="203"/>
      <c r="M18" s="76">
        <f>노즐공사원가!K59</f>
        <v>1038390.150595141</v>
      </c>
      <c r="S18" s="70"/>
      <c r="T18" s="94"/>
    </row>
    <row r="19" spans="1:20" ht="15.75" customHeight="1">
      <c r="A19" s="204" t="s">
        <v>114</v>
      </c>
      <c r="B19" s="205"/>
      <c r="C19" s="204"/>
      <c r="D19" s="205"/>
      <c r="E19" s="78">
        <f>SUM(E9,E12)-E20</f>
        <v>63917.75418767333</v>
      </c>
      <c r="F19" s="204"/>
      <c r="G19" s="205"/>
      <c r="I19" s="204" t="s">
        <v>114</v>
      </c>
      <c r="J19" s="205"/>
      <c r="K19" s="204"/>
      <c r="L19" s="205"/>
      <c r="M19" s="78">
        <f>SUM(M9,M12)-M20</f>
        <v>13398.86290024966</v>
      </c>
      <c r="S19" s="70"/>
      <c r="T19" s="94"/>
    </row>
    <row r="20" spans="1:20" ht="21" customHeight="1">
      <c r="A20" s="193" t="s">
        <v>119</v>
      </c>
      <c r="B20" s="194"/>
      <c r="C20" s="193"/>
      <c r="D20" s="194"/>
      <c r="E20" s="79">
        <f>ROUNDDOWN(SUM(E9,E12), -5)</f>
        <v>46900000</v>
      </c>
      <c r="F20" s="204"/>
      <c r="G20" s="205"/>
      <c r="I20" s="193" t="s">
        <v>119</v>
      </c>
      <c r="J20" s="194"/>
      <c r="K20" s="193"/>
      <c r="L20" s="194"/>
      <c r="M20" s="79">
        <f>ROUNDDOWN(SUM(M9,M12), -5)</f>
        <v>38000000</v>
      </c>
      <c r="S20" s="70"/>
      <c r="T20" s="94"/>
    </row>
    <row r="21" spans="1:20" ht="15.75" customHeight="1">
      <c r="A21" s="239" t="s">
        <v>120</v>
      </c>
      <c r="B21" s="239"/>
      <c r="C21" s="199"/>
      <c r="D21" s="200"/>
      <c r="E21" s="81" t="s">
        <v>121</v>
      </c>
      <c r="F21" s="240"/>
      <c r="G21" s="241"/>
      <c r="M21" s="92" t="s">
        <v>144</v>
      </c>
      <c r="S21" s="70"/>
      <c r="T21" s="94"/>
    </row>
    <row r="22" spans="1:20" ht="15.75" customHeight="1">
      <c r="A22" s="198" t="s">
        <v>122</v>
      </c>
      <c r="B22" s="198"/>
      <c r="C22" s="199"/>
      <c r="D22" s="200"/>
      <c r="E22" s="76">
        <f>R4</f>
        <v>37200</v>
      </c>
      <c r="F22" s="221" t="s">
        <v>123</v>
      </c>
      <c r="G22" s="221"/>
      <c r="S22" s="70"/>
      <c r="T22" s="94"/>
    </row>
    <row r="23" spans="1:20" ht="15.75" customHeight="1">
      <c r="A23" s="198" t="s">
        <v>124</v>
      </c>
      <c r="B23" s="198"/>
      <c r="C23" s="199"/>
      <c r="D23" s="200"/>
      <c r="E23" s="76">
        <f>T4</f>
        <v>280000</v>
      </c>
      <c r="F23" s="221" t="s">
        <v>125</v>
      </c>
      <c r="G23" s="221"/>
      <c r="S23" s="70"/>
      <c r="T23" s="94"/>
    </row>
    <row r="24" spans="1:20" ht="15.75" customHeight="1">
      <c r="A24" s="198" t="s">
        <v>126</v>
      </c>
      <c r="B24" s="198"/>
      <c r="C24" s="199"/>
      <c r="D24" s="200"/>
      <c r="E24" s="82">
        <v>50000</v>
      </c>
      <c r="F24" s="222" t="s">
        <v>127</v>
      </c>
      <c r="G24" s="223"/>
    </row>
    <row r="25" spans="1:20" ht="21" customHeight="1">
      <c r="A25" s="193" t="s">
        <v>128</v>
      </c>
      <c r="B25" s="194"/>
      <c r="C25" s="193"/>
      <c r="D25" s="194"/>
      <c r="E25" s="79">
        <f>SUM(E22:E24)</f>
        <v>367200</v>
      </c>
      <c r="F25" s="204"/>
      <c r="G25" s="205"/>
    </row>
    <row r="26" spans="1:20" ht="158.25" customHeight="1">
      <c r="A26" s="71" t="s">
        <v>18</v>
      </c>
      <c r="B26" s="233" t="s">
        <v>129</v>
      </c>
      <c r="C26" s="234"/>
      <c r="D26" s="234"/>
      <c r="E26" s="234"/>
      <c r="F26" s="234"/>
      <c r="G26" s="235"/>
      <c r="I26" s="70"/>
    </row>
    <row r="27" spans="1:20" ht="28.5" customHeight="1">
      <c r="A27" s="80" t="s">
        <v>113</v>
      </c>
      <c r="B27" s="236"/>
      <c r="C27" s="237"/>
      <c r="D27" s="237"/>
      <c r="E27" s="237"/>
      <c r="F27" s="237"/>
      <c r="G27" s="238"/>
    </row>
    <row r="28" spans="1:20" ht="20.100000000000001" customHeight="1">
      <c r="A28" s="72"/>
      <c r="B28" s="72"/>
      <c r="C28" s="72"/>
      <c r="D28" s="72"/>
      <c r="E28" s="72"/>
      <c r="F28" s="232"/>
      <c r="G28" s="232"/>
    </row>
    <row r="29" spans="1:20" ht="20.100000000000001" customHeight="1">
      <c r="A29" s="72"/>
      <c r="B29" s="72"/>
      <c r="C29" s="72"/>
      <c r="D29" s="72"/>
      <c r="E29" s="72"/>
      <c r="F29" s="72"/>
      <c r="G29" s="72"/>
    </row>
  </sheetData>
  <scenarios current="0" show="0">
    <scenario name="ass" locked="1" count="1" user="Administrator" comment="만든 사람 Administrator 날짜 2024-09-09_x000a_수정한 사람 Administrator 날짜 2024-09-09">
      <inputCells r="O4" val="o7:o24" numFmtId="41"/>
    </scenario>
  </scenarios>
  <mergeCells count="87">
    <mergeCell ref="F28:G28"/>
    <mergeCell ref="A19:B19"/>
    <mergeCell ref="F19:G19"/>
    <mergeCell ref="B26:G26"/>
    <mergeCell ref="B27:G27"/>
    <mergeCell ref="C19:D19"/>
    <mergeCell ref="A20:B20"/>
    <mergeCell ref="C20:D20"/>
    <mergeCell ref="F20:G20"/>
    <mergeCell ref="A21:B21"/>
    <mergeCell ref="C21:D21"/>
    <mergeCell ref="F21:G21"/>
    <mergeCell ref="A22:B22"/>
    <mergeCell ref="C22:D22"/>
    <mergeCell ref="F22:G22"/>
    <mergeCell ref="A23:B23"/>
    <mergeCell ref="A14:B14"/>
    <mergeCell ref="A15:B15"/>
    <mergeCell ref="A16:B16"/>
    <mergeCell ref="A17:B17"/>
    <mergeCell ref="A18:B18"/>
    <mergeCell ref="F13:G13"/>
    <mergeCell ref="A10:B10"/>
    <mergeCell ref="A11:B11"/>
    <mergeCell ref="C9:D9"/>
    <mergeCell ref="C10:D10"/>
    <mergeCell ref="C11:D11"/>
    <mergeCell ref="C13:D13"/>
    <mergeCell ref="F10:G10"/>
    <mergeCell ref="F11:G11"/>
    <mergeCell ref="C12:D12"/>
    <mergeCell ref="C17:D17"/>
    <mergeCell ref="C18:D18"/>
    <mergeCell ref="F17:G17"/>
    <mergeCell ref="F18:G18"/>
    <mergeCell ref="A1:G1"/>
    <mergeCell ref="E7:G7"/>
    <mergeCell ref="A8:B8"/>
    <mergeCell ref="F8:G8"/>
    <mergeCell ref="A2:B2"/>
    <mergeCell ref="B4:C4"/>
    <mergeCell ref="C8:D8"/>
    <mergeCell ref="A12:B12"/>
    <mergeCell ref="F12:G12"/>
    <mergeCell ref="A9:B9"/>
    <mergeCell ref="F9:G9"/>
    <mergeCell ref="A13:B13"/>
    <mergeCell ref="F14:G14"/>
    <mergeCell ref="F15:G15"/>
    <mergeCell ref="F16:G16"/>
    <mergeCell ref="C14:D14"/>
    <mergeCell ref="C15:D15"/>
    <mergeCell ref="C16:D16"/>
    <mergeCell ref="C23:D23"/>
    <mergeCell ref="F23:G23"/>
    <mergeCell ref="A24:B24"/>
    <mergeCell ref="C24:D24"/>
    <mergeCell ref="F24:G24"/>
    <mergeCell ref="A25:B25"/>
    <mergeCell ref="C25:D25"/>
    <mergeCell ref="F25:G25"/>
    <mergeCell ref="I8:J8"/>
    <mergeCell ref="K8:L8"/>
    <mergeCell ref="I9:J9"/>
    <mergeCell ref="K9:L9"/>
    <mergeCell ref="I10:J10"/>
    <mergeCell ref="K10:L10"/>
    <mergeCell ref="I11:J11"/>
    <mergeCell ref="K11:L11"/>
    <mergeCell ref="I12:J12"/>
    <mergeCell ref="K12:L12"/>
    <mergeCell ref="I13:J13"/>
    <mergeCell ref="K13:L13"/>
    <mergeCell ref="I14:J14"/>
    <mergeCell ref="K14:L14"/>
    <mergeCell ref="I15:J15"/>
    <mergeCell ref="K15:L15"/>
    <mergeCell ref="I16:J16"/>
    <mergeCell ref="K16:L16"/>
    <mergeCell ref="I20:J20"/>
    <mergeCell ref="K20:L20"/>
    <mergeCell ref="I17:J17"/>
    <mergeCell ref="K17:L17"/>
    <mergeCell ref="I18:J18"/>
    <mergeCell ref="K18:L18"/>
    <mergeCell ref="I19:J19"/>
    <mergeCell ref="K19:L19"/>
  </mergeCells>
  <phoneticPr fontId="5" type="noConversion"/>
  <printOptions horizontalCentered="1"/>
  <pageMargins left="0.39370078740157483" right="0.39370078740157483" top="0.59055118110236227" bottom="0.39370078740157483" header="0.31496062992125984" footer="0.31496062992125984"/>
  <pageSetup paperSize="9" scale="94"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O117"/>
  <sheetViews>
    <sheetView showGridLines="0" zoomScale="90" zoomScaleNormal="90" zoomScaleSheetLayoutView="85" zoomScalePageLayoutView="85" workbookViewId="0">
      <pane ySplit="4" topLeftCell="A5" activePane="bottomLeft" state="frozen"/>
      <selection pane="bottomLeft" activeCell="J19" sqref="J19"/>
    </sheetView>
  </sheetViews>
  <sheetFormatPr defaultColWidth="5.625" defaultRowHeight="15" customHeight="1"/>
  <cols>
    <col min="1" max="1" width="4.625" style="2" customWidth="1"/>
    <col min="2" max="2" width="63.75" style="2" bestFit="1" customWidth="1"/>
    <col min="3" max="3" width="32.875" style="2" bestFit="1" customWidth="1"/>
    <col min="4" max="4" width="5.625" style="2"/>
    <col min="5" max="5" width="8" style="2" customWidth="1"/>
    <col min="6" max="6" width="10.625" style="2" customWidth="1"/>
    <col min="7" max="7" width="12.625" style="2" customWidth="1"/>
    <col min="8" max="8" width="10.625" style="2" customWidth="1"/>
    <col min="9" max="9" width="12.625" style="2" customWidth="1"/>
    <col min="10" max="10" width="10.625" style="2" customWidth="1"/>
    <col min="11" max="11" width="12.625" style="2" customWidth="1"/>
    <col min="12" max="12" width="10" style="2" bestFit="1" customWidth="1"/>
    <col min="13" max="13" width="11" style="1" hidden="1" customWidth="1"/>
    <col min="14" max="14" width="10.625" style="48" hidden="1" customWidth="1"/>
    <col min="15" max="15" width="11.875" style="2" hidden="1" customWidth="1"/>
    <col min="16" max="16384" width="5.625" style="2"/>
  </cols>
  <sheetData>
    <row r="1" spans="1:15" ht="15" customHeight="1">
      <c r="A1" s="244" t="s">
        <v>3</v>
      </c>
      <c r="B1" s="244"/>
      <c r="C1" s="244"/>
      <c r="D1" s="244"/>
      <c r="E1" s="244"/>
      <c r="F1" s="244"/>
      <c r="G1" s="244"/>
      <c r="H1" s="244"/>
      <c r="I1" s="244"/>
      <c r="J1" s="244"/>
      <c r="K1" s="244"/>
      <c r="L1" s="244"/>
    </row>
    <row r="2" spans="1:15" ht="15" customHeight="1">
      <c r="A2" s="244"/>
      <c r="B2" s="244"/>
      <c r="C2" s="244"/>
      <c r="D2" s="244"/>
      <c r="E2" s="244"/>
      <c r="F2" s="244"/>
      <c r="G2" s="244"/>
      <c r="H2" s="244"/>
      <c r="I2" s="244"/>
      <c r="J2" s="244"/>
      <c r="K2" s="244"/>
      <c r="L2" s="244"/>
    </row>
    <row r="3" spans="1:15" ht="15" customHeight="1">
      <c r="A3" s="245" t="s">
        <v>0</v>
      </c>
      <c r="B3" s="248" t="s">
        <v>10</v>
      </c>
      <c r="C3" s="248" t="s">
        <v>11</v>
      </c>
      <c r="D3" s="248" t="s">
        <v>2</v>
      </c>
      <c r="E3" s="250" t="s">
        <v>1</v>
      </c>
      <c r="F3" s="245" t="s">
        <v>6</v>
      </c>
      <c r="G3" s="246"/>
      <c r="H3" s="245" t="s">
        <v>7</v>
      </c>
      <c r="I3" s="246"/>
      <c r="J3" s="245" t="s">
        <v>8</v>
      </c>
      <c r="K3" s="246"/>
      <c r="L3" s="242" t="s">
        <v>12</v>
      </c>
    </row>
    <row r="4" spans="1:15" ht="15" customHeight="1">
      <c r="A4" s="247"/>
      <c r="B4" s="249"/>
      <c r="C4" s="249"/>
      <c r="D4" s="249"/>
      <c r="E4" s="251"/>
      <c r="F4" s="34" t="s">
        <v>4</v>
      </c>
      <c r="G4" s="35" t="s">
        <v>5</v>
      </c>
      <c r="H4" s="34" t="s">
        <v>4</v>
      </c>
      <c r="I4" s="35" t="s">
        <v>5</v>
      </c>
      <c r="J4" s="34" t="s">
        <v>4</v>
      </c>
      <c r="K4" s="35" t="s">
        <v>5</v>
      </c>
      <c r="L4" s="243"/>
    </row>
    <row r="5" spans="1:15" ht="15" customHeight="1">
      <c r="A5" s="27">
        <v>1</v>
      </c>
      <c r="B5" s="28" t="s">
        <v>41</v>
      </c>
      <c r="C5" s="29"/>
      <c r="D5" s="6"/>
      <c r="E5" s="7"/>
      <c r="F5" s="8"/>
      <c r="G5" s="9"/>
      <c r="H5" s="22"/>
      <c r="I5" s="23"/>
      <c r="J5" s="22"/>
      <c r="K5" s="23"/>
      <c r="L5" s="10"/>
    </row>
    <row r="6" spans="1:15" ht="15" customHeight="1">
      <c r="A6" s="3"/>
      <c r="B6" s="4" t="s">
        <v>19</v>
      </c>
      <c r="C6" s="5" t="s">
        <v>88</v>
      </c>
      <c r="D6" s="6" t="s">
        <v>20</v>
      </c>
      <c r="E6" s="30">
        <f>노즐공사갑지!O4</f>
        <v>5</v>
      </c>
      <c r="F6" s="8">
        <v>3500000</v>
      </c>
      <c r="G6" s="11">
        <f>TRUNC(F6*E6,0)</f>
        <v>17500000</v>
      </c>
      <c r="H6" s="8">
        <v>150000</v>
      </c>
      <c r="I6" s="11">
        <f>TRUNC(H6*E6,0)</f>
        <v>750000</v>
      </c>
      <c r="J6" s="21">
        <f t="shared" ref="J6:K6" si="0">F6+H6</f>
        <v>3650000</v>
      </c>
      <c r="K6" s="24">
        <f t="shared" si="0"/>
        <v>18250000</v>
      </c>
      <c r="L6" s="10"/>
    </row>
    <row r="7" spans="1:15" ht="15" customHeight="1">
      <c r="A7" s="3"/>
      <c r="B7" s="4"/>
      <c r="C7" s="5"/>
      <c r="D7" s="6"/>
      <c r="E7" s="7"/>
      <c r="F7" s="8"/>
      <c r="G7" s="11"/>
      <c r="H7" s="8"/>
      <c r="I7" s="11">
        <f>TRUNC(H7*E7,0)</f>
        <v>0</v>
      </c>
      <c r="J7" s="21">
        <f>F7+H7</f>
        <v>0</v>
      </c>
      <c r="K7" s="24">
        <f>G7+I7</f>
        <v>0</v>
      </c>
      <c r="L7" s="10"/>
      <c r="M7" s="1" t="s">
        <v>77</v>
      </c>
    </row>
    <row r="8" spans="1:15" ht="15" customHeight="1">
      <c r="A8" s="36"/>
      <c r="B8" s="37"/>
      <c r="C8" s="38"/>
      <c r="D8" s="39"/>
      <c r="E8" s="40"/>
      <c r="F8" s="41"/>
      <c r="G8" s="42">
        <f>SUM(G6:G7)</f>
        <v>17500000</v>
      </c>
      <c r="H8" s="41"/>
      <c r="I8" s="42">
        <f>SUM(I6:I7)</f>
        <v>750000</v>
      </c>
      <c r="J8" s="43"/>
      <c r="K8" s="42">
        <f>SUM(K6:K7)</f>
        <v>18250000</v>
      </c>
      <c r="L8" s="44"/>
      <c r="M8" s="1" t="s">
        <v>78</v>
      </c>
      <c r="N8" s="48" t="s">
        <v>79</v>
      </c>
      <c r="O8" s="2" t="s">
        <v>142</v>
      </c>
    </row>
    <row r="9" spans="1:15" ht="15" customHeight="1">
      <c r="A9" s="27">
        <v>2</v>
      </c>
      <c r="B9" s="28" t="s">
        <v>62</v>
      </c>
      <c r="C9" s="29"/>
      <c r="D9" s="6"/>
      <c r="E9" s="7"/>
      <c r="F9" s="8"/>
      <c r="G9" s="9"/>
      <c r="H9" s="8"/>
      <c r="I9" s="9"/>
      <c r="J9" s="26"/>
      <c r="K9" s="9"/>
      <c r="L9" s="10"/>
      <c r="M9" s="1">
        <v>1</v>
      </c>
      <c r="N9" s="48">
        <v>3541200</v>
      </c>
      <c r="O9" s="49">
        <f>N9/1.2</f>
        <v>2951000</v>
      </c>
    </row>
    <row r="10" spans="1:15" ht="15" customHeight="1">
      <c r="A10" s="3"/>
      <c r="B10" s="4" t="s">
        <v>89</v>
      </c>
      <c r="C10" s="12" t="s">
        <v>40</v>
      </c>
      <c r="D10" s="6" t="s">
        <v>13</v>
      </c>
      <c r="E10" s="30">
        <f>E6*6</f>
        <v>30</v>
      </c>
      <c r="F10" s="8">
        <v>22356</v>
      </c>
      <c r="G10" s="11">
        <f t="shared" ref="G10:G14" si="1">TRUNC(F10*E10,0)</f>
        <v>670680</v>
      </c>
      <c r="H10" s="8">
        <v>35434.799999999996</v>
      </c>
      <c r="I10" s="11">
        <f t="shared" ref="I10:I14" si="2">TRUNC(H10*E10,0)</f>
        <v>1063044</v>
      </c>
      <c r="J10" s="21">
        <f t="shared" ref="J10:K16" si="3">F10+H10</f>
        <v>57790.799999999996</v>
      </c>
      <c r="K10" s="24">
        <f t="shared" ref="K10:K15" si="4">G10+I10</f>
        <v>1733724</v>
      </c>
      <c r="L10" s="10"/>
      <c r="M10" s="1">
        <v>2</v>
      </c>
      <c r="N10" s="48">
        <v>3863200</v>
      </c>
      <c r="O10" s="49">
        <f t="shared" ref="O10:O61" si="5">N10/1.2</f>
        <v>3219333.3333333335</v>
      </c>
    </row>
    <row r="11" spans="1:15" ht="15" customHeight="1">
      <c r="A11" s="3"/>
      <c r="B11" s="4" t="s">
        <v>25</v>
      </c>
      <c r="C11" s="12" t="s">
        <v>26</v>
      </c>
      <c r="D11" s="6" t="s">
        <v>14</v>
      </c>
      <c r="E11" s="7">
        <v>1</v>
      </c>
      <c r="F11" s="8">
        <f>G10*0.75</f>
        <v>503010</v>
      </c>
      <c r="G11" s="11">
        <f t="shared" si="1"/>
        <v>503010</v>
      </c>
      <c r="H11" s="8">
        <v>0</v>
      </c>
      <c r="I11" s="11">
        <f t="shared" si="2"/>
        <v>0</v>
      </c>
      <c r="J11" s="21">
        <f t="shared" si="3"/>
        <v>503010</v>
      </c>
      <c r="K11" s="24">
        <f t="shared" si="4"/>
        <v>503010</v>
      </c>
      <c r="L11" s="10"/>
      <c r="M11" s="1">
        <v>3</v>
      </c>
      <c r="N11" s="48">
        <v>4406400</v>
      </c>
      <c r="O11" s="49">
        <f t="shared" si="5"/>
        <v>3672000</v>
      </c>
    </row>
    <row r="12" spans="1:15" ht="15" customHeight="1">
      <c r="A12" s="3"/>
      <c r="B12" s="4" t="s">
        <v>23</v>
      </c>
      <c r="C12" s="5" t="s">
        <v>40</v>
      </c>
      <c r="D12" s="6" t="s">
        <v>22</v>
      </c>
      <c r="E12" s="7">
        <f>E6</f>
        <v>5</v>
      </c>
      <c r="F12" s="8">
        <v>39821.97600000001</v>
      </c>
      <c r="G12" s="11">
        <f t="shared" si="1"/>
        <v>199109</v>
      </c>
      <c r="H12" s="8">
        <v>19014</v>
      </c>
      <c r="I12" s="11">
        <f t="shared" si="2"/>
        <v>95070</v>
      </c>
      <c r="J12" s="21">
        <f t="shared" si="3"/>
        <v>58835.97600000001</v>
      </c>
      <c r="K12" s="24">
        <f t="shared" si="4"/>
        <v>294179</v>
      </c>
      <c r="L12" s="10"/>
      <c r="M12" s="1">
        <v>4</v>
      </c>
      <c r="N12" s="48">
        <v>5456400</v>
      </c>
      <c r="O12" s="49">
        <f t="shared" si="5"/>
        <v>4547000</v>
      </c>
    </row>
    <row r="13" spans="1:15" ht="15" customHeight="1">
      <c r="A13" s="3"/>
      <c r="B13" s="4" t="s">
        <v>38</v>
      </c>
      <c r="C13" s="5" t="s">
        <v>40</v>
      </c>
      <c r="D13" s="6" t="s">
        <v>27</v>
      </c>
      <c r="E13" s="7">
        <f>E6</f>
        <v>5</v>
      </c>
      <c r="F13" s="8">
        <v>282788.03160000005</v>
      </c>
      <c r="G13" s="11">
        <f t="shared" si="1"/>
        <v>1413940</v>
      </c>
      <c r="H13" s="8">
        <v>19014</v>
      </c>
      <c r="I13" s="11">
        <f t="shared" si="2"/>
        <v>95070</v>
      </c>
      <c r="J13" s="21">
        <f t="shared" si="3"/>
        <v>301802.03160000005</v>
      </c>
      <c r="K13" s="24">
        <f t="shared" si="4"/>
        <v>1509010</v>
      </c>
      <c r="L13" s="10"/>
      <c r="M13" s="1">
        <v>5</v>
      </c>
      <c r="N13" s="48">
        <v>6946800</v>
      </c>
      <c r="O13" s="49">
        <f t="shared" si="5"/>
        <v>5789000</v>
      </c>
    </row>
    <row r="14" spans="1:15" ht="15" customHeight="1">
      <c r="A14" s="3"/>
      <c r="B14" s="4" t="s">
        <v>32</v>
      </c>
      <c r="C14" s="5" t="s">
        <v>33</v>
      </c>
      <c r="D14" s="6" t="s">
        <v>14</v>
      </c>
      <c r="E14" s="7">
        <v>1</v>
      </c>
      <c r="F14" s="8">
        <f>G10*0.15</f>
        <v>100602</v>
      </c>
      <c r="G14" s="11">
        <f t="shared" si="1"/>
        <v>100602</v>
      </c>
      <c r="H14" s="8">
        <v>0</v>
      </c>
      <c r="I14" s="11">
        <f t="shared" si="2"/>
        <v>0</v>
      </c>
      <c r="J14" s="21">
        <f t="shared" si="3"/>
        <v>100602</v>
      </c>
      <c r="K14" s="24">
        <f t="shared" si="4"/>
        <v>100602</v>
      </c>
      <c r="L14" s="10"/>
      <c r="M14" s="1">
        <v>6</v>
      </c>
      <c r="N14" s="48">
        <v>7380000</v>
      </c>
      <c r="O14" s="49">
        <f t="shared" si="5"/>
        <v>6150000</v>
      </c>
    </row>
    <row r="15" spans="1:15" ht="15" customHeight="1">
      <c r="A15" s="3"/>
      <c r="B15" s="4" t="s">
        <v>130</v>
      </c>
      <c r="C15" s="5" t="s">
        <v>131</v>
      </c>
      <c r="D15" s="6" t="s">
        <v>132</v>
      </c>
      <c r="E15" s="7">
        <f>E6</f>
        <v>5</v>
      </c>
      <c r="F15" s="8">
        <v>360000</v>
      </c>
      <c r="G15" s="11">
        <f>TRUNC(F15*E15,0)</f>
        <v>1800000</v>
      </c>
      <c r="H15" s="8">
        <v>9481.1999999999989</v>
      </c>
      <c r="I15" s="11">
        <f>TRUNC(H15*E15,0)</f>
        <v>47406</v>
      </c>
      <c r="J15" s="21">
        <f t="shared" si="3"/>
        <v>369481.2</v>
      </c>
      <c r="K15" s="24">
        <f t="shared" si="4"/>
        <v>1847406</v>
      </c>
      <c r="L15" s="10"/>
      <c r="M15" s="1">
        <v>7</v>
      </c>
      <c r="N15" s="48">
        <v>8430000</v>
      </c>
      <c r="O15" s="49">
        <f t="shared" si="5"/>
        <v>7025000</v>
      </c>
    </row>
    <row r="16" spans="1:15" ht="15" customHeight="1">
      <c r="A16" s="3"/>
      <c r="B16" s="4" t="s">
        <v>34</v>
      </c>
      <c r="C16" s="5" t="s">
        <v>35</v>
      </c>
      <c r="D16" s="6" t="s">
        <v>14</v>
      </c>
      <c r="E16" s="7">
        <v>1</v>
      </c>
      <c r="F16" s="8"/>
      <c r="G16" s="11"/>
      <c r="H16" s="8">
        <f>SUM(I9:I15)*0.03</f>
        <v>39017.699999999997</v>
      </c>
      <c r="I16" s="86">
        <f>H16*E16</f>
        <v>39017.699999999997</v>
      </c>
      <c r="J16" s="21">
        <f t="shared" si="3"/>
        <v>39017.699999999997</v>
      </c>
      <c r="K16" s="24">
        <f t="shared" si="3"/>
        <v>39017.699999999997</v>
      </c>
      <c r="L16" s="10"/>
      <c r="M16" s="1">
        <v>8</v>
      </c>
      <c r="N16" s="48">
        <v>8862000</v>
      </c>
      <c r="O16" s="49">
        <f t="shared" si="5"/>
        <v>7385000</v>
      </c>
    </row>
    <row r="17" spans="1:15" ht="15" customHeight="1">
      <c r="A17" s="36"/>
      <c r="B17" s="37"/>
      <c r="C17" s="38"/>
      <c r="D17" s="39"/>
      <c r="E17" s="40"/>
      <c r="F17" s="41">
        <v>0</v>
      </c>
      <c r="G17" s="42">
        <f>SUM(G9:G16)</f>
        <v>4687341</v>
      </c>
      <c r="H17" s="41">
        <v>0</v>
      </c>
      <c r="I17" s="42">
        <f>SUM(I9:I16)</f>
        <v>1339607.7</v>
      </c>
      <c r="J17" s="41"/>
      <c r="K17" s="42">
        <f>SUM(K9:K16)</f>
        <v>6026948.7000000002</v>
      </c>
      <c r="L17" s="44"/>
      <c r="M17" s="1">
        <v>9</v>
      </c>
      <c r="N17" s="48">
        <v>9295200</v>
      </c>
      <c r="O17" s="49">
        <f t="shared" si="5"/>
        <v>7746000</v>
      </c>
    </row>
    <row r="18" spans="1:15" ht="14.25" customHeight="1">
      <c r="A18" s="27">
        <v>3</v>
      </c>
      <c r="B18" s="28" t="s">
        <v>42</v>
      </c>
      <c r="C18" s="29"/>
      <c r="D18" s="6"/>
      <c r="E18" s="7"/>
      <c r="F18" s="8">
        <v>0</v>
      </c>
      <c r="G18" s="9"/>
      <c r="H18" s="8">
        <v>0</v>
      </c>
      <c r="I18" s="9"/>
      <c r="J18" s="8"/>
      <c r="K18" s="9"/>
      <c r="L18" s="10"/>
      <c r="M18" s="1">
        <v>10</v>
      </c>
      <c r="N18" s="48">
        <f t="shared" ref="N18:N61" si="6">$N$17+N9</f>
        <v>12836400</v>
      </c>
      <c r="O18" s="49">
        <f t="shared" si="5"/>
        <v>10697000</v>
      </c>
    </row>
    <row r="19" spans="1:15" ht="15" customHeight="1">
      <c r="A19" s="3"/>
      <c r="B19" s="4" t="s">
        <v>21</v>
      </c>
      <c r="C19" s="258" t="s">
        <v>226</v>
      </c>
      <c r="D19" s="6" t="s">
        <v>13</v>
      </c>
      <c r="E19" s="30">
        <f>노즐공사갑지!P4</f>
        <v>50</v>
      </c>
      <c r="F19" s="259">
        <v>26846</v>
      </c>
      <c r="G19" s="11">
        <f t="shared" ref="G19:G26" si="7">TRUNC(F19*E19,0)</f>
        <v>1342300</v>
      </c>
      <c r="H19" s="8">
        <v>41371.199999999997</v>
      </c>
      <c r="I19" s="11">
        <f t="shared" ref="I19:I26" si="8">TRUNC(H19*E19,0)</f>
        <v>2068560</v>
      </c>
      <c r="J19" s="21">
        <f t="shared" ref="J19:J27" si="9">F19+H19</f>
        <v>68217.2</v>
      </c>
      <c r="K19" s="24">
        <f t="shared" ref="K19:K27" si="10">G19+I19</f>
        <v>3410860</v>
      </c>
      <c r="L19" s="10"/>
      <c r="M19" s="1">
        <v>11</v>
      </c>
      <c r="N19" s="48">
        <f t="shared" si="6"/>
        <v>13158400</v>
      </c>
      <c r="O19" s="49">
        <f t="shared" si="5"/>
        <v>10965333.333333334</v>
      </c>
    </row>
    <row r="20" spans="1:15" ht="15" customHeight="1">
      <c r="A20" s="3"/>
      <c r="B20" s="4" t="s">
        <v>24</v>
      </c>
      <c r="C20" s="5" t="s">
        <v>26</v>
      </c>
      <c r="D20" s="6" t="s">
        <v>14</v>
      </c>
      <c r="E20" s="7">
        <v>1</v>
      </c>
      <c r="F20" s="8">
        <f>G19*0.75</f>
        <v>1006725</v>
      </c>
      <c r="G20" s="11">
        <f t="shared" si="7"/>
        <v>1006725</v>
      </c>
      <c r="H20" s="8">
        <v>0</v>
      </c>
      <c r="I20" s="11">
        <f t="shared" si="8"/>
        <v>0</v>
      </c>
      <c r="J20" s="21">
        <f t="shared" si="9"/>
        <v>1006725</v>
      </c>
      <c r="K20" s="24">
        <f t="shared" si="10"/>
        <v>1006725</v>
      </c>
      <c r="L20" s="10"/>
      <c r="M20" s="1">
        <v>12</v>
      </c>
      <c r="N20" s="48">
        <f t="shared" si="6"/>
        <v>13701600</v>
      </c>
      <c r="O20" s="49">
        <f t="shared" si="5"/>
        <v>11418000</v>
      </c>
    </row>
    <row r="21" spans="1:15" ht="15" customHeight="1">
      <c r="A21" s="3"/>
      <c r="B21" s="4" t="s">
        <v>39</v>
      </c>
      <c r="C21" s="5" t="s">
        <v>31</v>
      </c>
      <c r="D21" s="6" t="s">
        <v>37</v>
      </c>
      <c r="E21" s="7">
        <v>1</v>
      </c>
      <c r="F21" s="8">
        <v>1171.7784000000001</v>
      </c>
      <c r="G21" s="11">
        <f t="shared" si="7"/>
        <v>1171</v>
      </c>
      <c r="H21" s="8">
        <v>60879.6</v>
      </c>
      <c r="I21" s="11">
        <f t="shared" si="8"/>
        <v>60879</v>
      </c>
      <c r="J21" s="21">
        <f t="shared" si="9"/>
        <v>62051.378400000001</v>
      </c>
      <c r="K21" s="24">
        <f t="shared" si="10"/>
        <v>62050</v>
      </c>
      <c r="L21" s="10"/>
      <c r="M21" s="1">
        <v>13</v>
      </c>
      <c r="N21" s="48">
        <f t="shared" si="6"/>
        <v>14751600</v>
      </c>
      <c r="O21" s="49">
        <f t="shared" si="5"/>
        <v>12293000</v>
      </c>
    </row>
    <row r="22" spans="1:15" ht="15" customHeight="1">
      <c r="A22" s="3"/>
      <c r="B22" s="4" t="s">
        <v>36</v>
      </c>
      <c r="C22" s="5" t="s">
        <v>31</v>
      </c>
      <c r="D22" s="6" t="s">
        <v>22</v>
      </c>
      <c r="E22" s="7">
        <v>3</v>
      </c>
      <c r="F22" s="8">
        <v>50245.488000000012</v>
      </c>
      <c r="G22" s="11">
        <f t="shared" si="7"/>
        <v>150736</v>
      </c>
      <c r="H22" s="8">
        <v>19014</v>
      </c>
      <c r="I22" s="11">
        <f t="shared" si="8"/>
        <v>57042</v>
      </c>
      <c r="J22" s="21">
        <f t="shared" si="9"/>
        <v>69259.488000000012</v>
      </c>
      <c r="K22" s="24">
        <f t="shared" si="10"/>
        <v>207778</v>
      </c>
      <c r="L22" s="10"/>
      <c r="M22" s="1">
        <v>14</v>
      </c>
      <c r="N22" s="48">
        <f t="shared" si="6"/>
        <v>16242000</v>
      </c>
      <c r="O22" s="49">
        <f t="shared" si="5"/>
        <v>13535000</v>
      </c>
    </row>
    <row r="23" spans="1:15" ht="15" customHeight="1">
      <c r="A23" s="3"/>
      <c r="B23" s="4" t="s">
        <v>28</v>
      </c>
      <c r="C23" s="5" t="s">
        <v>29</v>
      </c>
      <c r="D23" s="6" t="s">
        <v>27</v>
      </c>
      <c r="E23" s="7">
        <v>3</v>
      </c>
      <c r="F23" s="8">
        <v>13140.327600000002</v>
      </c>
      <c r="G23" s="11">
        <f t="shared" si="7"/>
        <v>39420</v>
      </c>
      <c r="H23" s="8">
        <v>10560</v>
      </c>
      <c r="I23" s="11">
        <f t="shared" si="8"/>
        <v>31680</v>
      </c>
      <c r="J23" s="21">
        <f t="shared" si="9"/>
        <v>23700.327600000004</v>
      </c>
      <c r="K23" s="24">
        <f t="shared" si="10"/>
        <v>71100</v>
      </c>
      <c r="L23" s="10"/>
      <c r="M23" s="1">
        <v>15</v>
      </c>
      <c r="N23" s="48">
        <f t="shared" si="6"/>
        <v>16675200</v>
      </c>
      <c r="O23" s="49">
        <f t="shared" si="5"/>
        <v>13896000</v>
      </c>
    </row>
    <row r="24" spans="1:15" ht="15" customHeight="1">
      <c r="A24" s="3"/>
      <c r="B24" s="4" t="s">
        <v>30</v>
      </c>
      <c r="C24" s="5" t="s">
        <v>31</v>
      </c>
      <c r="D24" s="6" t="s">
        <v>37</v>
      </c>
      <c r="E24" s="7">
        <v>1</v>
      </c>
      <c r="F24" s="8">
        <v>346680</v>
      </c>
      <c r="G24" s="11">
        <f t="shared" si="7"/>
        <v>346680</v>
      </c>
      <c r="H24" s="8">
        <v>0</v>
      </c>
      <c r="I24" s="11">
        <f t="shared" si="8"/>
        <v>0</v>
      </c>
      <c r="J24" s="21">
        <f t="shared" si="9"/>
        <v>346680</v>
      </c>
      <c r="K24" s="24">
        <f t="shared" si="10"/>
        <v>346680</v>
      </c>
      <c r="L24" s="10"/>
      <c r="M24" s="1">
        <v>16</v>
      </c>
      <c r="N24" s="48">
        <f t="shared" si="6"/>
        <v>17725200</v>
      </c>
      <c r="O24" s="49">
        <f t="shared" si="5"/>
        <v>14771000</v>
      </c>
    </row>
    <row r="25" spans="1:15" ht="15" customHeight="1">
      <c r="A25" s="3"/>
      <c r="B25" s="4" t="s">
        <v>38</v>
      </c>
      <c r="C25" s="5" t="s">
        <v>31</v>
      </c>
      <c r="D25" s="6" t="s">
        <v>27</v>
      </c>
      <c r="E25" s="7">
        <v>1</v>
      </c>
      <c r="F25" s="8">
        <v>299935.98000000004</v>
      </c>
      <c r="G25" s="11">
        <f t="shared" si="7"/>
        <v>299935</v>
      </c>
      <c r="H25" s="8">
        <v>19014</v>
      </c>
      <c r="I25" s="11">
        <f t="shared" si="8"/>
        <v>19014</v>
      </c>
      <c r="J25" s="21">
        <f t="shared" si="9"/>
        <v>318949.98000000004</v>
      </c>
      <c r="K25" s="24">
        <f t="shared" si="10"/>
        <v>318949</v>
      </c>
      <c r="L25" s="10"/>
      <c r="M25" s="1">
        <v>17</v>
      </c>
      <c r="N25" s="48">
        <f t="shared" si="6"/>
        <v>18157200</v>
      </c>
      <c r="O25" s="49">
        <f t="shared" si="5"/>
        <v>15131000</v>
      </c>
    </row>
    <row r="26" spans="1:15" ht="15" customHeight="1">
      <c r="A26" s="3"/>
      <c r="B26" s="4" t="s">
        <v>32</v>
      </c>
      <c r="C26" s="5" t="s">
        <v>33</v>
      </c>
      <c r="D26" s="6" t="s">
        <v>14</v>
      </c>
      <c r="E26" s="7">
        <v>1</v>
      </c>
      <c r="F26" s="8">
        <f>G19*0.15</f>
        <v>201345</v>
      </c>
      <c r="G26" s="11">
        <f t="shared" si="7"/>
        <v>201345</v>
      </c>
      <c r="H26" s="8">
        <v>0</v>
      </c>
      <c r="I26" s="11">
        <f t="shared" si="8"/>
        <v>0</v>
      </c>
      <c r="J26" s="21">
        <f t="shared" si="9"/>
        <v>201345</v>
      </c>
      <c r="K26" s="24">
        <f t="shared" si="10"/>
        <v>201345</v>
      </c>
      <c r="L26" s="10"/>
      <c r="M26" s="1">
        <v>18</v>
      </c>
      <c r="N26" s="48">
        <f t="shared" si="6"/>
        <v>18590400</v>
      </c>
      <c r="O26" s="49">
        <f t="shared" si="5"/>
        <v>15492000</v>
      </c>
    </row>
    <row r="27" spans="1:15" ht="15" customHeight="1">
      <c r="A27" s="3"/>
      <c r="B27" s="4" t="s">
        <v>34</v>
      </c>
      <c r="C27" s="5" t="s">
        <v>35</v>
      </c>
      <c r="D27" s="6" t="s">
        <v>14</v>
      </c>
      <c r="E27" s="7">
        <v>1</v>
      </c>
      <c r="F27" s="8"/>
      <c r="G27" s="11"/>
      <c r="H27" s="8">
        <f>SUM(I18:I26)*0.03</f>
        <v>67115.25</v>
      </c>
      <c r="I27" s="11">
        <f t="shared" ref="I27" si="11">TRUNC(H27*G27,0)</f>
        <v>0</v>
      </c>
      <c r="J27" s="21">
        <f t="shared" si="9"/>
        <v>67115.25</v>
      </c>
      <c r="K27" s="24">
        <f t="shared" si="10"/>
        <v>0</v>
      </c>
      <c r="L27" s="10"/>
      <c r="M27" s="1">
        <v>19</v>
      </c>
      <c r="N27" s="48">
        <f t="shared" si="6"/>
        <v>22131600</v>
      </c>
      <c r="O27" s="49">
        <f t="shared" si="5"/>
        <v>18443000</v>
      </c>
    </row>
    <row r="28" spans="1:15" ht="15" customHeight="1">
      <c r="A28" s="36"/>
      <c r="B28" s="37"/>
      <c r="C28" s="38"/>
      <c r="D28" s="39"/>
      <c r="E28" s="40"/>
      <c r="F28" s="41">
        <v>0</v>
      </c>
      <c r="G28" s="45">
        <f>SUM(G18:G27)</f>
        <v>3388312</v>
      </c>
      <c r="H28" s="41">
        <v>0</v>
      </c>
      <c r="I28" s="45">
        <f>SUM(I18:I27)</f>
        <v>2237175</v>
      </c>
      <c r="J28" s="46"/>
      <c r="K28" s="47">
        <f>SUM(K18:K27)</f>
        <v>5625487</v>
      </c>
      <c r="L28" s="44"/>
      <c r="M28" s="1">
        <v>20</v>
      </c>
      <c r="N28" s="48">
        <f t="shared" si="6"/>
        <v>22453600</v>
      </c>
      <c r="O28" s="49">
        <f t="shared" si="5"/>
        <v>18711333.333333336</v>
      </c>
    </row>
    <row r="29" spans="1:15" ht="15" customHeight="1">
      <c r="A29" s="27">
        <v>4</v>
      </c>
      <c r="B29" s="28" t="s">
        <v>43</v>
      </c>
      <c r="C29" s="29"/>
      <c r="D29" s="6"/>
      <c r="E29" s="7"/>
      <c r="F29" s="8">
        <v>0</v>
      </c>
      <c r="G29" s="11"/>
      <c r="H29" s="8">
        <v>0</v>
      </c>
      <c r="I29" s="11"/>
      <c r="J29" s="25"/>
      <c r="K29" s="24"/>
      <c r="L29" s="10"/>
      <c r="M29" s="1">
        <v>21</v>
      </c>
      <c r="N29" s="48">
        <f t="shared" si="6"/>
        <v>22996800</v>
      </c>
      <c r="O29" s="49">
        <f t="shared" si="5"/>
        <v>19164000</v>
      </c>
    </row>
    <row r="30" spans="1:15" ht="15" customHeight="1">
      <c r="A30" s="3"/>
      <c r="B30" s="31" t="s">
        <v>50</v>
      </c>
      <c r="C30" s="5"/>
      <c r="D30" s="6"/>
      <c r="E30" s="7"/>
      <c r="F30" s="8">
        <v>0</v>
      </c>
      <c r="G30" s="11"/>
      <c r="H30" s="8">
        <v>0</v>
      </c>
      <c r="I30" s="11"/>
      <c r="J30" s="21"/>
      <c r="K30" s="24"/>
      <c r="L30" s="10"/>
      <c r="M30" s="1">
        <v>22</v>
      </c>
      <c r="N30" s="48">
        <f t="shared" si="6"/>
        <v>24046800</v>
      </c>
      <c r="O30" s="49">
        <f t="shared" si="5"/>
        <v>20039000</v>
      </c>
    </row>
    <row r="31" spans="1:15" ht="15" customHeight="1">
      <c r="A31" s="3"/>
      <c r="B31" s="32" t="s">
        <v>51</v>
      </c>
      <c r="C31" s="5" t="s">
        <v>85</v>
      </c>
      <c r="D31" s="6" t="s">
        <v>13</v>
      </c>
      <c r="E31" s="91">
        <f>E33/1.2</f>
        <v>41.666666666666671</v>
      </c>
      <c r="F31" s="8">
        <v>6070.3668000000007</v>
      </c>
      <c r="G31" s="11">
        <f>F31*E31</f>
        <v>252931.95000000007</v>
      </c>
      <c r="H31" s="8">
        <v>32689.199999999997</v>
      </c>
      <c r="I31" s="11">
        <f>H31*E31</f>
        <v>1362050</v>
      </c>
      <c r="J31" s="21">
        <f t="shared" ref="J31:J32" si="12">F31+H31</f>
        <v>38759.566800000001</v>
      </c>
      <c r="K31" s="24">
        <f t="shared" ref="K31:K32" si="13">G31+I31</f>
        <v>1614981.9500000002</v>
      </c>
      <c r="L31" s="10"/>
      <c r="M31" s="1">
        <v>23</v>
      </c>
      <c r="N31" s="48">
        <f t="shared" si="6"/>
        <v>25537200</v>
      </c>
      <c r="O31" s="49">
        <f t="shared" si="5"/>
        <v>21281000</v>
      </c>
    </row>
    <row r="32" spans="1:15" ht="15" customHeight="1">
      <c r="A32" s="3"/>
      <c r="B32" s="32" t="s">
        <v>133</v>
      </c>
      <c r="C32" s="5" t="s">
        <v>134</v>
      </c>
      <c r="D32" s="6" t="s">
        <v>14</v>
      </c>
      <c r="E32" s="7">
        <v>1</v>
      </c>
      <c r="F32" s="8">
        <f>G31*0.15</f>
        <v>37939.79250000001</v>
      </c>
      <c r="G32" s="11">
        <f>F32*E32</f>
        <v>37939.79250000001</v>
      </c>
      <c r="H32" s="8">
        <v>0</v>
      </c>
      <c r="I32" s="11">
        <f>H32*E32</f>
        <v>0</v>
      </c>
      <c r="J32" s="21">
        <f t="shared" si="12"/>
        <v>37939.79250000001</v>
      </c>
      <c r="K32" s="24">
        <f t="shared" si="13"/>
        <v>37939.79250000001</v>
      </c>
      <c r="L32" s="10"/>
      <c r="M32" s="1">
        <v>24</v>
      </c>
      <c r="N32" s="48">
        <f t="shared" si="6"/>
        <v>25970400</v>
      </c>
      <c r="O32" s="49">
        <f t="shared" si="5"/>
        <v>21642000</v>
      </c>
    </row>
    <row r="33" spans="1:15" ht="15" customHeight="1">
      <c r="A33" s="3"/>
      <c r="B33" s="32" t="s">
        <v>87</v>
      </c>
      <c r="C33" s="5" t="s">
        <v>86</v>
      </c>
      <c r="D33" s="6" t="s">
        <v>13</v>
      </c>
      <c r="E33" s="90">
        <f>노즐공사갑지!Q4</f>
        <v>50</v>
      </c>
      <c r="F33" s="8">
        <v>4465.2384000000002</v>
      </c>
      <c r="G33" s="11">
        <f t="shared" ref="G33:G35" si="14">F33*E33</f>
        <v>223261.92</v>
      </c>
      <c r="H33" s="8">
        <v>4239.2030400000003</v>
      </c>
      <c r="I33" s="11">
        <f t="shared" ref="I33:I35" si="15">H33*E33</f>
        <v>211960.152</v>
      </c>
      <c r="J33" s="21">
        <f t="shared" ref="J33:J35" si="16">F33+H33</f>
        <v>8704.4414400000005</v>
      </c>
      <c r="K33" s="24">
        <f t="shared" ref="K33:K35" si="17">G33+I33</f>
        <v>435222.07200000004</v>
      </c>
      <c r="L33" s="10"/>
      <c r="M33" s="1">
        <v>25</v>
      </c>
      <c r="N33" s="48">
        <f t="shared" si="6"/>
        <v>27020400</v>
      </c>
      <c r="O33" s="49">
        <f t="shared" si="5"/>
        <v>22517000</v>
      </c>
    </row>
    <row r="34" spans="1:15" ht="15" customHeight="1">
      <c r="A34" s="3"/>
      <c r="B34" s="32" t="s">
        <v>135</v>
      </c>
      <c r="C34" s="87" t="s">
        <v>136</v>
      </c>
      <c r="D34" s="88" t="s">
        <v>52</v>
      </c>
      <c r="E34" s="89">
        <f>4+(E31/1.5)</f>
        <v>31.777777777777782</v>
      </c>
      <c r="F34" s="8">
        <v>528</v>
      </c>
      <c r="G34" s="11">
        <f t="shared" si="14"/>
        <v>16778.666666666668</v>
      </c>
      <c r="H34" s="8">
        <v>12608.4</v>
      </c>
      <c r="I34" s="11">
        <f t="shared" si="15"/>
        <v>400666.93333333335</v>
      </c>
      <c r="J34" s="21">
        <f t="shared" si="16"/>
        <v>13136.4</v>
      </c>
      <c r="K34" s="24">
        <f t="shared" si="17"/>
        <v>417445.60000000003</v>
      </c>
      <c r="L34" s="10"/>
      <c r="M34" s="1">
        <v>26</v>
      </c>
      <c r="N34" s="48">
        <f t="shared" si="6"/>
        <v>27452400</v>
      </c>
      <c r="O34" s="49">
        <f t="shared" si="5"/>
        <v>22877000</v>
      </c>
    </row>
    <row r="35" spans="1:15" ht="15" customHeight="1">
      <c r="A35" s="3"/>
      <c r="B35" s="32" t="s">
        <v>65</v>
      </c>
      <c r="C35" s="5" t="s">
        <v>84</v>
      </c>
      <c r="D35" s="6" t="s">
        <v>55</v>
      </c>
      <c r="E35" s="7">
        <f>ROUNDUP(E6/8,0)</f>
        <v>1</v>
      </c>
      <c r="F35" s="8">
        <f>(1500000+(E6*200000))*1.2</f>
        <v>3000000</v>
      </c>
      <c r="G35" s="11">
        <f t="shared" si="14"/>
        <v>3000000</v>
      </c>
      <c r="H35" s="8">
        <v>194581.19999999998</v>
      </c>
      <c r="I35" s="11">
        <f t="shared" si="15"/>
        <v>194581.19999999998</v>
      </c>
      <c r="J35" s="21">
        <f t="shared" si="16"/>
        <v>3194581.2</v>
      </c>
      <c r="K35" s="24">
        <f t="shared" si="17"/>
        <v>3194581.2</v>
      </c>
      <c r="L35" s="10"/>
      <c r="M35" s="1">
        <v>27</v>
      </c>
      <c r="N35" s="48">
        <f t="shared" si="6"/>
        <v>27885600</v>
      </c>
      <c r="O35" s="49">
        <f t="shared" si="5"/>
        <v>23238000</v>
      </c>
    </row>
    <row r="36" spans="1:15" ht="15" customHeight="1">
      <c r="A36" s="3"/>
      <c r="B36" s="31" t="s">
        <v>59</v>
      </c>
      <c r="C36" s="5"/>
      <c r="D36" s="6"/>
      <c r="E36" s="7"/>
      <c r="F36" s="8">
        <v>0</v>
      </c>
      <c r="G36" s="11"/>
      <c r="H36" s="8">
        <v>0</v>
      </c>
      <c r="I36" s="11"/>
      <c r="J36" s="21"/>
      <c r="K36" s="24"/>
      <c r="L36" s="10"/>
      <c r="M36" s="1">
        <v>28</v>
      </c>
      <c r="N36" s="48">
        <f t="shared" si="6"/>
        <v>31426800</v>
      </c>
      <c r="O36" s="49">
        <f t="shared" si="5"/>
        <v>26189000</v>
      </c>
    </row>
    <row r="37" spans="1:15" ht="15" customHeight="1">
      <c r="A37" s="3"/>
      <c r="B37" s="32" t="s">
        <v>51</v>
      </c>
      <c r="C37" s="5" t="s">
        <v>66</v>
      </c>
      <c r="D37" s="6" t="s">
        <v>13</v>
      </c>
      <c r="E37" s="30">
        <f>INT(176/10*노즐공사원가!E6)</f>
        <v>88</v>
      </c>
      <c r="F37" s="8">
        <v>3238.7999999999997</v>
      </c>
      <c r="G37" s="11">
        <f t="shared" ref="G37:G44" si="18">F37*E37</f>
        <v>285014.39999999997</v>
      </c>
      <c r="H37" s="8">
        <v>18679.2</v>
      </c>
      <c r="I37" s="11">
        <f t="shared" ref="I37:I44" si="19">H37*E37</f>
        <v>1643769.6</v>
      </c>
      <c r="J37" s="21">
        <f t="shared" ref="J37:K43" si="20">F37+H37</f>
        <v>21918</v>
      </c>
      <c r="K37" s="24">
        <f t="shared" si="20"/>
        <v>1928784</v>
      </c>
      <c r="L37" s="10"/>
      <c r="M37" s="1">
        <v>29</v>
      </c>
      <c r="N37" s="48">
        <f t="shared" si="6"/>
        <v>31748800</v>
      </c>
      <c r="O37" s="49">
        <f t="shared" si="5"/>
        <v>26457333.333333336</v>
      </c>
    </row>
    <row r="38" spans="1:15" ht="15" customHeight="1">
      <c r="A38" s="3"/>
      <c r="B38" s="32" t="s">
        <v>133</v>
      </c>
      <c r="C38" s="5" t="s">
        <v>134</v>
      </c>
      <c r="D38" s="6" t="s">
        <v>14</v>
      </c>
      <c r="E38" s="7">
        <v>1</v>
      </c>
      <c r="F38" s="8">
        <f>G37*0.15</f>
        <v>42752.159999999996</v>
      </c>
      <c r="G38" s="11">
        <f>F38*E38</f>
        <v>42752.159999999996</v>
      </c>
      <c r="H38" s="8">
        <v>0</v>
      </c>
      <c r="I38" s="11">
        <f>H38*E38</f>
        <v>0</v>
      </c>
      <c r="J38" s="21">
        <f t="shared" si="20"/>
        <v>42752.159999999996</v>
      </c>
      <c r="K38" s="24">
        <f t="shared" si="20"/>
        <v>42752.159999999996</v>
      </c>
      <c r="L38" s="10"/>
      <c r="M38" s="1">
        <v>30</v>
      </c>
      <c r="N38" s="48">
        <f t="shared" si="6"/>
        <v>32292000</v>
      </c>
      <c r="O38" s="49">
        <f t="shared" si="5"/>
        <v>26910000</v>
      </c>
    </row>
    <row r="39" spans="1:15" ht="15" customHeight="1">
      <c r="A39" s="3"/>
      <c r="B39" s="32" t="s">
        <v>138</v>
      </c>
      <c r="C39" s="5" t="s">
        <v>137</v>
      </c>
      <c r="D39" s="6" t="s">
        <v>13</v>
      </c>
      <c r="E39" s="33">
        <f>E37*1.2</f>
        <v>105.6</v>
      </c>
      <c r="F39" s="8">
        <v>684</v>
      </c>
      <c r="G39" s="11">
        <f t="shared" si="18"/>
        <v>72230.399999999994</v>
      </c>
      <c r="H39" s="8">
        <v>1946.3999999999999</v>
      </c>
      <c r="I39" s="11">
        <f t="shared" si="19"/>
        <v>205539.83999999997</v>
      </c>
      <c r="J39" s="21">
        <f>F39+H39</f>
        <v>2630.3999999999996</v>
      </c>
      <c r="K39" s="24">
        <f t="shared" si="20"/>
        <v>277770.23999999999</v>
      </c>
      <c r="L39" s="10"/>
      <c r="M39" s="1">
        <v>31</v>
      </c>
      <c r="N39" s="48">
        <f t="shared" si="6"/>
        <v>33342000</v>
      </c>
      <c r="O39" s="49">
        <f t="shared" si="5"/>
        <v>27785000</v>
      </c>
    </row>
    <row r="40" spans="1:15" ht="15" customHeight="1">
      <c r="A40" s="3"/>
      <c r="B40" s="32" t="s">
        <v>56</v>
      </c>
      <c r="C40" s="5" t="s">
        <v>57</v>
      </c>
      <c r="D40" s="6" t="s">
        <v>52</v>
      </c>
      <c r="E40" s="7">
        <f>노즐공사원가!E6</f>
        <v>5</v>
      </c>
      <c r="F40" s="8">
        <v>1209.358512</v>
      </c>
      <c r="G40" s="11">
        <f t="shared" si="18"/>
        <v>6046.7925599999999</v>
      </c>
      <c r="H40" s="8">
        <v>47698.47755827201</v>
      </c>
      <c r="I40" s="11">
        <f t="shared" si="19"/>
        <v>238492.38779136006</v>
      </c>
      <c r="J40" s="21">
        <f t="shared" ref="J40:K44" si="21">F40+H40</f>
        <v>48907.836070272009</v>
      </c>
      <c r="K40" s="24">
        <f t="shared" si="20"/>
        <v>244539.18035136006</v>
      </c>
      <c r="L40" s="10"/>
      <c r="M40" s="1">
        <v>32</v>
      </c>
      <c r="N40" s="48">
        <f t="shared" si="6"/>
        <v>34832400</v>
      </c>
      <c r="O40" s="49">
        <f t="shared" si="5"/>
        <v>29027000</v>
      </c>
    </row>
    <row r="41" spans="1:15" ht="15" customHeight="1">
      <c r="A41" s="3"/>
      <c r="B41" s="32" t="s">
        <v>67</v>
      </c>
      <c r="C41" s="5" t="s">
        <v>68</v>
      </c>
      <c r="D41" s="6" t="s">
        <v>52</v>
      </c>
      <c r="E41" s="7">
        <f>노즐공사원가!E6</f>
        <v>5</v>
      </c>
      <c r="F41" s="8">
        <v>376.77182399999998</v>
      </c>
      <c r="G41" s="11">
        <f t="shared" si="18"/>
        <v>1883.8591199999998</v>
      </c>
      <c r="H41" s="8">
        <v>5962.3096947840013</v>
      </c>
      <c r="I41" s="11">
        <f t="shared" si="19"/>
        <v>29811.548473920007</v>
      </c>
      <c r="J41" s="21">
        <f t="shared" si="21"/>
        <v>6339.0815187840017</v>
      </c>
      <c r="K41" s="24">
        <f t="shared" si="20"/>
        <v>31695.407593920008</v>
      </c>
      <c r="L41" s="10"/>
      <c r="M41" s="1">
        <v>33</v>
      </c>
      <c r="N41" s="48">
        <f t="shared" si="6"/>
        <v>35265600</v>
      </c>
      <c r="O41" s="49">
        <f t="shared" si="5"/>
        <v>29388000</v>
      </c>
    </row>
    <row r="42" spans="1:15" ht="15" customHeight="1">
      <c r="A42" s="3"/>
      <c r="B42" s="32" t="s">
        <v>69</v>
      </c>
      <c r="C42" s="5" t="s">
        <v>70</v>
      </c>
      <c r="D42" s="6" t="s">
        <v>58</v>
      </c>
      <c r="E42" s="7">
        <f>E6*2</f>
        <v>10</v>
      </c>
      <c r="F42" s="8">
        <v>10588.8</v>
      </c>
      <c r="G42" s="11">
        <f t="shared" si="18"/>
        <v>105888</v>
      </c>
      <c r="H42" s="8">
        <v>0</v>
      </c>
      <c r="I42" s="11">
        <f t="shared" si="19"/>
        <v>0</v>
      </c>
      <c r="J42" s="21">
        <f t="shared" si="21"/>
        <v>10588.8</v>
      </c>
      <c r="K42" s="24">
        <f t="shared" si="20"/>
        <v>105888</v>
      </c>
      <c r="L42" s="10"/>
      <c r="M42" s="1">
        <v>34</v>
      </c>
      <c r="N42" s="48">
        <f t="shared" si="6"/>
        <v>36315600</v>
      </c>
      <c r="O42" s="49">
        <f t="shared" si="5"/>
        <v>30263000</v>
      </c>
    </row>
    <row r="43" spans="1:15" ht="15" customHeight="1">
      <c r="A43" s="3"/>
      <c r="B43" s="32" t="s">
        <v>139</v>
      </c>
      <c r="C43" s="5" t="s">
        <v>140</v>
      </c>
      <c r="D43" s="6" t="s">
        <v>141</v>
      </c>
      <c r="E43" s="7">
        <f>E6*3</f>
        <v>15</v>
      </c>
      <c r="F43" s="8">
        <v>1353.6</v>
      </c>
      <c r="G43" s="11">
        <f t="shared" si="18"/>
        <v>20304</v>
      </c>
      <c r="H43" s="8">
        <v>0</v>
      </c>
      <c r="I43" s="11">
        <f t="shared" si="19"/>
        <v>0</v>
      </c>
      <c r="J43" s="21">
        <f t="shared" si="21"/>
        <v>1353.6</v>
      </c>
      <c r="K43" s="24">
        <f t="shared" si="20"/>
        <v>20304</v>
      </c>
      <c r="L43" s="10"/>
      <c r="M43" s="1">
        <v>35</v>
      </c>
      <c r="N43" s="48">
        <f t="shared" si="6"/>
        <v>36747600</v>
      </c>
      <c r="O43" s="49">
        <f t="shared" si="5"/>
        <v>30623000</v>
      </c>
    </row>
    <row r="44" spans="1:15" ht="15" customHeight="1">
      <c r="A44" s="3"/>
      <c r="B44" s="32" t="s">
        <v>53</v>
      </c>
      <c r="C44" s="5" t="s">
        <v>54</v>
      </c>
      <c r="D44" s="6" t="s">
        <v>52</v>
      </c>
      <c r="E44" s="7">
        <f>ROUNDUP(E37/5, 0)</f>
        <v>18</v>
      </c>
      <c r="F44" s="8">
        <v>724.56119999999999</v>
      </c>
      <c r="G44" s="11">
        <f t="shared" si="18"/>
        <v>13042.1016</v>
      </c>
      <c r="H44" s="8">
        <v>10732.157450611197</v>
      </c>
      <c r="I44" s="11">
        <f t="shared" si="19"/>
        <v>193178.83411100155</v>
      </c>
      <c r="J44" s="21">
        <f t="shared" si="21"/>
        <v>11456.718650611198</v>
      </c>
      <c r="K44" s="24">
        <f t="shared" si="21"/>
        <v>206220.93571100154</v>
      </c>
      <c r="L44" s="10"/>
      <c r="M44" s="1">
        <v>36</v>
      </c>
      <c r="N44" s="48">
        <f t="shared" si="6"/>
        <v>37180800</v>
      </c>
      <c r="O44" s="49">
        <f t="shared" si="5"/>
        <v>30984000</v>
      </c>
    </row>
    <row r="45" spans="1:15" ht="15" customHeight="1">
      <c r="A45" s="3"/>
      <c r="B45" s="31" t="s">
        <v>60</v>
      </c>
      <c r="C45" s="5"/>
      <c r="D45" s="6"/>
      <c r="E45" s="7"/>
      <c r="F45" s="8">
        <v>0</v>
      </c>
      <c r="G45" s="11"/>
      <c r="H45" s="8">
        <v>0</v>
      </c>
      <c r="I45" s="11"/>
      <c r="J45" s="21"/>
      <c r="K45" s="24"/>
      <c r="L45" s="10"/>
      <c r="M45" s="1">
        <v>37</v>
      </c>
      <c r="N45" s="48">
        <f t="shared" si="6"/>
        <v>40722000</v>
      </c>
      <c r="O45" s="49">
        <f t="shared" si="5"/>
        <v>33935000</v>
      </c>
    </row>
    <row r="46" spans="1:15" ht="15" customHeight="1">
      <c r="A46" s="3"/>
      <c r="B46" s="32" t="s">
        <v>51</v>
      </c>
      <c r="C46" s="5" t="s">
        <v>66</v>
      </c>
      <c r="D46" s="6" t="s">
        <v>13</v>
      </c>
      <c r="E46" s="7">
        <f>20*E48</f>
        <v>40</v>
      </c>
      <c r="F46" s="8">
        <v>3528.3934800000002</v>
      </c>
      <c r="G46" s="11">
        <f t="shared" ref="G46:G47" si="22">F46*E46</f>
        <v>141135.73920000001</v>
      </c>
      <c r="H46" s="8">
        <v>22416</v>
      </c>
      <c r="I46" s="11">
        <f t="shared" ref="I46:I47" si="23">H46*E46</f>
        <v>896640</v>
      </c>
      <c r="J46" s="21">
        <f t="shared" ref="J46" si="24">F46+H46</f>
        <v>25944.393479999999</v>
      </c>
      <c r="K46" s="24">
        <f t="shared" ref="K46" si="25">G46+I46</f>
        <v>1037775.7392</v>
      </c>
      <c r="L46" s="10"/>
      <c r="M46" s="1">
        <v>38</v>
      </c>
      <c r="N46" s="48">
        <f t="shared" si="6"/>
        <v>41044000</v>
      </c>
      <c r="O46" s="49">
        <f t="shared" si="5"/>
        <v>34203333.333333336</v>
      </c>
    </row>
    <row r="47" spans="1:15" ht="15" customHeight="1">
      <c r="A47" s="3"/>
      <c r="B47" s="32" t="s">
        <v>71</v>
      </c>
      <c r="C47" s="5" t="s">
        <v>72</v>
      </c>
      <c r="D47" s="6" t="s">
        <v>13</v>
      </c>
      <c r="E47" s="7">
        <f>E46</f>
        <v>40</v>
      </c>
      <c r="F47" s="8">
        <v>717.62760000000003</v>
      </c>
      <c r="G47" s="11">
        <f t="shared" si="22"/>
        <v>28705.103999999999</v>
      </c>
      <c r="H47" s="8">
        <v>2313.6</v>
      </c>
      <c r="I47" s="11">
        <f t="shared" si="23"/>
        <v>92544</v>
      </c>
      <c r="J47" s="21">
        <f t="shared" ref="J47:J49" si="26">F47+H47</f>
        <v>3031.2276000000002</v>
      </c>
      <c r="K47" s="24">
        <f t="shared" ref="K47:K49" si="27">G47+I47</f>
        <v>121249.10399999999</v>
      </c>
      <c r="L47" s="10"/>
      <c r="M47" s="1">
        <v>39</v>
      </c>
      <c r="N47" s="48">
        <f t="shared" si="6"/>
        <v>41587200</v>
      </c>
      <c r="O47" s="49">
        <f t="shared" si="5"/>
        <v>34656000</v>
      </c>
    </row>
    <row r="48" spans="1:15" ht="15" customHeight="1">
      <c r="A48" s="3"/>
      <c r="B48" s="32" t="s">
        <v>56</v>
      </c>
      <c r="C48" s="5" t="s">
        <v>57</v>
      </c>
      <c r="D48" s="6" t="s">
        <v>52</v>
      </c>
      <c r="E48" s="7">
        <f>ROUNDUP(E6/3, 0)</f>
        <v>2</v>
      </c>
      <c r="F48" s="8">
        <v>1007.79876</v>
      </c>
      <c r="G48" s="11">
        <f t="shared" ref="G48:G49" si="28">F48*E48</f>
        <v>2015.59752</v>
      </c>
      <c r="H48" s="8">
        <v>56038.799999999996</v>
      </c>
      <c r="I48" s="11">
        <f t="shared" ref="I48:I51" si="29">H48*E48</f>
        <v>112077.59999999999</v>
      </c>
      <c r="J48" s="21">
        <f t="shared" si="26"/>
        <v>57046.598759999993</v>
      </c>
      <c r="K48" s="24">
        <f t="shared" si="27"/>
        <v>114093.19751999999</v>
      </c>
      <c r="L48" s="10"/>
      <c r="M48" s="1">
        <v>40</v>
      </c>
      <c r="N48" s="48">
        <f t="shared" si="6"/>
        <v>42637200</v>
      </c>
      <c r="O48" s="49">
        <f t="shared" si="5"/>
        <v>35531000</v>
      </c>
    </row>
    <row r="49" spans="1:15" ht="15" customHeight="1">
      <c r="A49" s="3"/>
      <c r="B49" s="32" t="s">
        <v>67</v>
      </c>
      <c r="C49" s="5" t="s">
        <v>68</v>
      </c>
      <c r="D49" s="6" t="s">
        <v>52</v>
      </c>
      <c r="E49" s="7">
        <f>ROUNDUP(E6/3, 0)</f>
        <v>2</v>
      </c>
      <c r="F49" s="8">
        <v>313.97651999999999</v>
      </c>
      <c r="G49" s="11">
        <f t="shared" si="28"/>
        <v>627.95303999999999</v>
      </c>
      <c r="H49" s="8">
        <v>7004.4</v>
      </c>
      <c r="I49" s="11">
        <f t="shared" si="29"/>
        <v>14008.8</v>
      </c>
      <c r="J49" s="21">
        <f t="shared" si="26"/>
        <v>7318.3765199999998</v>
      </c>
      <c r="K49" s="24">
        <f t="shared" si="27"/>
        <v>14636.75304</v>
      </c>
      <c r="L49" s="10"/>
      <c r="M49" s="1">
        <v>41</v>
      </c>
      <c r="N49" s="48">
        <f t="shared" si="6"/>
        <v>44127600</v>
      </c>
      <c r="O49" s="49">
        <f t="shared" si="5"/>
        <v>36773000</v>
      </c>
    </row>
    <row r="50" spans="1:15" ht="15" customHeight="1">
      <c r="A50" s="3"/>
      <c r="B50" s="31" t="s">
        <v>73</v>
      </c>
      <c r="C50" s="5" t="s">
        <v>75</v>
      </c>
      <c r="D50" s="6" t="s">
        <v>61</v>
      </c>
      <c r="E50" s="7">
        <f>E6*2</f>
        <v>10</v>
      </c>
      <c r="F50" s="8">
        <v>0</v>
      </c>
      <c r="G50" s="11"/>
      <c r="H50" s="8">
        <v>228284.15760000001</v>
      </c>
      <c r="I50" s="11">
        <f t="shared" si="29"/>
        <v>2282841.5759999999</v>
      </c>
      <c r="J50" s="21">
        <f t="shared" ref="J50:J51" si="30">F50+H50</f>
        <v>228284.15760000001</v>
      </c>
      <c r="K50" s="24">
        <f t="shared" ref="K50:K51" si="31">G50+I50</f>
        <v>2282841.5759999999</v>
      </c>
      <c r="L50" s="10"/>
      <c r="M50" s="1">
        <v>42</v>
      </c>
      <c r="N50" s="48">
        <f t="shared" si="6"/>
        <v>44560800</v>
      </c>
      <c r="O50" s="49">
        <f t="shared" si="5"/>
        <v>37134000</v>
      </c>
    </row>
    <row r="51" spans="1:15" ht="15" customHeight="1">
      <c r="A51" s="3"/>
      <c r="B51" s="31" t="s">
        <v>74</v>
      </c>
      <c r="C51" s="5" t="s">
        <v>76</v>
      </c>
      <c r="D51" s="6" t="s">
        <v>61</v>
      </c>
      <c r="E51" s="7">
        <f>E6*2</f>
        <v>10</v>
      </c>
      <c r="F51" s="8">
        <v>0</v>
      </c>
      <c r="G51" s="11"/>
      <c r="H51" s="8">
        <v>181507.78080000001</v>
      </c>
      <c r="I51" s="11">
        <f t="shared" si="29"/>
        <v>1815077.8080000002</v>
      </c>
      <c r="J51" s="21">
        <f t="shared" si="30"/>
        <v>181507.78080000001</v>
      </c>
      <c r="K51" s="24">
        <f t="shared" si="31"/>
        <v>1815077.8080000002</v>
      </c>
      <c r="L51" s="10"/>
      <c r="M51" s="1">
        <v>43</v>
      </c>
      <c r="N51" s="48">
        <f t="shared" si="6"/>
        <v>45610800</v>
      </c>
      <c r="O51" s="49">
        <f t="shared" si="5"/>
        <v>38009000</v>
      </c>
    </row>
    <row r="52" spans="1:15" ht="15" customHeight="1">
      <c r="A52" s="36"/>
      <c r="B52" s="37"/>
      <c r="C52" s="38"/>
      <c r="D52" s="39"/>
      <c r="E52" s="40"/>
      <c r="F52" s="41"/>
      <c r="G52" s="45">
        <f>SUM(G29:G51)</f>
        <v>4250558.4362066677</v>
      </c>
      <c r="H52" s="41"/>
      <c r="I52" s="45">
        <f>SUM(I29:I51)</f>
        <v>9693240.2797096148</v>
      </c>
      <c r="J52" s="46"/>
      <c r="K52" s="45">
        <f>SUM(K29:K51)</f>
        <v>13943798.715916283</v>
      </c>
      <c r="L52" s="44"/>
      <c r="M52" s="1">
        <v>44</v>
      </c>
      <c r="N52" s="48">
        <f t="shared" si="6"/>
        <v>46042800</v>
      </c>
      <c r="O52" s="49">
        <f t="shared" si="5"/>
        <v>38369000</v>
      </c>
    </row>
    <row r="53" spans="1:15" ht="15" customHeight="1">
      <c r="A53" s="27">
        <v>5</v>
      </c>
      <c r="B53" s="28" t="s">
        <v>63</v>
      </c>
      <c r="C53" s="29"/>
      <c r="D53" s="6"/>
      <c r="E53" s="7"/>
      <c r="F53" s="8"/>
      <c r="G53" s="11"/>
      <c r="H53" s="8"/>
      <c r="I53" s="11"/>
      <c r="J53" s="25">
        <f>$K$65*3.7%</f>
        <v>0</v>
      </c>
      <c r="K53" s="24">
        <f>J53*E53</f>
        <v>0</v>
      </c>
      <c r="L53" s="10"/>
      <c r="M53" s="1">
        <v>45</v>
      </c>
      <c r="N53" s="48">
        <f t="shared" si="6"/>
        <v>46476000</v>
      </c>
      <c r="O53" s="49">
        <f t="shared" si="5"/>
        <v>38730000</v>
      </c>
    </row>
    <row r="54" spans="1:15" ht="15" customHeight="1">
      <c r="A54" s="3"/>
      <c r="B54" s="4" t="s">
        <v>44</v>
      </c>
      <c r="C54" s="5" t="s">
        <v>82</v>
      </c>
      <c r="D54" s="6" t="s">
        <v>14</v>
      </c>
      <c r="E54" s="7">
        <v>1</v>
      </c>
      <c r="F54" s="8"/>
      <c r="G54" s="11"/>
      <c r="H54" s="8"/>
      <c r="I54" s="11"/>
      <c r="J54" s="21">
        <f>$I$61*3.56%</f>
        <v>499112.81807766226</v>
      </c>
      <c r="K54" s="24">
        <f t="shared" ref="K54:K59" si="32">J54*E54</f>
        <v>499112.81807766226</v>
      </c>
      <c r="L54" s="10"/>
      <c r="M54" s="1">
        <v>46</v>
      </c>
      <c r="N54" s="48">
        <f t="shared" si="6"/>
        <v>50017200</v>
      </c>
      <c r="O54" s="49">
        <f t="shared" si="5"/>
        <v>41681000</v>
      </c>
    </row>
    <row r="55" spans="1:15" ht="15" customHeight="1">
      <c r="A55" s="3"/>
      <c r="B55" s="4" t="s">
        <v>45</v>
      </c>
      <c r="C55" s="5" t="s">
        <v>64</v>
      </c>
      <c r="D55" s="6" t="s">
        <v>14</v>
      </c>
      <c r="E55" s="7">
        <v>1</v>
      </c>
      <c r="F55" s="8"/>
      <c r="G55" s="11"/>
      <c r="H55" s="8"/>
      <c r="I55" s="11"/>
      <c r="J55" s="21">
        <f>$I$61*1.01%</f>
        <v>141602.2320950671</v>
      </c>
      <c r="K55" s="24">
        <f t="shared" si="32"/>
        <v>141602.2320950671</v>
      </c>
      <c r="L55" s="10"/>
      <c r="M55" s="1">
        <v>47</v>
      </c>
      <c r="N55" s="48">
        <f t="shared" si="6"/>
        <v>50339200</v>
      </c>
      <c r="O55" s="49">
        <f t="shared" si="5"/>
        <v>41949333.333333336</v>
      </c>
    </row>
    <row r="56" spans="1:15" ht="15" customHeight="1">
      <c r="A56" s="3"/>
      <c r="B56" s="4" t="s">
        <v>46</v>
      </c>
      <c r="C56" s="5" t="s">
        <v>80</v>
      </c>
      <c r="D56" s="6" t="s">
        <v>14</v>
      </c>
      <c r="E56" s="7">
        <v>1</v>
      </c>
      <c r="F56" s="8"/>
      <c r="G56" s="11"/>
      <c r="H56" s="8"/>
      <c r="I56" s="11"/>
      <c r="J56" s="21">
        <f>$I$61*3.545%</f>
        <v>497009.81463070586</v>
      </c>
      <c r="K56" s="24">
        <f t="shared" si="32"/>
        <v>497009.81463070586</v>
      </c>
      <c r="L56" s="10"/>
      <c r="M56" s="1">
        <v>48</v>
      </c>
      <c r="N56" s="48">
        <f t="shared" si="6"/>
        <v>50882400</v>
      </c>
      <c r="O56" s="49">
        <f t="shared" si="5"/>
        <v>42402000</v>
      </c>
    </row>
    <row r="57" spans="1:15" ht="15" customHeight="1">
      <c r="A57" s="3"/>
      <c r="B57" s="4" t="s">
        <v>47</v>
      </c>
      <c r="C57" s="5" t="s">
        <v>201</v>
      </c>
      <c r="D57" s="6" t="s">
        <v>14</v>
      </c>
      <c r="E57" s="7">
        <v>1</v>
      </c>
      <c r="F57" s="8"/>
      <c r="G57" s="11"/>
      <c r="H57" s="8"/>
      <c r="I57" s="11"/>
      <c r="J57" s="21">
        <f>$J$56*12.95%</f>
        <v>64362.770994676408</v>
      </c>
      <c r="K57" s="24">
        <f t="shared" si="32"/>
        <v>64362.770994676408</v>
      </c>
      <c r="L57" s="10"/>
      <c r="M57" s="1">
        <v>49</v>
      </c>
      <c r="N57" s="48">
        <f t="shared" si="6"/>
        <v>51932400</v>
      </c>
      <c r="O57" s="49">
        <f t="shared" si="5"/>
        <v>43277000</v>
      </c>
    </row>
    <row r="58" spans="1:15" ht="15" customHeight="1">
      <c r="A58" s="3"/>
      <c r="B58" s="4" t="s">
        <v>48</v>
      </c>
      <c r="C58" s="5" t="s">
        <v>83</v>
      </c>
      <c r="D58" s="6" t="s">
        <v>14</v>
      </c>
      <c r="E58" s="7">
        <v>1</v>
      </c>
      <c r="F58" s="8"/>
      <c r="G58" s="11"/>
      <c r="H58" s="8"/>
      <c r="I58" s="11"/>
      <c r="J58" s="21">
        <f>$I$61*4.5%</f>
        <v>630901.03408693266</v>
      </c>
      <c r="K58" s="24">
        <f t="shared" si="32"/>
        <v>630901.03408693266</v>
      </c>
      <c r="L58" s="10"/>
      <c r="M58" s="1">
        <v>50</v>
      </c>
      <c r="N58" s="48">
        <f t="shared" si="6"/>
        <v>53422800</v>
      </c>
      <c r="O58" s="49">
        <f t="shared" si="5"/>
        <v>44519000</v>
      </c>
    </row>
    <row r="59" spans="1:15" ht="15" customHeight="1">
      <c r="A59" s="3"/>
      <c r="B59" s="4" t="s">
        <v>49</v>
      </c>
      <c r="C59" s="5" t="s">
        <v>81</v>
      </c>
      <c r="D59" s="6" t="s">
        <v>14</v>
      </c>
      <c r="E59" s="7">
        <v>1</v>
      </c>
      <c r="F59" s="8"/>
      <c r="G59" s="11"/>
      <c r="H59" s="8"/>
      <c r="I59" s="11"/>
      <c r="J59" s="21">
        <f>($G$61+$I$61)*2.93%</f>
        <v>1284694.6683863471</v>
      </c>
      <c r="K59" s="24">
        <f t="shared" si="32"/>
        <v>1284694.6683863471</v>
      </c>
      <c r="L59" s="10"/>
      <c r="M59" s="1">
        <v>51</v>
      </c>
      <c r="N59" s="48">
        <f t="shared" si="6"/>
        <v>53856000</v>
      </c>
      <c r="O59" s="49">
        <f t="shared" si="5"/>
        <v>44880000</v>
      </c>
    </row>
    <row r="60" spans="1:15" ht="15" customHeight="1">
      <c r="A60" s="36"/>
      <c r="B60" s="37"/>
      <c r="C60" s="38"/>
      <c r="D60" s="39"/>
      <c r="E60" s="40"/>
      <c r="F60" s="41"/>
      <c r="G60" s="45">
        <f>SUM(G55:G59)</f>
        <v>0</v>
      </c>
      <c r="H60" s="41"/>
      <c r="I60" s="45">
        <f>SUM(I55:I59)</f>
        <v>0</v>
      </c>
      <c r="J60" s="46"/>
      <c r="K60" s="45">
        <f>SUM(K53:K59)</f>
        <v>3117683.3382713916</v>
      </c>
      <c r="L60" s="44"/>
      <c r="M60" s="1">
        <v>52</v>
      </c>
      <c r="N60" s="48">
        <f t="shared" si="6"/>
        <v>54906000</v>
      </c>
      <c r="O60" s="49">
        <f t="shared" si="5"/>
        <v>45755000</v>
      </c>
    </row>
    <row r="61" spans="1:15" ht="15" customHeight="1">
      <c r="A61" s="13"/>
      <c r="B61" s="14" t="s">
        <v>9</v>
      </c>
      <c r="C61" s="15"/>
      <c r="D61" s="16"/>
      <c r="E61" s="17"/>
      <c r="F61" s="18"/>
      <c r="G61" s="19">
        <f>SUM(G8,G17,G28,G52,G60)</f>
        <v>29826211.436206669</v>
      </c>
      <c r="H61" s="18"/>
      <c r="I61" s="19">
        <f>SUM(I8,I17,I28,I52,I60)</f>
        <v>14020022.979709614</v>
      </c>
      <c r="J61" s="18"/>
      <c r="K61" s="19">
        <f>G61+I61</f>
        <v>43846234.415916279</v>
      </c>
      <c r="L61" s="20"/>
      <c r="M61" s="1">
        <v>53</v>
      </c>
      <c r="N61" s="48">
        <f t="shared" si="6"/>
        <v>55338000</v>
      </c>
      <c r="O61" s="49">
        <f t="shared" si="5"/>
        <v>46115000</v>
      </c>
    </row>
    <row r="62" spans="1:15" ht="15" customHeight="1">
      <c r="O62" s="49"/>
    </row>
    <row r="63" spans="1:15" ht="15" customHeight="1">
      <c r="O63" s="49"/>
    </row>
    <row r="64" spans="1:15" ht="15" customHeight="1">
      <c r="O64" s="49"/>
    </row>
    <row r="65" spans="15:15" ht="15" customHeight="1">
      <c r="O65" s="49"/>
    </row>
    <row r="66" spans="15:15" ht="15" customHeight="1">
      <c r="O66" s="49"/>
    </row>
    <row r="67" spans="15:15" ht="15" customHeight="1">
      <c r="O67" s="49"/>
    </row>
    <row r="68" spans="15:15" ht="15" customHeight="1">
      <c r="O68" s="49"/>
    </row>
    <row r="69" spans="15:15" ht="15" customHeight="1">
      <c r="O69" s="49"/>
    </row>
    <row r="70" spans="15:15" ht="15" customHeight="1">
      <c r="O70" s="49"/>
    </row>
    <row r="71" spans="15:15" ht="15" customHeight="1">
      <c r="O71" s="49"/>
    </row>
    <row r="72" spans="15:15" ht="15" customHeight="1">
      <c r="O72" s="49"/>
    </row>
    <row r="73" spans="15:15" ht="15" customHeight="1">
      <c r="O73" s="49"/>
    </row>
    <row r="74" spans="15:15" ht="15" customHeight="1">
      <c r="O74" s="49"/>
    </row>
    <row r="75" spans="15:15" ht="15" customHeight="1">
      <c r="O75" s="49"/>
    </row>
    <row r="76" spans="15:15" ht="15" customHeight="1">
      <c r="O76" s="49"/>
    </row>
    <row r="77" spans="15:15" ht="15" customHeight="1">
      <c r="O77" s="49"/>
    </row>
    <row r="78" spans="15:15" ht="15" customHeight="1">
      <c r="O78" s="49"/>
    </row>
    <row r="79" spans="15:15" ht="15" customHeight="1">
      <c r="O79" s="49"/>
    </row>
    <row r="80" spans="15:15" ht="15" customHeight="1">
      <c r="O80" s="49"/>
    </row>
    <row r="81" spans="15:15" ht="15" customHeight="1">
      <c r="O81" s="49"/>
    </row>
    <row r="82" spans="15:15" ht="15" customHeight="1">
      <c r="O82" s="49"/>
    </row>
    <row r="83" spans="15:15" ht="15" customHeight="1">
      <c r="O83" s="49"/>
    </row>
    <row r="84" spans="15:15" ht="15" customHeight="1">
      <c r="O84" s="49"/>
    </row>
    <row r="85" spans="15:15" ht="15" customHeight="1">
      <c r="O85" s="49"/>
    </row>
    <row r="86" spans="15:15" ht="15" customHeight="1">
      <c r="O86" s="49"/>
    </row>
    <row r="87" spans="15:15" ht="15" customHeight="1">
      <c r="O87" s="49"/>
    </row>
    <row r="88" spans="15:15" ht="15" customHeight="1">
      <c r="O88" s="49"/>
    </row>
    <row r="89" spans="15:15" ht="15" customHeight="1">
      <c r="O89" s="49"/>
    </row>
    <row r="90" spans="15:15" ht="15" customHeight="1">
      <c r="O90" s="49"/>
    </row>
    <row r="91" spans="15:15" ht="15" customHeight="1">
      <c r="O91" s="49"/>
    </row>
    <row r="92" spans="15:15" ht="15" customHeight="1">
      <c r="O92" s="49"/>
    </row>
    <row r="93" spans="15:15" ht="15" customHeight="1">
      <c r="O93" s="49"/>
    </row>
    <row r="94" spans="15:15" ht="15" customHeight="1">
      <c r="O94" s="49"/>
    </row>
    <row r="95" spans="15:15" ht="15" customHeight="1">
      <c r="O95" s="49"/>
    </row>
    <row r="96" spans="15:15" ht="15" customHeight="1">
      <c r="O96" s="49"/>
    </row>
    <row r="97" spans="15:15" ht="15" customHeight="1">
      <c r="O97" s="49"/>
    </row>
    <row r="98" spans="15:15" ht="15" customHeight="1">
      <c r="O98" s="49"/>
    </row>
    <row r="99" spans="15:15" ht="15" customHeight="1">
      <c r="O99" s="49"/>
    </row>
    <row r="100" spans="15:15" ht="15" customHeight="1">
      <c r="O100" s="49"/>
    </row>
    <row r="101" spans="15:15" ht="15" customHeight="1">
      <c r="O101" s="49"/>
    </row>
    <row r="102" spans="15:15" ht="15" customHeight="1">
      <c r="O102" s="49"/>
    </row>
    <row r="103" spans="15:15" ht="15" customHeight="1">
      <c r="O103" s="49"/>
    </row>
    <row r="104" spans="15:15" ht="15" customHeight="1">
      <c r="O104" s="49"/>
    </row>
    <row r="105" spans="15:15" ht="15" customHeight="1">
      <c r="O105" s="49"/>
    </row>
    <row r="106" spans="15:15" ht="15" customHeight="1">
      <c r="O106" s="49"/>
    </row>
    <row r="107" spans="15:15" ht="15" customHeight="1">
      <c r="O107" s="49"/>
    </row>
    <row r="108" spans="15:15" ht="15" customHeight="1">
      <c r="O108" s="49"/>
    </row>
    <row r="109" spans="15:15" ht="15" customHeight="1">
      <c r="O109" s="49"/>
    </row>
    <row r="110" spans="15:15" ht="15" customHeight="1">
      <c r="O110" s="49"/>
    </row>
    <row r="111" spans="15:15" ht="15" customHeight="1">
      <c r="O111" s="49"/>
    </row>
    <row r="112" spans="15:15" ht="15" customHeight="1">
      <c r="O112" s="49"/>
    </row>
    <row r="113" spans="15:15" ht="15" customHeight="1">
      <c r="O113" s="49"/>
    </row>
    <row r="114" spans="15:15" ht="15" customHeight="1">
      <c r="O114" s="49"/>
    </row>
    <row r="115" spans="15:15" ht="15" customHeight="1">
      <c r="O115" s="49"/>
    </row>
    <row r="116" spans="15:15" ht="15" customHeight="1">
      <c r="O116" s="49"/>
    </row>
    <row r="117" spans="15:15" ht="15" customHeight="1">
      <c r="O117" s="49"/>
    </row>
  </sheetData>
  <mergeCells count="10">
    <mergeCell ref="L3:L4"/>
    <mergeCell ref="A1:L2"/>
    <mergeCell ref="J3:K3"/>
    <mergeCell ref="H3:I3"/>
    <mergeCell ref="F3:G3"/>
    <mergeCell ref="A3:A4"/>
    <mergeCell ref="B3:B4"/>
    <mergeCell ref="C3:C4"/>
    <mergeCell ref="D3:D4"/>
    <mergeCell ref="E3:E4"/>
  </mergeCells>
  <phoneticPr fontId="5" type="noConversion"/>
  <printOptions horizontalCentered="1"/>
  <pageMargins left="0.39370078740157483" right="0.39370078740157483" top="0.542156862745098" bottom="0.43307086614173229" header="0.31496062992125984" footer="0.31496062992125984"/>
  <pageSetup paperSize="9" scale="75" fitToHeight="0" orientation="landscape" r:id="rId1"/>
  <headerFooter>
    <oddHeader>&amp;R&amp;G</oddHeader>
    <oddFooter>&amp;L&amp;9 Form no. dk-estimate-200101&amp;C&amp;9&amp;P of &amp;N&amp;R&amp;9(주) 대경이앤씨</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4F65-D90F-483C-941E-48B532218673}">
  <sheetPr codeName="Sheet4">
    <pageSetUpPr fitToPage="1"/>
  </sheetPr>
  <dimension ref="A1:O124"/>
  <sheetViews>
    <sheetView showGridLines="0" zoomScale="90" zoomScaleNormal="90" zoomScaleSheetLayoutView="85" zoomScalePageLayoutView="85" workbookViewId="0">
      <pane ySplit="4" topLeftCell="A5" activePane="bottomLeft" state="frozen"/>
      <selection pane="bottomLeft" activeCell="C41" sqref="C41"/>
    </sheetView>
  </sheetViews>
  <sheetFormatPr defaultColWidth="5.625" defaultRowHeight="15" customHeight="1"/>
  <cols>
    <col min="1" max="1" width="4.625" style="2" customWidth="1"/>
    <col min="2" max="2" width="63.75" style="2" bestFit="1" customWidth="1"/>
    <col min="3" max="3" width="32.875" style="2" bestFit="1" customWidth="1"/>
    <col min="4" max="4" width="5.625" style="2"/>
    <col min="5" max="5" width="8" style="2" customWidth="1"/>
    <col min="6" max="6" width="10.625" style="2" customWidth="1"/>
    <col min="7" max="7" width="12.625" style="2" customWidth="1"/>
    <col min="8" max="8" width="10.625" style="2" customWidth="1"/>
    <col min="9" max="9" width="12.625" style="2" customWidth="1"/>
    <col min="10" max="10" width="10.625" style="2" customWidth="1"/>
    <col min="11" max="11" width="12.625" style="2" customWidth="1"/>
    <col min="12" max="12" width="10" style="2" bestFit="1" customWidth="1"/>
    <col min="13" max="13" width="11" style="1" hidden="1" customWidth="1"/>
    <col min="14" max="14" width="10.625" style="48" hidden="1" customWidth="1"/>
    <col min="15" max="15" width="11.875" style="2" hidden="1" customWidth="1"/>
    <col min="16" max="16384" width="5.625" style="2"/>
  </cols>
  <sheetData>
    <row r="1" spans="1:15" ht="15" customHeight="1">
      <c r="A1" s="244" t="s">
        <v>3</v>
      </c>
      <c r="B1" s="244"/>
      <c r="C1" s="244"/>
      <c r="D1" s="244"/>
      <c r="E1" s="244"/>
      <c r="F1" s="244"/>
      <c r="G1" s="244"/>
      <c r="H1" s="244"/>
      <c r="I1" s="244"/>
      <c r="J1" s="244"/>
      <c r="K1" s="244"/>
      <c r="L1" s="244"/>
    </row>
    <row r="2" spans="1:15" ht="15" customHeight="1">
      <c r="A2" s="244"/>
      <c r="B2" s="244"/>
      <c r="C2" s="244"/>
      <c r="D2" s="244"/>
      <c r="E2" s="244"/>
      <c r="F2" s="244"/>
      <c r="G2" s="244"/>
      <c r="H2" s="244"/>
      <c r="I2" s="244"/>
      <c r="J2" s="244"/>
      <c r="K2" s="244"/>
      <c r="L2" s="244"/>
    </row>
    <row r="3" spans="1:15" ht="15" customHeight="1">
      <c r="A3" s="245" t="s">
        <v>0</v>
      </c>
      <c r="B3" s="248" t="s">
        <v>10</v>
      </c>
      <c r="C3" s="248" t="s">
        <v>11</v>
      </c>
      <c r="D3" s="248" t="s">
        <v>2</v>
      </c>
      <c r="E3" s="250" t="s">
        <v>1</v>
      </c>
      <c r="F3" s="245" t="s">
        <v>6</v>
      </c>
      <c r="G3" s="246"/>
      <c r="H3" s="245" t="s">
        <v>7</v>
      </c>
      <c r="I3" s="246"/>
      <c r="J3" s="245" t="s">
        <v>8</v>
      </c>
      <c r="K3" s="246"/>
      <c r="L3" s="242" t="s">
        <v>12</v>
      </c>
    </row>
    <row r="4" spans="1:15" ht="15" customHeight="1">
      <c r="A4" s="247"/>
      <c r="B4" s="249"/>
      <c r="C4" s="249"/>
      <c r="D4" s="249"/>
      <c r="E4" s="251"/>
      <c r="F4" s="85" t="s">
        <v>4</v>
      </c>
      <c r="G4" s="35" t="s">
        <v>5</v>
      </c>
      <c r="H4" s="85" t="s">
        <v>4</v>
      </c>
      <c r="I4" s="35" t="s">
        <v>5</v>
      </c>
      <c r="J4" s="85" t="s">
        <v>4</v>
      </c>
      <c r="K4" s="35" t="s">
        <v>5</v>
      </c>
      <c r="L4" s="243"/>
    </row>
    <row r="5" spans="1:15" ht="15" customHeight="1">
      <c r="A5" s="27">
        <v>1</v>
      </c>
      <c r="B5" s="28" t="s">
        <v>41</v>
      </c>
      <c r="C5" s="29"/>
      <c r="D5" s="6"/>
      <c r="E5" s="7"/>
      <c r="F5" s="8"/>
      <c r="G5" s="9"/>
      <c r="H5" s="22"/>
      <c r="I5" s="23"/>
      <c r="J5" s="22"/>
      <c r="K5" s="23"/>
      <c r="L5" s="10"/>
    </row>
    <row r="6" spans="1:15" ht="15" customHeight="1">
      <c r="A6" s="3"/>
      <c r="B6" s="4" t="s">
        <v>19</v>
      </c>
      <c r="C6" s="5" t="s">
        <v>88</v>
      </c>
      <c r="D6" s="6" t="s">
        <v>20</v>
      </c>
      <c r="E6" s="30">
        <f>노즐공사갑지!O4</f>
        <v>5</v>
      </c>
      <c r="F6" s="8">
        <v>2700000</v>
      </c>
      <c r="G6" s="11">
        <f>TRUNC(F6*E6,0)</f>
        <v>13500000</v>
      </c>
      <c r="H6" s="8"/>
      <c r="I6" s="11">
        <f>TRUNC(H6*E6,0)</f>
        <v>0</v>
      </c>
      <c r="J6" s="21">
        <f t="shared" ref="J6:K6" si="0">F6+H6</f>
        <v>2700000</v>
      </c>
      <c r="K6" s="24">
        <f t="shared" si="0"/>
        <v>13500000</v>
      </c>
      <c r="L6" s="10"/>
    </row>
    <row r="7" spans="1:15" ht="15" customHeight="1">
      <c r="A7" s="3"/>
      <c r="B7" s="4"/>
      <c r="C7" s="5"/>
      <c r="D7" s="6"/>
      <c r="E7" s="7"/>
      <c r="F7" s="8"/>
      <c r="G7" s="11"/>
      <c r="H7" s="8"/>
      <c r="I7" s="11">
        <f>TRUNC(H7*E7,0)</f>
        <v>0</v>
      </c>
      <c r="J7" s="21">
        <f>F7+H7</f>
        <v>0</v>
      </c>
      <c r="K7" s="24">
        <f>G7+I7</f>
        <v>0</v>
      </c>
      <c r="L7" s="10"/>
      <c r="M7" s="1" t="s">
        <v>77</v>
      </c>
    </row>
    <row r="8" spans="1:15" ht="15" customHeight="1">
      <c r="A8" s="36"/>
      <c r="B8" s="37"/>
      <c r="C8" s="38"/>
      <c r="D8" s="39"/>
      <c r="E8" s="40"/>
      <c r="F8" s="41"/>
      <c r="G8" s="42">
        <f>SUM(G6:G7)</f>
        <v>13500000</v>
      </c>
      <c r="H8" s="41"/>
      <c r="I8" s="42">
        <f>SUM(I6:I7)</f>
        <v>0</v>
      </c>
      <c r="J8" s="43"/>
      <c r="K8" s="42">
        <f>SUM(K6:K7)</f>
        <v>13500000</v>
      </c>
      <c r="L8" s="44"/>
      <c r="M8" s="1" t="s">
        <v>78</v>
      </c>
      <c r="N8" s="48" t="s">
        <v>79</v>
      </c>
    </row>
    <row r="9" spans="1:15" ht="15" customHeight="1">
      <c r="A9" s="27">
        <v>2</v>
      </c>
      <c r="B9" s="28" t="s">
        <v>62</v>
      </c>
      <c r="C9" s="29"/>
      <c r="D9" s="6"/>
      <c r="E9" s="7"/>
      <c r="F9" s="8"/>
      <c r="G9" s="9"/>
      <c r="H9" s="8"/>
      <c r="I9" s="9"/>
      <c r="J9" s="26"/>
      <c r="K9" s="9"/>
      <c r="L9" s="10"/>
      <c r="M9" s="1">
        <v>1</v>
      </c>
      <c r="N9" s="48">
        <v>3541200</v>
      </c>
      <c r="O9" s="49">
        <f>N9/1.2</f>
        <v>2951000</v>
      </c>
    </row>
    <row r="10" spans="1:15" ht="15" customHeight="1">
      <c r="A10" s="3"/>
      <c r="B10" s="4" t="s">
        <v>89</v>
      </c>
      <c r="C10" s="12" t="s">
        <v>40</v>
      </c>
      <c r="D10" s="6" t="s">
        <v>13</v>
      </c>
      <c r="E10" s="30">
        <f>E6*6</f>
        <v>30</v>
      </c>
      <c r="F10" s="8">
        <v>16539</v>
      </c>
      <c r="G10" s="11">
        <f t="shared" ref="G10:G14" si="1">TRUNC(F10*E10,0)</f>
        <v>496170</v>
      </c>
      <c r="H10" s="8">
        <v>29529</v>
      </c>
      <c r="I10" s="11">
        <f t="shared" ref="I10:I14" si="2">TRUNC(H10*E10,0)</f>
        <v>885870</v>
      </c>
      <c r="J10" s="21">
        <f t="shared" ref="J10:K16" si="3">F10+H10</f>
        <v>46068</v>
      </c>
      <c r="K10" s="24">
        <f t="shared" si="3"/>
        <v>1382040</v>
      </c>
      <c r="L10" s="10"/>
      <c r="M10" s="1">
        <v>2</v>
      </c>
      <c r="N10" s="48">
        <v>3863200</v>
      </c>
      <c r="O10" s="49">
        <f t="shared" ref="O10:O35" si="4">N10/1.2</f>
        <v>3219333.3333333335</v>
      </c>
    </row>
    <row r="11" spans="1:15" ht="15" customHeight="1">
      <c r="A11" s="3"/>
      <c r="B11" s="4" t="s">
        <v>25</v>
      </c>
      <c r="C11" s="12" t="s">
        <v>26</v>
      </c>
      <c r="D11" s="6" t="s">
        <v>14</v>
      </c>
      <c r="E11" s="7">
        <v>1</v>
      </c>
      <c r="F11" s="8">
        <f>G10*0.75</f>
        <v>372127.5</v>
      </c>
      <c r="G11" s="11">
        <f t="shared" si="1"/>
        <v>372127</v>
      </c>
      <c r="H11" s="8">
        <v>0</v>
      </c>
      <c r="I11" s="11">
        <f t="shared" si="2"/>
        <v>0</v>
      </c>
      <c r="J11" s="21">
        <f t="shared" si="3"/>
        <v>372127.5</v>
      </c>
      <c r="K11" s="24">
        <f t="shared" si="3"/>
        <v>372127</v>
      </c>
      <c r="L11" s="10"/>
      <c r="M11" s="1">
        <v>3</v>
      </c>
      <c r="N11" s="48">
        <v>4406400</v>
      </c>
      <c r="O11" s="49">
        <f t="shared" si="4"/>
        <v>3672000</v>
      </c>
    </row>
    <row r="12" spans="1:15" ht="15" customHeight="1">
      <c r="A12" s="3"/>
      <c r="B12" s="4" t="s">
        <v>23</v>
      </c>
      <c r="C12" s="5" t="s">
        <v>40</v>
      </c>
      <c r="D12" s="6" t="s">
        <v>22</v>
      </c>
      <c r="E12" s="7">
        <f>E6</f>
        <v>5</v>
      </c>
      <c r="F12" s="8">
        <v>34460</v>
      </c>
      <c r="G12" s="11">
        <f t="shared" si="1"/>
        <v>172300</v>
      </c>
      <c r="H12" s="8">
        <v>15845</v>
      </c>
      <c r="I12" s="11">
        <f t="shared" si="2"/>
        <v>79225</v>
      </c>
      <c r="J12" s="21">
        <f t="shared" si="3"/>
        <v>50305</v>
      </c>
      <c r="K12" s="24">
        <f t="shared" si="3"/>
        <v>251525</v>
      </c>
      <c r="L12" s="10"/>
      <c r="M12" s="1">
        <v>4</v>
      </c>
      <c r="N12" s="48">
        <v>5456400</v>
      </c>
      <c r="O12" s="49">
        <f t="shared" si="4"/>
        <v>4547000</v>
      </c>
    </row>
    <row r="13" spans="1:15" ht="15" customHeight="1">
      <c r="A13" s="3"/>
      <c r="B13" s="4" t="s">
        <v>38</v>
      </c>
      <c r="C13" s="5" t="s">
        <v>40</v>
      </c>
      <c r="D13" s="6" t="s">
        <v>27</v>
      </c>
      <c r="E13" s="7">
        <f>E6</f>
        <v>5</v>
      </c>
      <c r="F13" s="8">
        <v>244711</v>
      </c>
      <c r="G13" s="11">
        <f t="shared" si="1"/>
        <v>1223555</v>
      </c>
      <c r="H13" s="8">
        <v>15845</v>
      </c>
      <c r="I13" s="11">
        <f t="shared" si="2"/>
        <v>79225</v>
      </c>
      <c r="J13" s="21">
        <f t="shared" si="3"/>
        <v>260556</v>
      </c>
      <c r="K13" s="24">
        <f t="shared" si="3"/>
        <v>1302780</v>
      </c>
      <c r="L13" s="10"/>
      <c r="M13" s="1">
        <v>5</v>
      </c>
      <c r="N13" s="48">
        <v>6946800</v>
      </c>
      <c r="O13" s="49">
        <f t="shared" si="4"/>
        <v>5789000</v>
      </c>
    </row>
    <row r="14" spans="1:15" ht="15" customHeight="1">
      <c r="A14" s="3"/>
      <c r="B14" s="4" t="s">
        <v>32</v>
      </c>
      <c r="C14" s="5" t="s">
        <v>33</v>
      </c>
      <c r="D14" s="6" t="s">
        <v>14</v>
      </c>
      <c r="E14" s="7">
        <v>1</v>
      </c>
      <c r="F14" s="8">
        <f>G10*0.15</f>
        <v>74425.5</v>
      </c>
      <c r="G14" s="11">
        <f t="shared" si="1"/>
        <v>74425</v>
      </c>
      <c r="H14" s="8">
        <v>0</v>
      </c>
      <c r="I14" s="11">
        <f t="shared" si="2"/>
        <v>0</v>
      </c>
      <c r="J14" s="21">
        <f t="shared" si="3"/>
        <v>74425.5</v>
      </c>
      <c r="K14" s="24">
        <f t="shared" si="3"/>
        <v>74425</v>
      </c>
      <c r="L14" s="10"/>
      <c r="M14" s="1">
        <v>6</v>
      </c>
      <c r="N14" s="48">
        <v>7380000</v>
      </c>
      <c r="O14" s="49">
        <f t="shared" si="4"/>
        <v>6150000</v>
      </c>
    </row>
    <row r="15" spans="1:15" ht="15" customHeight="1">
      <c r="A15" s="3"/>
      <c r="B15" s="4" t="s">
        <v>130</v>
      </c>
      <c r="C15" s="5" t="s">
        <v>131</v>
      </c>
      <c r="D15" s="6" t="s">
        <v>132</v>
      </c>
      <c r="E15" s="7">
        <f>E6</f>
        <v>5</v>
      </c>
      <c r="F15" s="8">
        <v>300000</v>
      </c>
      <c r="G15" s="11">
        <f>TRUNC(F15*E15,0)</f>
        <v>1500000</v>
      </c>
      <c r="H15" s="8">
        <v>7901</v>
      </c>
      <c r="I15" s="11">
        <f>TRUNC(H15*E15,0)</f>
        <v>39505</v>
      </c>
      <c r="J15" s="21">
        <f t="shared" ref="J15" si="5">F15+H15</f>
        <v>307901</v>
      </c>
      <c r="K15" s="24">
        <f t="shared" ref="K15" si="6">G15+I15</f>
        <v>1539505</v>
      </c>
      <c r="L15" s="10"/>
      <c r="M15" s="1">
        <v>7</v>
      </c>
      <c r="N15" s="48">
        <v>8430000</v>
      </c>
      <c r="O15" s="49">
        <f t="shared" si="4"/>
        <v>7025000</v>
      </c>
    </row>
    <row r="16" spans="1:15" ht="15" customHeight="1">
      <c r="A16" s="3"/>
      <c r="B16" s="4" t="s">
        <v>34</v>
      </c>
      <c r="C16" s="5" t="s">
        <v>35</v>
      </c>
      <c r="D16" s="6" t="s">
        <v>14</v>
      </c>
      <c r="E16" s="7">
        <v>1</v>
      </c>
      <c r="F16" s="8"/>
      <c r="G16" s="11"/>
      <c r="H16" s="8">
        <f>SUM(I9:I15)*0.03</f>
        <v>32514.75</v>
      </c>
      <c r="I16" s="86">
        <f>H16*E16</f>
        <v>32514.75</v>
      </c>
      <c r="J16" s="21">
        <f t="shared" si="3"/>
        <v>32514.75</v>
      </c>
      <c r="K16" s="24">
        <f t="shared" si="3"/>
        <v>32514.75</v>
      </c>
      <c r="L16" s="10"/>
      <c r="M16" s="1">
        <v>8</v>
      </c>
      <c r="N16" s="48">
        <v>8862000</v>
      </c>
      <c r="O16" s="49">
        <f t="shared" si="4"/>
        <v>7385000</v>
      </c>
    </row>
    <row r="17" spans="1:15" ht="15" customHeight="1">
      <c r="A17" s="36"/>
      <c r="B17" s="37"/>
      <c r="C17" s="38"/>
      <c r="D17" s="39"/>
      <c r="E17" s="40"/>
      <c r="F17" s="41">
        <v>0</v>
      </c>
      <c r="G17" s="42">
        <f>SUM(G9:G16)</f>
        <v>3838577</v>
      </c>
      <c r="H17" s="41">
        <v>0</v>
      </c>
      <c r="I17" s="42">
        <f>SUM(I9:I16)</f>
        <v>1116339.75</v>
      </c>
      <c r="J17" s="41"/>
      <c r="K17" s="42">
        <f>SUM(K9:K16)</f>
        <v>4954916.75</v>
      </c>
      <c r="L17" s="44"/>
      <c r="M17" s="1">
        <v>9</v>
      </c>
      <c r="N17" s="48">
        <v>9295200</v>
      </c>
      <c r="O17" s="49">
        <f t="shared" si="4"/>
        <v>7746000</v>
      </c>
    </row>
    <row r="18" spans="1:15" ht="14.25" customHeight="1">
      <c r="A18" s="27">
        <v>3</v>
      </c>
      <c r="B18" s="28" t="s">
        <v>42</v>
      </c>
      <c r="C18" s="29"/>
      <c r="D18" s="6"/>
      <c r="E18" s="7"/>
      <c r="F18" s="8">
        <v>0</v>
      </c>
      <c r="G18" s="9"/>
      <c r="H18" s="8">
        <v>0</v>
      </c>
      <c r="I18" s="9"/>
      <c r="J18" s="8"/>
      <c r="K18" s="9"/>
      <c r="L18" s="10"/>
      <c r="M18" s="1">
        <v>10</v>
      </c>
      <c r="N18" s="48">
        <f t="shared" ref="N18:N61" si="7">$N$17+N9</f>
        <v>12836400</v>
      </c>
      <c r="O18" s="49">
        <f t="shared" si="4"/>
        <v>10697000</v>
      </c>
    </row>
    <row r="19" spans="1:15" ht="15" customHeight="1">
      <c r="A19" s="3"/>
      <c r="B19" s="4" t="s">
        <v>21</v>
      </c>
      <c r="C19" s="258" t="s">
        <v>226</v>
      </c>
      <c r="D19" s="6" t="s">
        <v>13</v>
      </c>
      <c r="E19" s="30">
        <f>노즐공사갑지!P4</f>
        <v>50</v>
      </c>
      <c r="F19" s="259">
        <v>22372</v>
      </c>
      <c r="G19" s="11">
        <f t="shared" ref="G19:G26" si="8">TRUNC(F19*E19,0)</f>
        <v>1118600</v>
      </c>
      <c r="H19" s="8">
        <v>34476</v>
      </c>
      <c r="I19" s="11">
        <f t="shared" ref="I19:I26" si="9">TRUNC(H19*E19,0)</f>
        <v>1723800</v>
      </c>
      <c r="J19" s="21">
        <f t="shared" ref="J19:K27" si="10">F19+H19</f>
        <v>56848</v>
      </c>
      <c r="K19" s="24">
        <f t="shared" si="10"/>
        <v>2842400</v>
      </c>
      <c r="L19" s="10"/>
      <c r="M19" s="1">
        <v>11</v>
      </c>
      <c r="N19" s="48">
        <f t="shared" si="7"/>
        <v>13158400</v>
      </c>
      <c r="O19" s="49">
        <f t="shared" si="4"/>
        <v>10965333.333333334</v>
      </c>
    </row>
    <row r="20" spans="1:15" ht="15" customHeight="1">
      <c r="A20" s="3"/>
      <c r="B20" s="4" t="s">
        <v>133</v>
      </c>
      <c r="C20" s="5" t="s">
        <v>26</v>
      </c>
      <c r="D20" s="6" t="s">
        <v>14</v>
      </c>
      <c r="E20" s="7">
        <v>1</v>
      </c>
      <c r="F20" s="8">
        <f>G19*0.75</f>
        <v>838950</v>
      </c>
      <c r="G20" s="11">
        <f t="shared" si="8"/>
        <v>838950</v>
      </c>
      <c r="H20" s="8">
        <v>0</v>
      </c>
      <c r="I20" s="11">
        <f t="shared" si="9"/>
        <v>0</v>
      </c>
      <c r="J20" s="21">
        <f t="shared" si="10"/>
        <v>838950</v>
      </c>
      <c r="K20" s="24">
        <f t="shared" si="10"/>
        <v>838950</v>
      </c>
      <c r="L20" s="10"/>
      <c r="M20" s="1">
        <v>12</v>
      </c>
      <c r="N20" s="48">
        <f t="shared" si="7"/>
        <v>13701600</v>
      </c>
      <c r="O20" s="49">
        <f t="shared" si="4"/>
        <v>11418000</v>
      </c>
    </row>
    <row r="21" spans="1:15" ht="15" customHeight="1">
      <c r="A21" s="3"/>
      <c r="B21" s="4" t="s">
        <v>39</v>
      </c>
      <c r="C21" s="5" t="s">
        <v>31</v>
      </c>
      <c r="D21" s="6" t="s">
        <v>37</v>
      </c>
      <c r="E21" s="7">
        <v>1</v>
      </c>
      <c r="F21" s="8">
        <v>1014</v>
      </c>
      <c r="G21" s="11">
        <f t="shared" si="8"/>
        <v>1014</v>
      </c>
      <c r="H21" s="8">
        <v>50733</v>
      </c>
      <c r="I21" s="11">
        <f t="shared" si="9"/>
        <v>50733</v>
      </c>
      <c r="J21" s="21">
        <f t="shared" si="10"/>
        <v>51747</v>
      </c>
      <c r="K21" s="24">
        <f t="shared" si="10"/>
        <v>51747</v>
      </c>
      <c r="L21" s="10"/>
      <c r="M21" s="1">
        <v>13</v>
      </c>
      <c r="N21" s="48">
        <f t="shared" si="7"/>
        <v>14751600</v>
      </c>
      <c r="O21" s="49">
        <f t="shared" si="4"/>
        <v>12293000</v>
      </c>
    </row>
    <row r="22" spans="1:15" ht="15" customHeight="1">
      <c r="A22" s="3"/>
      <c r="B22" s="4" t="s">
        <v>36</v>
      </c>
      <c r="C22" s="5" t="s">
        <v>31</v>
      </c>
      <c r="D22" s="6" t="s">
        <v>22</v>
      </c>
      <c r="E22" s="7">
        <v>3</v>
      </c>
      <c r="F22" s="8">
        <v>43480</v>
      </c>
      <c r="G22" s="11">
        <f t="shared" si="8"/>
        <v>130440</v>
      </c>
      <c r="H22" s="8">
        <v>15845</v>
      </c>
      <c r="I22" s="11">
        <f t="shared" si="9"/>
        <v>47535</v>
      </c>
      <c r="J22" s="21">
        <f t="shared" si="10"/>
        <v>59325</v>
      </c>
      <c r="K22" s="24">
        <f t="shared" si="10"/>
        <v>177975</v>
      </c>
      <c r="L22" s="10"/>
      <c r="M22" s="1">
        <v>14</v>
      </c>
      <c r="N22" s="48">
        <f t="shared" si="7"/>
        <v>16242000</v>
      </c>
      <c r="O22" s="49">
        <f t="shared" si="4"/>
        <v>13535000</v>
      </c>
    </row>
    <row r="23" spans="1:15" ht="15" customHeight="1">
      <c r="A23" s="3"/>
      <c r="B23" s="4" t="s">
        <v>28</v>
      </c>
      <c r="C23" s="5" t="s">
        <v>29</v>
      </c>
      <c r="D23" s="6" t="s">
        <v>27</v>
      </c>
      <c r="E23" s="7">
        <v>3</v>
      </c>
      <c r="F23" s="8">
        <v>11371</v>
      </c>
      <c r="G23" s="11">
        <f t="shared" si="8"/>
        <v>34113</v>
      </c>
      <c r="H23" s="8">
        <v>8800</v>
      </c>
      <c r="I23" s="11">
        <f t="shared" si="9"/>
        <v>26400</v>
      </c>
      <c r="J23" s="21">
        <f t="shared" si="10"/>
        <v>20171</v>
      </c>
      <c r="K23" s="24">
        <f t="shared" si="10"/>
        <v>60513</v>
      </c>
      <c r="L23" s="10"/>
      <c r="M23" s="1">
        <v>15</v>
      </c>
      <c r="N23" s="48">
        <f t="shared" si="7"/>
        <v>16675200</v>
      </c>
      <c r="O23" s="49">
        <f t="shared" si="4"/>
        <v>13896000</v>
      </c>
    </row>
    <row r="24" spans="1:15" ht="15" customHeight="1">
      <c r="A24" s="3"/>
      <c r="B24" s="4" t="s">
        <v>30</v>
      </c>
      <c r="C24" s="5" t="s">
        <v>31</v>
      </c>
      <c r="D24" s="6" t="s">
        <v>37</v>
      </c>
      <c r="E24" s="7">
        <v>1</v>
      </c>
      <c r="F24" s="8">
        <v>300000</v>
      </c>
      <c r="G24" s="11">
        <f t="shared" si="8"/>
        <v>300000</v>
      </c>
      <c r="H24" s="8">
        <v>0</v>
      </c>
      <c r="I24" s="11">
        <f t="shared" si="9"/>
        <v>0</v>
      </c>
      <c r="J24" s="21">
        <f t="shared" si="10"/>
        <v>300000</v>
      </c>
      <c r="K24" s="24">
        <f t="shared" si="10"/>
        <v>300000</v>
      </c>
      <c r="L24" s="10"/>
      <c r="M24" s="1">
        <v>16</v>
      </c>
      <c r="N24" s="48">
        <f t="shared" si="7"/>
        <v>17725200</v>
      </c>
      <c r="O24" s="49">
        <f t="shared" si="4"/>
        <v>14771000</v>
      </c>
    </row>
    <row r="25" spans="1:15" ht="15" customHeight="1">
      <c r="A25" s="3"/>
      <c r="B25" s="4" t="s">
        <v>38</v>
      </c>
      <c r="C25" s="5" t="s">
        <v>31</v>
      </c>
      <c r="D25" s="6" t="s">
        <v>27</v>
      </c>
      <c r="E25" s="7">
        <v>1</v>
      </c>
      <c r="F25" s="8">
        <v>259550</v>
      </c>
      <c r="G25" s="11">
        <f t="shared" si="8"/>
        <v>259550</v>
      </c>
      <c r="H25" s="8">
        <v>15845</v>
      </c>
      <c r="I25" s="11">
        <f t="shared" si="9"/>
        <v>15845</v>
      </c>
      <c r="J25" s="21">
        <f t="shared" si="10"/>
        <v>275395</v>
      </c>
      <c r="K25" s="24">
        <f t="shared" si="10"/>
        <v>275395</v>
      </c>
      <c r="L25" s="10"/>
      <c r="M25" s="1">
        <v>17</v>
      </c>
      <c r="N25" s="48">
        <f t="shared" si="7"/>
        <v>18157200</v>
      </c>
      <c r="O25" s="49">
        <f t="shared" si="4"/>
        <v>15131000</v>
      </c>
    </row>
    <row r="26" spans="1:15" ht="15" customHeight="1">
      <c r="A26" s="3"/>
      <c r="B26" s="4" t="s">
        <v>32</v>
      </c>
      <c r="C26" s="5" t="s">
        <v>33</v>
      </c>
      <c r="D26" s="6" t="s">
        <v>14</v>
      </c>
      <c r="E26" s="7">
        <v>1</v>
      </c>
      <c r="F26" s="8">
        <f>G19*0.15</f>
        <v>167790</v>
      </c>
      <c r="G26" s="11">
        <f t="shared" si="8"/>
        <v>167790</v>
      </c>
      <c r="H26" s="8">
        <v>0</v>
      </c>
      <c r="I26" s="11">
        <f t="shared" si="9"/>
        <v>0</v>
      </c>
      <c r="J26" s="21">
        <f t="shared" si="10"/>
        <v>167790</v>
      </c>
      <c r="K26" s="24">
        <f t="shared" si="10"/>
        <v>167790</v>
      </c>
      <c r="L26" s="10"/>
      <c r="M26" s="1">
        <v>18</v>
      </c>
      <c r="N26" s="48">
        <f t="shared" si="7"/>
        <v>18590400</v>
      </c>
      <c r="O26" s="49">
        <f t="shared" si="4"/>
        <v>15492000</v>
      </c>
    </row>
    <row r="27" spans="1:15" ht="15" customHeight="1">
      <c r="A27" s="3"/>
      <c r="B27" s="4" t="s">
        <v>34</v>
      </c>
      <c r="C27" s="5" t="s">
        <v>35</v>
      </c>
      <c r="D27" s="6" t="s">
        <v>14</v>
      </c>
      <c r="E27" s="7">
        <v>1</v>
      </c>
      <c r="F27" s="8"/>
      <c r="G27" s="11"/>
      <c r="H27" s="8">
        <f>SUM(I18:I26)*0.03</f>
        <v>55929.39</v>
      </c>
      <c r="I27" s="11">
        <f t="shared" ref="I27" si="11">TRUNC(H27*G27,0)</f>
        <v>0</v>
      </c>
      <c r="J27" s="21">
        <f t="shared" si="10"/>
        <v>55929.39</v>
      </c>
      <c r="K27" s="24">
        <f t="shared" si="10"/>
        <v>0</v>
      </c>
      <c r="L27" s="10"/>
      <c r="M27" s="1">
        <v>19</v>
      </c>
      <c r="N27" s="48">
        <f t="shared" si="7"/>
        <v>22131600</v>
      </c>
      <c r="O27" s="49">
        <f t="shared" si="4"/>
        <v>18443000</v>
      </c>
    </row>
    <row r="28" spans="1:15" ht="15" customHeight="1">
      <c r="A28" s="36"/>
      <c r="B28" s="37"/>
      <c r="C28" s="38"/>
      <c r="D28" s="39"/>
      <c r="E28" s="40"/>
      <c r="F28" s="41">
        <v>0</v>
      </c>
      <c r="G28" s="45">
        <f>SUM(G18:G27)</f>
        <v>2850457</v>
      </c>
      <c r="H28" s="41">
        <v>0</v>
      </c>
      <c r="I28" s="45">
        <f>SUM(I18:I27)</f>
        <v>1864313</v>
      </c>
      <c r="J28" s="46"/>
      <c r="K28" s="47">
        <f>SUM(K18:K27)</f>
        <v>4714770</v>
      </c>
      <c r="L28" s="44"/>
      <c r="M28" s="1">
        <v>20</v>
      </c>
      <c r="N28" s="48">
        <f t="shared" si="7"/>
        <v>22453600</v>
      </c>
      <c r="O28" s="49">
        <f t="shared" si="4"/>
        <v>18711333.333333336</v>
      </c>
    </row>
    <row r="29" spans="1:15" ht="15" customHeight="1">
      <c r="A29" s="27">
        <v>4</v>
      </c>
      <c r="B29" s="28" t="s">
        <v>43</v>
      </c>
      <c r="C29" s="29"/>
      <c r="D29" s="6"/>
      <c r="E29" s="7"/>
      <c r="F29" s="8">
        <v>0</v>
      </c>
      <c r="G29" s="11"/>
      <c r="H29" s="8">
        <v>0</v>
      </c>
      <c r="I29" s="11"/>
      <c r="J29" s="25"/>
      <c r="K29" s="24"/>
      <c r="L29" s="10"/>
      <c r="M29" s="1">
        <v>21</v>
      </c>
      <c r="N29" s="48">
        <f t="shared" si="7"/>
        <v>22996800</v>
      </c>
      <c r="O29" s="49">
        <f t="shared" si="4"/>
        <v>19164000</v>
      </c>
    </row>
    <row r="30" spans="1:15" ht="15" customHeight="1">
      <c r="A30" s="3"/>
      <c r="B30" s="31" t="s">
        <v>50</v>
      </c>
      <c r="C30" s="5"/>
      <c r="D30" s="6"/>
      <c r="E30" s="7"/>
      <c r="F30" s="8">
        <v>0</v>
      </c>
      <c r="G30" s="11"/>
      <c r="H30" s="8">
        <v>0</v>
      </c>
      <c r="I30" s="11"/>
      <c r="J30" s="21"/>
      <c r="K30" s="24"/>
      <c r="L30" s="10"/>
      <c r="M30" s="1">
        <v>22</v>
      </c>
      <c r="N30" s="48">
        <f t="shared" si="7"/>
        <v>24046800</v>
      </c>
      <c r="O30" s="49">
        <f t="shared" si="4"/>
        <v>20039000</v>
      </c>
    </row>
    <row r="31" spans="1:15" ht="15" customHeight="1">
      <c r="A31" s="3"/>
      <c r="B31" s="32" t="s">
        <v>51</v>
      </c>
      <c r="C31" s="5" t="s">
        <v>85</v>
      </c>
      <c r="D31" s="6" t="s">
        <v>13</v>
      </c>
      <c r="E31" s="91">
        <f>E33/1.2</f>
        <v>41.666666666666671</v>
      </c>
      <c r="F31" s="8">
        <v>4567</v>
      </c>
      <c r="G31" s="11">
        <f>F31*E31</f>
        <v>190291.66666666669</v>
      </c>
      <c r="H31" s="8">
        <v>27241</v>
      </c>
      <c r="I31" s="11">
        <f>H31*E31</f>
        <v>1135041.6666666667</v>
      </c>
      <c r="J31" s="21">
        <f t="shared" ref="J31:K42" si="12">F31+H31</f>
        <v>31808</v>
      </c>
      <c r="K31" s="24">
        <f t="shared" si="12"/>
        <v>1325333.3333333335</v>
      </c>
      <c r="L31" s="10"/>
      <c r="M31" s="1">
        <v>23</v>
      </c>
      <c r="N31" s="48">
        <f t="shared" si="7"/>
        <v>25537200</v>
      </c>
      <c r="O31" s="49">
        <f t="shared" si="4"/>
        <v>21281000</v>
      </c>
    </row>
    <row r="32" spans="1:15" ht="15" customHeight="1">
      <c r="A32" s="3"/>
      <c r="B32" s="32" t="s">
        <v>133</v>
      </c>
      <c r="C32" s="5" t="s">
        <v>134</v>
      </c>
      <c r="D32" s="6" t="s">
        <v>14</v>
      </c>
      <c r="E32" s="7">
        <v>1</v>
      </c>
      <c r="F32" s="8">
        <f>G31*0.15</f>
        <v>28543.750000000004</v>
      </c>
      <c r="G32" s="11">
        <f>F32*E32</f>
        <v>28543.750000000004</v>
      </c>
      <c r="H32" s="8">
        <v>0</v>
      </c>
      <c r="I32" s="11">
        <f>H32*E32</f>
        <v>0</v>
      </c>
      <c r="J32" s="21">
        <f t="shared" ref="J32" si="13">F32+H32</f>
        <v>28543.750000000004</v>
      </c>
      <c r="K32" s="24">
        <f t="shared" ref="K32" si="14">G32+I32</f>
        <v>28543.750000000004</v>
      </c>
      <c r="L32" s="10"/>
      <c r="M32" s="1">
        <v>24</v>
      </c>
      <c r="N32" s="48">
        <f t="shared" si="7"/>
        <v>25970400</v>
      </c>
      <c r="O32" s="49">
        <f t="shared" si="4"/>
        <v>21642000</v>
      </c>
    </row>
    <row r="33" spans="1:15" ht="15" customHeight="1">
      <c r="A33" s="3"/>
      <c r="B33" s="32" t="s">
        <v>87</v>
      </c>
      <c r="C33" s="5" t="s">
        <v>86</v>
      </c>
      <c r="D33" s="6" t="s">
        <v>13</v>
      </c>
      <c r="E33" s="90">
        <f>노즐공사갑지!Q4</f>
        <v>50</v>
      </c>
      <c r="F33" s="8">
        <v>3721.0320000000002</v>
      </c>
      <c r="G33" s="11">
        <f t="shared" ref="G33:G51" si="15">F33*E33</f>
        <v>186051.6</v>
      </c>
      <c r="H33" s="8">
        <v>3532.6692000000003</v>
      </c>
      <c r="I33" s="11">
        <f t="shared" ref="I33:I51" si="16">H33*E33</f>
        <v>176633.46000000002</v>
      </c>
      <c r="J33" s="21">
        <f t="shared" si="12"/>
        <v>7253.7012000000004</v>
      </c>
      <c r="K33" s="24">
        <f t="shared" si="12"/>
        <v>362685.06000000006</v>
      </c>
      <c r="L33" s="10"/>
      <c r="M33" s="1">
        <v>25</v>
      </c>
      <c r="N33" s="48">
        <f t="shared" si="7"/>
        <v>27020400</v>
      </c>
      <c r="O33" s="49">
        <f t="shared" si="4"/>
        <v>22517000</v>
      </c>
    </row>
    <row r="34" spans="1:15" ht="15" customHeight="1">
      <c r="A34" s="3"/>
      <c r="B34" s="32" t="s">
        <v>135</v>
      </c>
      <c r="C34" s="87" t="s">
        <v>136</v>
      </c>
      <c r="D34" s="88" t="s">
        <v>52</v>
      </c>
      <c r="E34" s="89">
        <f>4+(E31/1.5)</f>
        <v>31.777777777777782</v>
      </c>
      <c r="F34" s="8">
        <v>440</v>
      </c>
      <c r="G34" s="11">
        <f t="shared" si="15"/>
        <v>13982.222222222224</v>
      </c>
      <c r="H34" s="8">
        <v>10507</v>
      </c>
      <c r="I34" s="11">
        <f t="shared" si="16"/>
        <v>333889.11111111118</v>
      </c>
      <c r="J34" s="21">
        <f t="shared" ref="J34" si="17">F34+H34</f>
        <v>10947</v>
      </c>
      <c r="K34" s="24">
        <f t="shared" ref="K34" si="18">G34+I34</f>
        <v>347871.33333333343</v>
      </c>
      <c r="L34" s="10"/>
      <c r="M34" s="1">
        <v>26</v>
      </c>
      <c r="N34" s="48">
        <f t="shared" si="7"/>
        <v>27452400</v>
      </c>
      <c r="O34" s="49">
        <f t="shared" si="4"/>
        <v>22877000</v>
      </c>
    </row>
    <row r="35" spans="1:15" ht="15" customHeight="1">
      <c r="A35" s="3"/>
      <c r="B35" s="32" t="s">
        <v>65</v>
      </c>
      <c r="C35" s="5" t="s">
        <v>84</v>
      </c>
      <c r="D35" s="6" t="s">
        <v>55</v>
      </c>
      <c r="E35" s="7">
        <f>ROUNDUP(E6/8,0)</f>
        <v>1</v>
      </c>
      <c r="F35" s="8">
        <f>(1500000+(E6*200000))</f>
        <v>2500000</v>
      </c>
      <c r="G35" s="11">
        <f t="shared" si="15"/>
        <v>2500000</v>
      </c>
      <c r="H35" s="8">
        <v>162151</v>
      </c>
      <c r="I35" s="11">
        <f t="shared" si="16"/>
        <v>162151</v>
      </c>
      <c r="J35" s="21">
        <f t="shared" si="12"/>
        <v>2662151</v>
      </c>
      <c r="K35" s="24">
        <f t="shared" si="12"/>
        <v>2662151</v>
      </c>
      <c r="L35" s="10"/>
      <c r="M35" s="1">
        <v>27</v>
      </c>
      <c r="N35" s="48">
        <f t="shared" si="7"/>
        <v>27885600</v>
      </c>
      <c r="O35" s="49">
        <f t="shared" si="4"/>
        <v>23238000</v>
      </c>
    </row>
    <row r="36" spans="1:15" ht="15" customHeight="1">
      <c r="A36" s="3"/>
      <c r="B36" s="31" t="s">
        <v>59</v>
      </c>
      <c r="C36" s="5"/>
      <c r="D36" s="6"/>
      <c r="E36" s="7"/>
      <c r="F36" s="8">
        <v>0</v>
      </c>
      <c r="G36" s="11">
        <f t="shared" si="15"/>
        <v>0</v>
      </c>
      <c r="H36" s="8">
        <v>0</v>
      </c>
      <c r="I36" s="11">
        <f t="shared" si="16"/>
        <v>0</v>
      </c>
      <c r="J36" s="21"/>
      <c r="K36" s="24">
        <f t="shared" si="12"/>
        <v>0</v>
      </c>
      <c r="L36" s="10"/>
      <c r="M36" s="1">
        <v>28</v>
      </c>
      <c r="N36" s="48">
        <f t="shared" si="7"/>
        <v>31426800</v>
      </c>
      <c r="O36" s="49">
        <f t="shared" ref="O36:O61" si="19">N36/1.2</f>
        <v>26189000</v>
      </c>
    </row>
    <row r="37" spans="1:15" ht="15" customHeight="1">
      <c r="A37" s="3"/>
      <c r="B37" s="32" t="s">
        <v>51</v>
      </c>
      <c r="C37" s="5" t="s">
        <v>66</v>
      </c>
      <c r="D37" s="6" t="s">
        <v>13</v>
      </c>
      <c r="E37" s="30">
        <f>INT(176/10*노즐공사원가!E6)</f>
        <v>88</v>
      </c>
      <c r="F37" s="8">
        <v>2699</v>
      </c>
      <c r="G37" s="11">
        <f t="shared" si="15"/>
        <v>237512</v>
      </c>
      <c r="H37" s="8">
        <v>15566</v>
      </c>
      <c r="I37" s="11">
        <f t="shared" si="16"/>
        <v>1369808</v>
      </c>
      <c r="J37" s="21">
        <f t="shared" ref="J37:J38" si="20">F37+H37</f>
        <v>18265</v>
      </c>
      <c r="K37" s="24">
        <f t="shared" si="12"/>
        <v>1607320</v>
      </c>
      <c r="L37" s="10"/>
      <c r="M37" s="1">
        <v>29</v>
      </c>
      <c r="N37" s="48">
        <f t="shared" si="7"/>
        <v>31748800</v>
      </c>
      <c r="O37" s="49">
        <f t="shared" si="19"/>
        <v>26457333.333333336</v>
      </c>
    </row>
    <row r="38" spans="1:15" ht="15" customHeight="1">
      <c r="A38" s="3"/>
      <c r="B38" s="32" t="s">
        <v>133</v>
      </c>
      <c r="C38" s="5" t="s">
        <v>134</v>
      </c>
      <c r="D38" s="6" t="s">
        <v>14</v>
      </c>
      <c r="E38" s="7">
        <v>1</v>
      </c>
      <c r="F38" s="8">
        <f>G37*0.15</f>
        <v>35626.799999999996</v>
      </c>
      <c r="G38" s="11">
        <f>F38*E38</f>
        <v>35626.799999999996</v>
      </c>
      <c r="H38" s="8">
        <v>0</v>
      </c>
      <c r="I38" s="11">
        <f>H38*E38</f>
        <v>0</v>
      </c>
      <c r="J38" s="21">
        <f t="shared" si="20"/>
        <v>35626.799999999996</v>
      </c>
      <c r="K38" s="24">
        <f t="shared" si="12"/>
        <v>35626.799999999996</v>
      </c>
      <c r="L38" s="10"/>
      <c r="M38" s="1">
        <v>30</v>
      </c>
      <c r="N38" s="48">
        <f t="shared" si="7"/>
        <v>32292000</v>
      </c>
      <c r="O38" s="49">
        <f t="shared" si="19"/>
        <v>26910000</v>
      </c>
    </row>
    <row r="39" spans="1:15" ht="15" customHeight="1">
      <c r="A39" s="3"/>
      <c r="B39" s="32" t="s">
        <v>138</v>
      </c>
      <c r="C39" s="5" t="s">
        <v>137</v>
      </c>
      <c r="D39" s="6" t="s">
        <v>13</v>
      </c>
      <c r="E39" s="33">
        <f>E37*1.2</f>
        <v>105.6</v>
      </c>
      <c r="F39" s="8">
        <v>570</v>
      </c>
      <c r="G39" s="11">
        <f t="shared" si="15"/>
        <v>60192</v>
      </c>
      <c r="H39" s="8">
        <v>1622</v>
      </c>
      <c r="I39" s="11">
        <f t="shared" si="16"/>
        <v>171283.19999999998</v>
      </c>
      <c r="J39" s="21">
        <f>F39+H39</f>
        <v>2192</v>
      </c>
      <c r="K39" s="24">
        <f t="shared" si="12"/>
        <v>231475.19999999998</v>
      </c>
      <c r="L39" s="10"/>
      <c r="M39" s="1">
        <v>31</v>
      </c>
      <c r="N39" s="48">
        <f t="shared" si="7"/>
        <v>33342000</v>
      </c>
      <c r="O39" s="49">
        <f t="shared" si="19"/>
        <v>27785000</v>
      </c>
    </row>
    <row r="40" spans="1:15" ht="15" customHeight="1">
      <c r="A40" s="3"/>
      <c r="B40" s="32" t="s">
        <v>56</v>
      </c>
      <c r="C40" s="5" t="s">
        <v>57</v>
      </c>
      <c r="D40" s="6" t="s">
        <v>52</v>
      </c>
      <c r="E40" s="7">
        <f>노즐공사원가!E6</f>
        <v>5</v>
      </c>
      <c r="F40" s="8">
        <v>1007.79876</v>
      </c>
      <c r="G40" s="11">
        <f t="shared" si="15"/>
        <v>5038.9938000000002</v>
      </c>
      <c r="H40" s="8">
        <v>39748.731298560007</v>
      </c>
      <c r="I40" s="11">
        <f t="shared" si="16"/>
        <v>198743.65649280004</v>
      </c>
      <c r="J40" s="21">
        <f t="shared" ref="J40:K51" si="21">F40+H40</f>
        <v>40756.530058560005</v>
      </c>
      <c r="K40" s="24">
        <f t="shared" si="12"/>
        <v>203782.65029280004</v>
      </c>
      <c r="L40" s="10"/>
      <c r="M40" s="1">
        <v>32</v>
      </c>
      <c r="N40" s="48">
        <f t="shared" si="7"/>
        <v>34832400</v>
      </c>
      <c r="O40" s="49">
        <f t="shared" si="19"/>
        <v>29027000</v>
      </c>
    </row>
    <row r="41" spans="1:15" ht="15" customHeight="1">
      <c r="A41" s="3"/>
      <c r="B41" s="32" t="s">
        <v>67</v>
      </c>
      <c r="C41" s="5" t="s">
        <v>68</v>
      </c>
      <c r="D41" s="6" t="s">
        <v>52</v>
      </c>
      <c r="E41" s="7">
        <f>노즐공사원가!E6</f>
        <v>5</v>
      </c>
      <c r="F41" s="8">
        <v>313.97651999999999</v>
      </c>
      <c r="G41" s="11">
        <f t="shared" si="15"/>
        <v>1569.8825999999999</v>
      </c>
      <c r="H41" s="8">
        <v>4968.5914123200009</v>
      </c>
      <c r="I41" s="11">
        <f t="shared" si="16"/>
        <v>24842.957061600006</v>
      </c>
      <c r="J41" s="21">
        <f t="shared" si="21"/>
        <v>5282.5679323200011</v>
      </c>
      <c r="K41" s="24">
        <f t="shared" si="12"/>
        <v>26412.839661600006</v>
      </c>
      <c r="L41" s="10"/>
      <c r="M41" s="1">
        <v>33</v>
      </c>
      <c r="N41" s="48">
        <f t="shared" si="7"/>
        <v>35265600</v>
      </c>
      <c r="O41" s="49">
        <f t="shared" si="19"/>
        <v>29388000</v>
      </c>
    </row>
    <row r="42" spans="1:15" ht="15" customHeight="1">
      <c r="A42" s="3"/>
      <c r="B42" s="32" t="s">
        <v>69</v>
      </c>
      <c r="C42" s="5" t="s">
        <v>70</v>
      </c>
      <c r="D42" s="6" t="s">
        <v>58</v>
      </c>
      <c r="E42" s="7">
        <f>E6*2</f>
        <v>10</v>
      </c>
      <c r="F42" s="8">
        <v>8824</v>
      </c>
      <c r="G42" s="11">
        <f t="shared" si="15"/>
        <v>88240</v>
      </c>
      <c r="H42" s="8">
        <v>0</v>
      </c>
      <c r="I42" s="11">
        <f t="shared" si="16"/>
        <v>0</v>
      </c>
      <c r="J42" s="21">
        <f t="shared" si="21"/>
        <v>8824</v>
      </c>
      <c r="K42" s="24">
        <f t="shared" si="12"/>
        <v>88240</v>
      </c>
      <c r="L42" s="10"/>
      <c r="M42" s="1">
        <v>34</v>
      </c>
      <c r="N42" s="48">
        <f t="shared" si="7"/>
        <v>36315600</v>
      </c>
      <c r="O42" s="49">
        <f t="shared" si="19"/>
        <v>30263000</v>
      </c>
    </row>
    <row r="43" spans="1:15" ht="15" customHeight="1">
      <c r="A43" s="3"/>
      <c r="B43" s="32" t="s">
        <v>139</v>
      </c>
      <c r="C43" s="5" t="s">
        <v>140</v>
      </c>
      <c r="D43" s="6" t="s">
        <v>141</v>
      </c>
      <c r="E43" s="7">
        <f>E6*3</f>
        <v>15</v>
      </c>
      <c r="F43" s="8">
        <v>1128</v>
      </c>
      <c r="G43" s="11">
        <f t="shared" si="15"/>
        <v>16920</v>
      </c>
      <c r="H43" s="8">
        <v>0</v>
      </c>
      <c r="I43" s="11">
        <f t="shared" ref="I43" si="22">H43*E43</f>
        <v>0</v>
      </c>
      <c r="J43" s="21">
        <f t="shared" ref="J43" si="23">F43+H43</f>
        <v>1128</v>
      </c>
      <c r="K43" s="24">
        <f t="shared" ref="K43" si="24">G43+I43</f>
        <v>16920</v>
      </c>
      <c r="L43" s="10"/>
      <c r="M43" s="1">
        <v>35</v>
      </c>
      <c r="N43" s="48">
        <f t="shared" si="7"/>
        <v>36747600</v>
      </c>
      <c r="O43" s="49">
        <f t="shared" si="19"/>
        <v>30623000</v>
      </c>
    </row>
    <row r="44" spans="1:15" ht="15" customHeight="1">
      <c r="A44" s="3"/>
      <c r="B44" s="32" t="s">
        <v>53</v>
      </c>
      <c r="C44" s="5" t="s">
        <v>54</v>
      </c>
      <c r="D44" s="6" t="s">
        <v>52</v>
      </c>
      <c r="E44" s="7">
        <f>ROUNDUP(E37/5, 0)</f>
        <v>18</v>
      </c>
      <c r="F44" s="8">
        <v>603.80100000000004</v>
      </c>
      <c r="G44" s="11">
        <f t="shared" si="15"/>
        <v>10868.418000000001</v>
      </c>
      <c r="H44" s="8">
        <v>8943.4645421759978</v>
      </c>
      <c r="I44" s="11">
        <f t="shared" si="16"/>
        <v>160982.36175916795</v>
      </c>
      <c r="J44" s="21">
        <f t="shared" si="21"/>
        <v>9547.2655421759973</v>
      </c>
      <c r="K44" s="24">
        <f t="shared" si="21"/>
        <v>171850.77975916796</v>
      </c>
      <c r="L44" s="10"/>
      <c r="M44" s="1">
        <v>36</v>
      </c>
      <c r="N44" s="48">
        <f t="shared" si="7"/>
        <v>37180800</v>
      </c>
      <c r="O44" s="49">
        <f t="shared" si="19"/>
        <v>30984000</v>
      </c>
    </row>
    <row r="45" spans="1:15" ht="15" customHeight="1">
      <c r="A45" s="3"/>
      <c r="B45" s="31" t="s">
        <v>60</v>
      </c>
      <c r="C45" s="5"/>
      <c r="D45" s="6"/>
      <c r="E45" s="7"/>
      <c r="F45" s="8">
        <v>0</v>
      </c>
      <c r="G45" s="11">
        <f t="shared" si="15"/>
        <v>0</v>
      </c>
      <c r="H45" s="8">
        <v>0</v>
      </c>
      <c r="I45" s="11">
        <f t="shared" si="16"/>
        <v>0</v>
      </c>
      <c r="J45" s="21"/>
      <c r="K45" s="24">
        <f t="shared" si="21"/>
        <v>0</v>
      </c>
      <c r="L45" s="10"/>
      <c r="M45" s="1">
        <v>37</v>
      </c>
      <c r="N45" s="48">
        <f t="shared" si="7"/>
        <v>40722000</v>
      </c>
      <c r="O45" s="49">
        <f t="shared" si="19"/>
        <v>33935000</v>
      </c>
    </row>
    <row r="46" spans="1:15" ht="15" customHeight="1">
      <c r="A46" s="3"/>
      <c r="B46" s="32" t="s">
        <v>51</v>
      </c>
      <c r="C46" s="5" t="s">
        <v>66</v>
      </c>
      <c r="D46" s="6" t="s">
        <v>13</v>
      </c>
      <c r="E46" s="7">
        <f>20*E48</f>
        <v>40</v>
      </c>
      <c r="F46" s="8">
        <v>2699</v>
      </c>
      <c r="G46" s="11">
        <f t="shared" si="15"/>
        <v>107960</v>
      </c>
      <c r="H46" s="8">
        <v>18680</v>
      </c>
      <c r="I46" s="11">
        <f t="shared" si="16"/>
        <v>747200</v>
      </c>
      <c r="J46" s="21">
        <f t="shared" ref="J46:J51" si="25">F46+H46</f>
        <v>21379</v>
      </c>
      <c r="K46" s="24">
        <f t="shared" si="21"/>
        <v>855160</v>
      </c>
      <c r="L46" s="10"/>
      <c r="M46" s="1">
        <v>38</v>
      </c>
      <c r="N46" s="48">
        <f t="shared" si="7"/>
        <v>41044000</v>
      </c>
      <c r="O46" s="49">
        <f t="shared" si="19"/>
        <v>34203333.333333336</v>
      </c>
    </row>
    <row r="47" spans="1:15" ht="15" customHeight="1">
      <c r="A47" s="3"/>
      <c r="B47" s="32" t="s">
        <v>71</v>
      </c>
      <c r="C47" s="5" t="s">
        <v>72</v>
      </c>
      <c r="D47" s="6" t="s">
        <v>13</v>
      </c>
      <c r="E47" s="7">
        <f>E46</f>
        <v>40</v>
      </c>
      <c r="F47" s="8">
        <v>621</v>
      </c>
      <c r="G47" s="11">
        <f t="shared" si="15"/>
        <v>24840</v>
      </c>
      <c r="H47" s="8">
        <v>1928</v>
      </c>
      <c r="I47" s="11">
        <f t="shared" si="16"/>
        <v>77120</v>
      </c>
      <c r="J47" s="21">
        <f t="shared" si="25"/>
        <v>2549</v>
      </c>
      <c r="K47" s="24">
        <f t="shared" si="21"/>
        <v>101960</v>
      </c>
      <c r="L47" s="10"/>
      <c r="M47" s="1">
        <v>39</v>
      </c>
      <c r="N47" s="48">
        <f t="shared" si="7"/>
        <v>41587200</v>
      </c>
      <c r="O47" s="49">
        <f t="shared" si="19"/>
        <v>34656000</v>
      </c>
    </row>
    <row r="48" spans="1:15" ht="15" customHeight="1">
      <c r="A48" s="3"/>
      <c r="B48" s="32" t="s">
        <v>56</v>
      </c>
      <c r="C48" s="5" t="s">
        <v>57</v>
      </c>
      <c r="D48" s="6" t="s">
        <v>52</v>
      </c>
      <c r="E48" s="7">
        <f>ROUNDUP(E6/3, 0)</f>
        <v>2</v>
      </c>
      <c r="F48" s="8">
        <v>734</v>
      </c>
      <c r="G48" s="11">
        <f t="shared" si="15"/>
        <v>1468</v>
      </c>
      <c r="H48" s="8">
        <v>46699</v>
      </c>
      <c r="I48" s="11">
        <f t="shared" si="16"/>
        <v>93398</v>
      </c>
      <c r="J48" s="21">
        <f t="shared" si="25"/>
        <v>47433</v>
      </c>
      <c r="K48" s="24">
        <f t="shared" si="21"/>
        <v>94866</v>
      </c>
      <c r="L48" s="10"/>
      <c r="M48" s="1">
        <v>40</v>
      </c>
      <c r="N48" s="48">
        <f t="shared" si="7"/>
        <v>42637200</v>
      </c>
      <c r="O48" s="49">
        <f t="shared" si="19"/>
        <v>35531000</v>
      </c>
    </row>
    <row r="49" spans="1:15" ht="15" customHeight="1">
      <c r="A49" s="3"/>
      <c r="B49" s="32" t="s">
        <v>67</v>
      </c>
      <c r="C49" s="5" t="s">
        <v>68</v>
      </c>
      <c r="D49" s="6" t="s">
        <v>52</v>
      </c>
      <c r="E49" s="7">
        <f>ROUNDUP(E6/3, 0)</f>
        <v>2</v>
      </c>
      <c r="F49" s="8">
        <v>229</v>
      </c>
      <c r="G49" s="11">
        <f t="shared" si="15"/>
        <v>458</v>
      </c>
      <c r="H49" s="8">
        <v>5837</v>
      </c>
      <c r="I49" s="11">
        <f t="shared" si="16"/>
        <v>11674</v>
      </c>
      <c r="J49" s="21">
        <f t="shared" si="25"/>
        <v>6066</v>
      </c>
      <c r="K49" s="24">
        <f t="shared" si="21"/>
        <v>12132</v>
      </c>
      <c r="L49" s="10"/>
      <c r="M49" s="1">
        <v>41</v>
      </c>
      <c r="N49" s="48">
        <f t="shared" si="7"/>
        <v>44127600</v>
      </c>
      <c r="O49" s="49">
        <f t="shared" si="19"/>
        <v>36773000</v>
      </c>
    </row>
    <row r="50" spans="1:15" ht="15" customHeight="1">
      <c r="A50" s="3"/>
      <c r="B50" s="31" t="s">
        <v>73</v>
      </c>
      <c r="C50" s="5" t="s">
        <v>75</v>
      </c>
      <c r="D50" s="6" t="s">
        <v>61</v>
      </c>
      <c r="E50" s="7">
        <f>E6*2</f>
        <v>10</v>
      </c>
      <c r="F50" s="8">
        <v>0</v>
      </c>
      <c r="G50" s="11">
        <f t="shared" si="15"/>
        <v>0</v>
      </c>
      <c r="H50" s="8">
        <v>228284.15760000001</v>
      </c>
      <c r="I50" s="11">
        <f t="shared" si="16"/>
        <v>2282841.5759999999</v>
      </c>
      <c r="J50" s="21">
        <f t="shared" si="25"/>
        <v>228284.15760000001</v>
      </c>
      <c r="K50" s="24">
        <f t="shared" si="21"/>
        <v>2282841.5759999999</v>
      </c>
      <c r="L50" s="10"/>
      <c r="M50" s="1">
        <v>42</v>
      </c>
      <c r="N50" s="48">
        <f t="shared" si="7"/>
        <v>44560800</v>
      </c>
      <c r="O50" s="49">
        <f t="shared" si="19"/>
        <v>37134000</v>
      </c>
    </row>
    <row r="51" spans="1:15" ht="15" customHeight="1">
      <c r="A51" s="3"/>
      <c r="B51" s="31" t="s">
        <v>74</v>
      </c>
      <c r="C51" s="5" t="s">
        <v>76</v>
      </c>
      <c r="D51" s="6" t="s">
        <v>61</v>
      </c>
      <c r="E51" s="7">
        <f>E6*2</f>
        <v>10</v>
      </c>
      <c r="F51" s="8">
        <v>0</v>
      </c>
      <c r="G51" s="11">
        <f t="shared" si="15"/>
        <v>0</v>
      </c>
      <c r="H51" s="8">
        <v>181507.78080000001</v>
      </c>
      <c r="I51" s="11">
        <f t="shared" si="16"/>
        <v>1815077.8080000002</v>
      </c>
      <c r="J51" s="21">
        <f t="shared" si="25"/>
        <v>181507.78080000001</v>
      </c>
      <c r="K51" s="24">
        <f t="shared" si="21"/>
        <v>1815077.8080000002</v>
      </c>
      <c r="L51" s="10"/>
      <c r="M51" s="1">
        <v>43</v>
      </c>
      <c r="N51" s="48">
        <f t="shared" si="7"/>
        <v>45610800</v>
      </c>
      <c r="O51" s="49">
        <f t="shared" si="19"/>
        <v>38009000</v>
      </c>
    </row>
    <row r="52" spans="1:15" ht="15" customHeight="1">
      <c r="A52" s="36"/>
      <c r="B52" s="37"/>
      <c r="C52" s="38"/>
      <c r="D52" s="39"/>
      <c r="E52" s="40"/>
      <c r="F52" s="41"/>
      <c r="G52" s="45">
        <f>SUM(G29:G51)</f>
        <v>3509563.3332888889</v>
      </c>
      <c r="H52" s="41"/>
      <c r="I52" s="45">
        <f>SUM(I29:I51)</f>
        <v>8760686.7970913462</v>
      </c>
      <c r="J52" s="46"/>
      <c r="K52" s="45">
        <f>SUM(K29:K51)</f>
        <v>12270250.130380234</v>
      </c>
      <c r="L52" s="44"/>
      <c r="M52" s="1">
        <v>44</v>
      </c>
      <c r="N52" s="48">
        <f t="shared" si="7"/>
        <v>46042800</v>
      </c>
      <c r="O52" s="49">
        <f t="shared" si="19"/>
        <v>38369000</v>
      </c>
    </row>
    <row r="53" spans="1:15" ht="15" customHeight="1">
      <c r="A53" s="27">
        <v>5</v>
      </c>
      <c r="B53" s="28" t="s">
        <v>63</v>
      </c>
      <c r="C53" s="29"/>
      <c r="D53" s="6"/>
      <c r="E53" s="7"/>
      <c r="F53" s="8"/>
      <c r="G53" s="11"/>
      <c r="H53" s="8"/>
      <c r="I53" s="11"/>
      <c r="J53" s="25">
        <f>$K$65*3.7%</f>
        <v>0</v>
      </c>
      <c r="K53" s="24">
        <f>J53*E53</f>
        <v>0</v>
      </c>
      <c r="L53" s="10"/>
      <c r="M53" s="1">
        <v>45</v>
      </c>
      <c r="N53" s="48">
        <f t="shared" si="7"/>
        <v>46476000</v>
      </c>
      <c r="O53" s="49">
        <f t="shared" si="19"/>
        <v>38730000</v>
      </c>
    </row>
    <row r="54" spans="1:15" ht="15" customHeight="1">
      <c r="A54" s="3"/>
      <c r="B54" s="4" t="s">
        <v>44</v>
      </c>
      <c r="C54" s="5" t="s">
        <v>82</v>
      </c>
      <c r="D54" s="6" t="s">
        <v>14</v>
      </c>
      <c r="E54" s="7">
        <v>1</v>
      </c>
      <c r="F54" s="8"/>
      <c r="G54" s="11"/>
      <c r="H54" s="8"/>
      <c r="I54" s="11"/>
      <c r="J54" s="21">
        <f>$I$61*3.56%</f>
        <v>417991.68787645194</v>
      </c>
      <c r="K54" s="24">
        <f t="shared" ref="K54:K59" si="26">J54*E54</f>
        <v>417991.68787645194</v>
      </c>
      <c r="L54" s="10"/>
      <c r="M54" s="1">
        <v>46</v>
      </c>
      <c r="N54" s="48">
        <f t="shared" si="7"/>
        <v>50017200</v>
      </c>
      <c r="O54" s="49">
        <f t="shared" si="19"/>
        <v>41681000</v>
      </c>
    </row>
    <row r="55" spans="1:15" ht="15" customHeight="1">
      <c r="A55" s="3"/>
      <c r="B55" s="4" t="s">
        <v>45</v>
      </c>
      <c r="C55" s="5" t="s">
        <v>64</v>
      </c>
      <c r="D55" s="6" t="s">
        <v>14</v>
      </c>
      <c r="E55" s="7">
        <v>1</v>
      </c>
      <c r="F55" s="8"/>
      <c r="G55" s="11"/>
      <c r="H55" s="8"/>
      <c r="I55" s="11"/>
      <c r="J55" s="21">
        <f>$I$61*1.01%</f>
        <v>118587.52942562259</v>
      </c>
      <c r="K55" s="24">
        <f t="shared" si="26"/>
        <v>118587.52942562259</v>
      </c>
      <c r="L55" s="10"/>
      <c r="M55" s="1">
        <v>47</v>
      </c>
      <c r="N55" s="48">
        <f t="shared" si="7"/>
        <v>50339200</v>
      </c>
      <c r="O55" s="49">
        <f t="shared" si="19"/>
        <v>41949333.333333336</v>
      </c>
    </row>
    <row r="56" spans="1:15" ht="15" customHeight="1">
      <c r="A56" s="3"/>
      <c r="B56" s="4" t="s">
        <v>46</v>
      </c>
      <c r="C56" s="5" t="s">
        <v>80</v>
      </c>
      <c r="D56" s="6" t="s">
        <v>14</v>
      </c>
      <c r="E56" s="7">
        <v>1</v>
      </c>
      <c r="F56" s="8"/>
      <c r="G56" s="11"/>
      <c r="H56" s="8"/>
      <c r="I56" s="11"/>
      <c r="J56" s="21">
        <f>$I$61*3.545%</f>
        <v>416230.48694438825</v>
      </c>
      <c r="K56" s="24">
        <f t="shared" si="26"/>
        <v>416230.48694438825</v>
      </c>
      <c r="L56" s="10"/>
      <c r="M56" s="1">
        <v>48</v>
      </c>
      <c r="N56" s="48">
        <f t="shared" si="7"/>
        <v>50882400</v>
      </c>
      <c r="O56" s="49">
        <f t="shared" si="19"/>
        <v>42402000</v>
      </c>
    </row>
    <row r="57" spans="1:15" ht="15" customHeight="1">
      <c r="A57" s="3"/>
      <c r="B57" s="4" t="s">
        <v>47</v>
      </c>
      <c r="C57" s="5" t="s">
        <v>201</v>
      </c>
      <c r="D57" s="6" t="s">
        <v>14</v>
      </c>
      <c r="E57" s="7">
        <v>1</v>
      </c>
      <c r="F57" s="8"/>
      <c r="G57" s="11"/>
      <c r="H57" s="8"/>
      <c r="I57" s="11"/>
      <c r="J57" s="21">
        <f>$J$56*12.95%</f>
        <v>53901.848059298281</v>
      </c>
      <c r="K57" s="24">
        <f t="shared" si="26"/>
        <v>53901.848059298281</v>
      </c>
      <c r="L57" s="10"/>
      <c r="M57" s="1">
        <v>49</v>
      </c>
      <c r="N57" s="48">
        <f t="shared" si="7"/>
        <v>51932400</v>
      </c>
      <c r="O57" s="49">
        <f t="shared" si="19"/>
        <v>43277000</v>
      </c>
    </row>
    <row r="58" spans="1:15" ht="15" customHeight="1">
      <c r="A58" s="3"/>
      <c r="B58" s="4" t="s">
        <v>48</v>
      </c>
      <c r="C58" s="5" t="s">
        <v>83</v>
      </c>
      <c r="D58" s="6" t="s">
        <v>14</v>
      </c>
      <c r="E58" s="7">
        <v>1</v>
      </c>
      <c r="F58" s="8"/>
      <c r="G58" s="11"/>
      <c r="H58" s="8"/>
      <c r="I58" s="11"/>
      <c r="J58" s="21">
        <f>$I$61*4.5%</f>
        <v>528360.27961911052</v>
      </c>
      <c r="K58" s="24">
        <f t="shared" si="26"/>
        <v>528360.27961911052</v>
      </c>
      <c r="L58" s="10"/>
      <c r="M58" s="1">
        <v>50</v>
      </c>
      <c r="N58" s="48">
        <f t="shared" si="7"/>
        <v>53422800</v>
      </c>
      <c r="O58" s="49">
        <f t="shared" si="19"/>
        <v>44519000</v>
      </c>
    </row>
    <row r="59" spans="1:15" ht="15" customHeight="1">
      <c r="A59" s="3"/>
      <c r="B59" s="4" t="s">
        <v>49</v>
      </c>
      <c r="C59" s="5" t="s">
        <v>81</v>
      </c>
      <c r="D59" s="6" t="s">
        <v>14</v>
      </c>
      <c r="E59" s="7">
        <v>1</v>
      </c>
      <c r="F59" s="8"/>
      <c r="G59" s="11"/>
      <c r="H59" s="8"/>
      <c r="I59" s="11"/>
      <c r="J59" s="21">
        <f>($G$61+$I$61)*2.93%</f>
        <v>1038390.150595141</v>
      </c>
      <c r="K59" s="24">
        <f t="shared" si="26"/>
        <v>1038390.150595141</v>
      </c>
      <c r="L59" s="10"/>
      <c r="M59" s="1">
        <v>51</v>
      </c>
      <c r="N59" s="48">
        <f t="shared" si="7"/>
        <v>53856000</v>
      </c>
      <c r="O59" s="49">
        <f t="shared" si="19"/>
        <v>44880000</v>
      </c>
    </row>
    <row r="60" spans="1:15" ht="15" customHeight="1">
      <c r="A60" s="36"/>
      <c r="B60" s="37"/>
      <c r="C60" s="38"/>
      <c r="D60" s="39"/>
      <c r="E60" s="40"/>
      <c r="F60" s="41"/>
      <c r="G60" s="45">
        <f>SUM(G55:G59)</f>
        <v>0</v>
      </c>
      <c r="H60" s="41"/>
      <c r="I60" s="45">
        <f>SUM(I55:I59)</f>
        <v>0</v>
      </c>
      <c r="J60" s="46"/>
      <c r="K60" s="45">
        <f>SUM(K53:K59)</f>
        <v>2573461.9825200127</v>
      </c>
      <c r="L60" s="44"/>
      <c r="M60" s="1">
        <v>52</v>
      </c>
      <c r="N60" s="48">
        <f t="shared" si="7"/>
        <v>54906000</v>
      </c>
      <c r="O60" s="49">
        <f t="shared" si="19"/>
        <v>45755000</v>
      </c>
    </row>
    <row r="61" spans="1:15" ht="15" customHeight="1">
      <c r="A61" s="13"/>
      <c r="B61" s="14" t="s">
        <v>9</v>
      </c>
      <c r="C61" s="15"/>
      <c r="D61" s="16"/>
      <c r="E61" s="17"/>
      <c r="F61" s="18"/>
      <c r="G61" s="19">
        <f>SUM(G8,G17,G28,G52,G60)</f>
        <v>23698597.333288889</v>
      </c>
      <c r="H61" s="18"/>
      <c r="I61" s="19">
        <f>SUM(I8,I17,I28,I52,I60)</f>
        <v>11741339.547091346</v>
      </c>
      <c r="J61" s="18"/>
      <c r="K61" s="19">
        <f>G61+I61</f>
        <v>35439936.880380236</v>
      </c>
      <c r="L61" s="20"/>
      <c r="M61" s="1">
        <v>53</v>
      </c>
      <c r="N61" s="48">
        <f t="shared" si="7"/>
        <v>55338000</v>
      </c>
      <c r="O61" s="49">
        <f t="shared" si="19"/>
        <v>46115000</v>
      </c>
    </row>
    <row r="62" spans="1:15" ht="15" customHeight="1">
      <c r="O62" s="49"/>
    </row>
    <row r="63" spans="1:15" ht="15" customHeight="1">
      <c r="O63" s="49"/>
    </row>
    <row r="64" spans="1:15" ht="15" customHeight="1">
      <c r="O64" s="49"/>
    </row>
    <row r="65" spans="15:15" ht="15" customHeight="1">
      <c r="O65" s="49"/>
    </row>
    <row r="66" spans="15:15" ht="15" customHeight="1">
      <c r="O66" s="49"/>
    </row>
    <row r="67" spans="15:15" ht="15" customHeight="1">
      <c r="O67" s="49"/>
    </row>
    <row r="68" spans="15:15" ht="15" customHeight="1">
      <c r="O68" s="49"/>
    </row>
    <row r="69" spans="15:15" ht="15" customHeight="1">
      <c r="O69" s="49"/>
    </row>
    <row r="70" spans="15:15" ht="15" customHeight="1">
      <c r="O70" s="49"/>
    </row>
    <row r="71" spans="15:15" ht="15" customHeight="1">
      <c r="O71" s="49"/>
    </row>
    <row r="72" spans="15:15" ht="15" customHeight="1">
      <c r="O72" s="49"/>
    </row>
    <row r="73" spans="15:15" ht="15" customHeight="1">
      <c r="O73" s="49"/>
    </row>
    <row r="74" spans="15:15" ht="15" customHeight="1">
      <c r="O74" s="49"/>
    </row>
    <row r="75" spans="15:15" ht="15" customHeight="1">
      <c r="O75" s="49"/>
    </row>
    <row r="76" spans="15:15" ht="15" customHeight="1">
      <c r="O76" s="49"/>
    </row>
    <row r="77" spans="15:15" ht="15" customHeight="1">
      <c r="O77" s="49"/>
    </row>
    <row r="78" spans="15:15" ht="15" customHeight="1">
      <c r="O78" s="49"/>
    </row>
    <row r="79" spans="15:15" ht="15" customHeight="1">
      <c r="O79" s="49"/>
    </row>
    <row r="80" spans="15:15" ht="15" customHeight="1">
      <c r="O80" s="49"/>
    </row>
    <row r="81" spans="15:15" ht="15" customHeight="1">
      <c r="O81" s="49"/>
    </row>
    <row r="82" spans="15:15" ht="15" customHeight="1">
      <c r="O82" s="49"/>
    </row>
    <row r="83" spans="15:15" ht="15" customHeight="1">
      <c r="O83" s="49"/>
    </row>
    <row r="84" spans="15:15" ht="15" customHeight="1">
      <c r="O84" s="49"/>
    </row>
    <row r="85" spans="15:15" ht="15" customHeight="1">
      <c r="O85" s="49"/>
    </row>
    <row r="86" spans="15:15" ht="15" customHeight="1">
      <c r="O86" s="49"/>
    </row>
    <row r="87" spans="15:15" ht="15" customHeight="1">
      <c r="O87" s="49"/>
    </row>
    <row r="88" spans="15:15" ht="15" customHeight="1">
      <c r="O88" s="49"/>
    </row>
    <row r="89" spans="15:15" ht="15" customHeight="1">
      <c r="O89" s="49"/>
    </row>
    <row r="90" spans="15:15" ht="15" customHeight="1">
      <c r="O90" s="49"/>
    </row>
    <row r="91" spans="15:15" ht="15" customHeight="1">
      <c r="O91" s="49"/>
    </row>
    <row r="92" spans="15:15" ht="15" customHeight="1">
      <c r="O92" s="49"/>
    </row>
    <row r="93" spans="15:15" ht="15" customHeight="1">
      <c r="O93" s="49"/>
    </row>
    <row r="94" spans="15:15" ht="15" customHeight="1">
      <c r="O94" s="49"/>
    </row>
    <row r="95" spans="15:15" ht="15" customHeight="1">
      <c r="O95" s="49"/>
    </row>
    <row r="96" spans="15:15" ht="15" customHeight="1">
      <c r="O96" s="49"/>
    </row>
    <row r="97" spans="15:15" ht="15" customHeight="1">
      <c r="O97" s="49"/>
    </row>
    <row r="98" spans="15:15" ht="15" customHeight="1">
      <c r="O98" s="49"/>
    </row>
    <row r="99" spans="15:15" ht="15" customHeight="1">
      <c r="O99" s="49"/>
    </row>
    <row r="100" spans="15:15" ht="15" customHeight="1">
      <c r="O100" s="49"/>
    </row>
    <row r="101" spans="15:15" ht="15" customHeight="1">
      <c r="O101" s="49"/>
    </row>
    <row r="102" spans="15:15" ht="15" customHeight="1">
      <c r="O102" s="49"/>
    </row>
    <row r="103" spans="15:15" ht="15" customHeight="1">
      <c r="O103" s="49"/>
    </row>
    <row r="104" spans="15:15" ht="15" customHeight="1">
      <c r="O104" s="49"/>
    </row>
    <row r="105" spans="15:15" ht="15" customHeight="1">
      <c r="O105" s="49"/>
    </row>
    <row r="106" spans="15:15" ht="15" customHeight="1">
      <c r="O106" s="49"/>
    </row>
    <row r="107" spans="15:15" ht="15" customHeight="1">
      <c r="O107" s="49"/>
    </row>
    <row r="108" spans="15:15" ht="15" customHeight="1">
      <c r="O108" s="49"/>
    </row>
    <row r="109" spans="15:15" ht="15" customHeight="1">
      <c r="O109" s="49"/>
    </row>
    <row r="110" spans="15:15" ht="15" customHeight="1">
      <c r="O110" s="49"/>
    </row>
    <row r="111" spans="15:15" ht="15" customHeight="1">
      <c r="O111" s="49"/>
    </row>
    <row r="112" spans="15:15" ht="15" customHeight="1">
      <c r="O112" s="49"/>
    </row>
    <row r="113" spans="15:15" ht="15" customHeight="1">
      <c r="O113" s="49"/>
    </row>
    <row r="114" spans="15:15" ht="15" customHeight="1">
      <c r="O114" s="49"/>
    </row>
    <row r="115" spans="15:15" ht="15" customHeight="1">
      <c r="O115" s="49"/>
    </row>
    <row r="116" spans="15:15" ht="15" customHeight="1">
      <c r="O116" s="49"/>
    </row>
    <row r="117" spans="15:15" ht="15" customHeight="1">
      <c r="O117" s="49"/>
    </row>
    <row r="118" spans="15:15" ht="15" customHeight="1">
      <c r="O118" s="49"/>
    </row>
    <row r="119" spans="15:15" ht="15" customHeight="1">
      <c r="O119" s="49"/>
    </row>
    <row r="120" spans="15:15" ht="15" customHeight="1">
      <c r="O120" s="49"/>
    </row>
    <row r="121" spans="15:15" ht="15" customHeight="1">
      <c r="O121" s="49"/>
    </row>
    <row r="122" spans="15:15" ht="15" customHeight="1">
      <c r="O122" s="49"/>
    </row>
    <row r="123" spans="15:15" ht="15" customHeight="1">
      <c r="O123" s="49"/>
    </row>
    <row r="124" spans="15:15" ht="15" customHeight="1">
      <c r="O124" s="49"/>
    </row>
  </sheetData>
  <mergeCells count="10">
    <mergeCell ref="A1:L2"/>
    <mergeCell ref="A3:A4"/>
    <mergeCell ref="B3:B4"/>
    <mergeCell ref="C3:C4"/>
    <mergeCell ref="D3:D4"/>
    <mergeCell ref="E3:E4"/>
    <mergeCell ref="F3:G3"/>
    <mergeCell ref="H3:I3"/>
    <mergeCell ref="J3:K3"/>
    <mergeCell ref="L3:L4"/>
  </mergeCells>
  <phoneticPr fontId="5" type="noConversion"/>
  <printOptions horizontalCentered="1"/>
  <pageMargins left="0.39370078740157483" right="0.39370078740157483" top="0.542156862745098" bottom="0.43307086614173229" header="0.31496062992125984" footer="0.31496062992125984"/>
  <pageSetup paperSize="9" scale="75" fitToHeight="0" orientation="landscape" r:id="rId1"/>
  <headerFooter>
    <oddHeader>&amp;R&amp;G</oddHeader>
    <oddFooter>&amp;L&amp;9 Form no. dk-estimate-200101&amp;C&amp;9&amp;P of &amp;N&amp;R&amp;9(주) 대경이앤씨</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93C43-7CF5-411E-B71B-640571378227}">
  <sheetPr>
    <pageSetUpPr fitToPage="1"/>
  </sheetPr>
  <dimension ref="B2:S54"/>
  <sheetViews>
    <sheetView zoomScale="70" zoomScaleNormal="70" workbookViewId="0">
      <pane xSplit="2" ySplit="4" topLeftCell="C5" activePane="bottomRight" state="frozen"/>
      <selection pane="topRight" activeCell="C1" sqref="C1"/>
      <selection pane="bottomLeft" activeCell="A7" sqref="A7"/>
      <selection pane="bottomRight" activeCell="U26" sqref="U26"/>
    </sheetView>
  </sheetViews>
  <sheetFormatPr defaultRowHeight="16.5"/>
  <cols>
    <col min="1" max="1" width="4.25" style="95" customWidth="1"/>
    <col min="2" max="2" width="9" style="95"/>
    <col min="3" max="4" width="15.75" style="95" customWidth="1"/>
    <col min="5" max="12" width="15.75" style="95" hidden="1" customWidth="1"/>
    <col min="13" max="16" width="15.75" style="95" customWidth="1"/>
    <col min="17" max="17" width="9" style="95"/>
    <col min="18" max="20" width="15.75" style="95" customWidth="1"/>
    <col min="21" max="16384" width="9" style="95"/>
  </cols>
  <sheetData>
    <row r="2" spans="2:19">
      <c r="B2" s="95" t="s">
        <v>147</v>
      </c>
    </row>
    <row r="3" spans="2:19">
      <c r="B3" s="129"/>
      <c r="C3" s="196" t="s">
        <v>180</v>
      </c>
      <c r="D3" s="196"/>
      <c r="E3" s="195"/>
      <c r="F3" s="196"/>
      <c r="G3" s="196"/>
      <c r="H3" s="197"/>
      <c r="I3" s="196"/>
      <c r="J3" s="196"/>
      <c r="K3" s="195"/>
      <c r="L3" s="197"/>
      <c r="M3" s="195" t="s">
        <v>227</v>
      </c>
      <c r="N3" s="196"/>
      <c r="O3" s="196"/>
      <c r="P3" s="197"/>
      <c r="Q3" s="195" t="s">
        <v>192</v>
      </c>
      <c r="R3" s="196"/>
      <c r="S3" s="196"/>
    </row>
    <row r="4" spans="2:19" s="263" customFormat="1">
      <c r="B4" s="260" t="s">
        <v>78</v>
      </c>
      <c r="C4" s="261" t="s">
        <v>181</v>
      </c>
      <c r="D4" s="261" t="s">
        <v>182</v>
      </c>
      <c r="E4" s="260"/>
      <c r="F4" s="261"/>
      <c r="G4" s="261"/>
      <c r="H4" s="262"/>
      <c r="I4" s="261"/>
      <c r="J4" s="261"/>
      <c r="K4" s="260"/>
      <c r="L4" s="262"/>
      <c r="M4" s="260" t="s">
        <v>231</v>
      </c>
      <c r="N4" s="261" t="s">
        <v>232</v>
      </c>
      <c r="O4" s="261" t="s">
        <v>224</v>
      </c>
      <c r="P4" s="262" t="s">
        <v>225</v>
      </c>
      <c r="Q4" s="261" t="s">
        <v>78</v>
      </c>
      <c r="R4" s="261" t="s">
        <v>233</v>
      </c>
      <c r="S4" s="261" t="s">
        <v>234</v>
      </c>
    </row>
    <row r="5" spans="2:19">
      <c r="B5" s="132">
        <v>1</v>
      </c>
      <c r="C5" s="105">
        <v>18600000</v>
      </c>
      <c r="D5" s="105">
        <v>15200000</v>
      </c>
      <c r="E5" s="104"/>
      <c r="F5" s="105"/>
      <c r="G5" s="105"/>
      <c r="H5" s="106"/>
      <c r="I5" s="105"/>
      <c r="J5" s="105"/>
      <c r="K5" s="104"/>
      <c r="L5" s="106"/>
      <c r="M5" s="104">
        <f>C5+E5</f>
        <v>18600000</v>
      </c>
      <c r="N5" s="105">
        <f>D5+F5</f>
        <v>15200000</v>
      </c>
      <c r="O5" s="105">
        <f>M5-N5</f>
        <v>3400000</v>
      </c>
      <c r="P5" s="266">
        <f>O5/M5</f>
        <v>0.18279569892473119</v>
      </c>
      <c r="Q5" s="112">
        <v>1</v>
      </c>
      <c r="R5" s="277">
        <f>M5/$Q$5</f>
        <v>18600000</v>
      </c>
      <c r="S5" s="277">
        <f>N5/$Q$5</f>
        <v>15200000</v>
      </c>
    </row>
    <row r="6" spans="2:19">
      <c r="B6" s="264">
        <v>2</v>
      </c>
      <c r="C6" s="267">
        <v>25500000</v>
      </c>
      <c r="D6" s="267">
        <v>20800000</v>
      </c>
      <c r="E6" s="268"/>
      <c r="F6" s="267"/>
      <c r="G6" s="267"/>
      <c r="H6" s="269"/>
      <c r="I6" s="267"/>
      <c r="J6" s="267"/>
      <c r="K6" s="268"/>
      <c r="L6" s="269"/>
      <c r="M6" s="268">
        <f t="shared" ref="M6:N54" si="0">C6+E6</f>
        <v>25500000</v>
      </c>
      <c r="N6" s="267">
        <f t="shared" si="0"/>
        <v>20800000</v>
      </c>
      <c r="O6" s="267">
        <f t="shared" ref="O6:O54" si="1">M6-N6</f>
        <v>4700000</v>
      </c>
      <c r="P6" s="270">
        <f t="shared" ref="P6:P54" si="2">O6/M6</f>
        <v>0.18431372549019609</v>
      </c>
      <c r="Q6" s="113">
        <v>2</v>
      </c>
      <c r="R6" s="278">
        <f>M6/$Q$6</f>
        <v>12750000</v>
      </c>
      <c r="S6" s="278">
        <f>N6/$Q$6</f>
        <v>10400000</v>
      </c>
    </row>
    <row r="7" spans="2:19">
      <c r="B7" s="264">
        <v>3</v>
      </c>
      <c r="C7" s="267">
        <v>32400000</v>
      </c>
      <c r="D7" s="267">
        <v>26300000</v>
      </c>
      <c r="E7" s="268"/>
      <c r="F7" s="267"/>
      <c r="G7" s="267"/>
      <c r="H7" s="269"/>
      <c r="I7" s="267"/>
      <c r="J7" s="267"/>
      <c r="K7" s="268"/>
      <c r="L7" s="269"/>
      <c r="M7" s="268">
        <f t="shared" si="0"/>
        <v>32400000</v>
      </c>
      <c r="N7" s="267">
        <f t="shared" si="0"/>
        <v>26300000</v>
      </c>
      <c r="O7" s="267">
        <f t="shared" si="1"/>
        <v>6100000</v>
      </c>
      <c r="P7" s="270">
        <f t="shared" si="2"/>
        <v>0.18827160493827161</v>
      </c>
      <c r="Q7" s="113">
        <v>3</v>
      </c>
      <c r="R7" s="278">
        <f>M7/$Q$7</f>
        <v>10800000</v>
      </c>
      <c r="S7" s="278">
        <f>N7/$Q$7</f>
        <v>8766666.666666666</v>
      </c>
    </row>
    <row r="8" spans="2:19">
      <c r="B8" s="264">
        <v>4</v>
      </c>
      <c r="C8" s="267">
        <v>40000000</v>
      </c>
      <c r="D8" s="267">
        <v>32400000</v>
      </c>
      <c r="E8" s="268"/>
      <c r="F8" s="267"/>
      <c r="G8" s="267"/>
      <c r="H8" s="269"/>
      <c r="I8" s="267"/>
      <c r="J8" s="267"/>
      <c r="K8" s="268"/>
      <c r="L8" s="269"/>
      <c r="M8" s="268">
        <f t="shared" si="0"/>
        <v>40000000</v>
      </c>
      <c r="N8" s="267">
        <f t="shared" si="0"/>
        <v>32400000</v>
      </c>
      <c r="O8" s="267">
        <f t="shared" si="1"/>
        <v>7600000</v>
      </c>
      <c r="P8" s="270">
        <f t="shared" si="2"/>
        <v>0.19</v>
      </c>
      <c r="Q8" s="113">
        <v>4</v>
      </c>
      <c r="R8" s="278">
        <f>M8/$Q$8</f>
        <v>10000000</v>
      </c>
      <c r="S8" s="278">
        <f>N8/$Q$8</f>
        <v>8100000</v>
      </c>
    </row>
    <row r="9" spans="2:19">
      <c r="B9" s="130">
        <v>5</v>
      </c>
      <c r="C9" s="102">
        <v>46900000</v>
      </c>
      <c r="D9" s="102">
        <v>38000000</v>
      </c>
      <c r="E9" s="101"/>
      <c r="F9" s="102"/>
      <c r="G9" s="102"/>
      <c r="H9" s="103"/>
      <c r="I9" s="102"/>
      <c r="J9" s="102"/>
      <c r="K9" s="101"/>
      <c r="L9" s="103"/>
      <c r="M9" s="101">
        <f t="shared" si="0"/>
        <v>46900000</v>
      </c>
      <c r="N9" s="102">
        <f t="shared" si="0"/>
        <v>38000000</v>
      </c>
      <c r="O9" s="102">
        <f t="shared" si="1"/>
        <v>8900000</v>
      </c>
      <c r="P9" s="265">
        <f t="shared" si="2"/>
        <v>0.18976545842217485</v>
      </c>
      <c r="Q9" s="122">
        <v>5</v>
      </c>
      <c r="R9" s="279">
        <f>SUM(M9:M14)/SUM($Q$9:$Q$14)</f>
        <v>8828888.8888888881</v>
      </c>
      <c r="S9" s="279">
        <f t="shared" ref="S9" si="3">SUM(N9:N14)/SUM($Q$9:$Q$14)</f>
        <v>7133333.333333333</v>
      </c>
    </row>
    <row r="10" spans="2:19">
      <c r="B10" s="130">
        <v>6</v>
      </c>
      <c r="C10" s="102">
        <v>53800000</v>
      </c>
      <c r="D10" s="102">
        <v>43500000</v>
      </c>
      <c r="E10" s="101"/>
      <c r="F10" s="102"/>
      <c r="G10" s="102"/>
      <c r="H10" s="103"/>
      <c r="I10" s="102"/>
      <c r="J10" s="102"/>
      <c r="K10" s="101"/>
      <c r="L10" s="103"/>
      <c r="M10" s="101">
        <f t="shared" si="0"/>
        <v>53800000</v>
      </c>
      <c r="N10" s="102">
        <f t="shared" si="0"/>
        <v>43500000</v>
      </c>
      <c r="O10" s="102">
        <f t="shared" si="1"/>
        <v>10300000</v>
      </c>
      <c r="P10" s="265">
        <f t="shared" si="2"/>
        <v>0.19144981412639406</v>
      </c>
      <c r="Q10" s="122">
        <v>6</v>
      </c>
      <c r="R10" s="279"/>
      <c r="S10" s="279"/>
    </row>
    <row r="11" spans="2:19">
      <c r="B11" s="130">
        <v>7</v>
      </c>
      <c r="C11" s="102">
        <v>61400000</v>
      </c>
      <c r="D11" s="102">
        <v>49600000</v>
      </c>
      <c r="E11" s="101"/>
      <c r="F11" s="102"/>
      <c r="G11" s="102"/>
      <c r="H11" s="103"/>
      <c r="I11" s="102"/>
      <c r="J11" s="102"/>
      <c r="K11" s="101"/>
      <c r="L11" s="103"/>
      <c r="M11" s="101">
        <f t="shared" si="0"/>
        <v>61400000</v>
      </c>
      <c r="N11" s="102">
        <f t="shared" si="0"/>
        <v>49600000</v>
      </c>
      <c r="O11" s="102">
        <f t="shared" si="1"/>
        <v>11800000</v>
      </c>
      <c r="P11" s="265">
        <f t="shared" si="2"/>
        <v>0.19218241042345277</v>
      </c>
      <c r="Q11" s="122">
        <v>7</v>
      </c>
      <c r="R11" s="279"/>
      <c r="S11" s="279"/>
    </row>
    <row r="12" spans="2:19">
      <c r="B12" s="130">
        <v>8</v>
      </c>
      <c r="C12" s="102">
        <v>68300000</v>
      </c>
      <c r="D12" s="102">
        <v>55100000</v>
      </c>
      <c r="E12" s="101"/>
      <c r="F12" s="102"/>
      <c r="G12" s="102"/>
      <c r="H12" s="103"/>
      <c r="I12" s="102"/>
      <c r="J12" s="102"/>
      <c r="K12" s="101"/>
      <c r="L12" s="103"/>
      <c r="M12" s="101">
        <f t="shared" si="0"/>
        <v>68300000</v>
      </c>
      <c r="N12" s="102">
        <f t="shared" si="0"/>
        <v>55100000</v>
      </c>
      <c r="O12" s="102">
        <f t="shared" si="1"/>
        <v>13200000</v>
      </c>
      <c r="P12" s="265">
        <f t="shared" si="2"/>
        <v>0.19326500732064422</v>
      </c>
      <c r="Q12" s="122">
        <v>8</v>
      </c>
      <c r="R12" s="279"/>
      <c r="S12" s="279"/>
    </row>
    <row r="13" spans="2:19">
      <c r="B13" s="130">
        <v>9</v>
      </c>
      <c r="C13" s="102">
        <v>79500000</v>
      </c>
      <c r="D13" s="102">
        <v>64200000</v>
      </c>
      <c r="E13" s="101"/>
      <c r="F13" s="102"/>
      <c r="G13" s="102"/>
      <c r="H13" s="103"/>
      <c r="I13" s="102"/>
      <c r="J13" s="102"/>
      <c r="K13" s="101"/>
      <c r="L13" s="103"/>
      <c r="M13" s="101">
        <f t="shared" si="0"/>
        <v>79500000</v>
      </c>
      <c r="N13" s="102">
        <f t="shared" si="0"/>
        <v>64200000</v>
      </c>
      <c r="O13" s="102">
        <f t="shared" si="1"/>
        <v>15300000</v>
      </c>
      <c r="P13" s="265">
        <f t="shared" si="2"/>
        <v>0.19245283018867926</v>
      </c>
      <c r="Q13" s="122">
        <v>9</v>
      </c>
      <c r="R13" s="279"/>
      <c r="S13" s="279"/>
    </row>
    <row r="14" spans="2:19">
      <c r="B14" s="130">
        <v>10</v>
      </c>
      <c r="C14" s="102">
        <v>87400000</v>
      </c>
      <c r="D14" s="102">
        <v>70600000</v>
      </c>
      <c r="E14" s="101"/>
      <c r="F14" s="102"/>
      <c r="G14" s="102"/>
      <c r="H14" s="103"/>
      <c r="I14" s="102"/>
      <c r="J14" s="102"/>
      <c r="K14" s="101"/>
      <c r="L14" s="103"/>
      <c r="M14" s="101">
        <f t="shared" si="0"/>
        <v>87400000</v>
      </c>
      <c r="N14" s="102">
        <f t="shared" si="0"/>
        <v>70600000</v>
      </c>
      <c r="O14" s="102">
        <f t="shared" si="1"/>
        <v>16800000</v>
      </c>
      <c r="P14" s="265">
        <f t="shared" si="2"/>
        <v>0.19221967963386727</v>
      </c>
      <c r="Q14" s="122">
        <v>10</v>
      </c>
      <c r="R14" s="279"/>
      <c r="S14" s="279"/>
    </row>
    <row r="15" spans="2:19">
      <c r="B15" s="129">
        <v>11</v>
      </c>
      <c r="C15" s="272">
        <v>94500000</v>
      </c>
      <c r="D15" s="272">
        <v>76300000</v>
      </c>
      <c r="E15" s="273"/>
      <c r="F15" s="272"/>
      <c r="G15" s="272"/>
      <c r="H15" s="274"/>
      <c r="I15" s="272"/>
      <c r="J15" s="272"/>
      <c r="K15" s="273"/>
      <c r="L15" s="274"/>
      <c r="M15" s="273">
        <f t="shared" si="0"/>
        <v>94500000</v>
      </c>
      <c r="N15" s="272">
        <f t="shared" si="0"/>
        <v>76300000</v>
      </c>
      <c r="O15" s="272">
        <f t="shared" si="1"/>
        <v>18200000</v>
      </c>
      <c r="P15" s="275">
        <f t="shared" si="2"/>
        <v>0.19259259259259259</v>
      </c>
      <c r="Q15" s="134">
        <v>11</v>
      </c>
      <c r="R15" s="280">
        <f>SUM(M15:M34)/SUM($Q$15:$Q$34)</f>
        <v>8435609.7560975607</v>
      </c>
      <c r="S15" s="280">
        <f>SUM(N15:N34)/SUM($Q$15:$Q$34)</f>
        <v>6804634.1463414636</v>
      </c>
    </row>
    <row r="16" spans="2:19">
      <c r="B16" s="130">
        <v>12</v>
      </c>
      <c r="C16" s="102">
        <v>101700000</v>
      </c>
      <c r="D16" s="102">
        <v>82100000</v>
      </c>
      <c r="E16" s="101"/>
      <c r="F16" s="102"/>
      <c r="G16" s="102"/>
      <c r="H16" s="103"/>
      <c r="I16" s="102"/>
      <c r="J16" s="102"/>
      <c r="K16" s="101"/>
      <c r="L16" s="103"/>
      <c r="M16" s="101">
        <f t="shared" si="0"/>
        <v>101700000</v>
      </c>
      <c r="N16" s="102">
        <f t="shared" si="0"/>
        <v>82100000</v>
      </c>
      <c r="O16" s="102">
        <f t="shared" si="1"/>
        <v>19600000</v>
      </c>
      <c r="P16" s="265">
        <f t="shared" si="2"/>
        <v>0.1927236971484759</v>
      </c>
      <c r="Q16" s="122">
        <v>12</v>
      </c>
      <c r="R16" s="279"/>
      <c r="S16" s="279"/>
    </row>
    <row r="17" spans="2:19">
      <c r="B17" s="130">
        <v>13</v>
      </c>
      <c r="C17" s="102">
        <v>109600000</v>
      </c>
      <c r="D17" s="102">
        <v>88400000</v>
      </c>
      <c r="E17" s="101"/>
      <c r="F17" s="102"/>
      <c r="G17" s="102"/>
      <c r="H17" s="103"/>
      <c r="I17" s="102"/>
      <c r="J17" s="102"/>
      <c r="K17" s="101"/>
      <c r="L17" s="103"/>
      <c r="M17" s="101">
        <f t="shared" si="0"/>
        <v>109600000</v>
      </c>
      <c r="N17" s="102">
        <f t="shared" si="0"/>
        <v>88400000</v>
      </c>
      <c r="O17" s="102">
        <f t="shared" si="1"/>
        <v>21200000</v>
      </c>
      <c r="P17" s="265">
        <f t="shared" si="2"/>
        <v>0.19343065693430658</v>
      </c>
      <c r="Q17" s="122">
        <v>13</v>
      </c>
      <c r="R17" s="279"/>
      <c r="S17" s="279"/>
    </row>
    <row r="18" spans="2:19">
      <c r="B18" s="130">
        <v>14</v>
      </c>
      <c r="C18" s="102">
        <v>116700000</v>
      </c>
      <c r="D18" s="102">
        <v>94100000</v>
      </c>
      <c r="E18" s="101"/>
      <c r="F18" s="102"/>
      <c r="G18" s="102"/>
      <c r="H18" s="103"/>
      <c r="I18" s="102"/>
      <c r="J18" s="102"/>
      <c r="K18" s="101"/>
      <c r="L18" s="103"/>
      <c r="M18" s="101">
        <f t="shared" si="0"/>
        <v>116700000</v>
      </c>
      <c r="N18" s="102">
        <f t="shared" si="0"/>
        <v>94100000</v>
      </c>
      <c r="O18" s="102">
        <f t="shared" si="1"/>
        <v>22600000</v>
      </c>
      <c r="P18" s="265">
        <f t="shared" si="2"/>
        <v>0.19365895458440446</v>
      </c>
      <c r="Q18" s="122">
        <v>14</v>
      </c>
      <c r="R18" s="279"/>
      <c r="S18" s="279"/>
    </row>
    <row r="19" spans="2:19">
      <c r="B19" s="130">
        <v>15</v>
      </c>
      <c r="C19" s="102">
        <v>123900000</v>
      </c>
      <c r="D19" s="102">
        <v>99900000</v>
      </c>
      <c r="E19" s="101"/>
      <c r="F19" s="102"/>
      <c r="G19" s="102"/>
      <c r="H19" s="103"/>
      <c r="I19" s="102"/>
      <c r="J19" s="102"/>
      <c r="K19" s="101"/>
      <c r="L19" s="103"/>
      <c r="M19" s="101">
        <f t="shared" si="0"/>
        <v>123900000</v>
      </c>
      <c r="N19" s="102">
        <f t="shared" si="0"/>
        <v>99900000</v>
      </c>
      <c r="O19" s="102">
        <f t="shared" si="1"/>
        <v>24000000</v>
      </c>
      <c r="P19" s="265">
        <f t="shared" si="2"/>
        <v>0.1937046004842615</v>
      </c>
      <c r="Q19" s="122">
        <v>15</v>
      </c>
      <c r="R19" s="279"/>
      <c r="S19" s="279"/>
    </row>
    <row r="20" spans="2:19">
      <c r="B20" s="130">
        <v>16</v>
      </c>
      <c r="C20" s="102">
        <v>131700000</v>
      </c>
      <c r="D20" s="102">
        <v>106200000</v>
      </c>
      <c r="E20" s="101"/>
      <c r="F20" s="102"/>
      <c r="G20" s="102"/>
      <c r="H20" s="103"/>
      <c r="I20" s="102"/>
      <c r="J20" s="102"/>
      <c r="K20" s="101"/>
      <c r="L20" s="103"/>
      <c r="M20" s="101">
        <f t="shared" si="0"/>
        <v>131700000</v>
      </c>
      <c r="N20" s="102">
        <f t="shared" si="0"/>
        <v>106200000</v>
      </c>
      <c r="O20" s="102">
        <f t="shared" si="1"/>
        <v>25500000</v>
      </c>
      <c r="P20" s="265">
        <f t="shared" si="2"/>
        <v>0.19362186788154898</v>
      </c>
      <c r="Q20" s="122">
        <v>16</v>
      </c>
      <c r="R20" s="279"/>
      <c r="S20" s="279"/>
    </row>
    <row r="21" spans="2:19">
      <c r="B21" s="130">
        <v>17</v>
      </c>
      <c r="C21" s="102">
        <v>145200000</v>
      </c>
      <c r="D21" s="102">
        <v>117100000</v>
      </c>
      <c r="E21" s="101"/>
      <c r="F21" s="102"/>
      <c r="G21" s="102"/>
      <c r="H21" s="103"/>
      <c r="I21" s="102"/>
      <c r="J21" s="102"/>
      <c r="K21" s="101"/>
      <c r="L21" s="103"/>
      <c r="M21" s="101">
        <f t="shared" si="0"/>
        <v>145200000</v>
      </c>
      <c r="N21" s="102">
        <f t="shared" si="0"/>
        <v>117100000</v>
      </c>
      <c r="O21" s="102">
        <f t="shared" si="1"/>
        <v>28100000</v>
      </c>
      <c r="P21" s="265">
        <f t="shared" si="2"/>
        <v>0.19352617079889808</v>
      </c>
      <c r="Q21" s="122">
        <v>17</v>
      </c>
      <c r="R21" s="279"/>
      <c r="S21" s="279"/>
    </row>
    <row r="22" spans="2:19">
      <c r="B22" s="130">
        <v>18</v>
      </c>
      <c r="C22" s="102">
        <v>152600000</v>
      </c>
      <c r="D22" s="102">
        <v>123100000</v>
      </c>
      <c r="E22" s="101"/>
      <c r="F22" s="102"/>
      <c r="G22" s="102"/>
      <c r="H22" s="103"/>
      <c r="I22" s="102"/>
      <c r="J22" s="102"/>
      <c r="K22" s="101"/>
      <c r="L22" s="103"/>
      <c r="M22" s="101">
        <f t="shared" si="0"/>
        <v>152600000</v>
      </c>
      <c r="N22" s="102">
        <f t="shared" si="0"/>
        <v>123100000</v>
      </c>
      <c r="O22" s="102">
        <f t="shared" si="1"/>
        <v>29500000</v>
      </c>
      <c r="P22" s="265">
        <f t="shared" si="2"/>
        <v>0.19331585845347313</v>
      </c>
      <c r="Q22" s="122">
        <v>18</v>
      </c>
      <c r="R22" s="279"/>
      <c r="S22" s="279"/>
    </row>
    <row r="23" spans="2:19">
      <c r="B23" s="130">
        <v>19</v>
      </c>
      <c r="C23" s="102">
        <v>160700000</v>
      </c>
      <c r="D23" s="102">
        <v>129600000</v>
      </c>
      <c r="E23" s="101"/>
      <c r="F23" s="102"/>
      <c r="G23" s="102"/>
      <c r="H23" s="103"/>
      <c r="I23" s="102"/>
      <c r="J23" s="102"/>
      <c r="K23" s="101"/>
      <c r="L23" s="103"/>
      <c r="M23" s="101">
        <f t="shared" si="0"/>
        <v>160700000</v>
      </c>
      <c r="N23" s="102">
        <f t="shared" si="0"/>
        <v>129600000</v>
      </c>
      <c r="O23" s="102">
        <f t="shared" si="1"/>
        <v>31100000</v>
      </c>
      <c r="P23" s="265">
        <f t="shared" si="2"/>
        <v>0.19352831362787803</v>
      </c>
      <c r="Q23" s="122">
        <v>19</v>
      </c>
      <c r="R23" s="279"/>
      <c r="S23" s="279"/>
    </row>
    <row r="24" spans="2:19">
      <c r="B24" s="130">
        <v>20</v>
      </c>
      <c r="C24" s="102">
        <v>168100000</v>
      </c>
      <c r="D24" s="102">
        <v>135600000</v>
      </c>
      <c r="E24" s="101"/>
      <c r="F24" s="102"/>
      <c r="G24" s="102"/>
      <c r="H24" s="103"/>
      <c r="I24" s="102"/>
      <c r="J24" s="102"/>
      <c r="K24" s="101"/>
      <c r="L24" s="103"/>
      <c r="M24" s="101">
        <f t="shared" si="0"/>
        <v>168100000</v>
      </c>
      <c r="N24" s="102">
        <f t="shared" si="0"/>
        <v>135600000</v>
      </c>
      <c r="O24" s="102">
        <f t="shared" si="1"/>
        <v>32500000</v>
      </c>
      <c r="P24" s="265">
        <f t="shared" si="2"/>
        <v>0.1933372992266508</v>
      </c>
      <c r="Q24" s="122">
        <v>20</v>
      </c>
      <c r="R24" s="279"/>
      <c r="S24" s="279"/>
    </row>
    <row r="25" spans="2:19">
      <c r="B25" s="130">
        <v>21</v>
      </c>
      <c r="C25" s="102">
        <v>175500000</v>
      </c>
      <c r="D25" s="102">
        <v>141500000</v>
      </c>
      <c r="E25" s="101"/>
      <c r="F25" s="102"/>
      <c r="G25" s="102"/>
      <c r="H25" s="103"/>
      <c r="I25" s="102"/>
      <c r="J25" s="102"/>
      <c r="K25" s="101"/>
      <c r="L25" s="103"/>
      <c r="M25" s="101">
        <f t="shared" si="0"/>
        <v>175500000</v>
      </c>
      <c r="N25" s="102">
        <f t="shared" si="0"/>
        <v>141500000</v>
      </c>
      <c r="O25" s="102">
        <f t="shared" si="1"/>
        <v>34000000</v>
      </c>
      <c r="P25" s="265">
        <f t="shared" si="2"/>
        <v>0.19373219373219372</v>
      </c>
      <c r="Q25" s="122">
        <v>21</v>
      </c>
      <c r="R25" s="279"/>
      <c r="S25" s="279"/>
    </row>
    <row r="26" spans="2:19">
      <c r="B26" s="130">
        <v>22</v>
      </c>
      <c r="C26" s="102">
        <v>183600000</v>
      </c>
      <c r="D26" s="102">
        <v>148100000</v>
      </c>
      <c r="E26" s="101"/>
      <c r="F26" s="102"/>
      <c r="G26" s="102"/>
      <c r="H26" s="103"/>
      <c r="I26" s="102"/>
      <c r="J26" s="102"/>
      <c r="K26" s="101"/>
      <c r="L26" s="103"/>
      <c r="M26" s="101">
        <f t="shared" si="0"/>
        <v>183600000</v>
      </c>
      <c r="N26" s="102">
        <f t="shared" si="0"/>
        <v>148100000</v>
      </c>
      <c r="O26" s="102">
        <f t="shared" si="1"/>
        <v>35500000</v>
      </c>
      <c r="P26" s="265">
        <f t="shared" si="2"/>
        <v>0.19335511982570805</v>
      </c>
      <c r="Q26" s="122">
        <v>22</v>
      </c>
      <c r="R26" s="279"/>
      <c r="S26" s="279"/>
    </row>
    <row r="27" spans="2:19">
      <c r="B27" s="130">
        <v>23</v>
      </c>
      <c r="C27" s="102">
        <v>191000000</v>
      </c>
      <c r="D27" s="102">
        <v>154000000</v>
      </c>
      <c r="E27" s="101"/>
      <c r="F27" s="102"/>
      <c r="G27" s="102"/>
      <c r="H27" s="103"/>
      <c r="I27" s="102"/>
      <c r="J27" s="102"/>
      <c r="K27" s="101"/>
      <c r="L27" s="103"/>
      <c r="M27" s="101">
        <f t="shared" si="0"/>
        <v>191000000</v>
      </c>
      <c r="N27" s="102">
        <f t="shared" si="0"/>
        <v>154000000</v>
      </c>
      <c r="O27" s="102">
        <f t="shared" si="1"/>
        <v>37000000</v>
      </c>
      <c r="P27" s="265">
        <f t="shared" si="2"/>
        <v>0.193717277486911</v>
      </c>
      <c r="Q27" s="122">
        <v>23</v>
      </c>
      <c r="R27" s="279"/>
      <c r="S27" s="279"/>
    </row>
    <row r="28" spans="2:19">
      <c r="B28" s="130">
        <v>24</v>
      </c>
      <c r="C28" s="102">
        <v>198400000</v>
      </c>
      <c r="D28" s="102">
        <v>159900000</v>
      </c>
      <c r="E28" s="101"/>
      <c r="F28" s="102"/>
      <c r="G28" s="102"/>
      <c r="H28" s="103"/>
      <c r="I28" s="102"/>
      <c r="J28" s="102"/>
      <c r="K28" s="101"/>
      <c r="L28" s="103"/>
      <c r="M28" s="101">
        <f t="shared" si="0"/>
        <v>198400000</v>
      </c>
      <c r="N28" s="102">
        <f t="shared" si="0"/>
        <v>159900000</v>
      </c>
      <c r="O28" s="102">
        <f t="shared" si="1"/>
        <v>38500000</v>
      </c>
      <c r="P28" s="265">
        <f t="shared" si="2"/>
        <v>0.19405241935483872</v>
      </c>
      <c r="Q28" s="122">
        <v>24</v>
      </c>
      <c r="R28" s="279"/>
      <c r="S28" s="279"/>
    </row>
    <row r="29" spans="2:19">
      <c r="B29" s="130">
        <v>25</v>
      </c>
      <c r="C29" s="102">
        <v>214800000</v>
      </c>
      <c r="D29" s="102">
        <v>173300000</v>
      </c>
      <c r="E29" s="101"/>
      <c r="F29" s="102"/>
      <c r="G29" s="102"/>
      <c r="H29" s="103"/>
      <c r="I29" s="102"/>
      <c r="J29" s="102"/>
      <c r="K29" s="101"/>
      <c r="L29" s="103"/>
      <c r="M29" s="101">
        <f t="shared" si="0"/>
        <v>214800000</v>
      </c>
      <c r="N29" s="102">
        <f t="shared" si="0"/>
        <v>173300000</v>
      </c>
      <c r="O29" s="102">
        <f t="shared" si="1"/>
        <v>41500000</v>
      </c>
      <c r="P29" s="265">
        <f t="shared" si="2"/>
        <v>0.19320297951582868</v>
      </c>
      <c r="Q29" s="122">
        <v>25</v>
      </c>
      <c r="R29" s="279"/>
      <c r="S29" s="279"/>
    </row>
    <row r="30" spans="2:19">
      <c r="B30" s="130">
        <v>26</v>
      </c>
      <c r="C30" s="102">
        <v>222400000</v>
      </c>
      <c r="D30" s="102">
        <v>179500000</v>
      </c>
      <c r="E30" s="101"/>
      <c r="F30" s="102"/>
      <c r="G30" s="102"/>
      <c r="H30" s="103"/>
      <c r="I30" s="102"/>
      <c r="J30" s="102"/>
      <c r="K30" s="101"/>
      <c r="L30" s="103"/>
      <c r="M30" s="101">
        <f t="shared" si="0"/>
        <v>222400000</v>
      </c>
      <c r="N30" s="102">
        <f t="shared" si="0"/>
        <v>179500000</v>
      </c>
      <c r="O30" s="102">
        <f t="shared" si="1"/>
        <v>42900000</v>
      </c>
      <c r="P30" s="265">
        <f t="shared" si="2"/>
        <v>0.1928956834532374</v>
      </c>
      <c r="Q30" s="122">
        <v>26</v>
      </c>
      <c r="R30" s="279"/>
      <c r="S30" s="279"/>
    </row>
    <row r="31" spans="2:19">
      <c r="B31" s="130">
        <v>27</v>
      </c>
      <c r="C31" s="102">
        <v>230000000</v>
      </c>
      <c r="D31" s="102">
        <v>185600000</v>
      </c>
      <c r="E31" s="101"/>
      <c r="F31" s="102"/>
      <c r="G31" s="102"/>
      <c r="H31" s="103"/>
      <c r="I31" s="102"/>
      <c r="J31" s="102"/>
      <c r="K31" s="101"/>
      <c r="L31" s="103"/>
      <c r="M31" s="101">
        <f t="shared" si="0"/>
        <v>230000000</v>
      </c>
      <c r="N31" s="102">
        <f t="shared" si="0"/>
        <v>185600000</v>
      </c>
      <c r="O31" s="102">
        <f t="shared" si="1"/>
        <v>44400000</v>
      </c>
      <c r="P31" s="265">
        <f t="shared" si="2"/>
        <v>0.19304347826086957</v>
      </c>
      <c r="Q31" s="122">
        <v>27</v>
      </c>
      <c r="R31" s="279"/>
      <c r="S31" s="279"/>
    </row>
    <row r="32" spans="2:19">
      <c r="B32" s="130">
        <v>28</v>
      </c>
      <c r="C32" s="102">
        <v>238400000</v>
      </c>
      <c r="D32" s="102">
        <v>192400000</v>
      </c>
      <c r="E32" s="101"/>
      <c r="F32" s="102"/>
      <c r="G32" s="102"/>
      <c r="H32" s="103"/>
      <c r="I32" s="102"/>
      <c r="J32" s="102"/>
      <c r="K32" s="101"/>
      <c r="L32" s="103"/>
      <c r="M32" s="101">
        <f t="shared" si="0"/>
        <v>238400000</v>
      </c>
      <c r="N32" s="102">
        <f t="shared" si="0"/>
        <v>192400000</v>
      </c>
      <c r="O32" s="102">
        <f t="shared" si="1"/>
        <v>46000000</v>
      </c>
      <c r="P32" s="265">
        <f t="shared" si="2"/>
        <v>0.19295302013422819</v>
      </c>
      <c r="Q32" s="122">
        <v>28</v>
      </c>
      <c r="R32" s="279"/>
      <c r="S32" s="279"/>
    </row>
    <row r="33" spans="2:19">
      <c r="B33" s="130">
        <v>29</v>
      </c>
      <c r="C33" s="102">
        <v>246100000</v>
      </c>
      <c r="D33" s="102">
        <v>198500000</v>
      </c>
      <c r="E33" s="101"/>
      <c r="F33" s="102"/>
      <c r="G33" s="102"/>
      <c r="H33" s="103"/>
      <c r="I33" s="102"/>
      <c r="J33" s="102"/>
      <c r="K33" s="101"/>
      <c r="L33" s="103"/>
      <c r="M33" s="101">
        <f t="shared" si="0"/>
        <v>246100000</v>
      </c>
      <c r="N33" s="102">
        <f t="shared" si="0"/>
        <v>198500000</v>
      </c>
      <c r="O33" s="102">
        <f t="shared" si="1"/>
        <v>47600000</v>
      </c>
      <c r="P33" s="265">
        <f t="shared" si="2"/>
        <v>0.19341731003657051</v>
      </c>
      <c r="Q33" s="122">
        <v>29</v>
      </c>
      <c r="R33" s="279"/>
      <c r="S33" s="279"/>
    </row>
    <row r="34" spans="2:19">
      <c r="B34" s="132">
        <v>30</v>
      </c>
      <c r="C34" s="105">
        <v>253700000</v>
      </c>
      <c r="D34" s="105">
        <v>204700000</v>
      </c>
      <c r="E34" s="104"/>
      <c r="F34" s="105"/>
      <c r="G34" s="105"/>
      <c r="H34" s="106"/>
      <c r="I34" s="105"/>
      <c r="J34" s="105"/>
      <c r="K34" s="104"/>
      <c r="L34" s="106"/>
      <c r="M34" s="104">
        <f t="shared" si="0"/>
        <v>253700000</v>
      </c>
      <c r="N34" s="105">
        <f t="shared" si="0"/>
        <v>204700000</v>
      </c>
      <c r="O34" s="105">
        <f t="shared" si="1"/>
        <v>49000000</v>
      </c>
      <c r="P34" s="266">
        <f t="shared" si="2"/>
        <v>0.19314150571541192</v>
      </c>
      <c r="Q34" s="112">
        <v>30</v>
      </c>
      <c r="R34" s="277"/>
      <c r="S34" s="277"/>
    </row>
    <row r="35" spans="2:19">
      <c r="B35" s="129">
        <v>31</v>
      </c>
      <c r="C35" s="272">
        <v>262100000</v>
      </c>
      <c r="D35" s="272">
        <v>211400000</v>
      </c>
      <c r="E35" s="273"/>
      <c r="F35" s="272"/>
      <c r="G35" s="272"/>
      <c r="H35" s="274"/>
      <c r="I35" s="272"/>
      <c r="J35" s="272"/>
      <c r="K35" s="273"/>
      <c r="L35" s="274"/>
      <c r="M35" s="273">
        <f t="shared" si="0"/>
        <v>262100000</v>
      </c>
      <c r="N35" s="272">
        <f t="shared" si="0"/>
        <v>211400000</v>
      </c>
      <c r="O35" s="272">
        <f t="shared" si="1"/>
        <v>50700000</v>
      </c>
      <c r="P35" s="275">
        <f t="shared" si="2"/>
        <v>0.1934376192293018</v>
      </c>
      <c r="Q35" s="134">
        <v>31</v>
      </c>
      <c r="R35" s="280">
        <f>SUM(M35:M54)/SUM($Q$35:$Q$54)</f>
        <v>8788518.5185185187</v>
      </c>
      <c r="S35" s="280">
        <f>SUM(N35:N54)/SUM($Q$35:$Q$54)</f>
        <v>7098518.5185185187</v>
      </c>
    </row>
    <row r="36" spans="2:19">
      <c r="B36" s="130">
        <v>32</v>
      </c>
      <c r="C36" s="102">
        <v>269700000</v>
      </c>
      <c r="D36" s="102">
        <v>217600000</v>
      </c>
      <c r="E36" s="101"/>
      <c r="F36" s="102"/>
      <c r="G36" s="102"/>
      <c r="H36" s="103"/>
      <c r="I36" s="102"/>
      <c r="J36" s="102"/>
      <c r="K36" s="101"/>
      <c r="L36" s="103"/>
      <c r="M36" s="101">
        <f t="shared" si="0"/>
        <v>269700000</v>
      </c>
      <c r="N36" s="102">
        <f t="shared" si="0"/>
        <v>217600000</v>
      </c>
      <c r="O36" s="102">
        <f t="shared" si="1"/>
        <v>52100000</v>
      </c>
      <c r="P36" s="265">
        <f t="shared" si="2"/>
        <v>0.19317760474601409</v>
      </c>
      <c r="Q36" s="122">
        <v>32</v>
      </c>
      <c r="R36" s="123"/>
      <c r="S36" s="124"/>
    </row>
    <row r="37" spans="2:19">
      <c r="B37" s="130">
        <v>33</v>
      </c>
      <c r="C37" s="102">
        <v>287600000</v>
      </c>
      <c r="D37" s="102">
        <v>232200000</v>
      </c>
      <c r="E37" s="101"/>
      <c r="F37" s="102"/>
      <c r="G37" s="102"/>
      <c r="H37" s="103"/>
      <c r="I37" s="102"/>
      <c r="J37" s="102"/>
      <c r="K37" s="101"/>
      <c r="L37" s="103"/>
      <c r="M37" s="101">
        <f t="shared" si="0"/>
        <v>287600000</v>
      </c>
      <c r="N37" s="102">
        <f t="shared" si="0"/>
        <v>232200000</v>
      </c>
      <c r="O37" s="102">
        <f t="shared" si="1"/>
        <v>55400000</v>
      </c>
      <c r="P37" s="265">
        <f t="shared" si="2"/>
        <v>0.19262865090403339</v>
      </c>
      <c r="Q37" s="122">
        <v>33</v>
      </c>
      <c r="R37" s="124"/>
      <c r="S37" s="124"/>
    </row>
    <row r="38" spans="2:19">
      <c r="B38" s="130">
        <v>34</v>
      </c>
      <c r="C38" s="102">
        <v>296200000</v>
      </c>
      <c r="D38" s="102">
        <v>239200000</v>
      </c>
      <c r="E38" s="101"/>
      <c r="F38" s="102"/>
      <c r="G38" s="102"/>
      <c r="H38" s="103"/>
      <c r="I38" s="102"/>
      <c r="J38" s="102"/>
      <c r="K38" s="101"/>
      <c r="L38" s="103"/>
      <c r="M38" s="101">
        <f t="shared" si="0"/>
        <v>296200000</v>
      </c>
      <c r="N38" s="102">
        <f t="shared" si="0"/>
        <v>239200000</v>
      </c>
      <c r="O38" s="102">
        <f t="shared" si="1"/>
        <v>57000000</v>
      </c>
      <c r="P38" s="265">
        <f t="shared" si="2"/>
        <v>0.19243754220121539</v>
      </c>
      <c r="Q38" s="122">
        <v>34</v>
      </c>
      <c r="R38" s="124"/>
      <c r="S38" s="124"/>
    </row>
    <row r="39" spans="2:19">
      <c r="B39" s="130">
        <v>35</v>
      </c>
      <c r="C39" s="102">
        <v>304100000</v>
      </c>
      <c r="D39" s="102">
        <v>245500000</v>
      </c>
      <c r="E39" s="101"/>
      <c r="F39" s="102"/>
      <c r="G39" s="102"/>
      <c r="H39" s="103"/>
      <c r="I39" s="102"/>
      <c r="J39" s="102"/>
      <c r="K39" s="101"/>
      <c r="L39" s="103"/>
      <c r="M39" s="101">
        <f t="shared" si="0"/>
        <v>304100000</v>
      </c>
      <c r="N39" s="102">
        <f t="shared" si="0"/>
        <v>245500000</v>
      </c>
      <c r="O39" s="102">
        <f t="shared" si="1"/>
        <v>58600000</v>
      </c>
      <c r="P39" s="265">
        <f t="shared" si="2"/>
        <v>0.19269976981256165</v>
      </c>
      <c r="Q39" s="122">
        <v>35</v>
      </c>
      <c r="R39" s="124"/>
      <c r="S39" s="124"/>
    </row>
    <row r="40" spans="2:19">
      <c r="B40" s="130">
        <v>36</v>
      </c>
      <c r="C40" s="102">
        <v>312000000</v>
      </c>
      <c r="D40" s="102">
        <v>251900000</v>
      </c>
      <c r="E40" s="101"/>
      <c r="F40" s="102"/>
      <c r="G40" s="102"/>
      <c r="H40" s="103"/>
      <c r="I40" s="102"/>
      <c r="J40" s="102"/>
      <c r="K40" s="101"/>
      <c r="L40" s="103"/>
      <c r="M40" s="101">
        <f t="shared" si="0"/>
        <v>312000000</v>
      </c>
      <c r="N40" s="102">
        <f t="shared" si="0"/>
        <v>251900000</v>
      </c>
      <c r="O40" s="102">
        <f t="shared" si="1"/>
        <v>60100000</v>
      </c>
      <c r="P40" s="265">
        <f t="shared" si="2"/>
        <v>0.19262820512820514</v>
      </c>
      <c r="Q40" s="122">
        <v>36</v>
      </c>
      <c r="R40" s="124"/>
      <c r="S40" s="124"/>
    </row>
    <row r="41" spans="2:19">
      <c r="B41" s="130">
        <v>37</v>
      </c>
      <c r="C41" s="102">
        <v>320600000</v>
      </c>
      <c r="D41" s="102">
        <v>258800000</v>
      </c>
      <c r="E41" s="101"/>
      <c r="F41" s="102"/>
      <c r="G41" s="102"/>
      <c r="H41" s="103"/>
      <c r="I41" s="102"/>
      <c r="J41" s="102"/>
      <c r="K41" s="101"/>
      <c r="L41" s="103"/>
      <c r="M41" s="101">
        <f t="shared" si="0"/>
        <v>320600000</v>
      </c>
      <c r="N41" s="102">
        <f t="shared" si="0"/>
        <v>258800000</v>
      </c>
      <c r="O41" s="102">
        <f t="shared" si="1"/>
        <v>61800000</v>
      </c>
      <c r="P41" s="265">
        <f t="shared" si="2"/>
        <v>0.19276356830941985</v>
      </c>
      <c r="Q41" s="122">
        <v>37</v>
      </c>
      <c r="R41" s="124"/>
      <c r="S41" s="124"/>
    </row>
    <row r="42" spans="2:19">
      <c r="B42" s="130">
        <v>38</v>
      </c>
      <c r="C42" s="102">
        <v>328500000</v>
      </c>
      <c r="D42" s="102">
        <v>265200000</v>
      </c>
      <c r="E42" s="101"/>
      <c r="F42" s="102"/>
      <c r="G42" s="102"/>
      <c r="H42" s="103"/>
      <c r="I42" s="102"/>
      <c r="J42" s="102"/>
      <c r="K42" s="101"/>
      <c r="L42" s="103"/>
      <c r="M42" s="101">
        <f t="shared" si="0"/>
        <v>328500000</v>
      </c>
      <c r="N42" s="102">
        <f t="shared" si="0"/>
        <v>265200000</v>
      </c>
      <c r="O42" s="102">
        <f t="shared" si="1"/>
        <v>63300000</v>
      </c>
      <c r="P42" s="265">
        <f t="shared" si="2"/>
        <v>0.19269406392694063</v>
      </c>
      <c r="Q42" s="122">
        <v>38</v>
      </c>
      <c r="R42" s="124"/>
      <c r="S42" s="124"/>
    </row>
    <row r="43" spans="2:19">
      <c r="B43" s="130">
        <v>39</v>
      </c>
      <c r="C43" s="102">
        <v>336400000</v>
      </c>
      <c r="D43" s="102">
        <v>271500000</v>
      </c>
      <c r="E43" s="101"/>
      <c r="F43" s="102"/>
      <c r="G43" s="102"/>
      <c r="H43" s="103"/>
      <c r="I43" s="102"/>
      <c r="J43" s="102"/>
      <c r="K43" s="101"/>
      <c r="L43" s="103"/>
      <c r="M43" s="101">
        <f t="shared" si="0"/>
        <v>336400000</v>
      </c>
      <c r="N43" s="102">
        <f t="shared" si="0"/>
        <v>271500000</v>
      </c>
      <c r="O43" s="102">
        <f t="shared" si="1"/>
        <v>64900000</v>
      </c>
      <c r="P43" s="265">
        <f t="shared" si="2"/>
        <v>0.19292508917954815</v>
      </c>
      <c r="Q43" s="122">
        <v>39</v>
      </c>
      <c r="R43" s="124"/>
      <c r="S43" s="124"/>
    </row>
    <row r="44" spans="2:19">
      <c r="B44" s="130">
        <v>40</v>
      </c>
      <c r="C44" s="102">
        <v>345000000</v>
      </c>
      <c r="D44" s="102">
        <v>278500000</v>
      </c>
      <c r="E44" s="101"/>
      <c r="F44" s="102"/>
      <c r="G44" s="102"/>
      <c r="H44" s="103"/>
      <c r="I44" s="102"/>
      <c r="J44" s="102"/>
      <c r="K44" s="101"/>
      <c r="L44" s="103"/>
      <c r="M44" s="101">
        <f t="shared" si="0"/>
        <v>345000000</v>
      </c>
      <c r="N44" s="102">
        <f t="shared" si="0"/>
        <v>278500000</v>
      </c>
      <c r="O44" s="102">
        <f t="shared" si="1"/>
        <v>66500000</v>
      </c>
      <c r="P44" s="265">
        <f t="shared" si="2"/>
        <v>0.1927536231884058</v>
      </c>
      <c r="Q44" s="122">
        <v>40</v>
      </c>
      <c r="R44" s="124"/>
      <c r="S44" s="124"/>
    </row>
    <row r="45" spans="2:19">
      <c r="B45" s="130">
        <v>41</v>
      </c>
      <c r="C45" s="102">
        <v>365100000</v>
      </c>
      <c r="D45" s="102">
        <v>295000000</v>
      </c>
      <c r="E45" s="101"/>
      <c r="F45" s="102"/>
      <c r="G45" s="102"/>
      <c r="H45" s="103"/>
      <c r="I45" s="102"/>
      <c r="J45" s="102"/>
      <c r="K45" s="101"/>
      <c r="L45" s="103"/>
      <c r="M45" s="101">
        <f t="shared" si="0"/>
        <v>365100000</v>
      </c>
      <c r="N45" s="102">
        <f t="shared" si="0"/>
        <v>295000000</v>
      </c>
      <c r="O45" s="102">
        <f t="shared" si="1"/>
        <v>70100000</v>
      </c>
      <c r="P45" s="265">
        <f t="shared" si="2"/>
        <v>0.19200219118049849</v>
      </c>
      <c r="Q45" s="122">
        <v>41</v>
      </c>
      <c r="R45" s="124"/>
      <c r="S45" s="124"/>
    </row>
    <row r="46" spans="2:19">
      <c r="B46" s="130">
        <v>42</v>
      </c>
      <c r="C46" s="102">
        <v>373200000</v>
      </c>
      <c r="D46" s="102">
        <v>301600000</v>
      </c>
      <c r="E46" s="101"/>
      <c r="F46" s="102"/>
      <c r="G46" s="102"/>
      <c r="H46" s="103"/>
      <c r="I46" s="102"/>
      <c r="J46" s="102"/>
      <c r="K46" s="101"/>
      <c r="L46" s="103"/>
      <c r="M46" s="101">
        <f t="shared" si="0"/>
        <v>373200000</v>
      </c>
      <c r="N46" s="102">
        <f t="shared" si="0"/>
        <v>301600000</v>
      </c>
      <c r="O46" s="102">
        <f t="shared" si="1"/>
        <v>71600000</v>
      </c>
      <c r="P46" s="265">
        <f t="shared" si="2"/>
        <v>0.19185423365487675</v>
      </c>
      <c r="Q46" s="122">
        <v>42</v>
      </c>
      <c r="R46" s="124"/>
      <c r="S46" s="124"/>
    </row>
    <row r="47" spans="2:19">
      <c r="B47" s="130">
        <v>43</v>
      </c>
      <c r="C47" s="102">
        <v>382100000</v>
      </c>
      <c r="D47" s="102">
        <v>308700000</v>
      </c>
      <c r="E47" s="101"/>
      <c r="F47" s="102"/>
      <c r="G47" s="102"/>
      <c r="H47" s="103"/>
      <c r="I47" s="102"/>
      <c r="J47" s="102"/>
      <c r="K47" s="101"/>
      <c r="L47" s="103"/>
      <c r="M47" s="101">
        <f t="shared" si="0"/>
        <v>382100000</v>
      </c>
      <c r="N47" s="102">
        <f t="shared" si="0"/>
        <v>308700000</v>
      </c>
      <c r="O47" s="102">
        <f t="shared" si="1"/>
        <v>73400000</v>
      </c>
      <c r="P47" s="265">
        <f t="shared" si="2"/>
        <v>0.19209630986652709</v>
      </c>
      <c r="Q47" s="122">
        <v>43</v>
      </c>
      <c r="R47" s="124"/>
      <c r="S47" s="124"/>
    </row>
    <row r="48" spans="2:19">
      <c r="B48" s="130">
        <v>44</v>
      </c>
      <c r="C48" s="102">
        <v>390200000</v>
      </c>
      <c r="D48" s="102">
        <v>315300000</v>
      </c>
      <c r="E48" s="101"/>
      <c r="F48" s="102"/>
      <c r="G48" s="102"/>
      <c r="H48" s="103"/>
      <c r="I48" s="102"/>
      <c r="J48" s="102"/>
      <c r="K48" s="101"/>
      <c r="L48" s="103"/>
      <c r="M48" s="101">
        <f t="shared" si="0"/>
        <v>390200000</v>
      </c>
      <c r="N48" s="102">
        <f t="shared" si="0"/>
        <v>315300000</v>
      </c>
      <c r="O48" s="102">
        <f t="shared" si="1"/>
        <v>74900000</v>
      </c>
      <c r="P48" s="265">
        <f t="shared" si="2"/>
        <v>0.19195284469502819</v>
      </c>
      <c r="Q48" s="122">
        <v>44</v>
      </c>
      <c r="R48" s="124"/>
      <c r="S48" s="124"/>
    </row>
    <row r="49" spans="2:19">
      <c r="B49" s="130">
        <v>45</v>
      </c>
      <c r="C49" s="102">
        <v>398400000</v>
      </c>
      <c r="D49" s="102">
        <v>321800000</v>
      </c>
      <c r="E49" s="101"/>
      <c r="F49" s="102"/>
      <c r="G49" s="102"/>
      <c r="H49" s="103"/>
      <c r="I49" s="102"/>
      <c r="J49" s="102"/>
      <c r="K49" s="101"/>
      <c r="L49" s="103"/>
      <c r="M49" s="101">
        <f t="shared" si="0"/>
        <v>398400000</v>
      </c>
      <c r="N49" s="102">
        <f t="shared" si="0"/>
        <v>321800000</v>
      </c>
      <c r="O49" s="102">
        <f t="shared" si="1"/>
        <v>76600000</v>
      </c>
      <c r="P49" s="265">
        <f t="shared" si="2"/>
        <v>0.19226907630522089</v>
      </c>
      <c r="Q49" s="122">
        <v>45</v>
      </c>
      <c r="R49" s="124"/>
      <c r="S49" s="124"/>
    </row>
    <row r="50" spans="2:19">
      <c r="B50" s="130">
        <v>46</v>
      </c>
      <c r="C50" s="102">
        <v>407200000</v>
      </c>
      <c r="D50" s="102">
        <v>329000000</v>
      </c>
      <c r="E50" s="101"/>
      <c r="F50" s="102"/>
      <c r="G50" s="102"/>
      <c r="H50" s="103"/>
      <c r="I50" s="102"/>
      <c r="J50" s="102"/>
      <c r="K50" s="101"/>
      <c r="L50" s="103"/>
      <c r="M50" s="101">
        <f t="shared" si="0"/>
        <v>407200000</v>
      </c>
      <c r="N50" s="102">
        <f t="shared" si="0"/>
        <v>329000000</v>
      </c>
      <c r="O50" s="102">
        <f t="shared" si="1"/>
        <v>78200000</v>
      </c>
      <c r="P50" s="265">
        <f t="shared" si="2"/>
        <v>0.19204322200392926</v>
      </c>
      <c r="Q50" s="122">
        <v>46</v>
      </c>
      <c r="R50" s="124"/>
      <c r="S50" s="124"/>
    </row>
    <row r="51" spans="2:19">
      <c r="B51" s="130">
        <v>47</v>
      </c>
      <c r="C51" s="102">
        <v>415400000</v>
      </c>
      <c r="D51" s="102">
        <v>335600000</v>
      </c>
      <c r="E51" s="101"/>
      <c r="F51" s="102"/>
      <c r="G51" s="102"/>
      <c r="H51" s="103"/>
      <c r="I51" s="102"/>
      <c r="J51" s="102"/>
      <c r="K51" s="101"/>
      <c r="L51" s="103"/>
      <c r="M51" s="101">
        <f t="shared" si="0"/>
        <v>415400000</v>
      </c>
      <c r="N51" s="102">
        <f t="shared" si="0"/>
        <v>335600000</v>
      </c>
      <c r="O51" s="102">
        <f t="shared" si="1"/>
        <v>79800000</v>
      </c>
      <c r="P51" s="265">
        <f t="shared" si="2"/>
        <v>0.1921039961482908</v>
      </c>
      <c r="Q51" s="122">
        <v>47</v>
      </c>
      <c r="R51" s="124"/>
      <c r="S51" s="124"/>
    </row>
    <row r="52" spans="2:19">
      <c r="B52" s="130">
        <v>48</v>
      </c>
      <c r="C52" s="102">
        <v>423500000</v>
      </c>
      <c r="D52" s="102">
        <v>342100000</v>
      </c>
      <c r="E52" s="101"/>
      <c r="F52" s="102"/>
      <c r="G52" s="102"/>
      <c r="H52" s="103"/>
      <c r="I52" s="102"/>
      <c r="J52" s="102"/>
      <c r="K52" s="101"/>
      <c r="L52" s="103"/>
      <c r="M52" s="101">
        <f t="shared" si="0"/>
        <v>423500000</v>
      </c>
      <c r="N52" s="102">
        <f t="shared" si="0"/>
        <v>342100000</v>
      </c>
      <c r="O52" s="102">
        <f t="shared" si="1"/>
        <v>81400000</v>
      </c>
      <c r="P52" s="265">
        <f t="shared" si="2"/>
        <v>0.19220779220779222</v>
      </c>
      <c r="Q52" s="122">
        <v>48</v>
      </c>
      <c r="R52" s="124"/>
      <c r="S52" s="124"/>
    </row>
    <row r="53" spans="2:19">
      <c r="B53" s="130">
        <v>49</v>
      </c>
      <c r="C53" s="102">
        <v>446500000</v>
      </c>
      <c r="D53" s="102">
        <v>361100000</v>
      </c>
      <c r="E53" s="101"/>
      <c r="F53" s="102"/>
      <c r="G53" s="102"/>
      <c r="H53" s="103"/>
      <c r="I53" s="102"/>
      <c r="J53" s="102"/>
      <c r="K53" s="101"/>
      <c r="L53" s="103"/>
      <c r="M53" s="101">
        <f t="shared" si="0"/>
        <v>446500000</v>
      </c>
      <c r="N53" s="102">
        <f t="shared" si="0"/>
        <v>361100000</v>
      </c>
      <c r="O53" s="102">
        <f t="shared" si="1"/>
        <v>85400000</v>
      </c>
      <c r="P53" s="265">
        <f t="shared" si="2"/>
        <v>0.19126539753639418</v>
      </c>
      <c r="Q53" s="122">
        <v>49</v>
      </c>
      <c r="R53" s="124"/>
      <c r="S53" s="124"/>
    </row>
    <row r="54" spans="2:19">
      <c r="B54" s="132">
        <v>50</v>
      </c>
      <c r="C54" s="174">
        <v>454900000</v>
      </c>
      <c r="D54" s="174">
        <v>367800000</v>
      </c>
      <c r="E54" s="104"/>
      <c r="F54" s="105"/>
      <c r="G54" s="105"/>
      <c r="H54" s="106"/>
      <c r="I54" s="105"/>
      <c r="J54" s="105"/>
      <c r="K54" s="104"/>
      <c r="L54" s="106"/>
      <c r="M54" s="104">
        <f t="shared" si="0"/>
        <v>454900000</v>
      </c>
      <c r="N54" s="105">
        <f t="shared" si="0"/>
        <v>367800000</v>
      </c>
      <c r="O54" s="105">
        <f t="shared" si="1"/>
        <v>87100000</v>
      </c>
      <c r="P54" s="266">
        <f t="shared" si="2"/>
        <v>0.19147065289074522</v>
      </c>
      <c r="Q54" s="112">
        <v>50</v>
      </c>
      <c r="R54" s="121"/>
      <c r="S54" s="121"/>
    </row>
  </sheetData>
  <autoFilter ref="B4:S54" xr:uid="{C34D4CEC-2031-4484-BE45-CB589E7C914F}"/>
  <mergeCells count="6">
    <mergeCell ref="Q3:S3"/>
    <mergeCell ref="C3:D3"/>
    <mergeCell ref="E3:H3"/>
    <mergeCell ref="I3:J3"/>
    <mergeCell ref="K3:L3"/>
    <mergeCell ref="M3:P3"/>
  </mergeCells>
  <phoneticPr fontId="5" type="noConversion"/>
  <pageMargins left="0.7" right="0.7" top="0.75" bottom="0.75" header="0.3" footer="0.3"/>
  <pageSetup paperSize="9" scale="5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vt:i4>
      </vt:variant>
      <vt:variant>
        <vt:lpstr>이름 지정된 범위</vt:lpstr>
      </vt:variant>
      <vt:variant>
        <vt:i4>5</vt:i4>
      </vt:variant>
    </vt:vector>
  </HeadingPairs>
  <TitlesOfParts>
    <vt:vector size="13" baseType="lpstr">
      <vt:lpstr>수요시뮬레이션</vt:lpstr>
      <vt:lpstr>가격시뮬레이션</vt:lpstr>
      <vt:lpstr>참고&gt;&gt;</vt:lpstr>
      <vt:lpstr>가격테이블</vt:lpstr>
      <vt:lpstr>노즐공사갑지</vt:lpstr>
      <vt:lpstr>노즐공사매출</vt:lpstr>
      <vt:lpstr>노즐공사원가</vt:lpstr>
      <vt:lpstr>노즐공사가격테이블</vt:lpstr>
      <vt:lpstr>노즐공사갑지!Print_Area</vt:lpstr>
      <vt:lpstr>노즐공사매출!Print_Area</vt:lpstr>
      <vt:lpstr>노즐공사원가!Print_Area</vt:lpstr>
      <vt:lpstr>노즐공사매출!Print_Titles</vt:lpstr>
      <vt:lpstr>노즐공사원가!Print_Titles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min kyu</dc:creator>
  <cp:lastModifiedBy>Administrator</cp:lastModifiedBy>
  <cp:lastPrinted>2024-09-13T04:07:17Z</cp:lastPrinted>
  <dcterms:created xsi:type="dcterms:W3CDTF">2020-01-29T03:37:44Z</dcterms:created>
  <dcterms:modified xsi:type="dcterms:W3CDTF">2024-09-13T06:02:06Z</dcterms:modified>
</cp:coreProperties>
</file>